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4. Plano Testes/"/>
    </mc:Choice>
  </mc:AlternateContent>
  <xr:revisionPtr revIDLastSave="396" documentId="8_{92124565-865A-4AD5-82D7-DD3B3EDD78A3}" xr6:coauthVersionLast="47" xr6:coauthVersionMax="47" xr10:uidLastSave="{6C0129D2-C2A2-4A57-A044-A6218351B541}"/>
  <bookViews>
    <workbookView xWindow="-120" yWindow="-16320" windowWidth="29040" windowHeight="15840" xr2:uid="{6D1254B9-824E-430A-A72A-F70600452B21}"/>
  </bookViews>
  <sheets>
    <sheet name="Bens imóveis PT VS EN" sheetId="4" r:id="rId1"/>
    <sheet name="Bens imoveis" sheetId="1" r:id="rId2"/>
    <sheet name="Modelo Verde" sheetId="2" r:id="rId3"/>
    <sheet name="Pilar 3" sheetId="3" r:id="rId4"/>
  </sheets>
  <externalReferences>
    <externalReference r:id="rId5"/>
  </externalReferences>
  <definedNames>
    <definedName name="_xlnm._FilterDatabase" localSheetId="1" hidden="1">'Bens imoveis'!#REF!</definedName>
    <definedName name="_xlnm._FilterDatabase" localSheetId="0" hidden="1">'Bens imóveis PT VS EN'!$B$2:$D$155</definedName>
    <definedName name="_xlnm._FilterDatabase" localSheetId="2" hidden="1">'Modelo Verde'!$J$2:$N$234</definedName>
    <definedName name="_xlnm._FilterDatabase" localSheetId="3" hidden="1">'Pilar 3'!$A$2:$G$109</definedName>
    <definedName name="_xlcn.WorksheetConnection_BensimoveisI2J1551" hidden="1">'Bens imoveis'!$I$2:$J$155</definedName>
    <definedName name="_xlcn.WorksheetConnection_ModeloVerdeJ2N2341" hidden="1">'Modelo Verde'!$J$2:$N$234</definedName>
  </definedNames>
  <calcPr calcId="191029"/>
  <pivotCaches>
    <pivotCache cacheId="40" r:id="rId6"/>
    <pivotCache cacheId="4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Modelo Verde!$J$2:$N$234"/>
          <x15:modelTable id="Range 1" name="Range 1" connection="WorksheetConnection_Bens imoveis!$I$2:$J$15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5" i="4" l="1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A155" i="4"/>
  <c r="E155" i="4" s="1"/>
  <c r="A154" i="4"/>
  <c r="E154" i="4" s="1"/>
  <c r="A153" i="4"/>
  <c r="E153" i="4" s="1"/>
  <c r="A152" i="4"/>
  <c r="E152" i="4" s="1"/>
  <c r="A151" i="4"/>
  <c r="E151" i="4" s="1"/>
  <c r="A150" i="4"/>
  <c r="E150" i="4" s="1"/>
  <c r="A149" i="4"/>
  <c r="E149" i="4" s="1"/>
  <c r="A148" i="4"/>
  <c r="E148" i="4" s="1"/>
  <c r="A147" i="4"/>
  <c r="E147" i="4" s="1"/>
  <c r="A146" i="4"/>
  <c r="E146" i="4" s="1"/>
  <c r="A145" i="4"/>
  <c r="E145" i="4" s="1"/>
  <c r="A144" i="4"/>
  <c r="E144" i="4" s="1"/>
  <c r="A143" i="4"/>
  <c r="E143" i="4" s="1"/>
  <c r="A142" i="4"/>
  <c r="E142" i="4" s="1"/>
  <c r="A141" i="4"/>
  <c r="E141" i="4" s="1"/>
  <c r="A140" i="4"/>
  <c r="E140" i="4" s="1"/>
  <c r="A139" i="4"/>
  <c r="E139" i="4" s="1"/>
  <c r="A138" i="4"/>
  <c r="E138" i="4" s="1"/>
  <c r="A137" i="4"/>
  <c r="E137" i="4" s="1"/>
  <c r="A136" i="4"/>
  <c r="E136" i="4" s="1"/>
  <c r="A135" i="4"/>
  <c r="E135" i="4" s="1"/>
  <c r="A134" i="4"/>
  <c r="E134" i="4" s="1"/>
  <c r="A133" i="4"/>
  <c r="E133" i="4" s="1"/>
  <c r="A132" i="4"/>
  <c r="E132" i="4" s="1"/>
  <c r="A131" i="4"/>
  <c r="E131" i="4" s="1"/>
  <c r="A130" i="4"/>
  <c r="E130" i="4" s="1"/>
  <c r="A129" i="4"/>
  <c r="E129" i="4" s="1"/>
  <c r="A128" i="4"/>
  <c r="E128" i="4" s="1"/>
  <c r="A127" i="4"/>
  <c r="E127" i="4" s="1"/>
  <c r="A126" i="4"/>
  <c r="E126" i="4" s="1"/>
  <c r="A125" i="4"/>
  <c r="E125" i="4" s="1"/>
  <c r="A124" i="4"/>
  <c r="E124" i="4" s="1"/>
  <c r="A123" i="4"/>
  <c r="E123" i="4" s="1"/>
  <c r="A122" i="4"/>
  <c r="E122" i="4" s="1"/>
  <c r="A121" i="4"/>
  <c r="E121" i="4" s="1"/>
  <c r="A120" i="4"/>
  <c r="E120" i="4" s="1"/>
  <c r="A119" i="4"/>
  <c r="E119" i="4" s="1"/>
  <c r="A118" i="4"/>
  <c r="E118" i="4" s="1"/>
  <c r="A117" i="4"/>
  <c r="E117" i="4" s="1"/>
  <c r="A116" i="4"/>
  <c r="E116" i="4" s="1"/>
  <c r="A115" i="4"/>
  <c r="E115" i="4" s="1"/>
  <c r="A114" i="4"/>
  <c r="E114" i="4" s="1"/>
  <c r="A113" i="4"/>
  <c r="E113" i="4" s="1"/>
  <c r="A112" i="4"/>
  <c r="E112" i="4" s="1"/>
  <c r="A111" i="4"/>
  <c r="E111" i="4" s="1"/>
  <c r="A110" i="4"/>
  <c r="E110" i="4" s="1"/>
  <c r="A109" i="4"/>
  <c r="E109" i="4" s="1"/>
  <c r="A108" i="4"/>
  <c r="E108" i="4" s="1"/>
  <c r="A107" i="4"/>
  <c r="E107" i="4" s="1"/>
  <c r="A106" i="4"/>
  <c r="E106" i="4" s="1"/>
  <c r="A105" i="4"/>
  <c r="E105" i="4" s="1"/>
  <c r="A104" i="4"/>
  <c r="E104" i="4" s="1"/>
  <c r="A103" i="4"/>
  <c r="E103" i="4" s="1"/>
  <c r="A102" i="4"/>
  <c r="E102" i="4" s="1"/>
  <c r="A101" i="4"/>
  <c r="E101" i="4" s="1"/>
  <c r="A100" i="4"/>
  <c r="E100" i="4" s="1"/>
  <c r="A99" i="4"/>
  <c r="E99" i="4" s="1"/>
  <c r="A98" i="4"/>
  <c r="E98" i="4" s="1"/>
  <c r="A97" i="4"/>
  <c r="E97" i="4" s="1"/>
  <c r="A96" i="4"/>
  <c r="E96" i="4" s="1"/>
  <c r="A95" i="4"/>
  <c r="E95" i="4" s="1"/>
  <c r="A94" i="4"/>
  <c r="E94" i="4" s="1"/>
  <c r="A93" i="4"/>
  <c r="E93" i="4" s="1"/>
  <c r="A92" i="4"/>
  <c r="E92" i="4" s="1"/>
  <c r="A91" i="4"/>
  <c r="E91" i="4" s="1"/>
  <c r="A90" i="4"/>
  <c r="E90" i="4" s="1"/>
  <c r="A89" i="4"/>
  <c r="E89" i="4" s="1"/>
  <c r="A88" i="4"/>
  <c r="E88" i="4" s="1"/>
  <c r="A87" i="4"/>
  <c r="E87" i="4" s="1"/>
  <c r="A86" i="4"/>
  <c r="E86" i="4" s="1"/>
  <c r="A85" i="4"/>
  <c r="E85" i="4" s="1"/>
  <c r="A84" i="4"/>
  <c r="E84" i="4" s="1"/>
  <c r="A83" i="4"/>
  <c r="E83" i="4" s="1"/>
  <c r="A82" i="4"/>
  <c r="E82" i="4" s="1"/>
  <c r="A81" i="4"/>
  <c r="E81" i="4" s="1"/>
  <c r="A80" i="4"/>
  <c r="E80" i="4" s="1"/>
  <c r="A79" i="4"/>
  <c r="E79" i="4" s="1"/>
  <c r="A78" i="4"/>
  <c r="E78" i="4" s="1"/>
  <c r="A77" i="4"/>
  <c r="E77" i="4" s="1"/>
  <c r="A76" i="4"/>
  <c r="E76" i="4" s="1"/>
  <c r="A75" i="4"/>
  <c r="E75" i="4" s="1"/>
  <c r="A74" i="4"/>
  <c r="E74" i="4" s="1"/>
  <c r="A73" i="4"/>
  <c r="E73" i="4" s="1"/>
  <c r="A72" i="4"/>
  <c r="E72" i="4" s="1"/>
  <c r="A71" i="4"/>
  <c r="E71" i="4" s="1"/>
  <c r="A70" i="4"/>
  <c r="E70" i="4" s="1"/>
  <c r="A69" i="4"/>
  <c r="E69" i="4" s="1"/>
  <c r="A68" i="4"/>
  <c r="E68" i="4" s="1"/>
  <c r="A67" i="4"/>
  <c r="E67" i="4" s="1"/>
  <c r="A66" i="4"/>
  <c r="E66" i="4" s="1"/>
  <c r="A65" i="4"/>
  <c r="E65" i="4" s="1"/>
  <c r="A64" i="4"/>
  <c r="E64" i="4" s="1"/>
  <c r="A63" i="4"/>
  <c r="E63" i="4" s="1"/>
  <c r="A62" i="4"/>
  <c r="E62" i="4" s="1"/>
  <c r="A61" i="4"/>
  <c r="E61" i="4" s="1"/>
  <c r="A60" i="4"/>
  <c r="E60" i="4" s="1"/>
  <c r="A59" i="4"/>
  <c r="E59" i="4" s="1"/>
  <c r="A58" i="4"/>
  <c r="E58" i="4" s="1"/>
  <c r="A57" i="4"/>
  <c r="E57" i="4" s="1"/>
  <c r="A56" i="4"/>
  <c r="E56" i="4" s="1"/>
  <c r="A55" i="4"/>
  <c r="E55" i="4" s="1"/>
  <c r="A54" i="4"/>
  <c r="E54" i="4" s="1"/>
  <c r="A53" i="4"/>
  <c r="E53" i="4" s="1"/>
  <c r="A52" i="4"/>
  <c r="E52" i="4" s="1"/>
  <c r="A51" i="4"/>
  <c r="E51" i="4" s="1"/>
  <c r="A50" i="4"/>
  <c r="E50" i="4" s="1"/>
  <c r="A49" i="4"/>
  <c r="E49" i="4" s="1"/>
  <c r="A48" i="4"/>
  <c r="E48" i="4" s="1"/>
  <c r="A47" i="4"/>
  <c r="E47" i="4" s="1"/>
  <c r="A46" i="4"/>
  <c r="E46" i="4" s="1"/>
  <c r="A45" i="4"/>
  <c r="E45" i="4" s="1"/>
  <c r="A44" i="4"/>
  <c r="E44" i="4" s="1"/>
  <c r="A43" i="4"/>
  <c r="E43" i="4" s="1"/>
  <c r="A42" i="4"/>
  <c r="E42" i="4" s="1"/>
  <c r="A41" i="4"/>
  <c r="E41" i="4" s="1"/>
  <c r="A40" i="4"/>
  <c r="E40" i="4" s="1"/>
  <c r="A39" i="4"/>
  <c r="E39" i="4" s="1"/>
  <c r="A38" i="4"/>
  <c r="E38" i="4" s="1"/>
  <c r="A37" i="4"/>
  <c r="E37" i="4" s="1"/>
  <c r="A36" i="4"/>
  <c r="E36" i="4" s="1"/>
  <c r="A35" i="4"/>
  <c r="E35" i="4" s="1"/>
  <c r="A34" i="4"/>
  <c r="E34" i="4" s="1"/>
  <c r="A33" i="4"/>
  <c r="E33" i="4" s="1"/>
  <c r="A32" i="4"/>
  <c r="E32" i="4" s="1"/>
  <c r="A31" i="4"/>
  <c r="E31" i="4" s="1"/>
  <c r="A30" i="4"/>
  <c r="E30" i="4" s="1"/>
  <c r="A29" i="4"/>
  <c r="E29" i="4" s="1"/>
  <c r="A28" i="4"/>
  <c r="E28" i="4" s="1"/>
  <c r="A27" i="4"/>
  <c r="E27" i="4" s="1"/>
  <c r="A26" i="4"/>
  <c r="E26" i="4" s="1"/>
  <c r="A25" i="4"/>
  <c r="E25" i="4" s="1"/>
  <c r="A24" i="4"/>
  <c r="E24" i="4" s="1"/>
  <c r="A23" i="4"/>
  <c r="E23" i="4" s="1"/>
  <c r="A22" i="4"/>
  <c r="E22" i="4" s="1"/>
  <c r="A21" i="4"/>
  <c r="E21" i="4" s="1"/>
  <c r="A20" i="4"/>
  <c r="E20" i="4" s="1"/>
  <c r="A19" i="4"/>
  <c r="E19" i="4" s="1"/>
  <c r="A18" i="4"/>
  <c r="E18" i="4" s="1"/>
  <c r="A17" i="4"/>
  <c r="E17" i="4" s="1"/>
  <c r="A16" i="4"/>
  <c r="E16" i="4" s="1"/>
  <c r="A15" i="4"/>
  <c r="E15" i="4" s="1"/>
  <c r="A14" i="4"/>
  <c r="E14" i="4" s="1"/>
  <c r="A13" i="4"/>
  <c r="E13" i="4" s="1"/>
  <c r="A12" i="4"/>
  <c r="E12" i="4" s="1"/>
  <c r="A11" i="4"/>
  <c r="E11" i="4" s="1"/>
  <c r="A10" i="4"/>
  <c r="E10" i="4" s="1"/>
  <c r="A9" i="4"/>
  <c r="E9" i="4" s="1"/>
  <c r="A8" i="4"/>
  <c r="E8" i="4" s="1"/>
  <c r="A7" i="4"/>
  <c r="E7" i="4" s="1"/>
  <c r="A6" i="4"/>
  <c r="E6" i="4" s="1"/>
  <c r="A5" i="4"/>
  <c r="E5" i="4" s="1"/>
  <c r="A4" i="4"/>
  <c r="E4" i="4" s="1"/>
  <c r="A3" i="4"/>
  <c r="E3" i="4" s="1"/>
  <c r="F3" i="4" s="1"/>
  <c r="A27" i="1"/>
  <c r="H27" i="1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H155" i="1" l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E27" i="1" l="1"/>
  <c r="K27" i="1"/>
  <c r="E36" i="1"/>
  <c r="E44" i="1"/>
  <c r="E52" i="1"/>
  <c r="E156" i="1"/>
  <c r="E20" i="1"/>
  <c r="E159" i="1"/>
  <c r="E12" i="1"/>
  <c r="E28" i="1"/>
  <c r="E4" i="1"/>
  <c r="E60" i="1"/>
  <c r="E84" i="1"/>
  <c r="E100" i="1"/>
  <c r="E108" i="1"/>
  <c r="E124" i="1"/>
  <c r="E68" i="1"/>
  <c r="E76" i="1"/>
  <c r="E92" i="1"/>
  <c r="E116" i="1"/>
  <c r="E140" i="1"/>
  <c r="E154" i="1"/>
  <c r="E132" i="1"/>
  <c r="E148" i="1"/>
  <c r="E164" i="1"/>
  <c r="K21" i="1"/>
  <c r="K85" i="1"/>
  <c r="K144" i="1"/>
  <c r="E30" i="1"/>
  <c r="E70" i="1"/>
  <c r="E23" i="1"/>
  <c r="E63" i="1"/>
  <c r="E16" i="1"/>
  <c r="E48" i="1"/>
  <c r="E80" i="1"/>
  <c r="E25" i="1"/>
  <c r="E49" i="1"/>
  <c r="E73" i="1"/>
  <c r="E97" i="1"/>
  <c r="E121" i="1"/>
  <c r="E145" i="1"/>
  <c r="E169" i="1"/>
  <c r="K34" i="1"/>
  <c r="E147" i="1"/>
  <c r="K13" i="1"/>
  <c r="K69" i="1"/>
  <c r="K123" i="1"/>
  <c r="E13" i="1"/>
  <c r="E46" i="1"/>
  <c r="E78" i="1"/>
  <c r="E31" i="1"/>
  <c r="E79" i="1"/>
  <c r="E32" i="1"/>
  <c r="E64" i="1"/>
  <c r="E17" i="1"/>
  <c r="E41" i="1"/>
  <c r="E65" i="1"/>
  <c r="E89" i="1"/>
  <c r="E113" i="1"/>
  <c r="E137" i="1"/>
  <c r="E161" i="1"/>
  <c r="K26" i="1"/>
  <c r="K116" i="1"/>
  <c r="K130" i="1"/>
  <c r="K137" i="1"/>
  <c r="K143" i="1"/>
  <c r="K150" i="1"/>
  <c r="K29" i="1"/>
  <c r="K61" i="1"/>
  <c r="K109" i="1"/>
  <c r="E5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K6" i="1"/>
  <c r="K14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4" i="1"/>
  <c r="K132" i="1"/>
  <c r="K139" i="1"/>
  <c r="K145" i="1"/>
  <c r="K152" i="1"/>
  <c r="K45" i="1"/>
  <c r="K101" i="1"/>
  <c r="K151" i="1"/>
  <c r="E6" i="1"/>
  <c r="E62" i="1"/>
  <c r="E102" i="1"/>
  <c r="E110" i="1"/>
  <c r="E118" i="1"/>
  <c r="E126" i="1"/>
  <c r="E134" i="1"/>
  <c r="E142" i="1"/>
  <c r="E150" i="1"/>
  <c r="E158" i="1"/>
  <c r="E166" i="1"/>
  <c r="K7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5" i="1"/>
  <c r="K133" i="1"/>
  <c r="K146" i="1"/>
  <c r="K153" i="1"/>
  <c r="K53" i="1"/>
  <c r="K131" i="1"/>
  <c r="E14" i="1"/>
  <c r="E86" i="1"/>
  <c r="E39" i="1"/>
  <c r="E71" i="1"/>
  <c r="E87" i="1"/>
  <c r="E95" i="1"/>
  <c r="E103" i="1"/>
  <c r="E111" i="1"/>
  <c r="E119" i="1"/>
  <c r="E127" i="1"/>
  <c r="E135" i="1"/>
  <c r="E143" i="1"/>
  <c r="E151" i="1"/>
  <c r="E167" i="1"/>
  <c r="K8" i="1"/>
  <c r="K16" i="1"/>
  <c r="K24" i="1"/>
  <c r="K32" i="1"/>
  <c r="K40" i="1"/>
  <c r="K48" i="1"/>
  <c r="K56" i="1"/>
  <c r="K64" i="1"/>
  <c r="K72" i="1"/>
  <c r="K80" i="1"/>
  <c r="K88" i="1"/>
  <c r="K96" i="1"/>
  <c r="K104" i="1"/>
  <c r="K112" i="1"/>
  <c r="K120" i="1"/>
  <c r="K126" i="1"/>
  <c r="K134" i="1"/>
  <c r="K147" i="1"/>
  <c r="K154" i="1"/>
  <c r="K5" i="1"/>
  <c r="K77" i="1"/>
  <c r="K117" i="1"/>
  <c r="E21" i="1"/>
  <c r="E38" i="1"/>
  <c r="E94" i="1"/>
  <c r="E15" i="1"/>
  <c r="E55" i="1"/>
  <c r="E8" i="1"/>
  <c r="E40" i="1"/>
  <c r="E72" i="1"/>
  <c r="E88" i="1"/>
  <c r="E96" i="1"/>
  <c r="E104" i="1"/>
  <c r="E112" i="1"/>
  <c r="E120" i="1"/>
  <c r="E128" i="1"/>
  <c r="E136" i="1"/>
  <c r="E144" i="1"/>
  <c r="E152" i="1"/>
  <c r="E160" i="1"/>
  <c r="E168" i="1"/>
  <c r="K9" i="1"/>
  <c r="K17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7" i="1"/>
  <c r="K140" i="1"/>
  <c r="K148" i="1"/>
  <c r="K155" i="1"/>
  <c r="K37" i="1"/>
  <c r="K93" i="1"/>
  <c r="K138" i="1"/>
  <c r="E22" i="1"/>
  <c r="E54" i="1"/>
  <c r="E7" i="1"/>
  <c r="E47" i="1"/>
  <c r="E24" i="1"/>
  <c r="E56" i="1"/>
  <c r="E9" i="1"/>
  <c r="E33" i="1"/>
  <c r="E57" i="1"/>
  <c r="E81" i="1"/>
  <c r="E105" i="1"/>
  <c r="E129" i="1"/>
  <c r="E153" i="1"/>
  <c r="K10" i="1"/>
  <c r="K18" i="1"/>
  <c r="K42" i="1"/>
  <c r="K50" i="1"/>
  <c r="K58" i="1"/>
  <c r="K66" i="1"/>
  <c r="K74" i="1"/>
  <c r="K82" i="1"/>
  <c r="K90" i="1"/>
  <c r="K98" i="1"/>
  <c r="K106" i="1"/>
  <c r="E42" i="1"/>
  <c r="E66" i="1"/>
  <c r="E106" i="1"/>
  <c r="E146" i="1"/>
  <c r="K83" i="1"/>
  <c r="K135" i="1"/>
  <c r="E19" i="1"/>
  <c r="E67" i="1"/>
  <c r="K4" i="1"/>
  <c r="K36" i="1"/>
  <c r="K92" i="1"/>
  <c r="E10" i="1"/>
  <c r="E58" i="1"/>
  <c r="E98" i="1"/>
  <c r="E138" i="1"/>
  <c r="K19" i="1"/>
  <c r="K67" i="1"/>
  <c r="K114" i="1"/>
  <c r="E59" i="1"/>
  <c r="E107" i="1"/>
  <c r="E139" i="1"/>
  <c r="K20" i="1"/>
  <c r="K68" i="1"/>
  <c r="K136" i="1"/>
  <c r="E50" i="1"/>
  <c r="E82" i="1"/>
  <c r="E114" i="1"/>
  <c r="E162" i="1"/>
  <c r="K43" i="1"/>
  <c r="K75" i="1"/>
  <c r="K122" i="1"/>
  <c r="E35" i="1"/>
  <c r="E83" i="1"/>
  <c r="E115" i="1"/>
  <c r="E163" i="1"/>
  <c r="K28" i="1"/>
  <c r="K76" i="1"/>
  <c r="K142" i="1"/>
  <c r="E34" i="1"/>
  <c r="E90" i="1"/>
  <c r="E130" i="1"/>
  <c r="K11" i="1"/>
  <c r="K51" i="1"/>
  <c r="K99" i="1"/>
  <c r="K128" i="1"/>
  <c r="E3" i="1"/>
  <c r="E43" i="1"/>
  <c r="E99" i="1"/>
  <c r="E131" i="1"/>
  <c r="E155" i="1"/>
  <c r="K44" i="1"/>
  <c r="K100" i="1"/>
  <c r="E18" i="1"/>
  <c r="K35" i="1"/>
  <c r="K91" i="1"/>
  <c r="K141" i="1"/>
  <c r="E11" i="1"/>
  <c r="E75" i="1"/>
  <c r="K12" i="1"/>
  <c r="K60" i="1"/>
  <c r="K84" i="1"/>
  <c r="K129" i="1"/>
  <c r="E26" i="1"/>
  <c r="E74" i="1"/>
  <c r="E122" i="1"/>
  <c r="K3" i="1"/>
  <c r="K59" i="1"/>
  <c r="K107" i="1"/>
  <c r="K149" i="1"/>
  <c r="E51" i="1"/>
  <c r="E91" i="1"/>
  <c r="E123" i="1"/>
  <c r="K52" i="1"/>
  <c r="K108" i="1"/>
  <c r="K115" i="1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T57" i="3" s="1"/>
  <c r="S56" i="3"/>
  <c r="S55" i="3"/>
  <c r="S54" i="3"/>
  <c r="T54" i="3" s="1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T17" i="3" s="1"/>
  <c r="S16" i="3"/>
  <c r="S15" i="3"/>
  <c r="S14" i="3"/>
  <c r="S13" i="3"/>
  <c r="S12" i="3"/>
  <c r="S11" i="3"/>
  <c r="S10" i="3"/>
  <c r="S9" i="3"/>
  <c r="T9" i="3" s="1"/>
  <c r="S8" i="3"/>
  <c r="S7" i="3"/>
  <c r="S6" i="3"/>
  <c r="S5" i="3"/>
  <c r="S4" i="3"/>
  <c r="S3" i="3"/>
  <c r="T10" i="3" l="1"/>
  <c r="T56" i="3"/>
  <c r="T18" i="3"/>
  <c r="T35" i="3"/>
  <c r="T43" i="3"/>
  <c r="T51" i="3"/>
  <c r="T59" i="3"/>
  <c r="T67" i="3"/>
  <c r="T75" i="3"/>
  <c r="T83" i="3"/>
  <c r="T91" i="3"/>
  <c r="T99" i="3"/>
  <c r="T107" i="3"/>
  <c r="T80" i="3"/>
  <c r="T11" i="3"/>
  <c r="T53" i="3"/>
  <c r="T27" i="3"/>
  <c r="T19" i="3"/>
  <c r="T55" i="3"/>
  <c r="T12" i="3"/>
  <c r="T44" i="3"/>
  <c r="T52" i="3"/>
  <c r="T60" i="3"/>
  <c r="T68" i="3"/>
  <c r="T76" i="3"/>
  <c r="T84" i="3"/>
  <c r="T92" i="3"/>
  <c r="T100" i="3"/>
  <c r="T108" i="3"/>
  <c r="T36" i="3"/>
  <c r="T21" i="3"/>
  <c r="T37" i="3"/>
  <c r="T45" i="3"/>
  <c r="T61" i="3"/>
  <c r="T77" i="3"/>
  <c r="T85" i="3"/>
  <c r="T101" i="3"/>
  <c r="T109" i="3"/>
  <c r="T20" i="3"/>
  <c r="T5" i="3"/>
  <c r="T13" i="3"/>
  <c r="T29" i="3"/>
  <c r="T69" i="3"/>
  <c r="T93" i="3"/>
  <c r="T28" i="3"/>
  <c r="T15" i="3"/>
  <c r="T31" i="3"/>
  <c r="T63" i="3"/>
  <c r="T79" i="3"/>
  <c r="T87" i="3"/>
  <c r="T95" i="3"/>
  <c r="T103" i="3"/>
  <c r="T4" i="3"/>
  <c r="T7" i="3"/>
  <c r="T23" i="3"/>
  <c r="T39" i="3"/>
  <c r="T47" i="3"/>
  <c r="T71" i="3"/>
  <c r="T25" i="3"/>
  <c r="T33" i="3"/>
  <c r="T41" i="3"/>
  <c r="T49" i="3"/>
  <c r="T65" i="3"/>
  <c r="T73" i="3"/>
  <c r="T81" i="3"/>
  <c r="T89" i="3"/>
  <c r="T97" i="3"/>
  <c r="T105" i="3"/>
  <c r="T26" i="3"/>
  <c r="T34" i="3"/>
  <c r="T42" i="3"/>
  <c r="T50" i="3"/>
  <c r="T58" i="3"/>
  <c r="T66" i="3"/>
  <c r="T74" i="3"/>
  <c r="T82" i="3"/>
  <c r="T90" i="3"/>
  <c r="T98" i="3"/>
  <c r="T106" i="3"/>
  <c r="T6" i="3"/>
  <c r="T62" i="3"/>
  <c r="T70" i="3"/>
  <c r="T78" i="3"/>
  <c r="T86" i="3"/>
  <c r="T94" i="3"/>
  <c r="T102" i="3"/>
  <c r="T30" i="3"/>
  <c r="T32" i="3"/>
  <c r="T104" i="3"/>
  <c r="T14" i="3"/>
  <c r="T16" i="3"/>
  <c r="T48" i="3"/>
  <c r="T72" i="3"/>
  <c r="T3" i="3"/>
  <c r="T22" i="3"/>
  <c r="T8" i="3"/>
  <c r="T40" i="3"/>
  <c r="T96" i="3"/>
  <c r="T46" i="3"/>
  <c r="T88" i="3"/>
  <c r="T38" i="3"/>
  <c r="T24" i="3"/>
  <c r="T64" i="3"/>
  <c r="I8" i="3" l="1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11" i="3"/>
  <c r="I10" i="3"/>
  <c r="I9" i="3"/>
  <c r="I7" i="3"/>
  <c r="I6" i="3"/>
  <c r="I5" i="3"/>
  <c r="I4" i="3"/>
  <c r="I3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99" i="3"/>
  <c r="A98" i="3"/>
  <c r="A97" i="3"/>
  <c r="A96" i="3"/>
  <c r="A95" i="3"/>
  <c r="A94" i="3"/>
  <c r="A93" i="3"/>
  <c r="A92" i="3"/>
  <c r="A91" i="3"/>
  <c r="A90" i="3"/>
  <c r="A89" i="3"/>
  <c r="A88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21" i="3"/>
  <c r="A104" i="3"/>
  <c r="A109" i="3"/>
  <c r="A108" i="3"/>
  <c r="A107" i="3"/>
  <c r="A106" i="3"/>
  <c r="A105" i="3"/>
  <c r="A87" i="3"/>
  <c r="A86" i="3"/>
  <c r="A85" i="3"/>
  <c r="A84" i="3"/>
  <c r="A83" i="3"/>
  <c r="A82" i="3"/>
  <c r="A81" i="3"/>
  <c r="A80" i="3"/>
  <c r="A103" i="3"/>
  <c r="A102" i="3"/>
  <c r="A101" i="3"/>
  <c r="A100" i="3"/>
  <c r="A47" i="3"/>
  <c r="A46" i="3"/>
  <c r="A45" i="3"/>
  <c r="A44" i="3"/>
  <c r="A43" i="3"/>
  <c r="A42" i="3"/>
  <c r="A41" i="3"/>
  <c r="A40" i="3"/>
  <c r="A39" i="3"/>
  <c r="A38" i="3"/>
  <c r="A37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9" i="2"/>
  <c r="A8" i="2"/>
  <c r="A7" i="2"/>
  <c r="A6" i="2"/>
  <c r="A5" i="2"/>
  <c r="A4" i="2"/>
  <c r="A3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E82" i="3" l="1"/>
  <c r="AE58" i="3"/>
  <c r="AE18" i="3"/>
  <c r="AE90" i="3"/>
  <c r="AE34" i="3"/>
  <c r="AE98" i="3"/>
  <c r="AE66" i="3"/>
  <c r="AE26" i="3"/>
  <c r="AE114" i="3"/>
  <c r="AE42" i="3"/>
  <c r="AE106" i="3"/>
  <c r="AE74" i="3"/>
  <c r="AE10" i="3"/>
  <c r="AE122" i="3"/>
  <c r="AE50" i="3"/>
  <c r="AE2" i="3"/>
  <c r="AE11" i="3"/>
  <c r="AE75" i="3"/>
  <c r="AE12" i="3"/>
  <c r="AE76" i="3"/>
  <c r="AE29" i="3"/>
  <c r="AE22" i="3"/>
  <c r="AE86" i="3"/>
  <c r="AE21" i="3"/>
  <c r="AE7" i="3"/>
  <c r="AE71" i="3"/>
  <c r="AE24" i="3"/>
  <c r="AE72" i="3"/>
  <c r="AE17" i="3"/>
  <c r="AE81" i="3"/>
  <c r="AE44" i="3"/>
  <c r="AE40" i="3"/>
  <c r="AE109" i="3"/>
  <c r="AE48" i="3"/>
  <c r="AE19" i="3"/>
  <c r="AE83" i="3"/>
  <c r="AE20" i="3"/>
  <c r="AE84" i="3"/>
  <c r="AE45" i="3"/>
  <c r="AE30" i="3"/>
  <c r="AE94" i="3"/>
  <c r="AE37" i="3"/>
  <c r="AE15" i="3"/>
  <c r="AE79" i="3"/>
  <c r="AE8" i="3"/>
  <c r="AE80" i="3"/>
  <c r="AE25" i="3"/>
  <c r="AE89" i="3"/>
  <c r="AE107" i="3"/>
  <c r="AE104" i="3"/>
  <c r="AE62" i="3"/>
  <c r="AE112" i="3"/>
  <c r="AE27" i="3"/>
  <c r="AE91" i="3"/>
  <c r="AE28" i="3"/>
  <c r="AE92" i="3"/>
  <c r="AE61" i="3"/>
  <c r="AE38" i="3"/>
  <c r="AE102" i="3"/>
  <c r="AE53" i="3"/>
  <c r="AE23" i="3"/>
  <c r="AE87" i="3"/>
  <c r="AE16" i="3"/>
  <c r="AE88" i="3"/>
  <c r="AE33" i="3"/>
  <c r="AE97" i="3"/>
  <c r="AE43" i="3"/>
  <c r="AE103" i="3"/>
  <c r="AE115" i="3"/>
  <c r="AE101" i="3"/>
  <c r="AE57" i="3"/>
  <c r="AE35" i="3"/>
  <c r="AE99" i="3"/>
  <c r="AE36" i="3"/>
  <c r="AE100" i="3"/>
  <c r="AE77" i="3"/>
  <c r="AE46" i="3"/>
  <c r="AE110" i="3"/>
  <c r="AE69" i="3"/>
  <c r="AE31" i="3"/>
  <c r="AE95" i="3"/>
  <c r="AE32" i="3"/>
  <c r="AE96" i="3"/>
  <c r="AE41" i="3"/>
  <c r="AE105" i="3"/>
  <c r="AE93" i="3"/>
  <c r="AE39" i="3"/>
  <c r="AE51" i="3"/>
  <c r="AE47" i="3"/>
  <c r="AE59" i="3"/>
  <c r="AE123" i="3"/>
  <c r="AE60" i="3"/>
  <c r="AE124" i="3"/>
  <c r="AE6" i="3"/>
  <c r="AE70" i="3"/>
  <c r="AE3" i="3"/>
  <c r="AE117" i="3"/>
  <c r="AE55" i="3"/>
  <c r="AE119" i="3"/>
  <c r="AE56" i="3"/>
  <c r="AE120" i="3"/>
  <c r="AE65" i="3"/>
  <c r="AE54" i="3"/>
  <c r="AE85" i="3"/>
  <c r="AE113" i="3"/>
  <c r="AE116" i="3"/>
  <c r="AE111" i="3"/>
  <c r="AE67" i="3"/>
  <c r="AE4" i="3"/>
  <c r="AE68" i="3"/>
  <c r="AE13" i="3"/>
  <c r="AE14" i="3"/>
  <c r="AE78" i="3"/>
  <c r="AE5" i="3"/>
  <c r="AE125" i="3"/>
  <c r="AE63" i="3"/>
  <c r="AE127" i="3"/>
  <c r="AE64" i="3"/>
  <c r="AE9" i="3"/>
  <c r="AE73" i="3"/>
  <c r="AE108" i="3"/>
  <c r="AE118" i="3"/>
  <c r="AE49" i="3"/>
  <c r="AE52" i="3"/>
  <c r="AE126" i="3"/>
  <c r="AE121" i="3"/>
  <c r="E27" i="3"/>
  <c r="E22" i="3"/>
  <c r="E23" i="3"/>
  <c r="E24" i="3"/>
  <c r="E25" i="3"/>
  <c r="E12" i="3"/>
  <c r="E49" i="3"/>
  <c r="E97" i="3"/>
  <c r="E105" i="3"/>
  <c r="L3" i="3"/>
  <c r="E80" i="3"/>
  <c r="E73" i="3"/>
  <c r="E61" i="3"/>
  <c r="E28" i="3"/>
  <c r="E20" i="3"/>
  <c r="E57" i="3"/>
  <c r="E35" i="3"/>
  <c r="E44" i="3"/>
  <c r="E65" i="3"/>
  <c r="E89" i="3"/>
  <c r="L42" i="3"/>
  <c r="E81" i="3"/>
  <c r="L27" i="3"/>
  <c r="L43" i="3"/>
  <c r="L59" i="3"/>
  <c r="L11" i="3"/>
  <c r="L67" i="3"/>
  <c r="L75" i="3"/>
  <c r="E82" i="3"/>
  <c r="L12" i="3"/>
  <c r="L20" i="3"/>
  <c r="L28" i="3"/>
  <c r="L36" i="3"/>
  <c r="L44" i="3"/>
  <c r="L52" i="3"/>
  <c r="L60" i="3"/>
  <c r="L68" i="3"/>
  <c r="L76" i="3"/>
  <c r="L18" i="3"/>
  <c r="L66" i="3"/>
  <c r="E58" i="3"/>
  <c r="E98" i="3"/>
  <c r="L35" i="3"/>
  <c r="E7" i="3"/>
  <c r="E39" i="3"/>
  <c r="E47" i="3"/>
  <c r="E108" i="3"/>
  <c r="E52" i="3"/>
  <c r="E60" i="3"/>
  <c r="E68" i="3"/>
  <c r="E76" i="3"/>
  <c r="E92" i="3"/>
  <c r="L13" i="3"/>
  <c r="L21" i="3"/>
  <c r="L29" i="3"/>
  <c r="L37" i="3"/>
  <c r="L45" i="3"/>
  <c r="L53" i="3"/>
  <c r="L4" i="3"/>
  <c r="L61" i="3"/>
  <c r="L69" i="3"/>
  <c r="L77" i="3"/>
  <c r="L74" i="3"/>
  <c r="E50" i="3"/>
  <c r="E90" i="3"/>
  <c r="L19" i="3"/>
  <c r="E15" i="3"/>
  <c r="E8" i="3"/>
  <c r="E16" i="3"/>
  <c r="E40" i="3"/>
  <c r="E100" i="3"/>
  <c r="E84" i="3"/>
  <c r="E31" i="3"/>
  <c r="L14" i="3"/>
  <c r="L22" i="3"/>
  <c r="L30" i="3"/>
  <c r="L38" i="3"/>
  <c r="L46" i="3"/>
  <c r="L54" i="3"/>
  <c r="E34" i="3"/>
  <c r="L62" i="3"/>
  <c r="L70" i="3"/>
  <c r="L78" i="3"/>
  <c r="L26" i="3"/>
  <c r="L50" i="3"/>
  <c r="E74" i="3"/>
  <c r="E36" i="3"/>
  <c r="L51" i="3"/>
  <c r="E9" i="3"/>
  <c r="E17" i="3"/>
  <c r="E41" i="3"/>
  <c r="E104" i="3"/>
  <c r="E32" i="3"/>
  <c r="L15" i="3"/>
  <c r="L23" i="3"/>
  <c r="L31" i="3"/>
  <c r="L39" i="3"/>
  <c r="L47" i="3"/>
  <c r="L55" i="3"/>
  <c r="L6" i="3"/>
  <c r="L63" i="3"/>
  <c r="L71" i="3"/>
  <c r="E106" i="3"/>
  <c r="E10" i="3"/>
  <c r="E18" i="3"/>
  <c r="E102" i="3"/>
  <c r="E86" i="3"/>
  <c r="E21" i="3"/>
  <c r="E55" i="3"/>
  <c r="E63" i="3"/>
  <c r="E71" i="3"/>
  <c r="E79" i="3"/>
  <c r="E95" i="3"/>
  <c r="E33" i="3"/>
  <c r="L16" i="3"/>
  <c r="L24" i="3"/>
  <c r="L32" i="3"/>
  <c r="L40" i="3"/>
  <c r="L48" i="3"/>
  <c r="L56" i="3"/>
  <c r="L7" i="3"/>
  <c r="L64" i="3"/>
  <c r="L72" i="3"/>
  <c r="L34" i="3"/>
  <c r="L58" i="3"/>
  <c r="E66" i="3"/>
  <c r="E42" i="3"/>
  <c r="E103" i="3"/>
  <c r="E87" i="3"/>
  <c r="E48" i="3"/>
  <c r="E56" i="3"/>
  <c r="E64" i="3"/>
  <c r="E72" i="3"/>
  <c r="E88" i="3"/>
  <c r="E96" i="3"/>
  <c r="L17" i="3"/>
  <c r="L25" i="3"/>
  <c r="L33" i="3"/>
  <c r="L41" i="3"/>
  <c r="L49" i="3"/>
  <c r="L57" i="3"/>
  <c r="L9" i="3"/>
  <c r="L65" i="3"/>
  <c r="L73" i="3"/>
  <c r="E3" i="3"/>
  <c r="E11" i="3"/>
  <c r="E19" i="3"/>
  <c r="E43" i="3"/>
  <c r="E51" i="3"/>
  <c r="E59" i="3"/>
  <c r="E67" i="3"/>
  <c r="E75" i="3"/>
  <c r="E83" i="3"/>
  <c r="E91" i="3"/>
  <c r="E99" i="3"/>
  <c r="E107" i="3"/>
  <c r="L8" i="3"/>
  <c r="E4" i="3"/>
  <c r="E13" i="3"/>
  <c r="E53" i="3"/>
  <c r="E109" i="3"/>
  <c r="E6" i="3"/>
  <c r="E38" i="3"/>
  <c r="E78" i="3"/>
  <c r="E45" i="3"/>
  <c r="E77" i="3"/>
  <c r="E101" i="3"/>
  <c r="E62" i="3"/>
  <c r="L5" i="3"/>
  <c r="E29" i="3"/>
  <c r="E69" i="3"/>
  <c r="E85" i="3"/>
  <c r="L10" i="3"/>
  <c r="E14" i="3"/>
  <c r="E46" i="3"/>
  <c r="E94" i="3"/>
  <c r="E5" i="3"/>
  <c r="E37" i="3"/>
  <c r="E93" i="3"/>
  <c r="E30" i="3"/>
  <c r="E54" i="3"/>
  <c r="E70" i="3"/>
  <c r="E26" i="3"/>
  <c r="M234" i="2"/>
  <c r="D4" i="2"/>
  <c r="D5" i="2"/>
  <c r="D171" i="2"/>
  <c r="D64" i="2"/>
  <c r="D72" i="2"/>
  <c r="D80" i="2"/>
  <c r="D132" i="2"/>
  <c r="D140" i="2"/>
  <c r="D148" i="2"/>
  <c r="D156" i="2"/>
  <c r="D89" i="2"/>
  <c r="D97" i="2"/>
  <c r="D105" i="2"/>
  <c r="D46" i="2"/>
  <c r="D54" i="2"/>
  <c r="D29" i="2"/>
  <c r="D37" i="2"/>
  <c r="D112" i="2"/>
  <c r="D120" i="2"/>
  <c r="D128" i="2"/>
  <c r="D16" i="2"/>
  <c r="D24" i="2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49" i="2"/>
  <c r="M157" i="2"/>
  <c r="M165" i="2"/>
  <c r="M173" i="2"/>
  <c r="M181" i="2"/>
  <c r="M189" i="2"/>
  <c r="M197" i="2"/>
  <c r="M205" i="2"/>
  <c r="M213" i="2"/>
  <c r="D208" i="2"/>
  <c r="D209" i="2"/>
  <c r="D164" i="2"/>
  <c r="D172" i="2"/>
  <c r="D65" i="2"/>
  <c r="D73" i="2"/>
  <c r="D81" i="2"/>
  <c r="D133" i="2"/>
  <c r="D141" i="2"/>
  <c r="D149" i="2"/>
  <c r="D157" i="2"/>
  <c r="D6" i="2"/>
  <c r="D90" i="2"/>
  <c r="D98" i="2"/>
  <c r="D106" i="2"/>
  <c r="D47" i="2"/>
  <c r="D55" i="2"/>
  <c r="D30" i="2"/>
  <c r="D38" i="2"/>
  <c r="D113" i="2"/>
  <c r="D121" i="2"/>
  <c r="D129" i="2"/>
  <c r="D17" i="2"/>
  <c r="D25" i="2"/>
  <c r="M7" i="2"/>
  <c r="M15" i="2"/>
  <c r="M23" i="2"/>
  <c r="M31" i="2"/>
  <c r="M39" i="2"/>
  <c r="M47" i="2"/>
  <c r="M55" i="2"/>
  <c r="M63" i="2"/>
  <c r="M71" i="2"/>
  <c r="M79" i="2"/>
  <c r="M87" i="2"/>
  <c r="M95" i="2"/>
  <c r="M103" i="2"/>
  <c r="M111" i="2"/>
  <c r="M119" i="2"/>
  <c r="M127" i="2"/>
  <c r="M135" i="2"/>
  <c r="M143" i="2"/>
  <c r="M150" i="2"/>
  <c r="M158" i="2"/>
  <c r="M166" i="2"/>
  <c r="M174" i="2"/>
  <c r="M182" i="2"/>
  <c r="M190" i="2"/>
  <c r="M198" i="2"/>
  <c r="M206" i="2"/>
  <c r="D186" i="2"/>
  <c r="D194" i="2"/>
  <c r="D202" i="2"/>
  <c r="D210" i="2"/>
  <c r="D165" i="2"/>
  <c r="D173" i="2"/>
  <c r="D66" i="2"/>
  <c r="D74" i="2"/>
  <c r="D82" i="2"/>
  <c r="D134" i="2"/>
  <c r="D142" i="2"/>
  <c r="D150" i="2"/>
  <c r="D158" i="2"/>
  <c r="D7" i="2"/>
  <c r="D91" i="2"/>
  <c r="D99" i="2"/>
  <c r="D107" i="2"/>
  <c r="D48" i="2"/>
  <c r="D56" i="2"/>
  <c r="D31" i="2"/>
  <c r="D39" i="2"/>
  <c r="D114" i="2"/>
  <c r="D122" i="2"/>
  <c r="D10" i="2"/>
  <c r="D18" i="2"/>
  <c r="D26" i="2"/>
  <c r="M8" i="2"/>
  <c r="M16" i="2"/>
  <c r="M24" i="2"/>
  <c r="M32" i="2"/>
  <c r="M40" i="2"/>
  <c r="M48" i="2"/>
  <c r="M56" i="2"/>
  <c r="M64" i="2"/>
  <c r="M72" i="2"/>
  <c r="M80" i="2"/>
  <c r="M88" i="2"/>
  <c r="M96" i="2"/>
  <c r="M104" i="2"/>
  <c r="M112" i="2"/>
  <c r="M120" i="2"/>
  <c r="M128" i="2"/>
  <c r="M136" i="2"/>
  <c r="M144" i="2"/>
  <c r="M151" i="2"/>
  <c r="M159" i="2"/>
  <c r="M167" i="2"/>
  <c r="M175" i="2"/>
  <c r="M183" i="2"/>
  <c r="M191" i="2"/>
  <c r="M199" i="2"/>
  <c r="M207" i="2"/>
  <c r="D184" i="2"/>
  <c r="D185" i="2"/>
  <c r="D187" i="2"/>
  <c r="D166" i="2"/>
  <c r="D174" i="2"/>
  <c r="D67" i="2"/>
  <c r="D75" i="2"/>
  <c r="D83" i="2"/>
  <c r="D135" i="2"/>
  <c r="D143" i="2"/>
  <c r="D151" i="2"/>
  <c r="D159" i="2"/>
  <c r="D8" i="2"/>
  <c r="D92" i="2"/>
  <c r="D100" i="2"/>
  <c r="D108" i="2"/>
  <c r="D49" i="2"/>
  <c r="D57" i="2"/>
  <c r="D32" i="2"/>
  <c r="D40" i="2"/>
  <c r="D115" i="2"/>
  <c r="D123" i="2"/>
  <c r="D11" i="2"/>
  <c r="D19" i="2"/>
  <c r="D27" i="2"/>
  <c r="D119" i="2"/>
  <c r="M17" i="2"/>
  <c r="M25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7" i="2"/>
  <c r="M145" i="2"/>
  <c r="M152" i="2"/>
  <c r="M160" i="2"/>
  <c r="M168" i="2"/>
  <c r="M176" i="2"/>
  <c r="M184" i="2"/>
  <c r="M192" i="2"/>
  <c r="M200" i="2"/>
  <c r="M208" i="2"/>
  <c r="D192" i="2"/>
  <c r="D193" i="2"/>
  <c r="M188" i="2"/>
  <c r="D211" i="2"/>
  <c r="D204" i="2"/>
  <c r="D175" i="2"/>
  <c r="D84" i="2"/>
  <c r="D144" i="2"/>
  <c r="D152" i="2"/>
  <c r="D160" i="2"/>
  <c r="D9" i="2"/>
  <c r="D93" i="2"/>
  <c r="D101" i="2"/>
  <c r="D109" i="2"/>
  <c r="D50" i="2"/>
  <c r="D58" i="2"/>
  <c r="D33" i="2"/>
  <c r="D41" i="2"/>
  <c r="D116" i="2"/>
  <c r="D124" i="2"/>
  <c r="D12" i="2"/>
  <c r="D20" i="2"/>
  <c r="D28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130" i="2"/>
  <c r="M138" i="2"/>
  <c r="M146" i="2"/>
  <c r="M153" i="2"/>
  <c r="M161" i="2"/>
  <c r="M169" i="2"/>
  <c r="M177" i="2"/>
  <c r="M185" i="2"/>
  <c r="M193" i="2"/>
  <c r="M201" i="2"/>
  <c r="M209" i="2"/>
  <c r="D200" i="2"/>
  <c r="D201" i="2"/>
  <c r="D195" i="2"/>
  <c r="D188" i="2"/>
  <c r="D212" i="2"/>
  <c r="D68" i="2"/>
  <c r="D136" i="2"/>
  <c r="D189" i="2"/>
  <c r="D205" i="2"/>
  <c r="D168" i="2"/>
  <c r="D176" i="2"/>
  <c r="D77" i="2"/>
  <c r="D137" i="2"/>
  <c r="D153" i="2"/>
  <c r="D86" i="2"/>
  <c r="D102" i="2"/>
  <c r="D51" i="2"/>
  <c r="D34" i="2"/>
  <c r="D117" i="2"/>
  <c r="D125" i="2"/>
  <c r="D21" i="2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9" i="2"/>
  <c r="M154" i="2"/>
  <c r="M162" i="2"/>
  <c r="M170" i="2"/>
  <c r="M178" i="2"/>
  <c r="M186" i="2"/>
  <c r="M194" i="2"/>
  <c r="M202" i="2"/>
  <c r="M210" i="2"/>
  <c r="D163" i="2"/>
  <c r="D178" i="2"/>
  <c r="D203" i="2"/>
  <c r="D180" i="2"/>
  <c r="D196" i="2"/>
  <c r="D167" i="2"/>
  <c r="D76" i="2"/>
  <c r="D181" i="2"/>
  <c r="D197" i="2"/>
  <c r="D213" i="2"/>
  <c r="D69" i="2"/>
  <c r="D85" i="2"/>
  <c r="D145" i="2"/>
  <c r="D161" i="2"/>
  <c r="D94" i="2"/>
  <c r="D110" i="2"/>
  <c r="D59" i="2"/>
  <c r="D42" i="2"/>
  <c r="D13" i="2"/>
  <c r="D206" i="2"/>
  <c r="D78" i="2"/>
  <c r="D103" i="2"/>
  <c r="D14" i="2"/>
  <c r="M28" i="2"/>
  <c r="M84" i="2"/>
  <c r="M124" i="2"/>
  <c r="M171" i="2"/>
  <c r="M211" i="2"/>
  <c r="D199" i="2"/>
  <c r="D71" i="2"/>
  <c r="D155" i="2"/>
  <c r="D53" i="2"/>
  <c r="D15" i="2"/>
  <c r="M37" i="2"/>
  <c r="M93" i="2"/>
  <c r="M141" i="2"/>
  <c r="M180" i="2"/>
  <c r="M228" i="2"/>
  <c r="M221" i="2"/>
  <c r="M229" i="2"/>
  <c r="D214" i="2"/>
  <c r="D130" i="2"/>
  <c r="D95" i="2"/>
  <c r="D126" i="2"/>
  <c r="M36" i="2"/>
  <c r="M76" i="2"/>
  <c r="M132" i="2"/>
  <c r="M179" i="2"/>
  <c r="M203" i="2"/>
  <c r="D170" i="2"/>
  <c r="D139" i="2"/>
  <c r="D88" i="2"/>
  <c r="D44" i="2"/>
  <c r="M21" i="2"/>
  <c r="M85" i="2"/>
  <c r="M133" i="2"/>
  <c r="M172" i="2"/>
  <c r="M212" i="2"/>
  <c r="D177" i="2"/>
  <c r="M214" i="2"/>
  <c r="M222" i="2"/>
  <c r="M230" i="2"/>
  <c r="D62" i="2"/>
  <c r="D146" i="2"/>
  <c r="D111" i="2"/>
  <c r="D118" i="2"/>
  <c r="M20" i="2"/>
  <c r="M68" i="2"/>
  <c r="M108" i="2"/>
  <c r="M140" i="2"/>
  <c r="M187" i="2"/>
  <c r="D191" i="2"/>
  <c r="D63" i="2"/>
  <c r="D147" i="2"/>
  <c r="D61" i="2"/>
  <c r="D23" i="2"/>
  <c r="M53" i="2"/>
  <c r="M101" i="2"/>
  <c r="M148" i="2"/>
  <c r="M164" i="2"/>
  <c r="M204" i="2"/>
  <c r="M215" i="2"/>
  <c r="M223" i="2"/>
  <c r="M231" i="2"/>
  <c r="D182" i="2"/>
  <c r="D169" i="2"/>
  <c r="D154" i="2"/>
  <c r="D52" i="2"/>
  <c r="D43" i="2"/>
  <c r="M4" i="2"/>
  <c r="M60" i="2"/>
  <c r="M116" i="2"/>
  <c r="M147" i="2"/>
  <c r="M195" i="2"/>
  <c r="D183" i="2"/>
  <c r="D45" i="2"/>
  <c r="D36" i="2"/>
  <c r="M5" i="2"/>
  <c r="M45" i="2"/>
  <c r="M77" i="2"/>
  <c r="M109" i="2"/>
  <c r="M156" i="2"/>
  <c r="M220" i="2"/>
  <c r="D179" i="2"/>
  <c r="M9" i="2"/>
  <c r="M216" i="2"/>
  <c r="M224" i="2"/>
  <c r="M232" i="2"/>
  <c r="D190" i="2"/>
  <c r="D70" i="2"/>
  <c r="D3" i="2"/>
  <c r="D60" i="2"/>
  <c r="D22" i="2"/>
  <c r="M44" i="2"/>
  <c r="M100" i="2"/>
  <c r="M155" i="2"/>
  <c r="M227" i="2"/>
  <c r="D207" i="2"/>
  <c r="D79" i="2"/>
  <c r="D104" i="2"/>
  <c r="D127" i="2"/>
  <c r="M29" i="2"/>
  <c r="M69" i="2"/>
  <c r="M125" i="2"/>
  <c r="M196" i="2"/>
  <c r="M217" i="2"/>
  <c r="M225" i="2"/>
  <c r="M233" i="2"/>
  <c r="D198" i="2"/>
  <c r="D138" i="2"/>
  <c r="D87" i="2"/>
  <c r="D35" i="2"/>
  <c r="M12" i="2"/>
  <c r="M52" i="2"/>
  <c r="M92" i="2"/>
  <c r="M163" i="2"/>
  <c r="M219" i="2"/>
  <c r="D162" i="2"/>
  <c r="D131" i="2"/>
  <c r="D96" i="2"/>
  <c r="M13" i="2"/>
  <c r="M61" i="2"/>
  <c r="M117" i="2"/>
  <c r="M218" i="2"/>
  <c r="M2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82B838-B823-4F84-AF8C-3CC0DFAE77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5A5CC0A-23E6-4B43-8ADF-3ACEBD791153}" name="WorksheetConnection_Bens imoveis!$I$2:$J$15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BensimoveisI2J1551"/>
        </x15:connection>
      </ext>
    </extLst>
  </connection>
  <connection id="3" xr16:uid="{485360DF-1EA5-417E-91BB-4B20EE572D59}" name="WorksheetConnection_Modelo Verde!$J$2:$N$23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odeloVerdeJ2N2341"/>
        </x15:connection>
      </ext>
    </extLst>
  </connection>
</connections>
</file>

<file path=xl/sharedStrings.xml><?xml version="1.0" encoding="utf-8"?>
<sst xmlns="http://schemas.openxmlformats.org/spreadsheetml/2006/main" count="4575" uniqueCount="774">
  <si>
    <t>TABELA/FICHEIRO</t>
  </si>
  <si>
    <t>NOME COLUNA</t>
  </si>
  <si>
    <t>cd_imv_out_prc</t>
  </si>
  <si>
    <t>cd_imv_out_trz_prc_bens_imv</t>
  </si>
  <si>
    <t>cd_imv_out_bens</t>
  </si>
  <si>
    <t>cd_imv_out_trz_cred_prc</t>
  </si>
  <si>
    <t>cd_imv_inp_certif_estimativa</t>
  </si>
  <si>
    <t>cd_imv_out_certif</t>
  </si>
  <si>
    <t>cempresa</t>
  </si>
  <si>
    <t>ckbalcao</t>
  </si>
  <si>
    <t>cknumcta</t>
  </si>
  <si>
    <t>cod_grt</t>
  </si>
  <si>
    <t>cod_moeda</t>
  </si>
  <si>
    <t>cod_observacao</t>
  </si>
  <si>
    <t>cod_prd_grnt</t>
  </si>
  <si>
    <t>cod_sprd_grnt</t>
  </si>
  <si>
    <t>cod_tipo</t>
  </si>
  <si>
    <t>comp_id_gar</t>
  </si>
  <si>
    <t>data_inicio</t>
  </si>
  <si>
    <t>data_vcmt</t>
  </si>
  <si>
    <t>origem</t>
  </si>
  <si>
    <t>ref_date</t>
  </si>
  <si>
    <t>TABELA</t>
  </si>
  <si>
    <t>modesg_out_sfcs_taxon_europeia</t>
  </si>
  <si>
    <t>cbalcao</t>
  </si>
  <si>
    <t>cnumecta</t>
  </si>
  <si>
    <t>zdeposit</t>
  </si>
  <si>
    <t>cod_regra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</si>
  <si>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</si>
  <si>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</si>
  <si>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</si>
  <si>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</si>
  <si>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</si>
  <si>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</si>
  <si>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modesg_param_sfcs_taxon_europeia</t>
  </si>
  <si>
    <t>dominio</t>
  </si>
  <si>
    <t>dscrc</t>
  </si>
  <si>
    <t>comite</t>
  </si>
  <si>
    <t>data_aprvc</t>
  </si>
  <si>
    <t>data_inicial</t>
  </si>
  <si>
    <t>data_final</t>
  </si>
  <si>
    <t>zcliente</t>
  </si>
  <si>
    <t>ckmetamis</t>
  </si>
  <si>
    <t>ckprodmi</t>
  </si>
  <si>
    <t>cmetanseg</t>
  </si>
  <si>
    <t>epc</t>
  </si>
  <si>
    <t>cod_lease</t>
  </si>
  <si>
    <t>cnsm_co2</t>
  </si>
  <si>
    <t>modesg_out_emss_vcls</t>
  </si>
  <si>
    <t>cempbem</t>
  </si>
  <si>
    <t>ckbalbem</t>
  </si>
  <si>
    <t>ckctabem</t>
  </si>
  <si>
    <t>ckrefbem</t>
  </si>
  <si>
    <t>scp1_emss</t>
  </si>
  <si>
    <t>scp2_emss</t>
  </si>
  <si>
    <t>scp3_emss</t>
  </si>
  <si>
    <t>unidade_funcional_scp1_emss</t>
  </si>
  <si>
    <t>unidade_funcional_scp2_emss</t>
  </si>
  <si>
    <t>unidade_funcional_scp3_emss</t>
  </si>
  <si>
    <t>origem_scp1_emss</t>
  </si>
  <si>
    <t>origem_scp2_emss</t>
  </si>
  <si>
    <t>origem_scp3_emss</t>
  </si>
  <si>
    <t>modesg_inp_emss_vcls</t>
  </si>
  <si>
    <t>nome_pais</t>
  </si>
  <si>
    <t>nome_regiao</t>
  </si>
  <si>
    <t>nome_estado</t>
  </si>
  <si>
    <t>tipo_veiculo</t>
  </si>
  <si>
    <t>tipo_motor</t>
  </si>
  <si>
    <t>modelo</t>
  </si>
  <si>
    <t>marca</t>
  </si>
  <si>
    <t>nome_unidade_funcional</t>
  </si>
  <si>
    <t>unidade_funcional</t>
  </si>
  <si>
    <t>nome_fator_emissao</t>
  </si>
  <si>
    <t>scp1_ftr_emss</t>
  </si>
  <si>
    <t>scp2_ftr_emss</t>
  </si>
  <si>
    <t>scp3_ftr_emss</t>
  </si>
  <si>
    <t>score_qualidade</t>
  </si>
  <si>
    <t>modesg_inp_km_medios_emss_vcls</t>
  </si>
  <si>
    <t>cod_pais</t>
  </si>
  <si>
    <t>tipo_vcl</t>
  </si>
  <si>
    <t>media_km</t>
  </si>
  <si>
    <t>media_scp1_emss</t>
  </si>
  <si>
    <t>media_scp2_emss</t>
  </si>
  <si>
    <t>media_scp3_emss</t>
  </si>
  <si>
    <t>modesg_out_empr_info_nfin</t>
  </si>
  <si>
    <t>flg_nfrd</t>
  </si>
  <si>
    <t>origem_flg_nfrd</t>
  </si>
  <si>
    <t>flg_emprs_excl_paris</t>
  </si>
  <si>
    <t>origem_flg_emprs_excl_paris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</si>
  <si>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</si>
  <si>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</si>
  <si>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</si>
  <si>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</si>
  <si>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</si>
  <si>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</si>
  <si>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</si>
  <si>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</si>
  <si>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</si>
  <si>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</si>
  <si>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</si>
  <si>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</si>
  <si>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</si>
  <si>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</si>
  <si>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origem_alinhamentos</t>
  </si>
  <si>
    <t>flg_rsc_fsc_agd</t>
  </si>
  <si>
    <t>flg_rsc_fsc_crnc</t>
  </si>
  <si>
    <t>origem_flg_rsc_fsc_agd</t>
  </si>
  <si>
    <t>origem_flg_rsc_fsc_crnc</t>
  </si>
  <si>
    <t>cod_nace_esg</t>
  </si>
  <si>
    <t>modesg_inp_empr_excl_paris</t>
  </si>
  <si>
    <t>isin</t>
  </si>
  <si>
    <t>clei</t>
  </si>
  <si>
    <t>nome_entidade</t>
  </si>
  <si>
    <t>flg_scib</t>
  </si>
  <si>
    <t>modesg_inp_nfrd_alinhamento_tax</t>
  </si>
  <si>
    <t>perm_id</t>
  </si>
  <si>
    <t>modesg_inp_risco_fisico</t>
  </si>
  <si>
    <t>cod_nutiii</t>
  </si>
  <si>
    <t>modesg_inp_emss_scib</t>
  </si>
  <si>
    <t>nome_grupo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</si>
  <si>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</si>
  <si>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</si>
  <si>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</si>
  <si>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</si>
  <si>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</si>
  <si>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</si>
  <si>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</si>
  <si>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divida_total</t>
  </si>
  <si>
    <t>capital_proprio</t>
  </si>
  <si>
    <t>modesg_inp_emss_nace</t>
  </si>
  <si>
    <t>cod_class_indust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</si>
  <si>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</si>
  <si>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</si>
  <si>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</si>
  <si>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</si>
  <si>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</si>
  <si>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</si>
  <si>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modesg_out_bens_imoveis</t>
  </si>
  <si>
    <t>modesg_inp_emss_bens_imoveis</t>
  </si>
  <si>
    <t>asset_class</t>
  </si>
  <si>
    <t>tipo_bem</t>
  </si>
  <si>
    <t>tipo_finalidade_bem</t>
  </si>
  <si>
    <t>flg_ftr_emss_area</t>
  </si>
  <si>
    <t>scp_ftr_emss_ano1</t>
  </si>
  <si>
    <t>ckutulmo</t>
  </si>
  <si>
    <t>htimest</t>
  </si>
  <si>
    <t>cod_visao</t>
  </si>
  <si>
    <t>Modelo Verde - Input</t>
  </si>
  <si>
    <t>ccli_kgl</t>
  </si>
  <si>
    <t>ano</t>
  </si>
  <si>
    <t>unidade_fator_emissao</t>
  </si>
  <si>
    <t>unidade_fator_de_emissao</t>
  </si>
  <si>
    <t>data_level_5</t>
  </si>
  <si>
    <t>bio_capex_own_prfrmnce_algnd</t>
  </si>
  <si>
    <t>bio_capex_ttl_elgbl</t>
  </si>
  <si>
    <t>bio_trnvr_ttl_elgbl</t>
  </si>
  <si>
    <t>bio_turnover_own_prfrmnce_algnd</t>
  </si>
  <si>
    <t>ce_capex_enblng_algnd</t>
  </si>
  <si>
    <t>ce_capex_own_prfrmnce_algnd</t>
  </si>
  <si>
    <t>ce_capex_ttl_elgbl</t>
  </si>
  <si>
    <t>ce_trnvr_enblng_alignd</t>
  </si>
  <si>
    <t>ce_trnvr_ttl_elgbl</t>
  </si>
  <si>
    <t>ce_turnover_own_prfrmnce_algnd</t>
  </si>
  <si>
    <t>ppc_capex_own_prfrmnce_algnd</t>
  </si>
  <si>
    <t>ppc_capex_ttl_elgbl</t>
  </si>
  <si>
    <t>ppc_trnvr_ttl_elgbl</t>
  </si>
  <si>
    <t>ppc_turnover_own_prfrmnce_algnd</t>
  </si>
  <si>
    <t>wtr_capex_enblng_algnd</t>
  </si>
  <si>
    <t>wtr_capex_own_prfrmnce_algnd</t>
  </si>
  <si>
    <t>wtr_capex_ttl_elgbl</t>
  </si>
  <si>
    <t>wtr_trnvr_enblng_alignd</t>
  </si>
  <si>
    <t>wtr_trnvr_ttl_elgbl</t>
  </si>
  <si>
    <t>wtr_turnover_own_prfrmnce_algnd</t>
  </si>
  <si>
    <t>cfinalidad</t>
  </si>
  <si>
    <t>flag_project_finance</t>
  </si>
  <si>
    <t>tipo_combust</t>
  </si>
  <si>
    <t>Modelo Verde - Output</t>
  </si>
  <si>
    <t>ordem</t>
  </si>
  <si>
    <t>Sub-âmbito</t>
  </si>
  <si>
    <t>Tabela</t>
  </si>
  <si>
    <t>Campo</t>
  </si>
  <si>
    <t>Equipa de testes_VAL</t>
  </si>
  <si>
    <t>Equipa IT_Val</t>
  </si>
  <si>
    <t>Novo</t>
  </si>
  <si>
    <t>Campos tecnicos</t>
  </si>
  <si>
    <t>emission factor type</t>
  </si>
  <si>
    <t>Campo eliminado</t>
  </si>
  <si>
    <t>classification_Level_1</t>
  </si>
  <si>
    <t>methodology_option</t>
  </si>
  <si>
    <t>Justificação</t>
  </si>
  <si>
    <t>Row Labels</t>
  </si>
  <si>
    <t>Grand Total</t>
  </si>
  <si>
    <t>Count of Campo</t>
  </si>
  <si>
    <t>Ok</t>
  </si>
  <si>
    <t>Table</t>
  </si>
  <si>
    <t>Data field</t>
  </si>
  <si>
    <t>INSTRUMENT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</si>
  <si>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</si>
  <si>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</si>
  <si>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</si>
  <si>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</si>
  <si>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</si>
  <si>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</si>
  <si>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</si>
  <si>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</si>
  <si>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</si>
  <si>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</si>
  <si>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</si>
  <si>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</si>
  <si>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</si>
  <si>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</si>
  <si>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</si>
  <si>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</si>
  <si>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</si>
  <si>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</si>
  <si>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ENTITY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</si>
  <si>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</si>
  <si>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</si>
  <si>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</si>
  <si>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</si>
  <si>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</si>
  <si>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</si>
  <si>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</si>
  <si>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</si>
  <si>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</si>
  <si>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INSTR_ENTITY</t>
  </si>
  <si>
    <t>PROTECTION</t>
  </si>
  <si>
    <t>PRTCTN_ID</t>
  </si>
  <si>
    <t>RL_ESTT_CLLTRL_LCTN</t>
  </si>
  <si>
    <t>RL_ESTT_PST_CD</t>
  </si>
  <si>
    <t>TYP_PRTCTN</t>
  </si>
  <si>
    <t>ORGNL_PRTCTN_VL</t>
  </si>
  <si>
    <t>PRTCTN_VL</t>
  </si>
  <si>
    <t>INSTR_PROTECTION</t>
  </si>
  <si>
    <t>PRTCTN_ALLCTD_VL</t>
  </si>
  <si>
    <t>MN_ENTTY_ID</t>
  </si>
  <si>
    <t>LCL_INSTMRNT_ID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</si>
  <si>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</si>
  <si>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</si>
  <si>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</si>
  <si>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</si>
  <si>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</si>
  <si>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</si>
  <si>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</si>
  <si>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</si>
  <si>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</si>
  <si>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</si>
  <si>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</si>
  <si>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</si>
  <si>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</si>
  <si>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</si>
  <si>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</si>
  <si>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</si>
  <si>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</si>
  <si>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</si>
  <si>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</si>
  <si>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</si>
  <si>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</si>
  <si>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</si>
  <si>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</si>
  <si>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</si>
  <si>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</si>
  <si>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</si>
  <si>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</si>
  <si>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</si>
  <si>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</si>
  <si>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</si>
  <si>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</si>
  <si>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</si>
  <si>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</si>
  <si>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</si>
  <si>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</si>
  <si>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</si>
  <si>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</si>
  <si>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</si>
  <si>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</si>
  <si>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</si>
  <si>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</si>
  <si>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</si>
  <si>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</si>
  <si>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</si>
  <si>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</si>
  <si>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</si>
  <si>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</si>
  <si>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</si>
  <si>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</si>
  <si>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</si>
  <si>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</si>
  <si>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SSTNBL_INDCTR</t>
  </si>
  <si>
    <t>SSTNBL_CTGRY</t>
  </si>
  <si>
    <t>GRSS_INTRST_INCM</t>
  </si>
  <si>
    <t>GRSS_CMMSSN_INCM</t>
  </si>
  <si>
    <t>GRSS_CMMSSN_INCM_OFF_BLNC</t>
  </si>
  <si>
    <t>IDCMB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</si>
  <si>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</si>
  <si>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</si>
  <si>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</si>
  <si>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</si>
  <si>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</si>
  <si>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</si>
  <si>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</si>
  <si>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</si>
  <si>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</si>
  <si>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</si>
  <si>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</si>
  <si>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</si>
  <si>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</si>
  <si>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</si>
  <si>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</si>
  <si>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</si>
  <si>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</si>
  <si>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</si>
  <si>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</si>
  <si>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</si>
  <si>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</si>
  <si>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</si>
  <si>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</si>
  <si>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</si>
  <si>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</si>
  <si>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</si>
  <si>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</si>
  <si>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</si>
  <si>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</si>
  <si>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</si>
  <si>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</si>
  <si>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</si>
  <si>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</si>
  <si>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</si>
  <si>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</si>
  <si>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</si>
  <si>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</si>
  <si>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</si>
  <si>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</si>
  <si>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</si>
  <si>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</si>
  <si>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</si>
  <si>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</si>
  <si>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flg_fin</t>
  </si>
  <si>
    <t>flg_exec</t>
  </si>
  <si>
    <t>flg_col</t>
  </si>
  <si>
    <t>flg_pro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</si>
  <si>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</si>
  <si>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</si>
  <si>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</si>
  <si>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</si>
  <si>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</si>
  <si>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</si>
  <si>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</si>
  <si>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</si>
  <si>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</si>
  <si>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</si>
  <si>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</si>
  <si>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</si>
  <si>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</si>
  <si>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</si>
  <si>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</si>
  <si>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</si>
  <si>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</si>
  <si>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</si>
  <si>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</si>
  <si>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lt005_instr_ent</t>
  </si>
  <si>
    <t>lt006_instr_prot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</si>
  <si>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</si>
  <si>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</si>
  <si>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</si>
  <si>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</si>
  <si>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</si>
  <si>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</si>
  <si>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</si>
  <si>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</si>
  <si>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</si>
  <si>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</si>
  <si>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</si>
  <si>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</si>
  <si>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</si>
  <si>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</si>
  <si>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</si>
  <si>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</si>
  <si>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</si>
  <si>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</si>
  <si>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</si>
  <si>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</si>
  <si>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</si>
  <si>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</si>
  <si>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</si>
  <si>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</si>
  <si>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</si>
  <si>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</si>
  <si>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</si>
  <si>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</si>
  <si>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</si>
  <si>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</si>
  <si>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</si>
  <si>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</si>
  <si>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</si>
  <si>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</si>
  <si>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</si>
  <si>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</si>
  <si>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</si>
  <si>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</si>
  <si>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</si>
  <si>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</si>
  <si>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mn_entty_id</t>
  </si>
  <si>
    <t>prtctn_allctd_vl</t>
  </si>
  <si>
    <t>LT_ESTR</t>
  </si>
  <si>
    <t>GD</t>
  </si>
  <si>
    <t>Structural 
ECB Loan Tape</t>
  </si>
  <si>
    <t>Y</t>
  </si>
  <si>
    <t>N</t>
  </si>
  <si>
    <t>Green 
Dashboard</t>
  </si>
  <si>
    <t>pilar 3</t>
  </si>
  <si>
    <t>BEMIMO_OUT_PRC</t>
  </si>
  <si>
    <t>BEMIMO_OUT_TRZ_CRED_PRC</t>
  </si>
  <si>
    <t>BEMIMO_OUT_TRZ_PRC_BENS</t>
  </si>
  <si>
    <t>BEMIMO_OUT_BENS</t>
  </si>
  <si>
    <t>BEMIMO_OUT_CERTIF</t>
  </si>
  <si>
    <t>BEMIMO_INP_CERTIF_ESTIMATIVA</t>
  </si>
  <si>
    <t>cempresp</t>
  </si>
  <si>
    <t>ckbalres</t>
  </si>
  <si>
    <t>ckctares</t>
  </si>
  <si>
    <t>ckrefresp</t>
  </si>
  <si>
    <t>data_fim</t>
  </si>
  <si>
    <t>cod_prd_resp</t>
  </si>
  <si>
    <t>cod_sprd_resp</t>
  </si>
  <si>
    <t>cod_fnld</t>
  </si>
  <si>
    <t>cod_ocupacao</t>
  </si>
  <si>
    <t>flg_adj</t>
  </si>
  <si>
    <t>cod_tp_bem</t>
  </si>
  <si>
    <t>cod_disconf</t>
  </si>
  <si>
    <t>localid</t>
  </si>
  <si>
    <t>urbaniz</t>
  </si>
  <si>
    <t>cod_morada</t>
  </si>
  <si>
    <t>morada</t>
  </si>
  <si>
    <t>num</t>
  </si>
  <si>
    <t>lote</t>
  </si>
  <si>
    <t>id_frac</t>
  </si>
  <si>
    <t>cod_idd_pred</t>
  </si>
  <si>
    <t>perc_obra</t>
  </si>
  <si>
    <t>cod_art_matr</t>
  </si>
  <si>
    <t>cod_fin_bem</t>
  </si>
  <si>
    <t>cod_post</t>
  </si>
  <si>
    <t>montante_avl</t>
  </si>
  <si>
    <t>data_avl</t>
  </si>
  <si>
    <t>montante_avl_dist</t>
  </si>
  <si>
    <t>cod_avl</t>
  </si>
  <si>
    <t>ficha</t>
  </si>
  <si>
    <t>montante_vnd_rap</t>
  </si>
  <si>
    <t>prealcons</t>
  </si>
  <si>
    <t>data_lic_util</t>
  </si>
  <si>
    <t>area_util</t>
  </si>
  <si>
    <t>ano_construcao</t>
  </si>
  <si>
    <t>data_epc</t>
  </si>
  <si>
    <t>data_exprc_epc</t>
  </si>
  <si>
    <t>vlr_enrg_renew</t>
  </si>
  <si>
    <t>vlr_emss_ano</t>
  </si>
  <si>
    <t>flg_nzeb</t>
  </si>
  <si>
    <t>nvl_efcc_enrg</t>
  </si>
  <si>
    <t>vlr_cnsm_ano</t>
  </si>
  <si>
    <t>tp_crtfcd</t>
  </si>
  <si>
    <t>cod_sce</t>
  </si>
  <si>
    <t>cod_cnsrvtr_rgst_prdl</t>
  </si>
  <si>
    <t>cod_inscrc</t>
  </si>
  <si>
    <t>vlr_emss_co2</t>
  </si>
  <si>
    <t>vlr_aqcmnt_ambnt_rfrc</t>
  </si>
  <si>
    <t>vlr_aqcmnt_ambnt_edfc</t>
  </si>
  <si>
    <t>vlr_aqcmnt_ambnt_rnvv</t>
  </si>
  <si>
    <t>vlr_arrfcmnt_ambnt_rfrc</t>
  </si>
  <si>
    <t>vlr_arrfcmnt_ambnt_edfc</t>
  </si>
  <si>
    <t>vlr_arrfcmnt_ambnt_renvv</t>
  </si>
  <si>
    <t>vlr_agua_qnt_sntr_rfrc</t>
  </si>
  <si>
    <t>vlr_agua_qnt_sant_edfc</t>
  </si>
  <si>
    <t>vlr_agua_qnt_snt_rnvv</t>
  </si>
  <si>
    <t>vlr_ncssdd_enrg_prmr</t>
  </si>
  <si>
    <t>vlr_ncssdd_enrg_utl_aqcd</t>
  </si>
  <si>
    <t>vlr_enrg_utl_arrfcmnt</t>
  </si>
  <si>
    <t>vlr_enrg_utl_agua_qt_snt</t>
  </si>
  <si>
    <t>vlr_enrg_eltc_vntldr</t>
  </si>
  <si>
    <t>vlr_enrg_fnts_rnvv_regl</t>
  </si>
  <si>
    <t>vlr_enrg_fnts_rnvv_otr_uso</t>
  </si>
  <si>
    <t>flg_efcnc_enrgtc</t>
  </si>
  <si>
    <t>flg_efcc_enrg_cnsm_tp_s</t>
  </si>
  <si>
    <t>flg_efcnc_enrg_cnsm_tp_t</t>
  </si>
  <si>
    <t>flg_efcnc_enrgtc_rnvv</t>
  </si>
  <si>
    <t>vlr_cst_ttl_invstmnt_estmd</t>
  </si>
  <si>
    <t>vlr_rdc_anl_estmd_ftr</t>
  </si>
  <si>
    <t>vlr_class_enrg_aps_mdd</t>
  </si>
  <si>
    <t>vlr_alttt</t>
  </si>
  <si>
    <t>vlr_grs_dia</t>
  </si>
  <si>
    <t>vlr_tmprtr_md_extrr</t>
  </si>
  <si>
    <t>zn_clmtc_invrn</t>
  </si>
  <si>
    <t>zn_clmtc_vr</t>
  </si>
  <si>
    <t>vlr_drc_estc_aqcmnt</t>
  </si>
  <si>
    <t>vlr_drc_estc_arrfcmnt</t>
  </si>
  <si>
    <t>vlr_comp_trmc_prds</t>
  </si>
  <si>
    <t>vlr_comp_trmc_cbrtrs</t>
  </si>
  <si>
    <t>vlr_comp_trmc_pvmnts</t>
  </si>
  <si>
    <t>vlr_comp_trmc_jnls</t>
  </si>
  <si>
    <t>vlr_comp_trmc_sstmtcn_vntld</t>
  </si>
  <si>
    <t>vlr_prds_gnhs_invrn_rfc</t>
  </si>
  <si>
    <t>vlr_prds_gnhs_invrn_jnl</t>
  </si>
  <si>
    <t>vlr_prds_gnhs_invrn_vntnh</t>
  </si>
  <si>
    <t>vlr_prds_gnhs_invrn_cbrtr</t>
  </si>
  <si>
    <t>vlr_prd_gnh_invrn_prd_prt</t>
  </si>
  <si>
    <t>vlr_prd_gnh_invrn_pvmnt</t>
  </si>
  <si>
    <t>vlr_prds_gnhs_vr_rfrc</t>
  </si>
  <si>
    <t>vlr_prds_gnhs_vr_jnl</t>
  </si>
  <si>
    <t>vlr_prds_gnhs_vr_cbrtr</t>
  </si>
  <si>
    <t>vlr_prds_gnhs_vr_prd_prt</t>
  </si>
  <si>
    <t>metodo_info</t>
  </si>
  <si>
    <t>data_extraccao_info</t>
  </si>
  <si>
    <t>chave_encriptada</t>
  </si>
  <si>
    <t>fornecedor</t>
  </si>
  <si>
    <t>Campo técnico</t>
  </si>
  <si>
    <t>LT ESTR</t>
  </si>
  <si>
    <t>Validar se foi cancelado</t>
  </si>
  <si>
    <t>Não estava no ficheiro anterior mas IT já tem na lista</t>
  </si>
  <si>
    <t>PROCESS</t>
  </si>
  <si>
    <t>PROCESS_BANK_ID</t>
  </si>
  <si>
    <t>PROCESS_BRANCH_CODE</t>
  </si>
  <si>
    <t>PROCESS_ACCOUNT_ID</t>
  </si>
  <si>
    <t>PROCESS_REFERENCE_CODE</t>
  </si>
  <si>
    <t>PROCESS_PRODUCT_ID</t>
  </si>
  <si>
    <t>PROCESS_SUBPRODUCT_ID</t>
  </si>
  <si>
    <t>PROCESS_START_DATE</t>
  </si>
  <si>
    <t>PROCESS_DUE_DATE</t>
  </si>
  <si>
    <t>GUARANTEE_TYPE_CODE</t>
  </si>
  <si>
    <t>CURRENCY_CODE</t>
  </si>
  <si>
    <t>GUARANTEE_CODE</t>
  </si>
  <si>
    <t>PROCESS_CAMPAIGN_CODE</t>
  </si>
  <si>
    <t>INPUT_USER_CODE</t>
  </si>
  <si>
    <t>DATA_TIMESTAMP_PART</t>
  </si>
  <si>
    <t>DATA_DATE_PART</t>
  </si>
  <si>
    <t>SOURCE_CODE</t>
  </si>
  <si>
    <t>RESPONSIBILITY_PROCESS_REL</t>
  </si>
  <si>
    <t>BANK_ID</t>
  </si>
  <si>
    <t>BRANCH_CODE</t>
  </si>
  <si>
    <t>CONTRACT_ID</t>
  </si>
  <si>
    <t>REFERENCE_CODE</t>
  </si>
  <si>
    <t>RELATION_START_DATE</t>
  </si>
  <si>
    <t>EFFECTIVE_RELATION_END_DATE</t>
  </si>
  <si>
    <t>ESTABLISHED_RELATION_END_DATE</t>
  </si>
  <si>
    <t>PRODUCT_ID</t>
  </si>
  <si>
    <t>SUBPRODUCT_ID</t>
  </si>
  <si>
    <t>PURPOSE_CODE</t>
  </si>
  <si>
    <t>INDIVIDUAL_OCCUPATION_CODE</t>
  </si>
  <si>
    <t>PROCESS_PROPERTY_REL</t>
  </si>
  <si>
    <t>PROPERTY_BANK_ID</t>
  </si>
  <si>
    <t>PROPERTY_BRANCH_CODE</t>
  </si>
  <si>
    <t>PROPERTY_CONTRACT_ID</t>
  </si>
  <si>
    <t>PROPERTY_REFERENCE_CODE</t>
  </si>
  <si>
    <t>FINANCED_PROPERTY_IND</t>
  </si>
  <si>
    <t>SEIZED_PROPERTY_IND</t>
  </si>
  <si>
    <t>COLLATERAL_PROPERTY_IND</t>
  </si>
  <si>
    <t>OWNED_PROPERTY_IND</t>
  </si>
  <si>
    <t>PROPERTY</t>
  </si>
  <si>
    <t>PROPERTY_TYPE_CODE</t>
  </si>
  <si>
    <t>DISTRICT_MUNICIP_PARISH_CODE</t>
  </si>
  <si>
    <t>LOCALITY</t>
  </si>
  <si>
    <t>URBANIZATION</t>
  </si>
  <si>
    <t>ADDRESS_CODE</t>
  </si>
  <si>
    <t>ADDRESS</t>
  </si>
  <si>
    <t>PROPERTY_NUMBER</t>
  </si>
  <si>
    <t>PROPERTY_LOT</t>
  </si>
  <si>
    <t>FLOOR_NUMBER</t>
  </si>
  <si>
    <t>COUNTRY_CODE</t>
  </si>
  <si>
    <t>PROPERTY_LIFETIME_CODE</t>
  </si>
  <si>
    <t>CURRENT_CONSTRUCTION_PCT</t>
  </si>
  <si>
    <t>CADASTRAL_REGISTER_CODE</t>
  </si>
  <si>
    <t>PROPERTY_PURPOSE_CODE</t>
  </si>
  <si>
    <t>POSTAL_CODE</t>
  </si>
  <si>
    <t>LAST_APPRAISAL_AMOUNT</t>
  </si>
  <si>
    <t>LAST_APPRAISAL_DATE</t>
  </si>
  <si>
    <t>NET_APPRAISAL_AMOUNT</t>
  </si>
  <si>
    <t>APPRAISAL_CODE</t>
  </si>
  <si>
    <t>CONSERVATORY_REG_FILE_ID</t>
  </si>
  <si>
    <t>COLLATERAL_FAST_SALE_AMOUNT</t>
  </si>
  <si>
    <t>CONSTRUCTION_COMPLETED_PCT</t>
  </si>
  <si>
    <t>USAGE_PERMIT_START_DATE</t>
  </si>
  <si>
    <t>NET_FLOOR_AREA</t>
  </si>
  <si>
    <t>CONSTRUCTION_YEAR</t>
  </si>
  <si>
    <t>PROPERTY_ENERGY_CERTIFICATE</t>
  </si>
  <si>
    <t>EPC_ISSUING_DATE</t>
  </si>
  <si>
    <t>EPC</t>
  </si>
  <si>
    <t>EPC_EXPIRATION_DATE</t>
  </si>
  <si>
    <t>REN_ENERGY_PRODUCED_VALUE</t>
  </si>
  <si>
    <t>CARBON_EMISSION_VALUE_YEAR</t>
  </si>
  <si>
    <t>NZEB_IND</t>
  </si>
  <si>
    <t>EP_SCORE</t>
  </si>
  <si>
    <t>ENERGY_CONSUMPTION_VALUE_YEAR</t>
  </si>
  <si>
    <t>CERTIFICATE_TYPE</t>
  </si>
  <si>
    <t>ENERGY_CERTIFICATION_SYSTEM_CODE</t>
  </si>
  <si>
    <t>LAND_REGISTRY_OFFICE_CODE</t>
  </si>
  <si>
    <t>PROPERTY_IDENTIFICATION_CODE</t>
  </si>
  <si>
    <t>CARBON_EMISSION_VALUE</t>
  </si>
  <si>
    <t>SPACE_HEATING_REF_VALUE</t>
  </si>
  <si>
    <t>BUILDING_SPACE_HEATING_VALUE</t>
  </si>
  <si>
    <t>RENEWABLE_SPACE_HEATING_VALUE</t>
  </si>
  <si>
    <t>SPACE_COOLING_REF_VALUE</t>
  </si>
  <si>
    <t>BUILDING_SPACE_COOLING_VALUE</t>
  </si>
  <si>
    <t>RENEWABLE_SPACE_COOLING_VALUE</t>
  </si>
  <si>
    <t>DOMEST_HOTWATER_REF_VALUE</t>
  </si>
  <si>
    <t>BUILDING_DOMEST_HOTWATER_VALUE</t>
  </si>
  <si>
    <t>RENEWABLE_DOMEST_HOTWATER_VALUE</t>
  </si>
  <si>
    <t>PRIMARY_ENERGY_REQ_VALUE</t>
  </si>
  <si>
    <t>USEFUL_ENERGY_HEATING_REQ_VALUE</t>
  </si>
  <si>
    <t>USEFUL_ENERGY_COOLING_VALUE</t>
  </si>
  <si>
    <t>USEFUL_ENERGY_DOM_HOTWATER_VALUE</t>
  </si>
  <si>
    <t>USEFUL_ENERGY_FANS_REQ_VALUE</t>
  </si>
  <si>
    <t>REN_ENERGY_PRODUCED_REG_VALUE</t>
  </si>
  <si>
    <t>REN_ENERGY_PRODUCED_OTHER_VALUE</t>
  </si>
  <si>
    <t>ENERGY_EFFICIENCY_IND</t>
  </si>
  <si>
    <t>ENERGY_CONSUMPTION_TYPE_S_IND</t>
  </si>
  <si>
    <t>ENERGY_CONSUMPTION_TYPE_T_IND</t>
  </si>
  <si>
    <t>REN_ENERGY_EFFICIENCY_IND</t>
  </si>
  <si>
    <t>TOTAL_INVSTMNT_ESTMTD_VALUE</t>
  </si>
  <si>
    <t>INVOICE_RED_ANNUAL_ESTMTD_VALUE</t>
  </si>
  <si>
    <t>ENERGY_CLASS_AFTER_MEASUREMENT</t>
  </si>
  <si>
    <t>HEIGHT</t>
  </si>
  <si>
    <t>TEMPERATURE_DAY_VALUE</t>
  </si>
  <si>
    <t>TEMPERATURE_OUTDOOR_AVG_VALUE</t>
  </si>
  <si>
    <t>CLIMATE_ZONE_WINTER</t>
  </si>
  <si>
    <t>CLIMATE_ZONE_SUMMER</t>
  </si>
  <si>
    <t>DURATION_SUMMER</t>
  </si>
  <si>
    <t>DURATION_WINTER</t>
  </si>
  <si>
    <t>THERMAL_BEHAVIOUR_WALL</t>
  </si>
  <si>
    <t>THERMAL_BEHAVIOUR_ROOF</t>
  </si>
  <si>
    <t>THERMAL_BEHAVIOUR_FLOORS</t>
  </si>
  <si>
    <t>THERMAL_BEHAVIOUR_WINDOWS</t>
  </si>
  <si>
    <t>THERMAL_BEHAVIOUR_TECH_SYS_VENT</t>
  </si>
  <si>
    <t>PNL_WINTER_REF_VALUE</t>
  </si>
  <si>
    <t>PNL_WINTER_WINDOWS_VALUE</t>
  </si>
  <si>
    <t>PNL_WINTER_FANS_VALUE</t>
  </si>
  <si>
    <t>PNL_WINTER_ROOF_VALUE</t>
  </si>
  <si>
    <t>PNL_WINTER_WALLS_DOORS_VALUE</t>
  </si>
  <si>
    <t>PNL_WINTER_FLOORS_VALUE</t>
  </si>
  <si>
    <t>PNL_SUMMER_REF_VALUE</t>
  </si>
  <si>
    <t>PNL_SUMMER_WINDOWS_VALUE</t>
  </si>
  <si>
    <t>PNL_SUMMER_ROOF_VALUE</t>
  </si>
  <si>
    <t>PNL_SUMMER_WALLS_DOORS_VALUE</t>
  </si>
  <si>
    <t>ACTUAL_VALUE_IND</t>
  </si>
  <si>
    <t>ENERGY_CERTIFICATE_EST_INPUT</t>
  </si>
  <si>
    <t>DATA_EXTRACTION_DATE</t>
  </si>
  <si>
    <t>ENCRYPTED_KEY</t>
  </si>
  <si>
    <t>DATA_PROVIDER</t>
  </si>
  <si>
    <t>QUALITY_SCORE</t>
  </si>
  <si>
    <t>PROCESSING_CODE</t>
  </si>
  <si>
    <t xml:space="preserve">DESCRIÇÃO FUNCIONAL </t>
  </si>
  <si>
    <t>Empresa da conta</t>
  </si>
  <si>
    <t>Código do balcão da Conta ID da Garantia</t>
  </si>
  <si>
    <t>Número de Conta ID da Garantia</t>
  </si>
  <si>
    <t>Número ID da Caução / Versão GP / ID garantia Lease</t>
  </si>
  <si>
    <t>Código produto ID Garantia</t>
  </si>
  <si>
    <t>Código sub-produto ID Garantia</t>
  </si>
  <si>
    <t>Data de abertura da caução</t>
  </si>
  <si>
    <t>Data de vencimento da caução</t>
  </si>
  <si>
    <t>Codigo tipo caução (E - especifica ; G - Generica)</t>
  </si>
  <si>
    <t>Código de moeda</t>
  </si>
  <si>
    <t>Código de garantia</t>
  </si>
  <si>
    <t>Utilizador que despoleta o processamento</t>
  </si>
  <si>
    <t>Timestamp de inserção do registo na tabela</t>
  </si>
  <si>
    <t>Data de referencia dos dados</t>
  </si>
  <si>
    <t>Codigo ID sistema origem da garantia (CS, GP, Lease, outros)</t>
  </si>
  <si>
    <t>Empresa da Responsabilidade</t>
  </si>
  <si>
    <t>Código do balcão da Responsabilidade</t>
  </si>
  <si>
    <t>Número de conta da Responsabilidade</t>
  </si>
  <si>
    <t>Número depósito da Responsabilidade</t>
  </si>
  <si>
    <t>Data inicio relação</t>
  </si>
  <si>
    <t>Data fim relação</t>
  </si>
  <si>
    <t>Data de vencimento da operação</t>
  </si>
  <si>
    <t>Código produto responsabilidade</t>
  </si>
  <si>
    <t>Código sub-produto responsabilidade</t>
  </si>
  <si>
    <t>Código finalidade da operação</t>
  </si>
  <si>
    <t>Tipo de ocupação</t>
  </si>
  <si>
    <t>Código de empresa do Bem</t>
  </si>
  <si>
    <t>Código do balcão do Bem</t>
  </si>
  <si>
    <t>Número de conta do Bem</t>
  </si>
  <si>
    <t>Número do Bem</t>
  </si>
  <si>
    <t>Indicador de bem financiado</t>
  </si>
  <si>
    <t>Indicador de bem adjudicado</t>
  </si>
  <si>
    <t>Indicador de bem colateral</t>
  </si>
  <si>
    <t>Indicador de bem próprio</t>
  </si>
  <si>
    <t>Código indicador de tipo de bem</t>
  </si>
  <si>
    <t>Distrito Concelho Freguesia</t>
  </si>
  <si>
    <t xml:space="preserve">Localidade                     </t>
  </si>
  <si>
    <t xml:space="preserve">Urbanização                    </t>
  </si>
  <si>
    <t xml:space="preserve">Código da morada(rua,avenida,etc)       </t>
  </si>
  <si>
    <t xml:space="preserve">Morada                         </t>
  </si>
  <si>
    <t xml:space="preserve">Número                         </t>
  </si>
  <si>
    <t xml:space="preserve">Lote                           </t>
  </si>
  <si>
    <t xml:space="preserve">Identificação da fracção       </t>
  </si>
  <si>
    <t>País da morada</t>
  </si>
  <si>
    <t>Código de idade do bem</t>
  </si>
  <si>
    <t>Percentagem de obra</t>
  </si>
  <si>
    <t>Código Matricial</t>
  </si>
  <si>
    <t>Código indicador de utilização (finalidade) do bem</t>
  </si>
  <si>
    <t>Código Postal</t>
  </si>
  <si>
    <t>Montante ultima avaliação</t>
  </si>
  <si>
    <t>Data da última avaliação</t>
  </si>
  <si>
    <t xml:space="preserve">Montante de avl. distrate  </t>
  </si>
  <si>
    <t>Código interno da avaliadora</t>
  </si>
  <si>
    <t>Número de ficha de inscrição da hipoteca na conservatória</t>
  </si>
  <si>
    <t>Montante de venda rápida p/dações</t>
  </si>
  <si>
    <t>Percentagem de realização de utilização</t>
  </si>
  <si>
    <t>Data de emissão da licença de utilização</t>
  </si>
  <si>
    <t>Área útil do imóvel</t>
  </si>
  <si>
    <t>Ano de construção do imóvel</t>
  </si>
  <si>
    <t>Data de emissão do documento EPC</t>
  </si>
  <si>
    <t>Rating que determina o grau de eficiência energética de um edifício, a ser usada para medir o risco de transição</t>
  </si>
  <si>
    <t>Data que expira o documento EPC</t>
  </si>
  <si>
    <t>Representação da energia gerada a partir de fontes renováveis</t>
  </si>
  <si>
    <t>Emissões kgco2/m2ano</t>
  </si>
  <si>
    <t>Indicador que identifica edifícios NZEB</t>
  </si>
  <si>
    <t>(Valor EP em kWh/m²)</t>
  </si>
  <si>
    <t>Consumo kwh/m2ano</t>
  </si>
  <si>
    <t>Tipo de certificado</t>
  </si>
  <si>
    <t>Numero SCE</t>
  </si>
  <si>
    <t>Land Registry Office</t>
  </si>
  <si>
    <t>Número de registro para identificação do imóvel</t>
  </si>
  <si>
    <t>Emissões CO2</t>
  </si>
  <si>
    <t>Referência para aquecimento do ambiente</t>
  </si>
  <si>
    <t>Referência para aquecimento do espaço</t>
  </si>
  <si>
    <t>Aquecimento do ambiente renovável</t>
  </si>
  <si>
    <t>Referência para arrefecimento do ambiente</t>
  </si>
  <si>
    <t>Referência para arrefecimento do espaço</t>
  </si>
  <si>
    <t>Arrefecimento do ambiente renovável</t>
  </si>
  <si>
    <t>Referência para água quente doméstica a nivel ambiente</t>
  </si>
  <si>
    <t>Referência para água quente do edificio a nivel ambiente</t>
  </si>
  <si>
    <t>Referência para água quente doméstica renovável a nivel ambiente</t>
  </si>
  <si>
    <t>Principal energia necessária</t>
  </si>
  <si>
    <t>Necessidades úteis de energia para aquecimento</t>
  </si>
  <si>
    <t>Necessidades úteis de energia para arrefecimento</t>
  </si>
  <si>
    <t>Energia útil para água quente sanitária</t>
  </si>
  <si>
    <t>Energia elétrica necessária para ventiladores</t>
  </si>
  <si>
    <t>Energia produzida a partir de fontes renováveis ​​– utilizações regulamentadas</t>
  </si>
  <si>
    <t>Energia produzida a partir de fontes renováveis ​​– outras fontes</t>
  </si>
  <si>
    <t>Indicador de eficiência energética</t>
  </si>
  <si>
    <t>Indicador de eficiência energética de consumo tipo S</t>
  </si>
  <si>
    <t>Indicador de eficiência energética de consumo tipo T</t>
  </si>
  <si>
    <t>Indicador de eficiência energética renovável</t>
  </si>
  <si>
    <t>Custo total estimado do investimento</t>
  </si>
  <si>
    <t>Redução anual estimada da fatura</t>
  </si>
  <si>
    <t>Classe energética após medição</t>
  </si>
  <si>
    <t>Altura</t>
  </si>
  <si>
    <t>Temperatura durante o dia</t>
  </si>
  <si>
    <t>Temperatura média no exterior</t>
  </si>
  <si>
    <t>Zona climática de inverno</t>
  </si>
  <si>
    <t>Zona climática de verão</t>
  </si>
  <si>
    <t>Duração da temporada de verão</t>
  </si>
  <si>
    <t>Duração da temporada de inverno</t>
  </si>
  <si>
    <t>Comportamento térmico da parede</t>
  </si>
  <si>
    <t>Comportamento térmico do telhado</t>
  </si>
  <si>
    <t>Comportamento térmico dos pisos</t>
  </si>
  <si>
    <t>Comportamento térmico das janelas</t>
  </si>
  <si>
    <t>Sistemas técnicos e comportamento térmico da ventilação</t>
  </si>
  <si>
    <t>Referência de perdas e ganhos de calor no inverno</t>
  </si>
  <si>
    <t>Referência de perdas e ganhos de calor no inverno das janelas</t>
  </si>
  <si>
    <t>Referência de perdas e ganhos de calor no inverno dos ventiladores</t>
  </si>
  <si>
    <t>Referência de perdas e ganhos de calor no inverno devido ao telhado</t>
  </si>
  <si>
    <t>Referência de perdas e ganhos de calor no inverno devido a portas e paredes</t>
  </si>
  <si>
    <t>Referência de perdas e ganhos de calor no inverno devido aos pisos</t>
  </si>
  <si>
    <t>Referência de perdas e ganhos de calor no verão</t>
  </si>
  <si>
    <t>Referência de perdas e ganhos de calor no verão das janelas</t>
  </si>
  <si>
    <t>Referência de perdas e ganhos de calor no verão devido ao telhado</t>
  </si>
  <si>
    <t>Referência de perdas e ganhos de calor no verão devido a portas e paredes</t>
  </si>
  <si>
    <t>Indicação do método de obtenção da informação</t>
  </si>
  <si>
    <t>Codigo ID sistema origem</t>
  </si>
  <si>
    <t>Data de referência da informação enviada para o fornecedor</t>
  </si>
  <si>
    <t>Chave encriptada do bem, gerada com base na concatenação das variáveis cempbem, ckbalbem, ckctabem e ckrefbem</t>
  </si>
  <si>
    <t>Fornecedor da informação</t>
  </si>
  <si>
    <t>Grau de qualiade associada à informação disponibilizada pelo fornecedor</t>
  </si>
  <si>
    <t>Utilizador que carregou a informação</t>
  </si>
  <si>
    <t>Data de inserção do registo</t>
  </si>
  <si>
    <t>Data de referência do registo</t>
  </si>
  <si>
    <t>Código de 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</si>
</sst>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theme="1"/>
      <name val="Santander Text"/>
      <family val="2"/>
    </font>
    <font>
      <sz val="8"/>
      <color theme="1"/>
      <name val="Arial"/>
      <family val="2"/>
    </font>
    <font>
      <sz val="11"/>
      <color theme="0" tint="-0.1499984740745262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Santander Text"/>
      <family val="2"/>
    </font>
    <font>
      <b/>
      <sz val="11"/>
      <color theme="0"/>
      <name val="Santander Text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9BAFCD"/>
      </right>
      <top style="thin">
        <color rgb="FF9BAFCD"/>
      </top>
      <bottom/>
      <diagonal/>
    </border>
    <border>
      <left/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rgb="FF9BAFCD"/>
      </left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 readingOrder="1"/>
    </xf>
    <xf numFmtId="0" fontId="3" fillId="0" borderId="0" xfId="0" applyFont="1"/>
    <xf numFmtId="0" fontId="6" fillId="0" borderId="1" xfId="0" applyFont="1" applyBorder="1" applyAlignment="1">
      <alignment horizontal="left" vertical="center" readingOrder="1"/>
    </xf>
    <xf numFmtId="0" fontId="7" fillId="0" borderId="1" xfId="0" applyFont="1" applyBorder="1" applyAlignment="1">
      <alignment horizontal="left" vertical="center" readingOrder="1"/>
    </xf>
    <xf numFmtId="0" fontId="7" fillId="0" borderId="1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3" fillId="0" borderId="3" xfId="0" applyFont="1" applyBorder="1"/>
    <xf numFmtId="0" fontId="3" fillId="4" borderId="3" xfId="0" applyFont="1" applyFill="1" applyBorder="1"/>
    <xf numFmtId="0" fontId="3" fillId="4" borderId="0" xfId="0" applyFont="1" applyFill="1"/>
    <xf numFmtId="0" fontId="10" fillId="0" borderId="0" xfId="0" applyFont="1"/>
    <xf numFmtId="0" fontId="3" fillId="6" borderId="0" xfId="0" applyFont="1" applyFill="1"/>
    <xf numFmtId="0" fontId="0" fillId="6" borderId="0" xfId="0" applyFill="1"/>
    <xf numFmtId="0" fontId="6" fillId="6" borderId="1" xfId="0" applyFont="1" applyFill="1" applyBorder="1" applyAlignment="1">
      <alignment horizontal="left" vertical="center" wrapText="1" readingOrder="1"/>
    </xf>
    <xf numFmtId="0" fontId="6" fillId="6" borderId="1" xfId="0" applyFont="1" applyFill="1" applyBorder="1" applyAlignment="1">
      <alignment horizontal="left" vertical="center" readingOrder="1"/>
    </xf>
    <xf numFmtId="0" fontId="7" fillId="6" borderId="1" xfId="0" quotePrefix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 readingOrder="1"/>
    </xf>
    <xf numFmtId="0" fontId="6" fillId="7" borderId="1" xfId="0" applyFont="1" applyFill="1" applyBorder="1" applyAlignment="1">
      <alignment horizontal="left" vertical="center" readingOrder="1"/>
    </xf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1" fillId="8" borderId="0" xfId="0" applyFont="1" applyFill="1" applyAlignment="1">
      <alignment horizontal="center" vertical="center"/>
    </xf>
    <xf numFmtId="0" fontId="12" fillId="0" borderId="0" xfId="0" applyFont="1"/>
    <xf numFmtId="0" fontId="13" fillId="0" borderId="2" xfId="0" applyFont="1" applyBorder="1" applyAlignment="1">
      <alignment horizontal="left" vertical="center" indent="2" readingOrder="1"/>
    </xf>
    <xf numFmtId="0" fontId="13" fillId="0" borderId="2" xfId="0" applyFont="1" applyBorder="1" applyAlignment="1">
      <alignment horizontal="left" vertical="center" readingOrder="1"/>
    </xf>
    <xf numFmtId="0" fontId="14" fillId="8" borderId="2" xfId="0" applyFont="1" applyFill="1" applyBorder="1" applyAlignment="1">
      <alignment horizontal="left" vertical="center"/>
    </xf>
    <xf numFmtId="0" fontId="12" fillId="6" borderId="0" xfId="0" applyFont="1" applyFill="1"/>
    <xf numFmtId="0" fontId="2" fillId="9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vertical="center"/>
    </xf>
    <xf numFmtId="0" fontId="2" fillId="9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9" fontId="15" fillId="0" borderId="5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11" borderId="6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vertical="center" readingOrder="1"/>
    </xf>
    <xf numFmtId="0" fontId="5" fillId="0" borderId="1" xfId="0" applyFont="1" applyBorder="1" applyAlignment="1">
      <alignment horizontal="left" vertical="center" readingOrder="1"/>
    </xf>
    <xf numFmtId="0" fontId="8" fillId="0" borderId="1" xfId="0" applyFont="1" applyBorder="1" applyAlignment="1">
      <alignment vertical="center"/>
    </xf>
    <xf numFmtId="0" fontId="14" fillId="8" borderId="1" xfId="0" applyFont="1" applyFill="1" applyBorder="1" applyAlignment="1">
      <alignment horizontal="left" vertical="center"/>
    </xf>
    <xf numFmtId="0" fontId="10" fillId="6" borderId="0" xfId="0" applyFont="1" applyFill="1"/>
    <xf numFmtId="0" fontId="5" fillId="6" borderId="1" xfId="0" applyFont="1" applyFill="1" applyBorder="1" applyAlignment="1">
      <alignment vertical="center" readingOrder="1"/>
    </xf>
    <xf numFmtId="0" fontId="6" fillId="6" borderId="1" xfId="0" applyFont="1" applyFill="1" applyBorder="1" applyAlignment="1">
      <alignment vertical="center" wrapText="1" readingOrder="1"/>
    </xf>
    <xf numFmtId="0" fontId="5" fillId="6" borderId="1" xfId="0" applyFont="1" applyFill="1" applyBorder="1" applyAlignment="1">
      <alignment horizontal="left" vertical="center" readingOrder="1"/>
    </xf>
    <xf numFmtId="0" fontId="8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readingOrder="1"/>
    </xf>
    <xf numFmtId="0" fontId="6" fillId="0" borderId="7" xfId="0" applyFont="1" applyBorder="1" applyAlignment="1">
      <alignment horizontal="left" vertical="center" readingOrder="1"/>
    </xf>
    <xf numFmtId="0" fontId="5" fillId="7" borderId="1" xfId="0" applyFont="1" applyFill="1" applyBorder="1" applyAlignment="1">
      <alignment vertical="center" readingOrder="1"/>
    </xf>
    <xf numFmtId="0" fontId="6" fillId="7" borderId="1" xfId="0" applyFont="1" applyFill="1" applyBorder="1" applyAlignment="1">
      <alignment vertical="center" readingOrder="1"/>
    </xf>
    <xf numFmtId="0" fontId="5" fillId="7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0421\AppData\Local\Microsoft\Windows\INetCache\Content.Outlook\VMB89CIN\Modelo%20F&#237;sico%20PT%20-%20Bens%20Im&#243;veis%20v1.0.xlsx" TargetMode="External"/><Relationship Id="rId1" Type="http://schemas.openxmlformats.org/officeDocument/2006/relationships/externalLinkPath" Target="file:///C:\Users\e800421\AppData\Local\Microsoft\Windows\INetCache\Content.Outlook\VMB89CIN\Modelo%20F&#237;sico%20PT%20-%20Bens%20Im&#243;veis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Lista"/>
      <sheetName val="Tabelas"/>
    </sheetNames>
    <sheetDataSet>
      <sheetData sheetId="0"/>
      <sheetData sheetId="1"/>
      <sheetData sheetId="2">
        <row r="8">
          <cell r="A8" t="str">
            <v>BEMIMO_OUT_PRCCEMPRESA</v>
          </cell>
          <cell r="B8" t="str">
            <v>BEMIMO_OUT_PRC</v>
          </cell>
          <cell r="C8" t="str">
            <v>CEMPRESA</v>
          </cell>
          <cell r="D8">
            <v>1</v>
          </cell>
          <cell r="E8" t="str">
            <v>string</v>
          </cell>
          <cell r="H8" t="str">
            <v>Empresa da conta</v>
          </cell>
        </row>
        <row r="9">
          <cell r="A9" t="str">
            <v>BEMIMO_OUT_PRCCKBALCAO</v>
          </cell>
          <cell r="B9" t="str">
            <v>BEMIMO_OUT_PRC</v>
          </cell>
          <cell r="C9" t="str">
            <v>CKBALCAO</v>
          </cell>
          <cell r="D9">
            <v>2</v>
          </cell>
          <cell r="E9" t="str">
            <v>string</v>
          </cell>
          <cell r="H9" t="str">
            <v>Código do balcão da Conta ID da Garantia</v>
          </cell>
        </row>
        <row r="10">
          <cell r="A10" t="str">
            <v>BEMIMO_OUT_PRCCKNUMCTA</v>
          </cell>
          <cell r="B10" t="str">
            <v>BEMIMO_OUT_PRC</v>
          </cell>
          <cell r="C10" t="str">
            <v>CKNUMCTA</v>
          </cell>
          <cell r="D10">
            <v>3</v>
          </cell>
          <cell r="E10" t="str">
            <v>string</v>
          </cell>
          <cell r="H10" t="str">
            <v>Número de Conta ID da Garantia</v>
          </cell>
        </row>
        <row r="11">
          <cell r="A11" t="str">
            <v>BEMIMO_OUT_PRCCOMP_ID_GAR</v>
          </cell>
          <cell r="B11" t="str">
            <v>BEMIMO_OUT_PRC</v>
          </cell>
          <cell r="C11" t="str">
            <v>COMP_ID_GAR</v>
          </cell>
          <cell r="D11">
            <v>4</v>
          </cell>
          <cell r="E11" t="str">
            <v>string</v>
          </cell>
          <cell r="H11" t="str">
            <v>Número ID da Caução / Versão GP / ID garantia Lease</v>
          </cell>
        </row>
        <row r="12">
          <cell r="A12" t="str">
            <v>BEMIMO_OUT_PRCCOD_PRD_GRNT</v>
          </cell>
          <cell r="B12" t="str">
            <v>BEMIMO_OUT_PRC</v>
          </cell>
          <cell r="C12" t="str">
            <v>COD_PRD_GRNT</v>
          </cell>
          <cell r="D12">
            <v>5</v>
          </cell>
          <cell r="E12" t="str">
            <v>string</v>
          </cell>
          <cell r="H12" t="str">
            <v>Código produto ID Garantia</v>
          </cell>
        </row>
        <row r="13">
          <cell r="A13" t="str">
            <v>BEMIMO_OUT_PRCCOD_SPRD_GRNT</v>
          </cell>
          <cell r="B13" t="str">
            <v>BEMIMO_OUT_PRC</v>
          </cell>
          <cell r="C13" t="str">
            <v>COD_SPRD_GRNT</v>
          </cell>
          <cell r="D13">
            <v>6</v>
          </cell>
          <cell r="E13" t="str">
            <v>string</v>
          </cell>
          <cell r="H13" t="str">
            <v>Código sub-produto ID Garantia</v>
          </cell>
        </row>
        <row r="14">
          <cell r="A14" t="str">
            <v>BEMIMO_OUT_PRCDATA_INICIO</v>
          </cell>
          <cell r="B14" t="str">
            <v>BEMIMO_OUT_PRC</v>
          </cell>
          <cell r="C14" t="str">
            <v>DATA_INICIO</v>
          </cell>
          <cell r="D14">
            <v>7</v>
          </cell>
          <cell r="E14" t="str">
            <v>string</v>
          </cell>
          <cell r="H14" t="str">
            <v>Data de abertura da caução</v>
          </cell>
        </row>
        <row r="15">
          <cell r="A15" t="str">
            <v>BEMIMO_OUT_PRCDATA_VCMT</v>
          </cell>
          <cell r="B15" t="str">
            <v>BEMIMO_OUT_PRC</v>
          </cell>
          <cell r="C15" t="str">
            <v>DATA_VCMT</v>
          </cell>
          <cell r="D15">
            <v>8</v>
          </cell>
          <cell r="E15" t="str">
            <v>string</v>
          </cell>
          <cell r="H15" t="str">
            <v>Data de vencimento da caução</v>
          </cell>
        </row>
        <row r="16">
          <cell r="A16" t="str">
            <v>BEMIMO_OUT_PRCCOD_TIPO</v>
          </cell>
          <cell r="B16" t="str">
            <v>BEMIMO_OUT_PRC</v>
          </cell>
          <cell r="C16" t="str">
            <v>COD_TIPO</v>
          </cell>
          <cell r="D16">
            <v>9</v>
          </cell>
          <cell r="E16" t="str">
            <v>string</v>
          </cell>
          <cell r="H16" t="str">
            <v>Codigo tipo caução (E - especifica ; G - Generica)</v>
          </cell>
        </row>
        <row r="17">
          <cell r="A17" t="str">
            <v>BEMIMO_OUT_PRCCOD_MOEDA</v>
          </cell>
          <cell r="B17" t="str">
            <v>BEMIMO_OUT_PRC</v>
          </cell>
          <cell r="C17" t="str">
            <v>COD_MOEDA</v>
          </cell>
          <cell r="D17">
            <v>10</v>
          </cell>
          <cell r="E17" t="str">
            <v>string</v>
          </cell>
          <cell r="H17" t="str">
            <v>Código de moeda</v>
          </cell>
        </row>
        <row r="18">
          <cell r="A18" t="str">
            <v>BEMIMO_OUT_PRCCOD_GRT</v>
          </cell>
          <cell r="B18" t="str">
            <v>BEMIMO_OUT_PRC</v>
          </cell>
          <cell r="C18" t="str">
            <v>COD_GRT</v>
          </cell>
          <cell r="D18">
            <v>11</v>
          </cell>
          <cell r="E18" t="str">
            <v>string</v>
          </cell>
          <cell r="H18" t="str">
            <v>Código de garantia</v>
          </cell>
        </row>
        <row r="19">
          <cell r="A19" t="str">
            <v>BEMIMO_OUT_PRCCOD_OBSERVACAO</v>
          </cell>
          <cell r="B19" t="str">
            <v>BEMIMO_OUT_PRC</v>
          </cell>
          <cell r="C19" t="str">
            <v>COD_OBSERVACAO</v>
          </cell>
          <cell r="D19">
            <v>12</v>
          </cell>
          <cell r="E19" t="str">
            <v>string</v>
          </cell>
        </row>
        <row r="20">
          <cell r="A20" t="str">
            <v>BEMIMO_OUT_PRCCKUTULMO</v>
          </cell>
          <cell r="B20" t="str">
            <v>BEMIMO_OUT_PRC</v>
          </cell>
          <cell r="C20" t="str">
            <v>CKUTULMO</v>
          </cell>
          <cell r="D20">
            <v>13</v>
          </cell>
          <cell r="E20" t="str">
            <v>string</v>
          </cell>
          <cell r="H20" t="str">
            <v>Utilizador que despoleta o processamento</v>
          </cell>
        </row>
        <row r="21">
          <cell r="A21" t="str">
            <v>BEMIMO_OUT_PRCHTIMEST</v>
          </cell>
          <cell r="B21" t="str">
            <v>BEMIMO_OUT_PRC</v>
          </cell>
          <cell r="C21" t="str">
            <v>HTIMEST</v>
          </cell>
          <cell r="D21">
            <v>14</v>
          </cell>
          <cell r="E21" t="str">
            <v>timestamp</v>
          </cell>
          <cell r="H21" t="str">
            <v>Timestamp de inserção do registo na tabela</v>
          </cell>
        </row>
        <row r="22">
          <cell r="A22" t="str">
            <v>BEMIMO_OUT_PRCREF_DATE</v>
          </cell>
          <cell r="B22" t="str">
            <v>BEMIMO_OUT_PRC</v>
          </cell>
          <cell r="C22" t="str">
            <v>REF_DATE</v>
          </cell>
          <cell r="D22">
            <v>15</v>
          </cell>
          <cell r="E22" t="str">
            <v>string</v>
          </cell>
          <cell r="H22" t="str">
            <v>Data de referencia dos dados</v>
          </cell>
        </row>
        <row r="23">
          <cell r="A23" t="str">
            <v>BEMIMO_OUT_PRCORIGEM</v>
          </cell>
          <cell r="B23" t="str">
            <v>BEMIMO_OUT_PRC</v>
          </cell>
          <cell r="C23" t="str">
            <v>ORIGEM</v>
          </cell>
          <cell r="D23">
            <v>16</v>
          </cell>
          <cell r="E23" t="str">
            <v>string</v>
          </cell>
          <cell r="H23" t="str">
            <v>Codigo ID sistema origem da garantia (CS, GP, Lease, outros)</v>
          </cell>
        </row>
        <row r="24">
          <cell r="A24" t="str">
            <v>BEMIMO_OUT_TRZ_CRED_PRCCEMPRESP</v>
          </cell>
          <cell r="B24" t="str">
            <v>BEMIMO_OUT_TRZ_CRED_PRC</v>
          </cell>
          <cell r="C24" t="str">
            <v>CEMPRESP</v>
          </cell>
          <cell r="D24">
            <v>1</v>
          </cell>
          <cell r="E24" t="str">
            <v>string</v>
          </cell>
          <cell r="H24" t="str">
            <v>Empresa da Responsabilidade</v>
          </cell>
        </row>
        <row r="25">
          <cell r="A25" t="str">
            <v>BEMIMO_OUT_TRZ_CRED_PRCCKBALRES</v>
          </cell>
          <cell r="B25" t="str">
            <v>BEMIMO_OUT_TRZ_CRED_PRC</v>
          </cell>
          <cell r="C25" t="str">
            <v>CKBALRES</v>
          </cell>
          <cell r="D25">
            <v>2</v>
          </cell>
          <cell r="E25" t="str">
            <v>string</v>
          </cell>
          <cell r="H25" t="str">
            <v>Código do balcão da Responsabilidade</v>
          </cell>
        </row>
        <row r="26">
          <cell r="A26" t="str">
            <v>BEMIMO_OUT_TRZ_CRED_PRCCKCTARES</v>
          </cell>
          <cell r="B26" t="str">
            <v>BEMIMO_OUT_TRZ_CRED_PRC</v>
          </cell>
          <cell r="C26" t="str">
            <v>CKCTARES</v>
          </cell>
          <cell r="D26">
            <v>3</v>
          </cell>
          <cell r="E26" t="str">
            <v>string</v>
          </cell>
          <cell r="H26" t="str">
            <v>Número de conta da Responsabilidade</v>
          </cell>
        </row>
        <row r="27">
          <cell r="A27" t="str">
            <v>BEMIMO_OUT_TRZ_CRED_PRCCKREFRESP</v>
          </cell>
          <cell r="B27" t="str">
            <v>BEMIMO_OUT_TRZ_CRED_PRC</v>
          </cell>
          <cell r="C27" t="str">
            <v>CKREFRESP</v>
          </cell>
          <cell r="D27">
            <v>4</v>
          </cell>
          <cell r="E27" t="str">
            <v>string</v>
          </cell>
          <cell r="H27" t="str">
            <v>Número depósito da Responsabilidade</v>
          </cell>
        </row>
        <row r="28">
          <cell r="A28" t="str">
            <v>BEMIMO_OUT_TRZ_CRED_PRCCEMPRESA</v>
          </cell>
          <cell r="B28" t="str">
            <v>BEMIMO_OUT_TRZ_CRED_PRC</v>
          </cell>
          <cell r="C28" t="str">
            <v>CEMPRESA</v>
          </cell>
          <cell r="D28">
            <v>5</v>
          </cell>
          <cell r="E28" t="str">
            <v>string</v>
          </cell>
          <cell r="H28" t="str">
            <v>Empresa da conta</v>
          </cell>
        </row>
        <row r="29">
          <cell r="A29" t="str">
            <v>BEMIMO_OUT_TRZ_CRED_PRCCKBALCAO</v>
          </cell>
          <cell r="B29" t="str">
            <v>BEMIMO_OUT_TRZ_CRED_PRC</v>
          </cell>
          <cell r="C29" t="str">
            <v>CKBALCAO</v>
          </cell>
          <cell r="D29">
            <v>6</v>
          </cell>
          <cell r="E29" t="str">
            <v>string</v>
          </cell>
          <cell r="H29" t="str">
            <v>Código do balcão da Conta ID da Garantia</v>
          </cell>
        </row>
        <row r="30">
          <cell r="A30" t="str">
            <v>BEMIMO_OUT_TRZ_CRED_PRCCKNUMCTA</v>
          </cell>
          <cell r="B30" t="str">
            <v>BEMIMO_OUT_TRZ_CRED_PRC</v>
          </cell>
          <cell r="C30" t="str">
            <v>CKNUMCTA</v>
          </cell>
          <cell r="D30">
            <v>7</v>
          </cell>
          <cell r="E30" t="str">
            <v>string</v>
          </cell>
          <cell r="H30" t="str">
            <v>Número de Conta ID da Garantia</v>
          </cell>
        </row>
        <row r="31">
          <cell r="A31" t="str">
            <v>BEMIMO_OUT_TRZ_CRED_PRCCOMP_ID_GAR</v>
          </cell>
          <cell r="B31" t="str">
            <v>BEMIMO_OUT_TRZ_CRED_PRC</v>
          </cell>
          <cell r="C31" t="str">
            <v>COMP_ID_GAR</v>
          </cell>
          <cell r="D31">
            <v>8</v>
          </cell>
          <cell r="E31" t="str">
            <v>string</v>
          </cell>
          <cell r="H31" t="str">
            <v>Número ID da Caução / Versão GP / ID garantia Lease</v>
          </cell>
        </row>
        <row r="32">
          <cell r="A32" t="str">
            <v>BEMIMO_OUT_TRZ_CRED_PRCDATA_INICIO</v>
          </cell>
          <cell r="B32" t="str">
            <v>BEMIMO_OUT_TRZ_CRED_PRC</v>
          </cell>
          <cell r="C32" t="str">
            <v>DATA_INICIO</v>
          </cell>
          <cell r="D32">
            <v>9</v>
          </cell>
          <cell r="E32" t="str">
            <v>string</v>
          </cell>
          <cell r="H32" t="str">
            <v>Data inicio relação</v>
          </cell>
        </row>
        <row r="33">
          <cell r="A33" t="str">
            <v>BEMIMO_OUT_TRZ_CRED_PRCDATA_FIM</v>
          </cell>
          <cell r="B33" t="str">
            <v>BEMIMO_OUT_TRZ_CRED_PRC</v>
          </cell>
          <cell r="C33" t="str">
            <v>DATA_FIM</v>
          </cell>
          <cell r="D33">
            <v>10</v>
          </cell>
          <cell r="E33" t="str">
            <v>string</v>
          </cell>
          <cell r="H33" t="str">
            <v>Data fim relação</v>
          </cell>
        </row>
        <row r="34">
          <cell r="A34" t="str">
            <v>BEMIMO_OUT_TRZ_CRED_PRCDATA_VCMT</v>
          </cell>
          <cell r="B34" t="str">
            <v>BEMIMO_OUT_TRZ_CRED_PRC</v>
          </cell>
          <cell r="C34" t="str">
            <v>DATA_VCMT</v>
          </cell>
          <cell r="D34">
            <v>11</v>
          </cell>
          <cell r="E34" t="str">
            <v>string</v>
          </cell>
          <cell r="H34" t="str">
            <v>Data de vencimento da operação</v>
          </cell>
        </row>
        <row r="35">
          <cell r="A35" t="str">
            <v>BEMIMO_OUT_TRZ_CRED_PRCCOD_PRD_RESP</v>
          </cell>
          <cell r="B35" t="str">
            <v>BEMIMO_OUT_TRZ_CRED_PRC</v>
          </cell>
          <cell r="C35" t="str">
            <v>COD_PRD_RESP</v>
          </cell>
          <cell r="D35">
            <v>12</v>
          </cell>
          <cell r="E35" t="str">
            <v>string</v>
          </cell>
          <cell r="H35" t="str">
            <v>Código produto responsabilidade</v>
          </cell>
        </row>
        <row r="36">
          <cell r="A36" t="str">
            <v>BEMIMO_OUT_TRZ_CRED_PRCCOD_SPRD_RESP</v>
          </cell>
          <cell r="B36" t="str">
            <v>BEMIMO_OUT_TRZ_CRED_PRC</v>
          </cell>
          <cell r="C36" t="str">
            <v>COD_SPRD_RESP</v>
          </cell>
          <cell r="D36">
            <v>13</v>
          </cell>
          <cell r="E36" t="str">
            <v>string</v>
          </cell>
          <cell r="H36" t="str">
            <v>Código sub-produto responsabilidade</v>
          </cell>
        </row>
        <row r="37">
          <cell r="A37" t="str">
            <v>BEMIMO_OUT_TRZ_CRED_PRCCOD_FNLD</v>
          </cell>
          <cell r="B37" t="str">
            <v>BEMIMO_OUT_TRZ_CRED_PRC</v>
          </cell>
          <cell r="C37" t="str">
            <v>COD_FNLD</v>
          </cell>
          <cell r="D37">
            <v>14</v>
          </cell>
          <cell r="E37" t="str">
            <v>string</v>
          </cell>
          <cell r="H37" t="str">
            <v>Código finalidade da operação</v>
          </cell>
        </row>
        <row r="38">
          <cell r="A38" t="str">
            <v>BEMIMO_OUT_TRZ_CRED_PRCCOD_OCUPACAO</v>
          </cell>
          <cell r="B38" t="str">
            <v>BEMIMO_OUT_TRZ_CRED_PRC</v>
          </cell>
          <cell r="C38" t="str">
            <v>COD_OCUPACAO</v>
          </cell>
          <cell r="D38">
            <v>15</v>
          </cell>
          <cell r="E38" t="str">
            <v>string</v>
          </cell>
          <cell r="H38" t="str">
            <v>Tipo de ocupação</v>
          </cell>
        </row>
        <row r="39">
          <cell r="A39" t="str">
            <v>BEMIMO_OUT_TRZ_CRED_PRCCKUTULMO</v>
          </cell>
          <cell r="B39" t="str">
            <v>BEMIMO_OUT_TRZ_CRED_PRC</v>
          </cell>
          <cell r="C39" t="str">
            <v>CKUTULMO</v>
          </cell>
          <cell r="D39">
            <v>16</v>
          </cell>
          <cell r="E39" t="str">
            <v>string</v>
          </cell>
          <cell r="H39" t="str">
            <v>Utilizador que despoleta o processamento</v>
          </cell>
        </row>
        <row r="40">
          <cell r="A40" t="str">
            <v>BEMIMO_OUT_TRZ_CRED_PRCHTIMEST</v>
          </cell>
          <cell r="B40" t="str">
            <v>BEMIMO_OUT_TRZ_CRED_PRC</v>
          </cell>
          <cell r="C40" t="str">
            <v>HTIMEST</v>
          </cell>
          <cell r="D40">
            <v>17</v>
          </cell>
          <cell r="E40" t="str">
            <v>timestamp</v>
          </cell>
          <cell r="H40" t="str">
            <v>Timestamp de inserção do registo na tabela</v>
          </cell>
        </row>
        <row r="41">
          <cell r="A41" t="str">
            <v>BEMIMO_OUT_TRZ_CRED_PRCREF_DATE</v>
          </cell>
          <cell r="B41" t="str">
            <v>BEMIMO_OUT_TRZ_CRED_PRC</v>
          </cell>
          <cell r="C41" t="str">
            <v>REF_DATE</v>
          </cell>
          <cell r="D41">
            <v>18</v>
          </cell>
          <cell r="E41" t="str">
            <v>string</v>
          </cell>
          <cell r="H41" t="str">
            <v>Data de referencia dos dados</v>
          </cell>
        </row>
        <row r="42">
          <cell r="A42" t="str">
            <v>BEMIMO_OUT_TRZ_CRED_PRCORIGEM</v>
          </cell>
          <cell r="B42" t="str">
            <v>BEMIMO_OUT_TRZ_CRED_PRC</v>
          </cell>
          <cell r="C42" t="str">
            <v>ORIGEM</v>
          </cell>
          <cell r="D42">
            <v>19</v>
          </cell>
          <cell r="E42" t="str">
            <v>string</v>
          </cell>
          <cell r="H42" t="str">
            <v>Codigo ID sistema origem da garantia (CS, GP, Lease, outros)</v>
          </cell>
        </row>
        <row r="43">
          <cell r="A43" t="str">
            <v>BEMIMO_OUT_TRZ_PRC_BENSCEMPRESA</v>
          </cell>
          <cell r="B43" t="str">
            <v>BEMIMO_OUT_TRZ_PRC_BENS</v>
          </cell>
          <cell r="C43" t="str">
            <v>CEMPRESA</v>
          </cell>
          <cell r="D43">
            <v>1</v>
          </cell>
          <cell r="E43" t="str">
            <v>string</v>
          </cell>
          <cell r="H43" t="str">
            <v>Empresa da conta</v>
          </cell>
        </row>
        <row r="44">
          <cell r="A44" t="str">
            <v>BEMIMO_OUT_TRZ_PRC_BENSCKBALCAO</v>
          </cell>
          <cell r="B44" t="str">
            <v>BEMIMO_OUT_TRZ_PRC_BENS</v>
          </cell>
          <cell r="C44" t="str">
            <v>CKBALCAO</v>
          </cell>
          <cell r="D44">
            <v>2</v>
          </cell>
          <cell r="E44" t="str">
            <v>string</v>
          </cell>
          <cell r="H44" t="str">
            <v>Código do balcão da Conta ID da Garantia</v>
          </cell>
        </row>
        <row r="45">
          <cell r="A45" t="str">
            <v>BEMIMO_OUT_TRZ_PRC_BENSCKNUMCTA</v>
          </cell>
          <cell r="B45" t="str">
            <v>BEMIMO_OUT_TRZ_PRC_BENS</v>
          </cell>
          <cell r="C45" t="str">
            <v>CKNUMCTA</v>
          </cell>
          <cell r="D45">
            <v>3</v>
          </cell>
          <cell r="E45" t="str">
            <v>string</v>
          </cell>
          <cell r="H45" t="str">
            <v>Número de Conta ID da Garantia</v>
          </cell>
        </row>
        <row r="46">
          <cell r="A46" t="str">
            <v>BEMIMO_OUT_TRZ_PRC_BENSCOMP_ID_GAR</v>
          </cell>
          <cell r="B46" t="str">
            <v>BEMIMO_OUT_TRZ_PRC_BENS</v>
          </cell>
          <cell r="C46" t="str">
            <v>COMP_ID_GAR</v>
          </cell>
          <cell r="D46">
            <v>4</v>
          </cell>
          <cell r="E46" t="str">
            <v>string</v>
          </cell>
          <cell r="H46" t="str">
            <v>Número ID da Caução / Versão GP / ID garantia Lease</v>
          </cell>
        </row>
        <row r="47">
          <cell r="A47" t="str">
            <v>BEMIMO_OUT_TRZ_PRC_BENSCEMPBEM</v>
          </cell>
          <cell r="B47" t="str">
            <v>BEMIMO_OUT_TRZ_PRC_BENS</v>
          </cell>
          <cell r="C47" t="str">
            <v>CEMPBEM</v>
          </cell>
          <cell r="D47">
            <v>5</v>
          </cell>
          <cell r="E47" t="str">
            <v>string</v>
          </cell>
          <cell r="H47" t="str">
            <v>Código de empresa do Bem</v>
          </cell>
        </row>
        <row r="48">
          <cell r="A48" t="str">
            <v>BEMIMO_OUT_TRZ_PRC_BENSCKBALBEM</v>
          </cell>
          <cell r="B48" t="str">
            <v>BEMIMO_OUT_TRZ_PRC_BENS</v>
          </cell>
          <cell r="C48" t="str">
            <v>CKBALBEM</v>
          </cell>
          <cell r="D48">
            <v>6</v>
          </cell>
          <cell r="E48" t="str">
            <v>string</v>
          </cell>
          <cell r="H48" t="str">
            <v>Código do balcão do Bem</v>
          </cell>
        </row>
        <row r="49">
          <cell r="A49" t="str">
            <v>BEMIMO_OUT_TRZ_PRC_BENSCKCTABEM</v>
          </cell>
          <cell r="B49" t="str">
            <v>BEMIMO_OUT_TRZ_PRC_BENS</v>
          </cell>
          <cell r="C49" t="str">
            <v>CKCTABEM</v>
          </cell>
          <cell r="D49">
            <v>7</v>
          </cell>
          <cell r="E49" t="str">
            <v>string</v>
          </cell>
          <cell r="H49" t="str">
            <v>Número de conta do Bem</v>
          </cell>
        </row>
        <row r="50">
          <cell r="A50" t="str">
            <v>BEMIMO_OUT_TRZ_PRC_BENSCKREFBEM</v>
          </cell>
          <cell r="B50" t="str">
            <v>BEMIMO_OUT_TRZ_PRC_BENS</v>
          </cell>
          <cell r="C50" t="str">
            <v>CKREFBEM</v>
          </cell>
          <cell r="D50">
            <v>8</v>
          </cell>
          <cell r="E50" t="str">
            <v>string</v>
          </cell>
          <cell r="H50" t="str">
            <v>Número do Bem</v>
          </cell>
        </row>
        <row r="51">
          <cell r="A51" t="str">
            <v>BEMIMO_OUT_TRZ_PRC_BENSFLG_FIN</v>
          </cell>
          <cell r="B51" t="str">
            <v>BEMIMO_OUT_TRZ_PRC_BENS</v>
          </cell>
          <cell r="C51" t="str">
            <v>FLG_FIN</v>
          </cell>
          <cell r="D51">
            <v>9</v>
          </cell>
          <cell r="E51" t="str">
            <v>smallint</v>
          </cell>
          <cell r="H51" t="str">
            <v>Indicador de bem financiado</v>
          </cell>
        </row>
        <row r="52">
          <cell r="A52" t="str">
            <v>BEMIMO_OUT_TRZ_PRC_BENSFLG_ADJ</v>
          </cell>
          <cell r="B52" t="str">
            <v>BEMIMO_OUT_TRZ_PRC_BENS</v>
          </cell>
          <cell r="C52" t="str">
            <v>FLG_ADJ</v>
          </cell>
          <cell r="D52">
            <v>10</v>
          </cell>
          <cell r="E52" t="str">
            <v>smallint</v>
          </cell>
          <cell r="H52" t="str">
            <v>Indicador de bem adjudicado</v>
          </cell>
        </row>
        <row r="53">
          <cell r="A53" t="str">
            <v>BEMIMO_OUT_TRZ_PRC_BENSFLG_COL</v>
          </cell>
          <cell r="B53" t="str">
            <v>BEMIMO_OUT_TRZ_PRC_BENS</v>
          </cell>
          <cell r="C53" t="str">
            <v>FLG_COL</v>
          </cell>
          <cell r="D53">
            <v>11</v>
          </cell>
          <cell r="E53" t="str">
            <v>smallint</v>
          </cell>
          <cell r="H53" t="str">
            <v>Indicador de bem colateral</v>
          </cell>
        </row>
        <row r="54">
          <cell r="A54" t="str">
            <v>BEMIMO_OUT_TRZ_PRC_BENSFLG_PRO</v>
          </cell>
          <cell r="B54" t="str">
            <v>BEMIMO_OUT_TRZ_PRC_BENS</v>
          </cell>
          <cell r="C54" t="str">
            <v>FLG_PRO</v>
          </cell>
          <cell r="D54">
            <v>12</v>
          </cell>
          <cell r="E54" t="str">
            <v>smallint</v>
          </cell>
          <cell r="H54" t="str">
            <v>Indicador de bem próprio</v>
          </cell>
        </row>
        <row r="55">
          <cell r="A55" t="str">
            <v>BEMIMO_OUT_TRZ_PRC_BENSCKUTULMO</v>
          </cell>
          <cell r="B55" t="str">
            <v>BEMIMO_OUT_TRZ_PRC_BENS</v>
          </cell>
          <cell r="C55" t="str">
            <v>CKUTULMO</v>
          </cell>
          <cell r="D55">
            <v>13</v>
          </cell>
          <cell r="E55" t="str">
            <v>string</v>
          </cell>
          <cell r="H55" t="str">
            <v>Utilizador que despoleta o processamento</v>
          </cell>
        </row>
        <row r="56">
          <cell r="A56" t="str">
            <v>BEMIMO_OUT_TRZ_PRC_BENSHTIMEST</v>
          </cell>
          <cell r="B56" t="str">
            <v>BEMIMO_OUT_TRZ_PRC_BENS</v>
          </cell>
          <cell r="C56" t="str">
            <v>HTIMEST</v>
          </cell>
          <cell r="D56">
            <v>14</v>
          </cell>
          <cell r="E56" t="str">
            <v>timestamp</v>
          </cell>
          <cell r="H56" t="str">
            <v>Timestamp de inserção do registo na tabela</v>
          </cell>
        </row>
        <row r="57">
          <cell r="A57" t="str">
            <v>BEMIMO_OUT_TRZ_PRC_BENSREF_DATE</v>
          </cell>
          <cell r="B57" t="str">
            <v>BEMIMO_OUT_TRZ_PRC_BENS</v>
          </cell>
          <cell r="C57" t="str">
            <v>REF_DATE</v>
          </cell>
          <cell r="D57">
            <v>15</v>
          </cell>
          <cell r="E57" t="str">
            <v>string</v>
          </cell>
          <cell r="H57" t="str">
            <v>Data de referencia dos dados</v>
          </cell>
        </row>
        <row r="58">
          <cell r="A58" t="str">
            <v>BEMIMO_OUT_TRZ_PRC_BENSORIGEM</v>
          </cell>
          <cell r="B58" t="str">
            <v>BEMIMO_OUT_TRZ_PRC_BENS</v>
          </cell>
          <cell r="C58" t="str">
            <v>ORIGEM</v>
          </cell>
          <cell r="D58">
            <v>16</v>
          </cell>
          <cell r="E58" t="str">
            <v>string</v>
          </cell>
          <cell r="H58" t="str">
            <v>Codigo ID sistema origem da garantia (CS, GP, Lease, outros)</v>
          </cell>
        </row>
        <row r="59">
          <cell r="A59" t="str">
            <v>BEMIMO_OUT_BENSCEMPBEM</v>
          </cell>
          <cell r="B59" t="str">
            <v>BEMIMO_OUT_BENS</v>
          </cell>
          <cell r="C59" t="str">
            <v>CEMPBEM</v>
          </cell>
          <cell r="D59">
            <v>1</v>
          </cell>
          <cell r="E59" t="str">
            <v>string</v>
          </cell>
          <cell r="H59" t="str">
            <v>Código de empresa do Bem</v>
          </cell>
        </row>
        <row r="60">
          <cell r="A60" t="str">
            <v>BEMIMO_OUT_BENSCKBALBEM</v>
          </cell>
          <cell r="B60" t="str">
            <v>BEMIMO_OUT_BENS</v>
          </cell>
          <cell r="C60" t="str">
            <v>CKBALBEM</v>
          </cell>
          <cell r="D60">
            <v>2</v>
          </cell>
          <cell r="E60" t="str">
            <v>string</v>
          </cell>
          <cell r="H60" t="str">
            <v>Código do balcão do Bem</v>
          </cell>
        </row>
        <row r="61">
          <cell r="A61" t="str">
            <v>BEMIMO_OUT_BENSCKCTABEM</v>
          </cell>
          <cell r="B61" t="str">
            <v>BEMIMO_OUT_BENS</v>
          </cell>
          <cell r="C61" t="str">
            <v>CKCTABEM</v>
          </cell>
          <cell r="D61">
            <v>3</v>
          </cell>
          <cell r="E61" t="str">
            <v>string</v>
          </cell>
          <cell r="H61" t="str">
            <v>Número de conta do Bem</v>
          </cell>
        </row>
        <row r="62">
          <cell r="A62" t="str">
            <v>BEMIMO_OUT_BENSCKREFBEM</v>
          </cell>
          <cell r="B62" t="str">
            <v>BEMIMO_OUT_BENS</v>
          </cell>
          <cell r="C62" t="str">
            <v>CKREFBEM</v>
          </cell>
          <cell r="D62">
            <v>4</v>
          </cell>
          <cell r="E62" t="str">
            <v>string</v>
          </cell>
          <cell r="H62" t="str">
            <v>Número do Bem</v>
          </cell>
        </row>
        <row r="63">
          <cell r="A63" t="str">
            <v>BEMIMO_OUT_BENSCOD_TP_BEM</v>
          </cell>
          <cell r="B63" t="str">
            <v>BEMIMO_OUT_BENS</v>
          </cell>
          <cell r="C63" t="str">
            <v>COD_TP_BEM</v>
          </cell>
          <cell r="D63">
            <v>5</v>
          </cell>
          <cell r="E63" t="str">
            <v>string</v>
          </cell>
          <cell r="H63" t="str">
            <v>Código indicador de tipo de bem</v>
          </cell>
        </row>
        <row r="64">
          <cell r="A64" t="str">
            <v>BEMIMO_OUT_BENSCOD_DISCONF</v>
          </cell>
          <cell r="B64" t="str">
            <v>BEMIMO_OUT_BENS</v>
          </cell>
          <cell r="C64" t="str">
            <v>COD_DISCONF</v>
          </cell>
          <cell r="D64">
            <v>6</v>
          </cell>
          <cell r="E64" t="str">
            <v>string</v>
          </cell>
          <cell r="H64" t="str">
            <v>Distrito Concelho Freguesia</v>
          </cell>
        </row>
        <row r="65">
          <cell r="A65" t="str">
            <v>BEMIMO_OUT_BENSLOCALID</v>
          </cell>
          <cell r="B65" t="str">
            <v>BEMIMO_OUT_BENS</v>
          </cell>
          <cell r="C65" t="str">
            <v>LOCALID</v>
          </cell>
          <cell r="D65">
            <v>7</v>
          </cell>
          <cell r="E65" t="str">
            <v>string</v>
          </cell>
          <cell r="H65" t="str">
            <v xml:space="preserve">Localidade                     </v>
          </cell>
        </row>
        <row r="66">
          <cell r="A66" t="str">
            <v>BEMIMO_OUT_BENSURBANIZ</v>
          </cell>
          <cell r="B66" t="str">
            <v>BEMIMO_OUT_BENS</v>
          </cell>
          <cell r="C66" t="str">
            <v>URBANIZ</v>
          </cell>
          <cell r="D66">
            <v>8</v>
          </cell>
          <cell r="E66" t="str">
            <v>string</v>
          </cell>
          <cell r="H66" t="str">
            <v xml:space="preserve">Urbanização                    </v>
          </cell>
        </row>
        <row r="67">
          <cell r="A67" t="str">
            <v>BEMIMO_OUT_BENSCOD_MORADA</v>
          </cell>
          <cell r="B67" t="str">
            <v>BEMIMO_OUT_BENS</v>
          </cell>
          <cell r="C67" t="str">
            <v>COD_MORADA</v>
          </cell>
          <cell r="D67">
            <v>9</v>
          </cell>
          <cell r="E67" t="str">
            <v>string</v>
          </cell>
          <cell r="H67" t="str">
            <v xml:space="preserve">Código da morada(rua,avenida,etc)       </v>
          </cell>
        </row>
        <row r="68">
          <cell r="A68" t="str">
            <v>BEMIMO_OUT_BENSMORADA</v>
          </cell>
          <cell r="B68" t="str">
            <v>BEMIMO_OUT_BENS</v>
          </cell>
          <cell r="C68" t="str">
            <v>MORADA</v>
          </cell>
          <cell r="D68">
            <v>10</v>
          </cell>
          <cell r="E68" t="str">
            <v>string</v>
          </cell>
          <cell r="H68" t="str">
            <v xml:space="preserve">Morada                         </v>
          </cell>
        </row>
        <row r="69">
          <cell r="A69" t="str">
            <v>BEMIMO_OUT_BENSNUM</v>
          </cell>
          <cell r="B69" t="str">
            <v>BEMIMO_OUT_BENS</v>
          </cell>
          <cell r="C69" t="str">
            <v>NUM</v>
          </cell>
          <cell r="D69">
            <v>11</v>
          </cell>
          <cell r="E69" t="str">
            <v>string</v>
          </cell>
          <cell r="H69" t="str">
            <v xml:space="preserve">Número                         </v>
          </cell>
        </row>
        <row r="70">
          <cell r="A70" t="str">
            <v>BEMIMO_OUT_BENSLOTE</v>
          </cell>
          <cell r="B70" t="str">
            <v>BEMIMO_OUT_BENS</v>
          </cell>
          <cell r="C70" t="str">
            <v>LOTE</v>
          </cell>
          <cell r="D70">
            <v>12</v>
          </cell>
          <cell r="E70" t="str">
            <v>string</v>
          </cell>
          <cell r="H70" t="str">
            <v xml:space="preserve">Lote                           </v>
          </cell>
        </row>
        <row r="71">
          <cell r="A71" t="str">
            <v>BEMIMO_OUT_BENSID_FRAC</v>
          </cell>
          <cell r="B71" t="str">
            <v>BEMIMO_OUT_BENS</v>
          </cell>
          <cell r="C71" t="str">
            <v>ID_FRAC</v>
          </cell>
          <cell r="D71">
            <v>13</v>
          </cell>
          <cell r="E71" t="str">
            <v>string</v>
          </cell>
          <cell r="H71" t="str">
            <v xml:space="preserve">Identificação da fracção       </v>
          </cell>
        </row>
        <row r="72">
          <cell r="A72" t="str">
            <v>BEMIMO_OUT_BENSCOD_PAIS</v>
          </cell>
          <cell r="B72" t="str">
            <v>BEMIMO_OUT_BENS</v>
          </cell>
          <cell r="C72" t="str">
            <v>COD_PAIS</v>
          </cell>
          <cell r="D72">
            <v>14</v>
          </cell>
          <cell r="E72" t="str">
            <v>string</v>
          </cell>
          <cell r="H72" t="str">
            <v>País da morada</v>
          </cell>
        </row>
        <row r="73">
          <cell r="A73" t="str">
            <v>BEMIMO_OUT_BENSCOD_IDD_PRED</v>
          </cell>
          <cell r="B73" t="str">
            <v>BEMIMO_OUT_BENS</v>
          </cell>
          <cell r="C73" t="str">
            <v>COD_IDD_PRED</v>
          </cell>
          <cell r="D73">
            <v>15</v>
          </cell>
          <cell r="E73" t="str">
            <v>string</v>
          </cell>
          <cell r="H73" t="str">
            <v>Código de idade do bem</v>
          </cell>
        </row>
        <row r="74">
          <cell r="A74" t="str">
            <v>BEMIMO_OUT_BENSPERC_OBRA</v>
          </cell>
          <cell r="B74" t="str">
            <v>BEMIMO_OUT_BENS</v>
          </cell>
          <cell r="C74" t="str">
            <v>PERC_OBRA</v>
          </cell>
          <cell r="D74">
            <v>16</v>
          </cell>
          <cell r="E74" t="str">
            <v>decimal</v>
          </cell>
          <cell r="F74">
            <v>17</v>
          </cell>
          <cell r="G74">
            <v>2</v>
          </cell>
          <cell r="H74" t="str">
            <v>Percentagem de obra</v>
          </cell>
        </row>
        <row r="75">
          <cell r="A75" t="str">
            <v>BEMIMO_OUT_BENSCOD_ART_MATR</v>
          </cell>
          <cell r="B75" t="str">
            <v>BEMIMO_OUT_BENS</v>
          </cell>
          <cell r="C75" t="str">
            <v>COD_ART_MATR</v>
          </cell>
          <cell r="D75">
            <v>17</v>
          </cell>
          <cell r="E75" t="str">
            <v>string</v>
          </cell>
          <cell r="H75" t="str">
            <v>Código Matricial</v>
          </cell>
        </row>
        <row r="76">
          <cell r="A76" t="str">
            <v>BEMIMO_OUT_BENSCOD_FIN_BEM</v>
          </cell>
          <cell r="B76" t="str">
            <v>BEMIMO_OUT_BENS</v>
          </cell>
          <cell r="C76" t="str">
            <v>COD_FIN_BEM</v>
          </cell>
          <cell r="D76">
            <v>18</v>
          </cell>
          <cell r="E76" t="str">
            <v>string</v>
          </cell>
          <cell r="H76" t="str">
            <v>Código indicador de utilização (finalidade) do bem</v>
          </cell>
        </row>
        <row r="77">
          <cell r="A77" t="str">
            <v>BEMIMO_OUT_BENSCOD_POST</v>
          </cell>
          <cell r="B77" t="str">
            <v>BEMIMO_OUT_BENS</v>
          </cell>
          <cell r="C77" t="str">
            <v>COD_POST</v>
          </cell>
          <cell r="D77">
            <v>19</v>
          </cell>
          <cell r="E77" t="str">
            <v>string</v>
          </cell>
          <cell r="H77" t="str">
            <v>Código Postal</v>
          </cell>
        </row>
        <row r="78">
          <cell r="A78" t="str">
            <v>BEMIMO_OUT_BENSMONTANTE_AVL</v>
          </cell>
          <cell r="B78" t="str">
            <v>BEMIMO_OUT_BENS</v>
          </cell>
          <cell r="C78" t="str">
            <v>MONTANTE_AVL</v>
          </cell>
          <cell r="D78">
            <v>20</v>
          </cell>
          <cell r="E78" t="str">
            <v>decimal</v>
          </cell>
          <cell r="F78">
            <v>17</v>
          </cell>
          <cell r="G78">
            <v>2</v>
          </cell>
          <cell r="H78" t="str">
            <v>Montante ultima avaliação</v>
          </cell>
        </row>
        <row r="79">
          <cell r="A79" t="str">
            <v>BEMIMO_OUT_BENSDATA_AVL</v>
          </cell>
          <cell r="B79" t="str">
            <v>BEMIMO_OUT_BENS</v>
          </cell>
          <cell r="C79" t="str">
            <v>DATA_AVL</v>
          </cell>
          <cell r="D79">
            <v>21</v>
          </cell>
          <cell r="E79" t="str">
            <v>string</v>
          </cell>
          <cell r="H79" t="str">
            <v>Data da última avaliação</v>
          </cell>
        </row>
        <row r="80">
          <cell r="A80" t="str">
            <v>BEMIMO_OUT_BENSMONTANTE_AVL_DIST</v>
          </cell>
          <cell r="B80" t="str">
            <v>BEMIMO_OUT_BENS</v>
          </cell>
          <cell r="C80" t="str">
            <v>MONTANTE_AVL_DIST</v>
          </cell>
          <cell r="D80">
            <v>22</v>
          </cell>
          <cell r="E80" t="str">
            <v>decimal</v>
          </cell>
          <cell r="F80">
            <v>17</v>
          </cell>
          <cell r="G80">
            <v>2</v>
          </cell>
          <cell r="H80" t="str">
            <v xml:space="preserve">Montante de avl. distrate  </v>
          </cell>
        </row>
        <row r="81">
          <cell r="A81" t="str">
            <v>BEMIMO_OUT_BENSCOD_AVL</v>
          </cell>
          <cell r="B81" t="str">
            <v>BEMIMO_OUT_BENS</v>
          </cell>
          <cell r="C81" t="str">
            <v>COD_AVL</v>
          </cell>
          <cell r="D81">
            <v>23</v>
          </cell>
          <cell r="E81" t="str">
            <v>string</v>
          </cell>
          <cell r="H81" t="str">
            <v>Código interno da avaliadora</v>
          </cell>
        </row>
        <row r="82">
          <cell r="A82" t="str">
            <v>BEMIMO_OUT_BENSFICHA</v>
          </cell>
          <cell r="B82" t="str">
            <v>BEMIMO_OUT_BENS</v>
          </cell>
          <cell r="C82" t="str">
            <v>FICHA</v>
          </cell>
          <cell r="D82">
            <v>24</v>
          </cell>
          <cell r="E82" t="str">
            <v>string</v>
          </cell>
          <cell r="H82" t="str">
            <v>Número de ficha de inscrição da hipoteca na conservatória</v>
          </cell>
        </row>
        <row r="83">
          <cell r="A83" t="str">
            <v>BEMIMO_OUT_BENSMONTANTE_VND_RAP</v>
          </cell>
          <cell r="B83" t="str">
            <v>BEMIMO_OUT_BENS</v>
          </cell>
          <cell r="C83" t="str">
            <v>MONTANTE_VND_RAP</v>
          </cell>
          <cell r="D83">
            <v>25</v>
          </cell>
          <cell r="E83" t="str">
            <v>string</v>
          </cell>
          <cell r="H83" t="str">
            <v>Montante de venda rápida p/dações</v>
          </cell>
        </row>
        <row r="84">
          <cell r="A84" t="str">
            <v>BEMIMO_OUT_BENSPREALCONS</v>
          </cell>
          <cell r="B84" t="str">
            <v>BEMIMO_OUT_BENS</v>
          </cell>
          <cell r="C84" t="str">
            <v>PREALCONS</v>
          </cell>
          <cell r="D84">
            <v>26</v>
          </cell>
          <cell r="E84" t="str">
            <v>string</v>
          </cell>
          <cell r="H84" t="str">
            <v>Percentagem de realização de utilização</v>
          </cell>
        </row>
        <row r="85">
          <cell r="A85" t="str">
            <v>BEMIMO_OUT_BENSDATA_LIC_UTIL</v>
          </cell>
          <cell r="B85" t="str">
            <v>BEMIMO_OUT_BENS</v>
          </cell>
          <cell r="C85" t="str">
            <v>DATA_LIC_UTIL</v>
          </cell>
          <cell r="D85">
            <v>27</v>
          </cell>
          <cell r="E85" t="str">
            <v>string</v>
          </cell>
          <cell r="H85" t="str">
            <v>Data de emissão da licença de utilização</v>
          </cell>
        </row>
        <row r="86">
          <cell r="A86" t="str">
            <v>BEMIMO_OUT_BENSAREA_UTIL</v>
          </cell>
          <cell r="B86" t="str">
            <v>BEMIMO_OUT_BENS</v>
          </cell>
          <cell r="C86" t="str">
            <v>AREA_UTIL</v>
          </cell>
          <cell r="D86">
            <v>28</v>
          </cell>
          <cell r="E86" t="str">
            <v>decimal</v>
          </cell>
          <cell r="F86">
            <v>17</v>
          </cell>
          <cell r="G86">
            <v>2</v>
          </cell>
          <cell r="H86" t="str">
            <v>Área útil do imóvel</v>
          </cell>
        </row>
        <row r="87">
          <cell r="A87" t="str">
            <v>BEMIMO_OUT_BENSANO_CONSTRUCAO</v>
          </cell>
          <cell r="B87" t="str">
            <v>BEMIMO_OUT_BENS</v>
          </cell>
          <cell r="C87" t="str">
            <v>ANO_CONSTRUCAO</v>
          </cell>
          <cell r="D87">
            <v>29</v>
          </cell>
          <cell r="E87" t="str">
            <v>string</v>
          </cell>
          <cell r="H87" t="str">
            <v>Ano de construção do imóvel</v>
          </cell>
        </row>
        <row r="88">
          <cell r="A88" t="str">
            <v>BEMIMO_OUT_BENSCKUTULMO</v>
          </cell>
          <cell r="B88" t="str">
            <v>BEMIMO_OUT_BENS</v>
          </cell>
          <cell r="C88" t="str">
            <v>CKUTULMO</v>
          </cell>
          <cell r="D88">
            <v>30</v>
          </cell>
          <cell r="E88" t="str">
            <v>string</v>
          </cell>
          <cell r="H88" t="str">
            <v>Utilizador que despoleta o processamento</v>
          </cell>
        </row>
        <row r="89">
          <cell r="A89" t="str">
            <v>BEMIMO_OUT_BENSHTIMEST</v>
          </cell>
          <cell r="B89" t="str">
            <v>BEMIMO_OUT_BENS</v>
          </cell>
          <cell r="C89" t="str">
            <v>HTIMEST</v>
          </cell>
          <cell r="D89">
            <v>31</v>
          </cell>
          <cell r="E89" t="str">
            <v>string</v>
          </cell>
          <cell r="H89" t="str">
            <v>Timestamp de inserção do registo na tabela</v>
          </cell>
        </row>
        <row r="90">
          <cell r="A90" t="str">
            <v>BEMIMO_OUT_BENSREF_DATE</v>
          </cell>
          <cell r="B90" t="str">
            <v>BEMIMO_OUT_BENS</v>
          </cell>
          <cell r="C90" t="str">
            <v>REF_DATE</v>
          </cell>
          <cell r="D90">
            <v>32</v>
          </cell>
          <cell r="E90" t="str">
            <v>string</v>
          </cell>
          <cell r="H90" t="str">
            <v>Data de referencia dos dados</v>
          </cell>
        </row>
        <row r="91">
          <cell r="A91" t="str">
            <v>BEMIMO_OUT_BENSORIGEM</v>
          </cell>
          <cell r="B91" t="str">
            <v>BEMIMO_OUT_BENS</v>
          </cell>
          <cell r="C91" t="str">
            <v>ORIGEM</v>
          </cell>
          <cell r="D91">
            <v>33</v>
          </cell>
          <cell r="E91" t="str">
            <v>string</v>
          </cell>
          <cell r="H91" t="str">
            <v>Codigo ID sistema origem da garantia (CS, GP, Lease, outros)</v>
          </cell>
        </row>
        <row r="92">
          <cell r="A92" t="str">
            <v>BEMIMO_OUT_CERTIFCEMPBEM</v>
          </cell>
          <cell r="B92" t="str">
            <v>BEMIMO_OUT_CERTIF</v>
          </cell>
          <cell r="C92" t="str">
            <v>CEMPBEM</v>
          </cell>
          <cell r="D92">
            <v>1</v>
          </cell>
          <cell r="E92" t="str">
            <v>string</v>
          </cell>
          <cell r="H92" t="str">
            <v>Código de empresa do Bem</v>
          </cell>
        </row>
        <row r="93">
          <cell r="A93" t="str">
            <v>BEMIMO_OUT_CERTIFCKBALBEM</v>
          </cell>
          <cell r="B93" t="str">
            <v>BEMIMO_OUT_CERTIF</v>
          </cell>
          <cell r="C93" t="str">
            <v>CKBALBEM</v>
          </cell>
          <cell r="D93">
            <v>2</v>
          </cell>
          <cell r="E93" t="str">
            <v>string</v>
          </cell>
          <cell r="H93" t="str">
            <v>Código do balcão do Bem</v>
          </cell>
        </row>
        <row r="94">
          <cell r="A94" t="str">
            <v>BEMIMO_OUT_CERTIFCKCTABEM</v>
          </cell>
          <cell r="B94" t="str">
            <v>BEMIMO_OUT_CERTIF</v>
          </cell>
          <cell r="C94" t="str">
            <v>CKCTABEM</v>
          </cell>
          <cell r="D94">
            <v>3</v>
          </cell>
          <cell r="E94" t="str">
            <v>string</v>
          </cell>
          <cell r="H94" t="str">
            <v>Número de conta do Bem</v>
          </cell>
        </row>
        <row r="95">
          <cell r="A95" t="str">
            <v>BEMIMO_OUT_CERTIFCKREFBEM</v>
          </cell>
          <cell r="B95" t="str">
            <v>BEMIMO_OUT_CERTIF</v>
          </cell>
          <cell r="C95" t="str">
            <v>CKREFBEM</v>
          </cell>
          <cell r="D95">
            <v>4</v>
          </cell>
          <cell r="E95" t="str">
            <v>string</v>
          </cell>
          <cell r="H95" t="str">
            <v>Número do Bem</v>
          </cell>
        </row>
        <row r="96">
          <cell r="A96" t="str">
            <v>BEMIMO_OUT_CERTIFDATA_EPC</v>
          </cell>
          <cell r="B96" t="str">
            <v>BEMIMO_OUT_CERTIF</v>
          </cell>
          <cell r="C96" t="str">
            <v>DATA_EPC</v>
          </cell>
          <cell r="D96">
            <v>5</v>
          </cell>
          <cell r="E96" t="str">
            <v>string</v>
          </cell>
          <cell r="H96" t="str">
            <v>Data de emissão do documento EPC</v>
          </cell>
        </row>
        <row r="97">
          <cell r="A97" t="str">
            <v>BEMIMO_OUT_CERTIFEPC</v>
          </cell>
          <cell r="B97" t="str">
            <v>BEMIMO_OUT_CERTIF</v>
          </cell>
          <cell r="C97" t="str">
            <v>EPC</v>
          </cell>
          <cell r="D97">
            <v>6</v>
          </cell>
          <cell r="E97" t="str">
            <v>string</v>
          </cell>
          <cell r="H97" t="str">
            <v>Rating que determina o grau de eficiência energética de um edifício, a ser usada para medir o risco de transição</v>
          </cell>
        </row>
        <row r="98">
          <cell r="A98" t="str">
            <v>BEMIMO_OUT_CERTIFDATA_EXPRC_EPC</v>
          </cell>
          <cell r="B98" t="str">
            <v>BEMIMO_OUT_CERTIF</v>
          </cell>
          <cell r="C98" t="str">
            <v>DATA_EXPRC_EPC</v>
          </cell>
          <cell r="D98">
            <v>7</v>
          </cell>
          <cell r="E98" t="str">
            <v>string</v>
          </cell>
          <cell r="H98" t="str">
            <v>Data que expira o documento EPC</v>
          </cell>
        </row>
        <row r="99">
          <cell r="A99" t="str">
            <v>BEMIMO_OUT_CERTIFVLR_ENRG_RENEW</v>
          </cell>
          <cell r="B99" t="str">
            <v>BEMIMO_OUT_CERTIF</v>
          </cell>
          <cell r="C99" t="str">
            <v>VLR_ENRG_RENEW</v>
          </cell>
          <cell r="D99">
            <v>8</v>
          </cell>
          <cell r="E99" t="str">
            <v>decimal</v>
          </cell>
          <cell r="F99">
            <v>17</v>
          </cell>
          <cell r="G99">
            <v>2</v>
          </cell>
          <cell r="H99" t="str">
            <v>Representação da energia gerada a partir de fontes renováveis</v>
          </cell>
        </row>
        <row r="100">
          <cell r="A100" t="str">
            <v>BEMIMO_OUT_CERTIFVLR_EMSS_ANO</v>
          </cell>
          <cell r="B100" t="str">
            <v>BEMIMO_OUT_CERTIF</v>
          </cell>
          <cell r="C100" t="str">
            <v>VLR_EMSS_ANO</v>
          </cell>
          <cell r="D100">
            <v>9</v>
          </cell>
          <cell r="E100" t="str">
            <v>decimal</v>
          </cell>
          <cell r="F100">
            <v>17</v>
          </cell>
          <cell r="G100">
            <v>2</v>
          </cell>
          <cell r="H100" t="str">
            <v>Emissões kgco2/m2ano</v>
          </cell>
        </row>
        <row r="101">
          <cell r="A101" t="str">
            <v>BEMIMO_OUT_CERTIFFLG_NZEB</v>
          </cell>
          <cell r="B101" t="str">
            <v>BEMIMO_OUT_CERTIF</v>
          </cell>
          <cell r="C101" t="str">
            <v>FLG_NZEB</v>
          </cell>
          <cell r="D101">
            <v>10</v>
          </cell>
          <cell r="E101" t="str">
            <v>decimal</v>
          </cell>
          <cell r="F101">
            <v>17</v>
          </cell>
          <cell r="G101">
            <v>2</v>
          </cell>
          <cell r="H101" t="str">
            <v>Indicador que identifica edifícios NZEB</v>
          </cell>
        </row>
        <row r="102">
          <cell r="A102" t="str">
            <v>BEMIMO_OUT_CERTIFNVL_EFCC_ENRG</v>
          </cell>
          <cell r="B102" t="str">
            <v>BEMIMO_OUT_CERTIF</v>
          </cell>
          <cell r="C102" t="str">
            <v>NVL_EFCC_ENRG</v>
          </cell>
          <cell r="D102">
            <v>11</v>
          </cell>
          <cell r="E102" t="str">
            <v>decimal</v>
          </cell>
          <cell r="F102">
            <v>17</v>
          </cell>
          <cell r="G102">
            <v>2</v>
          </cell>
          <cell r="H102" t="str">
            <v>(Valor EP em kWh/m²)</v>
          </cell>
        </row>
        <row r="103">
          <cell r="A103" t="str">
            <v>BEMIMO_OUT_CERTIFVLR_CNSM_ANO</v>
          </cell>
          <cell r="B103" t="str">
            <v>BEMIMO_OUT_CERTIF</v>
          </cell>
          <cell r="C103" t="str">
            <v>VLR_CNSM_ANO</v>
          </cell>
          <cell r="D103">
            <v>12</v>
          </cell>
          <cell r="E103" t="str">
            <v>decimal</v>
          </cell>
          <cell r="F103">
            <v>17</v>
          </cell>
          <cell r="G103">
            <v>2</v>
          </cell>
          <cell r="H103" t="str">
            <v>Consumo kwh/m2ano</v>
          </cell>
        </row>
        <row r="104">
          <cell r="A104" t="str">
            <v>BEMIMO_OUT_CERTIFTP_CRTFCD</v>
          </cell>
          <cell r="B104" t="str">
            <v>BEMIMO_OUT_CERTIF</v>
          </cell>
          <cell r="C104" t="str">
            <v>TP_CRTFCD</v>
          </cell>
          <cell r="D104">
            <v>13</v>
          </cell>
          <cell r="E104" t="str">
            <v>string</v>
          </cell>
          <cell r="H104" t="str">
            <v>Tipo de certificado</v>
          </cell>
        </row>
        <row r="105">
          <cell r="A105" t="str">
            <v>BEMIMO_OUT_CERTIFCOD_SCE</v>
          </cell>
          <cell r="B105" t="str">
            <v>BEMIMO_OUT_CERTIF</v>
          </cell>
          <cell r="C105" t="str">
            <v>COD_SCE</v>
          </cell>
          <cell r="D105">
            <v>14</v>
          </cell>
          <cell r="E105" t="str">
            <v>string</v>
          </cell>
          <cell r="H105" t="str">
            <v>Numero SCE</v>
          </cell>
        </row>
        <row r="106">
          <cell r="A106" t="str">
            <v>BEMIMO_OUT_CERTIFCOD_CNSRVTR_RGST_PRDL</v>
          </cell>
          <cell r="B106" t="str">
            <v>BEMIMO_OUT_CERTIF</v>
          </cell>
          <cell r="C106" t="str">
            <v>COD_CNSRVTR_RGST_PRDL</v>
          </cell>
          <cell r="D106">
            <v>15</v>
          </cell>
          <cell r="E106" t="str">
            <v>string</v>
          </cell>
          <cell r="H106" t="str">
            <v>Land Registry Office</v>
          </cell>
        </row>
        <row r="107">
          <cell r="A107" t="str">
            <v>BEMIMO_OUT_CERTIFCOD_INSCRC</v>
          </cell>
          <cell r="B107" t="str">
            <v>BEMIMO_OUT_CERTIF</v>
          </cell>
          <cell r="C107" t="str">
            <v>COD_INSCRC</v>
          </cell>
          <cell r="D107">
            <v>16</v>
          </cell>
          <cell r="E107" t="str">
            <v>string</v>
          </cell>
          <cell r="H107" t="str">
            <v>Número de registro para identificação do imóvel</v>
          </cell>
        </row>
        <row r="108">
          <cell r="A108" t="str">
            <v>BEMIMO_OUT_CERTIFVLR_EMSS_CO2</v>
          </cell>
          <cell r="B108" t="str">
            <v>BEMIMO_OUT_CERTIF</v>
          </cell>
          <cell r="C108" t="str">
            <v>VLR_EMSS_CO2</v>
          </cell>
          <cell r="D108">
            <v>17</v>
          </cell>
          <cell r="E108" t="str">
            <v>decimal</v>
          </cell>
          <cell r="F108">
            <v>17</v>
          </cell>
          <cell r="G108">
            <v>2</v>
          </cell>
          <cell r="H108" t="str">
            <v>Emissões CO2</v>
          </cell>
        </row>
        <row r="109">
          <cell r="A109" t="str">
            <v>BEMIMO_OUT_CERTIFVLR_AQCMNT_AMBNT_RFRC</v>
          </cell>
          <cell r="B109" t="str">
            <v>BEMIMO_OUT_CERTIF</v>
          </cell>
          <cell r="C109" t="str">
            <v>VLR_AQCMNT_AMBNT_RFRC</v>
          </cell>
          <cell r="D109">
            <v>18</v>
          </cell>
          <cell r="E109" t="str">
            <v>decimal</v>
          </cell>
          <cell r="F109">
            <v>17</v>
          </cell>
          <cell r="G109">
            <v>2</v>
          </cell>
          <cell r="H109" t="str">
            <v>Referência para aquecimento do ambiente</v>
          </cell>
        </row>
        <row r="110">
          <cell r="A110" t="str">
            <v>BEMIMO_OUT_CERTIFVLR_AQCMNT_AMBNT_EDFC</v>
          </cell>
          <cell r="B110" t="str">
            <v>BEMIMO_OUT_CERTIF</v>
          </cell>
          <cell r="C110" t="str">
            <v>VLR_AQCMNT_AMBNT_EDFC</v>
          </cell>
          <cell r="D110">
            <v>19</v>
          </cell>
          <cell r="E110" t="str">
            <v>decimal</v>
          </cell>
          <cell r="F110">
            <v>17</v>
          </cell>
          <cell r="G110">
            <v>2</v>
          </cell>
          <cell r="H110" t="str">
            <v>Referência para aquecimento do espaço</v>
          </cell>
        </row>
        <row r="111">
          <cell r="A111" t="str">
            <v>BEMIMO_OUT_CERTIFVLR_AQCMNT_AMBNT_RNVV</v>
          </cell>
          <cell r="B111" t="str">
            <v>BEMIMO_OUT_CERTIF</v>
          </cell>
          <cell r="C111" t="str">
            <v>VLR_AQCMNT_AMBNT_RNVV</v>
          </cell>
          <cell r="D111">
            <v>20</v>
          </cell>
          <cell r="E111" t="str">
            <v>decimal</v>
          </cell>
          <cell r="F111">
            <v>17</v>
          </cell>
          <cell r="G111">
            <v>2</v>
          </cell>
          <cell r="H111" t="str">
            <v>Aquecimento do ambiente renovável</v>
          </cell>
        </row>
        <row r="112">
          <cell r="A112" t="str">
            <v>BEMIMO_OUT_CERTIFVLR_ARRFCMNT_AMBNT_RFRC</v>
          </cell>
          <cell r="B112" t="str">
            <v>BEMIMO_OUT_CERTIF</v>
          </cell>
          <cell r="C112" t="str">
            <v>VLR_ARRFCMNT_AMBNT_RFRC</v>
          </cell>
          <cell r="D112">
            <v>21</v>
          </cell>
          <cell r="E112" t="str">
            <v>decimal</v>
          </cell>
          <cell r="F112">
            <v>17</v>
          </cell>
          <cell r="G112">
            <v>2</v>
          </cell>
          <cell r="H112" t="str">
            <v>Referência para arrefecimento do ambiente</v>
          </cell>
        </row>
        <row r="113">
          <cell r="A113" t="str">
            <v>BEMIMO_OUT_CERTIFVLR_ARRFCMNT_AMBNT_EDFC</v>
          </cell>
          <cell r="B113" t="str">
            <v>BEMIMO_OUT_CERTIF</v>
          </cell>
          <cell r="C113" t="str">
            <v>VLR_ARRFCMNT_AMBNT_EDFC</v>
          </cell>
          <cell r="D113">
            <v>22</v>
          </cell>
          <cell r="E113" t="str">
            <v>decimal</v>
          </cell>
          <cell r="F113">
            <v>17</v>
          </cell>
          <cell r="G113">
            <v>2</v>
          </cell>
          <cell r="H113" t="str">
            <v>Referência para arrefecimento do espaço</v>
          </cell>
        </row>
        <row r="114">
          <cell r="A114" t="str">
            <v>BEMIMO_OUT_CERTIFVLR_ARRFCMNT_AMBNT_RENVV</v>
          </cell>
          <cell r="B114" t="str">
            <v>BEMIMO_OUT_CERTIF</v>
          </cell>
          <cell r="C114" t="str">
            <v>VLR_ARRFCMNT_AMBNT_RENVV</v>
          </cell>
          <cell r="D114">
            <v>23</v>
          </cell>
          <cell r="E114" t="str">
            <v>decimal</v>
          </cell>
          <cell r="F114">
            <v>17</v>
          </cell>
          <cell r="G114">
            <v>2</v>
          </cell>
          <cell r="H114" t="str">
            <v>Arrefecimento do ambiente renovável</v>
          </cell>
        </row>
        <row r="115">
          <cell r="A115" t="str">
            <v>BEMIMO_OUT_CERTIFVLR_AGUA_QNT_SNTR_RFRC</v>
          </cell>
          <cell r="B115" t="str">
            <v>BEMIMO_OUT_CERTIF</v>
          </cell>
          <cell r="C115" t="str">
            <v>VLR_AGUA_QNT_SNTR_RFRC</v>
          </cell>
          <cell r="D115">
            <v>24</v>
          </cell>
          <cell r="E115" t="str">
            <v>decimal</v>
          </cell>
          <cell r="F115">
            <v>17</v>
          </cell>
          <cell r="G115">
            <v>2</v>
          </cell>
          <cell r="H115" t="str">
            <v>Referência para água quente doméstica a nivel ambiente</v>
          </cell>
        </row>
        <row r="116">
          <cell r="A116" t="str">
            <v>BEMIMO_OUT_CERTIFVLR_AGUA_QNT_SANT_EDFC</v>
          </cell>
          <cell r="B116" t="str">
            <v>BEMIMO_OUT_CERTIF</v>
          </cell>
          <cell r="C116" t="str">
            <v>VLR_AGUA_QNT_SANT_EDFC</v>
          </cell>
          <cell r="D116">
            <v>25</v>
          </cell>
          <cell r="E116" t="str">
            <v>decimal</v>
          </cell>
          <cell r="F116">
            <v>17</v>
          </cell>
          <cell r="G116">
            <v>2</v>
          </cell>
          <cell r="H116" t="str">
            <v>Referência para água quente do edificio a nivel ambiente</v>
          </cell>
        </row>
        <row r="117">
          <cell r="A117" t="str">
            <v>BEMIMO_OUT_CERTIFVLR_AGUA_QNT_SNT_RNVV</v>
          </cell>
          <cell r="B117" t="str">
            <v>BEMIMO_OUT_CERTIF</v>
          </cell>
          <cell r="C117" t="str">
            <v>VLR_AGUA_QNT_SNT_RNVV</v>
          </cell>
          <cell r="D117">
            <v>26</v>
          </cell>
          <cell r="E117" t="str">
            <v>decimal</v>
          </cell>
          <cell r="F117">
            <v>17</v>
          </cell>
          <cell r="G117">
            <v>2</v>
          </cell>
          <cell r="H117" t="str">
            <v>Referência para água quente doméstica renovável a nivel ambiente</v>
          </cell>
        </row>
        <row r="118">
          <cell r="A118" t="str">
            <v>BEMIMO_OUT_CERTIFVLR_NCSSDD_ENRG_PRMR</v>
          </cell>
          <cell r="B118" t="str">
            <v>BEMIMO_OUT_CERTIF</v>
          </cell>
          <cell r="C118" t="str">
            <v>VLR_NCSSDD_ENRG_PRMR</v>
          </cell>
          <cell r="D118">
            <v>27</v>
          </cell>
          <cell r="E118" t="str">
            <v>decimal</v>
          </cell>
          <cell r="F118">
            <v>17</v>
          </cell>
          <cell r="G118">
            <v>2</v>
          </cell>
          <cell r="H118" t="str">
            <v>Principal energia necessária</v>
          </cell>
        </row>
        <row r="119">
          <cell r="A119" t="str">
            <v>BEMIMO_OUT_CERTIFVLR_NCSSDD_ENRG_UTL_AQCD</v>
          </cell>
          <cell r="B119" t="str">
            <v>BEMIMO_OUT_CERTIF</v>
          </cell>
          <cell r="C119" t="str">
            <v>VLR_NCSSDD_ENRG_UTL_AQCD</v>
          </cell>
          <cell r="D119">
            <v>28</v>
          </cell>
          <cell r="E119" t="str">
            <v>decimal</v>
          </cell>
          <cell r="F119">
            <v>17</v>
          </cell>
          <cell r="G119">
            <v>2</v>
          </cell>
          <cell r="H119" t="str">
            <v>Necessidades úteis de energia para aquecimento</v>
          </cell>
        </row>
        <row r="120">
          <cell r="A120" t="str">
            <v>BEMIMO_OUT_CERTIFVLR_ENRG_UTL_ARRFCMNT</v>
          </cell>
          <cell r="B120" t="str">
            <v>BEMIMO_OUT_CERTIF</v>
          </cell>
          <cell r="C120" t="str">
            <v>VLR_ENRG_UTL_ARRFCMNT</v>
          </cell>
          <cell r="D120">
            <v>29</v>
          </cell>
          <cell r="E120" t="str">
            <v>decimal</v>
          </cell>
          <cell r="F120">
            <v>17</v>
          </cell>
          <cell r="G120">
            <v>2</v>
          </cell>
          <cell r="H120" t="str">
            <v>Necessidades úteis de energia para arrefecimento</v>
          </cell>
        </row>
        <row r="121">
          <cell r="A121" t="str">
            <v>BEMIMO_OUT_CERTIFVLR_ENRG_UTL_AGUA_QT_SNT</v>
          </cell>
          <cell r="B121" t="str">
            <v>BEMIMO_OUT_CERTIF</v>
          </cell>
          <cell r="C121" t="str">
            <v>VLR_ENRG_UTL_AGUA_QT_SNT</v>
          </cell>
          <cell r="D121">
            <v>30</v>
          </cell>
          <cell r="E121" t="str">
            <v>decimal</v>
          </cell>
          <cell r="F121">
            <v>17</v>
          </cell>
          <cell r="G121">
            <v>2</v>
          </cell>
          <cell r="H121" t="str">
            <v>Energia útil para água quente sanitária</v>
          </cell>
        </row>
        <row r="122">
          <cell r="A122" t="str">
            <v>BEMIMO_OUT_CERTIFVLR_ENRG_ELTC_VNTLDR</v>
          </cell>
          <cell r="B122" t="str">
            <v>BEMIMO_OUT_CERTIF</v>
          </cell>
          <cell r="C122" t="str">
            <v>VLR_ENRG_ELTC_VNTLDR</v>
          </cell>
          <cell r="D122">
            <v>31</v>
          </cell>
          <cell r="E122" t="str">
            <v>decimal</v>
          </cell>
          <cell r="F122">
            <v>17</v>
          </cell>
          <cell r="G122">
            <v>2</v>
          </cell>
          <cell r="H122" t="str">
            <v>Energia elétrica necessária para ventiladores</v>
          </cell>
        </row>
        <row r="123">
          <cell r="A123" t="str">
            <v>BEMIMO_OUT_CERTIFVLR_ENRG_FNTS_RNVV_REGL</v>
          </cell>
          <cell r="B123" t="str">
            <v>BEMIMO_OUT_CERTIF</v>
          </cell>
          <cell r="C123" t="str">
            <v>VLR_ENRG_FNTS_RNVV_REGL</v>
          </cell>
          <cell r="D123">
            <v>32</v>
          </cell>
          <cell r="E123" t="str">
            <v>decimal</v>
          </cell>
          <cell r="F123">
            <v>17</v>
          </cell>
          <cell r="G123">
            <v>2</v>
          </cell>
          <cell r="H123" t="str">
            <v>Energia produzida a partir de fontes renováveis ​​– utilizações regulamentadas</v>
          </cell>
        </row>
        <row r="124">
          <cell r="A124" t="str">
            <v>BEMIMO_OUT_CERTIFVLR_ENRG_FNTS_RNVV_OTR_USO</v>
          </cell>
          <cell r="B124" t="str">
            <v>BEMIMO_OUT_CERTIF</v>
          </cell>
          <cell r="C124" t="str">
            <v>VLR_ENRG_FNTS_RNVV_OTR_USO</v>
          </cell>
          <cell r="D124">
            <v>33</v>
          </cell>
          <cell r="E124" t="str">
            <v>decimal</v>
          </cell>
          <cell r="F124">
            <v>17</v>
          </cell>
          <cell r="G124">
            <v>2</v>
          </cell>
          <cell r="H124" t="str">
            <v>Energia produzida a partir de fontes renováveis ​​– outras fontes</v>
          </cell>
        </row>
        <row r="125">
          <cell r="A125" t="str">
            <v>BEMIMO_OUT_CERTIFFLG_EFCNC_ENRGTC</v>
          </cell>
          <cell r="B125" t="str">
            <v>BEMIMO_OUT_CERTIF</v>
          </cell>
          <cell r="C125" t="str">
            <v>FLG_EFCNC_ENRGTC</v>
          </cell>
          <cell r="D125">
            <v>34</v>
          </cell>
          <cell r="E125" t="str">
            <v>decimal</v>
          </cell>
          <cell r="F125">
            <v>17</v>
          </cell>
          <cell r="G125">
            <v>2</v>
          </cell>
          <cell r="H125" t="str">
            <v>Indicador de eficiência energética</v>
          </cell>
        </row>
        <row r="126">
          <cell r="A126" t="str">
            <v>BEMIMO_OUT_CERTIFFLG_EFCC_ENRG_CNSM_TP_S</v>
          </cell>
          <cell r="B126" t="str">
            <v>BEMIMO_OUT_CERTIF</v>
          </cell>
          <cell r="C126" t="str">
            <v>FLG_EFCC_ENRG_CNSM_TP_S</v>
          </cell>
          <cell r="D126">
            <v>35</v>
          </cell>
          <cell r="E126" t="str">
            <v>decimal</v>
          </cell>
          <cell r="F126">
            <v>17</v>
          </cell>
          <cell r="G126">
            <v>2</v>
          </cell>
          <cell r="H126" t="str">
            <v>Indicador de eficiência energética de consumo tipo S</v>
          </cell>
        </row>
        <row r="127">
          <cell r="A127" t="str">
            <v>BEMIMO_OUT_CERTIFFLG_EFCNC_ENRG_CNSM_TP_T</v>
          </cell>
          <cell r="B127" t="str">
            <v>BEMIMO_OUT_CERTIF</v>
          </cell>
          <cell r="C127" t="str">
            <v>FLG_EFCNC_ENRG_CNSM_TP_T</v>
          </cell>
          <cell r="D127">
            <v>36</v>
          </cell>
          <cell r="E127" t="str">
            <v>decimal</v>
          </cell>
          <cell r="F127">
            <v>17</v>
          </cell>
          <cell r="G127">
            <v>2</v>
          </cell>
          <cell r="H127" t="str">
            <v>Indicador de eficiência energética de consumo tipo T</v>
          </cell>
        </row>
        <row r="128">
          <cell r="A128" t="str">
            <v>BEMIMO_OUT_CERTIFFLG_EFCNC_ENRGTC_RNVV</v>
          </cell>
          <cell r="B128" t="str">
            <v>BEMIMO_OUT_CERTIF</v>
          </cell>
          <cell r="C128" t="str">
            <v>FLG_EFCNC_ENRGTC_RNVV</v>
          </cell>
          <cell r="D128">
            <v>37</v>
          </cell>
          <cell r="E128" t="str">
            <v>decimal</v>
          </cell>
          <cell r="F128">
            <v>17</v>
          </cell>
          <cell r="G128">
            <v>2</v>
          </cell>
          <cell r="H128" t="str">
            <v>Indicador de eficiência energética renovável</v>
          </cell>
        </row>
        <row r="129">
          <cell r="A129" t="str">
            <v>BEMIMO_OUT_CERTIFVLR_CST_TTL_INVSTMNT_ESTMD</v>
          </cell>
          <cell r="B129" t="str">
            <v>BEMIMO_OUT_CERTIF</v>
          </cell>
          <cell r="C129" t="str">
            <v>VLR_CST_TTL_INVSTMNT_ESTMD</v>
          </cell>
          <cell r="D129">
            <v>38</v>
          </cell>
          <cell r="E129" t="str">
            <v>decimal</v>
          </cell>
          <cell r="F129">
            <v>17</v>
          </cell>
          <cell r="G129">
            <v>2</v>
          </cell>
          <cell r="H129" t="str">
            <v>Custo total estimado do investimento</v>
          </cell>
        </row>
        <row r="130">
          <cell r="A130" t="str">
            <v>BEMIMO_OUT_CERTIFVLR_RDC_ANL_ESTMD_FTR</v>
          </cell>
          <cell r="B130" t="str">
            <v>BEMIMO_OUT_CERTIF</v>
          </cell>
          <cell r="C130" t="str">
            <v>VLR_RDC_ANL_ESTMD_FTR</v>
          </cell>
          <cell r="D130">
            <v>39</v>
          </cell>
          <cell r="E130" t="str">
            <v>decimal</v>
          </cell>
          <cell r="F130">
            <v>17</v>
          </cell>
          <cell r="G130">
            <v>2</v>
          </cell>
          <cell r="H130" t="str">
            <v>Redução anual estimada da fatura</v>
          </cell>
        </row>
        <row r="131">
          <cell r="A131" t="str">
            <v>BEMIMO_OUT_CERTIFVLR_CLASS_ENRG_APS_MDD</v>
          </cell>
          <cell r="B131" t="str">
            <v>BEMIMO_OUT_CERTIF</v>
          </cell>
          <cell r="C131" t="str">
            <v>VLR_CLASS_ENRG_APS_MDD</v>
          </cell>
          <cell r="D131">
            <v>40</v>
          </cell>
          <cell r="E131" t="str">
            <v>decimal</v>
          </cell>
          <cell r="F131">
            <v>17</v>
          </cell>
          <cell r="G131">
            <v>2</v>
          </cell>
          <cell r="H131" t="str">
            <v>Classe energética após medição</v>
          </cell>
        </row>
        <row r="132">
          <cell r="A132" t="str">
            <v>BEMIMO_OUT_CERTIFVLR_ALTTT</v>
          </cell>
          <cell r="B132" t="str">
            <v>BEMIMO_OUT_CERTIF</v>
          </cell>
          <cell r="C132" t="str">
            <v>VLR_ALTTT</v>
          </cell>
          <cell r="D132">
            <v>41</v>
          </cell>
          <cell r="E132" t="str">
            <v>decimal</v>
          </cell>
          <cell r="F132">
            <v>17</v>
          </cell>
          <cell r="G132">
            <v>2</v>
          </cell>
          <cell r="H132" t="str">
            <v>Altura</v>
          </cell>
        </row>
        <row r="133">
          <cell r="A133" t="str">
            <v>BEMIMO_OUT_CERTIFVLR_GRS_DIA</v>
          </cell>
          <cell r="B133" t="str">
            <v>BEMIMO_OUT_CERTIF</v>
          </cell>
          <cell r="C133" t="str">
            <v>VLR_GRS_DIA</v>
          </cell>
          <cell r="D133">
            <v>42</v>
          </cell>
          <cell r="E133" t="str">
            <v>decimal</v>
          </cell>
          <cell r="F133">
            <v>17</v>
          </cell>
          <cell r="G133">
            <v>2</v>
          </cell>
          <cell r="H133" t="str">
            <v>Temperatura durante o dia</v>
          </cell>
        </row>
        <row r="134">
          <cell r="A134" t="str">
            <v>BEMIMO_OUT_CERTIFVLR_TMPRTR_MD_EXTRR</v>
          </cell>
          <cell r="B134" t="str">
            <v>BEMIMO_OUT_CERTIF</v>
          </cell>
          <cell r="C134" t="str">
            <v>VLR_TMPRTR_MD_EXTRR</v>
          </cell>
          <cell r="D134">
            <v>43</v>
          </cell>
          <cell r="E134" t="str">
            <v>decimal</v>
          </cell>
          <cell r="F134">
            <v>17</v>
          </cell>
          <cell r="G134">
            <v>2</v>
          </cell>
          <cell r="H134" t="str">
            <v>Temperatura média no exterior</v>
          </cell>
        </row>
        <row r="135">
          <cell r="A135" t="str">
            <v>BEMIMO_OUT_CERTIFZN_CLMTC_INVRN</v>
          </cell>
          <cell r="B135" t="str">
            <v>BEMIMO_OUT_CERTIF</v>
          </cell>
          <cell r="C135" t="str">
            <v>ZN_CLMTC_INVRN</v>
          </cell>
          <cell r="D135">
            <v>44</v>
          </cell>
          <cell r="E135" t="str">
            <v>string</v>
          </cell>
          <cell r="H135" t="str">
            <v>Zona climática de inverno</v>
          </cell>
        </row>
        <row r="136">
          <cell r="A136" t="str">
            <v>BEMIMO_OUT_CERTIFZN_CLMTC_VR</v>
          </cell>
          <cell r="B136" t="str">
            <v>BEMIMO_OUT_CERTIF</v>
          </cell>
          <cell r="C136" t="str">
            <v>ZN_CLMTC_VR</v>
          </cell>
          <cell r="D136">
            <v>45</v>
          </cell>
          <cell r="E136" t="str">
            <v>string</v>
          </cell>
          <cell r="H136" t="str">
            <v>Zona climática de verão</v>
          </cell>
        </row>
        <row r="137">
          <cell r="A137" t="str">
            <v>BEMIMO_OUT_CERTIFVLR_DRC_ESTC_AQCMNT</v>
          </cell>
          <cell r="B137" t="str">
            <v>BEMIMO_OUT_CERTIF</v>
          </cell>
          <cell r="C137" t="str">
            <v>VLR_DRC_ESTC_AQCMNT</v>
          </cell>
          <cell r="D137">
            <v>46</v>
          </cell>
          <cell r="E137" t="str">
            <v>decimal</v>
          </cell>
          <cell r="F137">
            <v>17</v>
          </cell>
          <cell r="G137">
            <v>2</v>
          </cell>
          <cell r="H137" t="str">
            <v>Duração da temporada de verão</v>
          </cell>
        </row>
        <row r="138">
          <cell r="A138" t="str">
            <v>BEMIMO_OUT_CERTIFVLR_DRC_ESTC_ARRFCMNT</v>
          </cell>
          <cell r="B138" t="str">
            <v>BEMIMO_OUT_CERTIF</v>
          </cell>
          <cell r="C138" t="str">
            <v>VLR_DRC_ESTC_ARRFCMNT</v>
          </cell>
          <cell r="D138">
            <v>47</v>
          </cell>
          <cell r="E138" t="str">
            <v>decimal</v>
          </cell>
          <cell r="F138">
            <v>17</v>
          </cell>
          <cell r="G138">
            <v>2</v>
          </cell>
          <cell r="H138" t="str">
            <v>Duração da temporada de inverno</v>
          </cell>
        </row>
        <row r="139">
          <cell r="A139" t="str">
            <v>BEMIMO_OUT_CERTIFVLR_COMP_TRMC_PRDS</v>
          </cell>
          <cell r="B139" t="str">
            <v>BEMIMO_OUT_CERTIF</v>
          </cell>
          <cell r="C139" t="str">
            <v>VLR_COMP_TRMC_PRDS</v>
          </cell>
          <cell r="D139">
            <v>48</v>
          </cell>
          <cell r="E139" t="str">
            <v>string</v>
          </cell>
          <cell r="H139" t="str">
            <v>Comportamento térmico da parede</v>
          </cell>
        </row>
        <row r="140">
          <cell r="A140" t="str">
            <v>BEMIMO_OUT_CERTIFVLR_COMP_TRMC_CBRTRS</v>
          </cell>
          <cell r="B140" t="str">
            <v>BEMIMO_OUT_CERTIF</v>
          </cell>
          <cell r="C140" t="str">
            <v>VLR_COMP_TRMC_CBRTRS</v>
          </cell>
          <cell r="D140">
            <v>49</v>
          </cell>
          <cell r="E140" t="str">
            <v>string</v>
          </cell>
          <cell r="H140" t="str">
            <v>Comportamento térmico do telhado</v>
          </cell>
        </row>
        <row r="141">
          <cell r="A141" t="str">
            <v>BEMIMO_OUT_CERTIFVLR_COMP_TRMC_PVMNTS</v>
          </cell>
          <cell r="B141" t="str">
            <v>BEMIMO_OUT_CERTIF</v>
          </cell>
          <cell r="C141" t="str">
            <v>VLR_COMP_TRMC_PVMNTS</v>
          </cell>
          <cell r="D141">
            <v>50</v>
          </cell>
          <cell r="E141" t="str">
            <v>string</v>
          </cell>
          <cell r="H141" t="str">
            <v>Comportamento térmico dos pisos</v>
          </cell>
        </row>
        <row r="142">
          <cell r="A142" t="str">
            <v>BEMIMO_OUT_CERTIFVLR_COMP_TRMC_JNLS</v>
          </cell>
          <cell r="B142" t="str">
            <v>BEMIMO_OUT_CERTIF</v>
          </cell>
          <cell r="C142" t="str">
            <v>VLR_COMP_TRMC_JNLS</v>
          </cell>
          <cell r="D142">
            <v>51</v>
          </cell>
          <cell r="E142" t="str">
            <v>string</v>
          </cell>
          <cell r="H142" t="str">
            <v>Comportamento térmico das janelas</v>
          </cell>
        </row>
        <row r="143">
          <cell r="A143" t="str">
            <v>BEMIMO_OUT_CERTIFVLR_COMP_TRMC_SSTMTCN_VNTLD</v>
          </cell>
          <cell r="B143" t="str">
            <v>BEMIMO_OUT_CERTIF</v>
          </cell>
          <cell r="C143" t="str">
            <v>VLR_COMP_TRMC_SSTMTCN_VNTLD</v>
          </cell>
          <cell r="D143">
            <v>52</v>
          </cell>
          <cell r="E143" t="str">
            <v>string</v>
          </cell>
          <cell r="H143" t="str">
            <v>Sistemas técnicos e comportamento térmico da ventilação</v>
          </cell>
        </row>
        <row r="144">
          <cell r="A144" t="str">
            <v>BEMIMO_OUT_CERTIFVLR_PRDS_GNHS_INVRN_RFC</v>
          </cell>
          <cell r="B144" t="str">
            <v>BEMIMO_OUT_CERTIF</v>
          </cell>
          <cell r="C144" t="str">
            <v>VLR_PRDS_GNHS_INVRN_RFC</v>
          </cell>
          <cell r="D144">
            <v>53</v>
          </cell>
          <cell r="E144" t="str">
            <v>string</v>
          </cell>
          <cell r="H144" t="str">
            <v>Referência de perdas e ganhos de calor no inverno</v>
          </cell>
        </row>
        <row r="145">
          <cell r="A145" t="str">
            <v>BEMIMO_OUT_CERTIFVLR_PRDS_GNHS_INVRN_JNL</v>
          </cell>
          <cell r="B145" t="str">
            <v>BEMIMO_OUT_CERTIF</v>
          </cell>
          <cell r="C145" t="str">
            <v>VLR_PRDS_GNHS_INVRN_JNL</v>
          </cell>
          <cell r="D145">
            <v>54</v>
          </cell>
          <cell r="E145" t="str">
            <v>string</v>
          </cell>
          <cell r="H145" t="str">
            <v>Referência de perdas e ganhos de calor no inverno das janelas</v>
          </cell>
        </row>
        <row r="146">
          <cell r="A146" t="str">
            <v>BEMIMO_OUT_CERTIFVLR_PRDS_GNHS_INVRN_VNTNH</v>
          </cell>
          <cell r="B146" t="str">
            <v>BEMIMO_OUT_CERTIF</v>
          </cell>
          <cell r="C146" t="str">
            <v>VLR_PRDS_GNHS_INVRN_VNTNH</v>
          </cell>
          <cell r="D146">
            <v>55</v>
          </cell>
          <cell r="E146" t="str">
            <v>string</v>
          </cell>
          <cell r="H146" t="str">
            <v>Referência de perdas e ganhos de calor no inverno dos ventiladores</v>
          </cell>
        </row>
        <row r="147">
          <cell r="A147" t="str">
            <v>BEMIMO_OUT_CERTIFVLR_PRDS_GNHS_INVRN_CBRTR</v>
          </cell>
          <cell r="B147" t="str">
            <v>BEMIMO_OUT_CERTIF</v>
          </cell>
          <cell r="C147" t="str">
            <v>VLR_PRDS_GNHS_INVRN_CBRTR</v>
          </cell>
          <cell r="D147">
            <v>56</v>
          </cell>
          <cell r="E147" t="str">
            <v>string</v>
          </cell>
          <cell r="H147" t="str">
            <v>Referência de perdas e ganhos de calor no inverno devido ao telhado</v>
          </cell>
        </row>
        <row r="148">
          <cell r="A148" t="str">
            <v>BEMIMO_OUT_CERTIFVLR_PRD_GNH_INVRN_PRD_PRT</v>
          </cell>
          <cell r="B148" t="str">
            <v>BEMIMO_OUT_CERTIF</v>
          </cell>
          <cell r="C148" t="str">
            <v>VLR_PRD_GNH_INVRN_PRD_PRT</v>
          </cell>
          <cell r="D148">
            <v>57</v>
          </cell>
          <cell r="E148" t="str">
            <v>string</v>
          </cell>
          <cell r="H148" t="str">
            <v>Referência de perdas e ganhos de calor no inverno devido a portas e paredes</v>
          </cell>
        </row>
        <row r="149">
          <cell r="A149" t="str">
            <v>BEMIMO_OUT_CERTIFVLR_PRD_GNH_INVRN_PVMNT</v>
          </cell>
          <cell r="B149" t="str">
            <v>BEMIMO_OUT_CERTIF</v>
          </cell>
          <cell r="C149" t="str">
            <v>VLR_PRD_GNH_INVRN_PVMNT</v>
          </cell>
          <cell r="D149">
            <v>58</v>
          </cell>
          <cell r="E149" t="str">
            <v>string</v>
          </cell>
          <cell r="H149" t="str">
            <v>Referência de perdas e ganhos de calor no inverno devido aos pisos</v>
          </cell>
        </row>
        <row r="150">
          <cell r="A150" t="str">
            <v>BEMIMO_OUT_CERTIFVLR_PRDS_GNHS_VR_RFRC</v>
          </cell>
          <cell r="B150" t="str">
            <v>BEMIMO_OUT_CERTIF</v>
          </cell>
          <cell r="C150" t="str">
            <v>VLR_PRDS_GNHS_VR_RFRC</v>
          </cell>
          <cell r="D150">
            <v>59</v>
          </cell>
          <cell r="E150" t="str">
            <v>string</v>
          </cell>
          <cell r="H150" t="str">
            <v>Referência de perdas e ganhos de calor no verão</v>
          </cell>
        </row>
        <row r="151">
          <cell r="A151" t="str">
            <v>BEMIMO_OUT_CERTIFVLR_PRDS_GNHS_VR_JNL</v>
          </cell>
          <cell r="B151" t="str">
            <v>BEMIMO_OUT_CERTIF</v>
          </cell>
          <cell r="C151" t="str">
            <v>VLR_PRDS_GNHS_VR_JNL</v>
          </cell>
          <cell r="D151">
            <v>60</v>
          </cell>
          <cell r="E151" t="str">
            <v>string</v>
          </cell>
          <cell r="H151" t="str">
            <v>Referência de perdas e ganhos de calor no verão das janelas</v>
          </cell>
        </row>
        <row r="152">
          <cell r="A152" t="str">
            <v>BEMIMO_OUT_CERTIFVLR_PRDS_GNHS_VR_CBRTR</v>
          </cell>
          <cell r="B152" t="str">
            <v>BEMIMO_OUT_CERTIF</v>
          </cell>
          <cell r="C152" t="str">
            <v>VLR_PRDS_GNHS_VR_CBRTR</v>
          </cell>
          <cell r="D152">
            <v>61</v>
          </cell>
          <cell r="E152" t="str">
            <v>string</v>
          </cell>
          <cell r="H152" t="str">
            <v>Referência de perdas e ganhos de calor no verão devido ao telhado</v>
          </cell>
        </row>
        <row r="153">
          <cell r="A153" t="str">
            <v>BEMIMO_OUT_CERTIFVLR_PRDS_GNHS_VR_PRD_PRT</v>
          </cell>
          <cell r="B153" t="str">
            <v>BEMIMO_OUT_CERTIF</v>
          </cell>
          <cell r="C153" t="str">
            <v>VLR_PRDS_GNHS_VR_PRD_PRT</v>
          </cell>
          <cell r="D153">
            <v>62</v>
          </cell>
          <cell r="E153" t="str">
            <v>string</v>
          </cell>
          <cell r="H153" t="str">
            <v>Referência de perdas e ganhos de calor no verão devido a portas e paredes</v>
          </cell>
        </row>
        <row r="154">
          <cell r="A154" t="str">
            <v>BEMIMO_OUT_CERTIFMETODO_INFO</v>
          </cell>
          <cell r="B154" t="str">
            <v>BEMIMO_OUT_CERTIF</v>
          </cell>
          <cell r="C154" t="str">
            <v>METODO_INFO</v>
          </cell>
          <cell r="D154">
            <v>63</v>
          </cell>
          <cell r="E154" t="str">
            <v>string</v>
          </cell>
          <cell r="H154" t="str">
            <v>Indicação do método de obtenção da informação</v>
          </cell>
        </row>
        <row r="155">
          <cell r="A155" t="str">
            <v>BEMIMO_OUT_CERTIFCKUTULMO</v>
          </cell>
          <cell r="B155" t="str">
            <v>BEMIMO_OUT_CERTIF</v>
          </cell>
          <cell r="C155" t="str">
            <v>CKUTULMO</v>
          </cell>
          <cell r="D155">
            <v>64</v>
          </cell>
          <cell r="E155" t="str">
            <v>string</v>
          </cell>
          <cell r="H155" t="str">
            <v>Utilizador que despoleta o processamento</v>
          </cell>
        </row>
        <row r="156">
          <cell r="A156" t="str">
            <v>BEMIMO_OUT_CERTIFHTIMEST</v>
          </cell>
          <cell r="B156" t="str">
            <v>BEMIMO_OUT_CERTIF</v>
          </cell>
          <cell r="C156" t="str">
            <v>HTIMEST</v>
          </cell>
          <cell r="D156">
            <v>65</v>
          </cell>
          <cell r="E156" t="str">
            <v>string</v>
          </cell>
          <cell r="H156" t="str">
            <v>Timestamp de inserção do registo na tabela</v>
          </cell>
        </row>
        <row r="157">
          <cell r="A157" t="str">
            <v>BEMIMO_OUT_CERTIFREF_DATE</v>
          </cell>
          <cell r="B157" t="str">
            <v>BEMIMO_OUT_CERTIF</v>
          </cell>
          <cell r="C157" t="str">
            <v>REF_DATE</v>
          </cell>
          <cell r="D157">
            <v>66</v>
          </cell>
          <cell r="E157" t="str">
            <v>string</v>
          </cell>
          <cell r="H157" t="str">
            <v>Data de referencia dos dados</v>
          </cell>
        </row>
        <row r="158">
          <cell r="A158" t="str">
            <v>BEMIMO_OUT_CERTIFORIGEM</v>
          </cell>
          <cell r="B158" t="str">
            <v>BEMIMO_OUT_CERTIF</v>
          </cell>
          <cell r="C158" t="str">
            <v>ORIGEM</v>
          </cell>
          <cell r="D158">
            <v>67</v>
          </cell>
          <cell r="E158" t="str">
            <v>string</v>
          </cell>
          <cell r="H158" t="str">
            <v>Codigo ID sistema origem</v>
          </cell>
        </row>
        <row r="159">
          <cell r="A159" t="str">
            <v>BEMIMO_INP_CERTIF_ESTIMATIVADATA_EXTRACCAO_INFO</v>
          </cell>
          <cell r="B159" t="str">
            <v>BEMIMO_INP_CERTIF_ESTIMATIVA</v>
          </cell>
          <cell r="C159" t="str">
            <v>DATA_EXTRACCAO_INFO</v>
          </cell>
          <cell r="D159">
            <v>1</v>
          </cell>
          <cell r="E159" t="str">
            <v>string</v>
          </cell>
          <cell r="H159" t="str">
            <v>Data de referência da informação enviada para o fornecedor</v>
          </cell>
        </row>
        <row r="160">
          <cell r="A160" t="str">
            <v>BEMIMO_INP_CERTIF_ESTIMATIVACEMPBEM</v>
          </cell>
          <cell r="B160" t="str">
            <v>BEMIMO_INP_CERTIF_ESTIMATIVA</v>
          </cell>
          <cell r="C160" t="str">
            <v>CEMPBEM</v>
          </cell>
          <cell r="D160">
            <v>2</v>
          </cell>
          <cell r="E160" t="str">
            <v>string</v>
          </cell>
          <cell r="H160" t="str">
            <v>Código de empresa do Bem</v>
          </cell>
        </row>
        <row r="161">
          <cell r="A161" t="str">
            <v>BEMIMO_INP_CERTIF_ESTIMATIVACKBALBEM</v>
          </cell>
          <cell r="B161" t="str">
            <v>BEMIMO_INP_CERTIF_ESTIMATIVA</v>
          </cell>
          <cell r="C161" t="str">
            <v>CKBALBEM</v>
          </cell>
          <cell r="D161">
            <v>3</v>
          </cell>
          <cell r="E161" t="str">
            <v>string</v>
          </cell>
          <cell r="H161" t="str">
            <v>Código do balcão do Bem</v>
          </cell>
        </row>
        <row r="162">
          <cell r="A162" t="str">
            <v>BEMIMO_INP_CERTIF_ESTIMATIVACKCTABEM</v>
          </cell>
          <cell r="B162" t="str">
            <v>BEMIMO_INP_CERTIF_ESTIMATIVA</v>
          </cell>
          <cell r="C162" t="str">
            <v>CKCTABEM</v>
          </cell>
          <cell r="D162">
            <v>4</v>
          </cell>
          <cell r="E162" t="str">
            <v>string</v>
          </cell>
          <cell r="H162" t="str">
            <v>Número de conta do Bem</v>
          </cell>
        </row>
        <row r="163">
          <cell r="A163" t="str">
            <v>BEMIMO_INP_CERTIF_ESTIMATIVACKREFBEM</v>
          </cell>
          <cell r="B163" t="str">
            <v>BEMIMO_INP_CERTIF_ESTIMATIVA</v>
          </cell>
          <cell r="C163" t="str">
            <v>CKREFBEM</v>
          </cell>
          <cell r="D163">
            <v>5</v>
          </cell>
          <cell r="E163" t="str">
            <v>string</v>
          </cell>
          <cell r="H163" t="str">
            <v>Número do Bem</v>
          </cell>
        </row>
        <row r="164">
          <cell r="A164" t="str">
            <v>BEMIMO_INP_CERTIF_ESTIMATIVACHAVE_ENCRIPTADA</v>
          </cell>
          <cell r="B164" t="str">
            <v>BEMIMO_INP_CERTIF_ESTIMATIVA</v>
          </cell>
          <cell r="C164" t="str">
            <v>CHAVE_ENCRIPTADA</v>
          </cell>
          <cell r="D164">
            <v>6</v>
          </cell>
          <cell r="E164" t="str">
            <v>string</v>
          </cell>
          <cell r="H164" t="str">
            <v>Chave encriptada do bem, gerada com base na concatenação das variáveis cempbem, ckbalbem, ckctabem e ckrefbem</v>
          </cell>
        </row>
        <row r="165">
          <cell r="A165" t="str">
            <v>BEMIMO_INP_CERTIF_ESTIMATIVAFORNECEDOR</v>
          </cell>
          <cell r="B165" t="str">
            <v>BEMIMO_INP_CERTIF_ESTIMATIVA</v>
          </cell>
          <cell r="C165" t="str">
            <v>FORNECEDOR</v>
          </cell>
          <cell r="D165">
            <v>7</v>
          </cell>
          <cell r="E165" t="str">
            <v>string</v>
          </cell>
          <cell r="H165" t="str">
            <v>Fornecedor da informação</v>
          </cell>
        </row>
        <row r="166">
          <cell r="A166" t="str">
            <v>BEMIMO_INP_CERTIF_ESTIMATIVAEPC</v>
          </cell>
          <cell r="B166" t="str">
            <v>BEMIMO_INP_CERTIF_ESTIMATIVA</v>
          </cell>
          <cell r="C166" t="str">
            <v>EPC</v>
          </cell>
          <cell r="D166">
            <v>8</v>
          </cell>
          <cell r="E166" t="str">
            <v>string</v>
          </cell>
          <cell r="H166" t="str">
            <v>Rating que determina o grau de eficiência energética de um edifício, a ser usada para medir o risco de transição</v>
          </cell>
        </row>
        <row r="167">
          <cell r="A167" t="str">
            <v>BEMIMO_INP_CERTIF_ESTIMATIVAVLR_EMSS_ANO</v>
          </cell>
          <cell r="B167" t="str">
            <v>BEMIMO_INP_CERTIF_ESTIMATIVA</v>
          </cell>
          <cell r="C167" t="str">
            <v>VLR_EMSS_ANO</v>
          </cell>
          <cell r="D167">
            <v>9</v>
          </cell>
          <cell r="E167" t="str">
            <v>decimal</v>
          </cell>
          <cell r="F167">
            <v>18</v>
          </cell>
          <cell r="G167">
            <v>2</v>
          </cell>
          <cell r="H167" t="str">
            <v>Emissões kgco2/m2ano</v>
          </cell>
        </row>
        <row r="168">
          <cell r="A168" t="str">
            <v>BEMIMO_INP_CERTIF_ESTIMATIVAVLR_CNSM_ANO</v>
          </cell>
          <cell r="B168" t="str">
            <v>BEMIMO_INP_CERTIF_ESTIMATIVA</v>
          </cell>
          <cell r="C168" t="str">
            <v>VLR_CNSM_ANO</v>
          </cell>
          <cell r="D168">
            <v>10</v>
          </cell>
          <cell r="E168" t="str">
            <v>decimal</v>
          </cell>
          <cell r="F168">
            <v>18</v>
          </cell>
          <cell r="G168">
            <v>2</v>
          </cell>
          <cell r="H168" t="str">
            <v>Consumo kwh/m2ano</v>
          </cell>
        </row>
        <row r="169">
          <cell r="A169" t="str">
            <v>BEMIMO_INP_CERTIF_ESTIMATIVAMETODO_INFO</v>
          </cell>
          <cell r="B169" t="str">
            <v>BEMIMO_INP_CERTIF_ESTIMATIVA</v>
          </cell>
          <cell r="C169" t="str">
            <v>METODO_INFO</v>
          </cell>
          <cell r="D169">
            <v>11</v>
          </cell>
          <cell r="E169" t="str">
            <v>string</v>
          </cell>
          <cell r="H169" t="str">
            <v>Indicação do método de obtenção da informação</v>
          </cell>
        </row>
        <row r="170">
          <cell r="A170" t="str">
            <v>BEMIMO_INP_CERTIF_ESTIMATIVASCORE_QUALIDADE</v>
          </cell>
          <cell r="B170" t="str">
            <v>BEMIMO_INP_CERTIF_ESTIMATIVA</v>
          </cell>
          <cell r="C170" t="str">
            <v>SCORE_QUALIDADE</v>
          </cell>
          <cell r="D170">
            <v>12</v>
          </cell>
          <cell r="E170" t="str">
            <v>string</v>
          </cell>
          <cell r="H170" t="str">
            <v>Grau de qualiade associada à informação disponibilizada pelo fornecedor</v>
          </cell>
        </row>
        <row r="171">
          <cell r="A171" t="str">
            <v>BEMIMO_INP_CERTIF_ESTIMATIVACKUTULMO</v>
          </cell>
          <cell r="B171" t="str">
            <v>BEMIMO_INP_CERTIF_ESTIMATIVA</v>
          </cell>
          <cell r="C171" t="str">
            <v>CKUTULMO</v>
          </cell>
          <cell r="D171">
            <v>13</v>
          </cell>
          <cell r="E171" t="str">
            <v>string</v>
          </cell>
          <cell r="H171" t="str">
            <v>Utilizador que carregou a informação</v>
          </cell>
        </row>
        <row r="172">
          <cell r="A172" t="str">
            <v>BEMIMO_INP_CERTIF_ESTIMATIVAHTIMEST</v>
          </cell>
          <cell r="B172" t="str">
            <v>BEMIMO_INP_CERTIF_ESTIMATIVA</v>
          </cell>
          <cell r="C172" t="str">
            <v>HTIMEST</v>
          </cell>
          <cell r="D172">
            <v>14</v>
          </cell>
          <cell r="E172" t="str">
            <v>timestamp</v>
          </cell>
          <cell r="H172" t="str">
            <v>Data de inserção do registo</v>
          </cell>
        </row>
        <row r="173">
          <cell r="A173" t="str">
            <v>BEMIMO_INP_CERTIF_ESTIMATIVAREF_DATE</v>
          </cell>
          <cell r="B173" t="str">
            <v>BEMIMO_INP_CERTIF_ESTIMATIVA</v>
          </cell>
          <cell r="C173" t="str">
            <v>REF_DATE</v>
          </cell>
          <cell r="D173">
            <v>15</v>
          </cell>
          <cell r="E173" t="str">
            <v>string</v>
          </cell>
          <cell r="H173" t="str">
            <v>Data de referência do registo</v>
          </cell>
        </row>
        <row r="174">
          <cell r="A174" t="str">
            <v>BEMIMO_INP_CERTIF_ESTIMATIVACOD_VISAO</v>
          </cell>
          <cell r="B174" t="str">
            <v>BEMIMO_INP_CERTIF_ESTIMATIVA</v>
          </cell>
          <cell r="C174" t="str">
            <v>COD_VISAO</v>
          </cell>
          <cell r="D174">
            <v>16</v>
          </cell>
          <cell r="E174" t="str">
            <v>int</v>
          </cell>
          <cell r="H174" t="str">
            <v>Código de visão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0.576351041665" backgroundQuery="1" createdVersion="8" refreshedVersion="8" minRefreshableVersion="3" recordCount="0" supportSubquery="1" supportAdvancedDrill="1" xr:uid="{520FADDD-7FF1-4F28-9886-112D4B5E9858}">
  <cacheSource type="external" connectionId="1"/>
  <cacheFields count="3">
    <cacheField name="[Range].[Tabela].[Tabela]" caption="Tabela" numFmtId="0" hierarchy="1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Range].[Justificação].[Justificação]" caption="Justificação" numFmtId="0" hierarchy="4" level="1">
      <sharedItems count="2">
        <s v="Ok"/>
        <s v="Novo"/>
      </sharedItems>
    </cacheField>
    <cacheField name="[Measures].[Count of Campo]" caption="Count of Campo" numFmtId="0" hierarchy="10" level="32767"/>
  </cacheFields>
  <cacheHierarchies count="12"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Equipa IT_Val]" caption="Equipa IT_Val" attribute="1" defaultMemberUniqueName="[Range].[Equipa IT_Val].[All]" allUniqueName="[Range].[Equipa IT_Val].[All]" dimensionUniqueName="[Range]" displayFolder="" count="0" memberValueDatatype="130" unbalanced="0"/>
    <cacheHierarchy uniqueName="[Range].[Justificação]" caption="Justificação" attribute="1" defaultMemberUniqueName="[Range].[Justificação].[All]" allUniqueName="[Range].[Justificação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ampo]" caption="Count of Campo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ampo 2]" caption="Count of Campo 2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0.610110648151" backgroundQuery="1" createdVersion="8" refreshedVersion="8" minRefreshableVersion="3" recordCount="0" supportSubquery="1" supportAdvancedDrill="1" xr:uid="{D3C3B210-6930-4018-A5B6-92987B953E28}">
  <cacheSource type="external" connectionId="1"/>
  <cacheFields count="2">
    <cacheField name="[Range 1].[Tabela].[Tabela]" caption="Tabela" numFmtId="0" hierarchy="5" level="1">
      <sharedItems count="6">
        <s v="cd_imv_inp_certif_estimativa"/>
        <s v="cd_imv_out_bens"/>
        <s v="cd_imv_out_certif"/>
        <s v="cd_imv_out_prc"/>
        <s v="cd_imv_out_trz_cred_prc"/>
        <s v="cd_imv_out_trz_prc_bens_imv"/>
      </sharedItems>
    </cacheField>
    <cacheField name="[Measures].[Count of Campo 2]" caption="Count of Campo 2" numFmtId="0" hierarchy="11" level="32767"/>
  </cacheFields>
  <cacheHierarchies count="12"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Equipa IT_Val]" caption="Equipa IT_Val" attribute="1" defaultMemberUniqueName="[Range].[Equipa IT_Val].[All]" allUniqueName="[Range].[Equipa IT_Val].[All]" dimensionUniqueName="[Range]" displayFolder="" count="0" memberValueDatatype="130" unbalanced="0"/>
    <cacheHierarchy uniqueName="[Range].[Justificação]" caption="Justificação" attribute="1" defaultMemberUniqueName="[Range].[Justificação].[All]" allUniqueName="[Range].[Justificação].[All]" dimensionUniqueName="[Range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ampo]" caption="Count of Campo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ampo 2]" caption="Count of Campo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23DB8-3495-46AD-A077-25F77C1AF077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mpo" fld="1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ens imoveis!$I$2:$J$155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253EC-E6AA-4A33-AE04-29E0DB84EFE4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3:S24" firstHeaderRow="1" firstDataRow="1" firstDataCol="2"/>
  <pivotFields count="3"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2">
    <field x="0"/>
    <field x="1"/>
  </rowFields>
  <rowItems count="21">
    <i>
      <x/>
      <x/>
    </i>
    <i>
      <x v="1"/>
      <x v="1"/>
    </i>
    <i r="1">
      <x/>
    </i>
    <i>
      <x v="2"/>
      <x v="1"/>
    </i>
    <i r="1">
      <x/>
    </i>
    <i>
      <x v="3"/>
      <x/>
    </i>
    <i>
      <x v="4"/>
      <x v="1"/>
    </i>
    <i r="1">
      <x/>
    </i>
    <i>
      <x v="5"/>
      <x v="1"/>
    </i>
    <i r="1">
      <x/>
    </i>
    <i>
      <x v="6"/>
      <x v="1"/>
    </i>
    <i r="1">
      <x/>
    </i>
    <i>
      <x v="7"/>
      <x/>
    </i>
    <i>
      <x v="8"/>
      <x/>
    </i>
    <i>
      <x v="9"/>
      <x/>
    </i>
    <i>
      <x v="10"/>
      <x/>
    </i>
    <i>
      <x v="11"/>
      <x v="1"/>
    </i>
    <i r="1">
      <x/>
    </i>
    <i>
      <x v="12"/>
      <x v="1"/>
    </i>
    <i r="1">
      <x/>
    </i>
    <i t="grand">
      <x/>
    </i>
  </rowItems>
  <colItems count="1">
    <i/>
  </colItems>
  <dataFields count="1">
    <dataField name="Count of Campo"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delo Verde!$J$2:$N$23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8856-057F-4DFF-A82F-1C4611D2E64C}">
  <dimension ref="A2:Q159"/>
  <sheetViews>
    <sheetView tabSelected="1" topLeftCell="C143" zoomScale="85" zoomScaleNormal="85" workbookViewId="0">
      <selection activeCell="I156" sqref="I156:J159"/>
    </sheetView>
  </sheetViews>
  <sheetFormatPr defaultRowHeight="14.4" x14ac:dyDescent="0.3"/>
  <cols>
    <col min="2" max="2" width="25.77734375" bestFit="1" customWidth="1"/>
    <col min="3" max="3" width="26.109375" bestFit="1" customWidth="1"/>
    <col min="4" max="4" width="20" bestFit="1" customWidth="1"/>
    <col min="9" max="9" width="25.77734375" bestFit="1" customWidth="1"/>
    <col min="10" max="10" width="32.44140625" bestFit="1" customWidth="1"/>
    <col min="11" max="11" width="79.5546875" bestFit="1" customWidth="1"/>
  </cols>
  <sheetData>
    <row r="2" spans="1:17" x14ac:dyDescent="0.3">
      <c r="B2" s="1" t="s">
        <v>0</v>
      </c>
      <c r="C2" s="1"/>
      <c r="D2" s="1" t="s">
        <v>1</v>
      </c>
      <c r="I2" s="1" t="s">
        <v>0</v>
      </c>
      <c r="J2" s="1" t="s">
        <v>1</v>
      </c>
      <c r="K2" s="1" t="s">
        <v>646</v>
      </c>
    </row>
    <row r="3" spans="1:17" x14ac:dyDescent="0.3">
      <c r="A3" t="str">
        <f>B3&amp;D3</f>
        <v>BEMIMO_OUT_PRCcempresa</v>
      </c>
      <c r="B3" s="42" t="s">
        <v>411</v>
      </c>
      <c r="C3" s="7" t="s">
        <v>2</v>
      </c>
      <c r="D3" s="2" t="s">
        <v>8</v>
      </c>
      <c r="E3" t="str">
        <f>VLOOKUP(A3,[1]Tabelas!$A$8:$H$174,8,0)</f>
        <v>Empresa da conta</v>
      </c>
      <c r="F3" t="b">
        <f>E3=K3</f>
        <v>1</v>
      </c>
      <c r="I3" s="42" t="s">
        <v>516</v>
      </c>
      <c r="J3" s="51" t="s">
        <v>517</v>
      </c>
      <c r="K3" s="9" t="s">
        <v>647</v>
      </c>
    </row>
    <row r="4" spans="1:17" x14ac:dyDescent="0.3">
      <c r="A4" t="str">
        <f t="shared" ref="A4:A67" si="0">B4&amp;D4</f>
        <v>BEMIMO_OUT_PRCckbalcao</v>
      </c>
      <c r="B4" s="42" t="s">
        <v>411</v>
      </c>
      <c r="C4" s="7" t="s">
        <v>2</v>
      </c>
      <c r="D4" s="2" t="s">
        <v>9</v>
      </c>
      <c r="E4" t="str">
        <f>VLOOKUP(A4,[1]Tabelas!$A$8:$H$174,8,0)</f>
        <v>Código do balcão da Conta ID da Garantia</v>
      </c>
      <c r="F4" t="b">
        <f t="shared" ref="F4:F67" si="1">E4=K4</f>
        <v>1</v>
      </c>
      <c r="I4" s="42" t="s">
        <v>516</v>
      </c>
      <c r="J4" s="51" t="s">
        <v>518</v>
      </c>
      <c r="K4" s="51" t="s">
        <v>648</v>
      </c>
    </row>
    <row r="5" spans="1:17" x14ac:dyDescent="0.3">
      <c r="A5" t="str">
        <f t="shared" si="0"/>
        <v>BEMIMO_OUT_PRCcknumcta</v>
      </c>
      <c r="B5" s="42" t="s">
        <v>411</v>
      </c>
      <c r="C5" s="7" t="s">
        <v>2</v>
      </c>
      <c r="D5" s="2" t="s">
        <v>10</v>
      </c>
      <c r="E5" t="str">
        <f>VLOOKUP(A5,[1]Tabelas!$A$8:$H$174,8,0)</f>
        <v>Número de Conta ID da Garantia</v>
      </c>
      <c r="F5" t="b">
        <f t="shared" si="1"/>
        <v>1</v>
      </c>
      <c r="I5" s="42" t="s">
        <v>516</v>
      </c>
      <c r="J5" s="51" t="s">
        <v>519</v>
      </c>
      <c r="K5" s="51" t="s">
        <v>649</v>
      </c>
    </row>
    <row r="6" spans="1:17" x14ac:dyDescent="0.3">
      <c r="A6" t="str">
        <f t="shared" si="0"/>
        <v>BEMIMO_OUT_PRCcomp_id_gar</v>
      </c>
      <c r="B6" s="42" t="s">
        <v>411</v>
      </c>
      <c r="C6" s="7" t="s">
        <v>2</v>
      </c>
      <c r="D6" s="2" t="s">
        <v>17</v>
      </c>
      <c r="E6" t="str">
        <f>VLOOKUP(A6,[1]Tabelas!$A$8:$H$174,8,0)</f>
        <v>Número ID da Caução / Versão GP / ID garantia Lease</v>
      </c>
      <c r="F6" t="b">
        <f t="shared" si="1"/>
        <v>1</v>
      </c>
      <c r="I6" s="42" t="s">
        <v>516</v>
      </c>
      <c r="J6" s="51" t="s">
        <v>520</v>
      </c>
      <c r="K6" s="8" t="s">
        <v>650</v>
      </c>
    </row>
    <row r="7" spans="1:17" x14ac:dyDescent="0.3">
      <c r="A7" t="str">
        <f t="shared" si="0"/>
        <v>BEMIMO_OUT_PRCcod_prd_grnt</v>
      </c>
      <c r="B7" s="42" t="s">
        <v>411</v>
      </c>
      <c r="C7" s="7" t="s">
        <v>2</v>
      </c>
      <c r="D7" s="2" t="s">
        <v>14</v>
      </c>
      <c r="E7" t="str">
        <f>VLOOKUP(A7,[1]Tabelas!$A$8:$H$174,8,0)</f>
        <v>Código produto ID Garantia</v>
      </c>
      <c r="F7" t="b">
        <f t="shared" si="1"/>
        <v>1</v>
      </c>
      <c r="I7" s="42" t="s">
        <v>516</v>
      </c>
      <c r="J7" s="51" t="s">
        <v>521</v>
      </c>
      <c r="K7" s="8" t="s">
        <v>651</v>
      </c>
    </row>
    <row r="8" spans="1:17" x14ac:dyDescent="0.3">
      <c r="A8" t="str">
        <f t="shared" si="0"/>
        <v>BEMIMO_OUT_PRCcod_sprd_grnt</v>
      </c>
      <c r="B8" s="42" t="s">
        <v>411</v>
      </c>
      <c r="C8" s="7" t="s">
        <v>2</v>
      </c>
      <c r="D8" s="2" t="s">
        <v>15</v>
      </c>
      <c r="E8" t="str">
        <f>VLOOKUP(A8,[1]Tabelas!$A$8:$H$174,8,0)</f>
        <v>Código sub-produto ID Garantia</v>
      </c>
      <c r="F8" t="b">
        <f t="shared" si="1"/>
        <v>1</v>
      </c>
      <c r="I8" s="42" t="s">
        <v>516</v>
      </c>
      <c r="J8" s="51" t="s">
        <v>522</v>
      </c>
      <c r="K8" s="8" t="s">
        <v>652</v>
      </c>
    </row>
    <row r="9" spans="1:17" x14ac:dyDescent="0.3">
      <c r="A9" t="str">
        <f t="shared" si="0"/>
        <v>BEMIMO_OUT_PRCdata_inicio</v>
      </c>
      <c r="B9" s="42" t="s">
        <v>411</v>
      </c>
      <c r="C9" s="7" t="s">
        <v>2</v>
      </c>
      <c r="D9" s="2" t="s">
        <v>18</v>
      </c>
      <c r="E9" t="str">
        <f>VLOOKUP(A9,[1]Tabelas!$A$8:$H$174,8,0)</f>
        <v>Data de abertura da caução</v>
      </c>
      <c r="F9" t="b">
        <f t="shared" si="1"/>
        <v>1</v>
      </c>
      <c r="I9" s="42" t="s">
        <v>516</v>
      </c>
      <c r="J9" s="51" t="s">
        <v>523</v>
      </c>
      <c r="K9" s="8" t="s">
        <v>653</v>
      </c>
    </row>
    <row r="10" spans="1:17" x14ac:dyDescent="0.3">
      <c r="A10" t="str">
        <f t="shared" si="0"/>
        <v>BEMIMO_OUT_PRCdata_vcmt</v>
      </c>
      <c r="B10" s="42" t="s">
        <v>411</v>
      </c>
      <c r="C10" s="7" t="s">
        <v>2</v>
      </c>
      <c r="D10" s="2" t="s">
        <v>19</v>
      </c>
      <c r="E10" t="str">
        <f>VLOOKUP(A10,[1]Tabelas!$A$8:$H$174,8,0)</f>
        <v>Data de vencimento da caução</v>
      </c>
      <c r="F10" t="b">
        <f t="shared" si="1"/>
        <v>1</v>
      </c>
      <c r="I10" s="42" t="s">
        <v>516</v>
      </c>
      <c r="J10" s="51" t="s">
        <v>524</v>
      </c>
      <c r="K10" s="8" t="s">
        <v>654</v>
      </c>
    </row>
    <row r="11" spans="1:17" x14ac:dyDescent="0.3">
      <c r="A11" t="str">
        <f t="shared" si="0"/>
        <v>BEMIMO_OUT_PRCcod_tipo</v>
      </c>
      <c r="B11" s="42" t="s">
        <v>411</v>
      </c>
      <c r="C11" s="7" t="s">
        <v>2</v>
      </c>
      <c r="D11" s="2" t="s">
        <v>16</v>
      </c>
      <c r="E11" t="str">
        <f>VLOOKUP(A11,[1]Tabelas!$A$8:$H$174,8,0)</f>
        <v>Codigo tipo caução (E - especifica ; G - Generica)</v>
      </c>
      <c r="F11" t="b">
        <f t="shared" si="1"/>
        <v>1</v>
      </c>
      <c r="I11" s="42" t="s">
        <v>516</v>
      </c>
      <c r="J11" s="51" t="s">
        <v>525</v>
      </c>
      <c r="K11" s="8" t="s">
        <v>655</v>
      </c>
    </row>
    <row r="12" spans="1:17" x14ac:dyDescent="0.3">
      <c r="A12" t="str">
        <f t="shared" si="0"/>
        <v>BEMIMO_OUT_PRCcod_moeda</v>
      </c>
      <c r="B12" s="42" t="s">
        <v>411</v>
      </c>
      <c r="C12" s="7" t="s">
        <v>2</v>
      </c>
      <c r="D12" s="2" t="s">
        <v>12</v>
      </c>
      <c r="E12" t="str">
        <f>VLOOKUP(A12,[1]Tabelas!$A$8:$H$174,8,0)</f>
        <v>Código de moeda</v>
      </c>
      <c r="F12" t="b">
        <f t="shared" si="1"/>
        <v>1</v>
      </c>
      <c r="I12" s="42" t="s">
        <v>516</v>
      </c>
      <c r="J12" s="51" t="s">
        <v>526</v>
      </c>
      <c r="K12" s="8" t="s">
        <v>656</v>
      </c>
    </row>
    <row r="13" spans="1:17" x14ac:dyDescent="0.3">
      <c r="A13" t="str">
        <f t="shared" si="0"/>
        <v>BEMIMO_OUT_PRCcod_grt</v>
      </c>
      <c r="B13" s="42" t="s">
        <v>411</v>
      </c>
      <c r="C13" s="7" t="s">
        <v>2</v>
      </c>
      <c r="D13" s="2" t="s">
        <v>11</v>
      </c>
      <c r="E13" t="str">
        <f>VLOOKUP(A13,[1]Tabelas!$A$8:$H$174,8,0)</f>
        <v>Código de garantia</v>
      </c>
      <c r="F13" t="b">
        <f t="shared" si="1"/>
        <v>1</v>
      </c>
      <c r="I13" s="42" t="s">
        <v>516</v>
      </c>
      <c r="J13" s="51" t="s">
        <v>527</v>
      </c>
      <c r="K13" s="8" t="s">
        <v>657</v>
      </c>
    </row>
    <row r="14" spans="1:17" x14ac:dyDescent="0.3">
      <c r="A14" t="str">
        <f t="shared" si="0"/>
        <v>BEMIMO_OUT_PRCcod_observacao</v>
      </c>
      <c r="B14" s="42" t="s">
        <v>411</v>
      </c>
      <c r="C14" s="7" t="s">
        <v>2</v>
      </c>
      <c r="D14" s="2" t="s">
        <v>13</v>
      </c>
      <c r="E14">
        <f>VLOOKUP(A14,[1]Tabelas!$A$8:$H$174,8,0)</f>
        <v>0</v>
      </c>
      <c r="F14" t="b">
        <f t="shared" si="1"/>
        <v>1</v>
      </c>
      <c r="I14" s="42" t="s">
        <v>516</v>
      </c>
      <c r="J14" s="51" t="s">
        <v>528</v>
      </c>
      <c r="K14" s="51"/>
    </row>
    <row r="15" spans="1:17" x14ac:dyDescent="0.3">
      <c r="A15" t="str">
        <f t="shared" si="0"/>
        <v>BEMIMO_OUT_PRCref_date</v>
      </c>
      <c r="B15" s="42" t="s">
        <v>411</v>
      </c>
      <c r="C15" s="7" t="s">
        <v>2</v>
      </c>
      <c r="D15" s="2" t="s">
        <v>21</v>
      </c>
      <c r="E15" t="str">
        <f>VLOOKUP(A15,[1]Tabelas!$A$8:$H$174,8,0)</f>
        <v>Data de referencia dos dados</v>
      </c>
      <c r="F15" t="b">
        <f t="shared" si="1"/>
        <v>1</v>
      </c>
      <c r="I15" s="42" t="s">
        <v>516</v>
      </c>
      <c r="J15" s="51" t="s">
        <v>531</v>
      </c>
      <c r="K15" s="51" t="s">
        <v>660</v>
      </c>
      <c r="O15" s="53" t="s">
        <v>516</v>
      </c>
      <c r="P15" s="54" t="s">
        <v>529</v>
      </c>
      <c r="Q15" s="54" t="s">
        <v>658</v>
      </c>
    </row>
    <row r="16" spans="1:17" x14ac:dyDescent="0.3">
      <c r="A16" t="str">
        <f t="shared" si="0"/>
        <v>BEMIMO_OUT_PRCorigem</v>
      </c>
      <c r="B16" s="42" t="s">
        <v>411</v>
      </c>
      <c r="C16" s="7" t="s">
        <v>2</v>
      </c>
      <c r="D16" s="2" t="s">
        <v>20</v>
      </c>
      <c r="E16" t="str">
        <f>VLOOKUP(A16,[1]Tabelas!$A$8:$H$174,8,0)</f>
        <v>Codigo ID sistema origem da garantia (CS, GP, Lease, outros)</v>
      </c>
      <c r="F16" t="b">
        <f t="shared" si="1"/>
        <v>1</v>
      </c>
      <c r="I16" s="42" t="s">
        <v>516</v>
      </c>
      <c r="J16" s="51" t="s">
        <v>532</v>
      </c>
      <c r="K16" s="52" t="s">
        <v>661</v>
      </c>
      <c r="O16" s="53" t="s">
        <v>516</v>
      </c>
      <c r="P16" s="54" t="s">
        <v>530</v>
      </c>
      <c r="Q16" s="54" t="s">
        <v>659</v>
      </c>
    </row>
    <row r="17" spans="1:17" x14ac:dyDescent="0.3">
      <c r="A17" t="str">
        <f t="shared" si="0"/>
        <v>BEMIMO_OUT_TRZ_CRED_PRCcempresp</v>
      </c>
      <c r="B17" s="42" t="s">
        <v>412</v>
      </c>
      <c r="C17" s="7" t="s">
        <v>5</v>
      </c>
      <c r="D17" s="2" t="s">
        <v>417</v>
      </c>
      <c r="E17" t="str">
        <f>VLOOKUP(A17,[1]Tabelas!$A$8:$H$174,8,0)</f>
        <v>Empresa da Responsabilidade</v>
      </c>
      <c r="F17" t="b">
        <f t="shared" si="1"/>
        <v>1</v>
      </c>
      <c r="I17" s="42" t="s">
        <v>533</v>
      </c>
      <c r="J17" s="51" t="s">
        <v>534</v>
      </c>
      <c r="K17" s="9" t="s">
        <v>662</v>
      </c>
    </row>
    <row r="18" spans="1:17" x14ac:dyDescent="0.3">
      <c r="A18" t="str">
        <f t="shared" si="0"/>
        <v>BEMIMO_OUT_TRZ_CRED_PRCckbalres</v>
      </c>
      <c r="B18" s="42" t="s">
        <v>412</v>
      </c>
      <c r="C18" s="7" t="s">
        <v>5</v>
      </c>
      <c r="D18" s="2" t="s">
        <v>418</v>
      </c>
      <c r="E18" t="str">
        <f>VLOOKUP(A18,[1]Tabelas!$A$8:$H$174,8,0)</f>
        <v>Código do balcão da Responsabilidade</v>
      </c>
      <c r="F18" t="b">
        <f t="shared" si="1"/>
        <v>1</v>
      </c>
      <c r="I18" s="42" t="s">
        <v>533</v>
      </c>
      <c r="J18" s="51" t="s">
        <v>535</v>
      </c>
      <c r="K18" s="51" t="s">
        <v>663</v>
      </c>
    </row>
    <row r="19" spans="1:17" x14ac:dyDescent="0.3">
      <c r="A19" t="str">
        <f t="shared" si="0"/>
        <v>BEMIMO_OUT_TRZ_CRED_PRCckctares</v>
      </c>
      <c r="B19" s="42" t="s">
        <v>412</v>
      </c>
      <c r="C19" s="7" t="s">
        <v>5</v>
      </c>
      <c r="D19" s="2" t="s">
        <v>419</v>
      </c>
      <c r="E19" t="str">
        <f>VLOOKUP(A19,[1]Tabelas!$A$8:$H$174,8,0)</f>
        <v>Número de conta da Responsabilidade</v>
      </c>
      <c r="F19" t="b">
        <f t="shared" si="1"/>
        <v>1</v>
      </c>
      <c r="I19" s="42" t="s">
        <v>533</v>
      </c>
      <c r="J19" s="51" t="s">
        <v>536</v>
      </c>
      <c r="K19" s="51" t="s">
        <v>664</v>
      </c>
    </row>
    <row r="20" spans="1:17" x14ac:dyDescent="0.3">
      <c r="A20" t="str">
        <f t="shared" si="0"/>
        <v>BEMIMO_OUT_TRZ_CRED_PRCckrefresp</v>
      </c>
      <c r="B20" s="42" t="s">
        <v>412</v>
      </c>
      <c r="C20" s="7" t="s">
        <v>5</v>
      </c>
      <c r="D20" s="2" t="s">
        <v>420</v>
      </c>
      <c r="E20" t="str">
        <f>VLOOKUP(A20,[1]Tabelas!$A$8:$H$174,8,0)</f>
        <v>Número depósito da Responsabilidade</v>
      </c>
      <c r="F20" t="b">
        <f t="shared" si="1"/>
        <v>1</v>
      </c>
      <c r="I20" s="42" t="s">
        <v>533</v>
      </c>
      <c r="J20" s="51" t="s">
        <v>537</v>
      </c>
      <c r="K20" s="8" t="s">
        <v>665</v>
      </c>
    </row>
    <row r="21" spans="1:17" x14ac:dyDescent="0.3">
      <c r="A21" t="str">
        <f t="shared" si="0"/>
        <v>BEMIMO_OUT_TRZ_CRED_PRCcempresa</v>
      </c>
      <c r="B21" s="42" t="s">
        <v>412</v>
      </c>
      <c r="C21" s="7" t="s">
        <v>5</v>
      </c>
      <c r="D21" s="2" t="s">
        <v>8</v>
      </c>
      <c r="E21" t="str">
        <f>VLOOKUP(A21,[1]Tabelas!$A$8:$H$174,8,0)</f>
        <v>Empresa da conta</v>
      </c>
      <c r="F21" t="b">
        <f t="shared" si="1"/>
        <v>1</v>
      </c>
      <c r="I21" s="42" t="s">
        <v>533</v>
      </c>
      <c r="J21" s="51" t="s">
        <v>517</v>
      </c>
      <c r="K21" s="9" t="s">
        <v>647</v>
      </c>
    </row>
    <row r="22" spans="1:17" x14ac:dyDescent="0.3">
      <c r="A22" t="str">
        <f t="shared" si="0"/>
        <v>BEMIMO_OUT_TRZ_CRED_PRCckbalcao</v>
      </c>
      <c r="B22" s="42" t="s">
        <v>412</v>
      </c>
      <c r="C22" s="7" t="s">
        <v>5</v>
      </c>
      <c r="D22" s="2" t="s">
        <v>9</v>
      </c>
      <c r="E22" t="str">
        <f>VLOOKUP(A22,[1]Tabelas!$A$8:$H$174,8,0)</f>
        <v>Código do balcão da Conta ID da Garantia</v>
      </c>
      <c r="F22" t="b">
        <f t="shared" si="1"/>
        <v>1</v>
      </c>
      <c r="I22" s="42" t="s">
        <v>533</v>
      </c>
      <c r="J22" s="51" t="s">
        <v>518</v>
      </c>
      <c r="K22" s="51" t="s">
        <v>648</v>
      </c>
    </row>
    <row r="23" spans="1:17" x14ac:dyDescent="0.3">
      <c r="A23" t="str">
        <f t="shared" si="0"/>
        <v>BEMIMO_OUT_TRZ_CRED_PRCcknumcta</v>
      </c>
      <c r="B23" s="42" t="s">
        <v>412</v>
      </c>
      <c r="C23" s="7" t="s">
        <v>5</v>
      </c>
      <c r="D23" s="2" t="s">
        <v>10</v>
      </c>
      <c r="E23" t="str">
        <f>VLOOKUP(A23,[1]Tabelas!$A$8:$H$174,8,0)</f>
        <v>Número de Conta ID da Garantia</v>
      </c>
      <c r="F23" t="b">
        <f t="shared" si="1"/>
        <v>1</v>
      </c>
      <c r="I23" s="42" t="s">
        <v>533</v>
      </c>
      <c r="J23" s="51" t="s">
        <v>519</v>
      </c>
      <c r="K23" s="51" t="s">
        <v>649</v>
      </c>
    </row>
    <row r="24" spans="1:17" x14ac:dyDescent="0.3">
      <c r="A24" t="str">
        <f t="shared" si="0"/>
        <v>BEMIMO_OUT_TRZ_CRED_PRCcomp_id_gar</v>
      </c>
      <c r="B24" s="42" t="s">
        <v>412</v>
      </c>
      <c r="C24" s="7" t="s">
        <v>5</v>
      </c>
      <c r="D24" s="2" t="s">
        <v>17</v>
      </c>
      <c r="E24" t="str">
        <f>VLOOKUP(A24,[1]Tabelas!$A$8:$H$174,8,0)</f>
        <v>Número ID da Caução / Versão GP / ID garantia Lease</v>
      </c>
      <c r="F24" t="b">
        <f t="shared" si="1"/>
        <v>1</v>
      </c>
      <c r="I24" s="42" t="s">
        <v>533</v>
      </c>
      <c r="J24" s="51" t="s">
        <v>520</v>
      </c>
      <c r="K24" s="8" t="s">
        <v>650</v>
      </c>
    </row>
    <row r="25" spans="1:17" x14ac:dyDescent="0.3">
      <c r="A25" t="str">
        <f t="shared" si="0"/>
        <v>BEMIMO_OUT_TRZ_CRED_PRCdata_inicio</v>
      </c>
      <c r="B25" s="42" t="s">
        <v>412</v>
      </c>
      <c r="C25" s="7" t="s">
        <v>5</v>
      </c>
      <c r="D25" s="2" t="s">
        <v>18</v>
      </c>
      <c r="E25" t="str">
        <f>VLOOKUP(A25,[1]Tabelas!$A$8:$H$174,8,0)</f>
        <v>Data inicio relação</v>
      </c>
      <c r="F25" t="b">
        <f t="shared" si="1"/>
        <v>1</v>
      </c>
      <c r="I25" s="42" t="s">
        <v>533</v>
      </c>
      <c r="J25" s="51" t="s">
        <v>538</v>
      </c>
      <c r="K25" s="8" t="s">
        <v>666</v>
      </c>
    </row>
    <row r="26" spans="1:17" x14ac:dyDescent="0.3">
      <c r="A26" t="str">
        <f t="shared" si="0"/>
        <v>BEMIMO_OUT_TRZ_CRED_PRCdata_fim</v>
      </c>
      <c r="B26" s="42" t="s">
        <v>412</v>
      </c>
      <c r="C26" s="7" t="s">
        <v>5</v>
      </c>
      <c r="D26" s="2" t="s">
        <v>421</v>
      </c>
      <c r="E26" t="str">
        <f>VLOOKUP(A26,[1]Tabelas!$A$8:$H$174,8,0)</f>
        <v>Data fim relação</v>
      </c>
      <c r="F26" t="b">
        <f t="shared" si="1"/>
        <v>1</v>
      </c>
      <c r="I26" s="42" t="s">
        <v>533</v>
      </c>
      <c r="J26" s="51" t="s">
        <v>539</v>
      </c>
      <c r="K26" s="8" t="s">
        <v>667</v>
      </c>
    </row>
    <row r="27" spans="1:17" x14ac:dyDescent="0.3">
      <c r="A27" t="str">
        <f t="shared" si="0"/>
        <v>BEMIMO_OUT_TRZ_CRED_PRCdata_vcmt</v>
      </c>
      <c r="B27" s="42" t="s">
        <v>412</v>
      </c>
      <c r="C27" s="7" t="s">
        <v>5</v>
      </c>
      <c r="D27" s="2" t="s">
        <v>19</v>
      </c>
      <c r="E27" t="str">
        <f>VLOOKUP(A27,[1]Tabelas!$A$8:$H$174,8,0)</f>
        <v>Data de vencimento da operação</v>
      </c>
      <c r="F27" t="b">
        <f t="shared" si="1"/>
        <v>1</v>
      </c>
      <c r="I27" s="42" t="s">
        <v>533</v>
      </c>
      <c r="J27" s="51" t="s">
        <v>540</v>
      </c>
      <c r="K27" s="8" t="s">
        <v>668</v>
      </c>
    </row>
    <row r="28" spans="1:17" x14ac:dyDescent="0.3">
      <c r="A28" t="str">
        <f t="shared" si="0"/>
        <v>BEMIMO_OUT_TRZ_CRED_PRCcod_prd_resp</v>
      </c>
      <c r="B28" s="42" t="s">
        <v>412</v>
      </c>
      <c r="C28" s="7" t="s">
        <v>5</v>
      </c>
      <c r="D28" s="2" t="s">
        <v>422</v>
      </c>
      <c r="E28" t="str">
        <f>VLOOKUP(A28,[1]Tabelas!$A$8:$H$174,8,0)</f>
        <v>Código produto responsabilidade</v>
      </c>
      <c r="F28" t="b">
        <f t="shared" si="1"/>
        <v>1</v>
      </c>
      <c r="I28" s="42" t="s">
        <v>533</v>
      </c>
      <c r="J28" s="51" t="s">
        <v>541</v>
      </c>
      <c r="K28" s="8" t="s">
        <v>669</v>
      </c>
    </row>
    <row r="29" spans="1:17" x14ac:dyDescent="0.3">
      <c r="A29" t="str">
        <f t="shared" si="0"/>
        <v>BEMIMO_OUT_TRZ_CRED_PRCcod_sprd_resp</v>
      </c>
      <c r="B29" s="42" t="s">
        <v>412</v>
      </c>
      <c r="C29" s="7" t="s">
        <v>5</v>
      </c>
      <c r="D29" s="2" t="s">
        <v>423</v>
      </c>
      <c r="E29" t="str">
        <f>VLOOKUP(A29,[1]Tabelas!$A$8:$H$174,8,0)</f>
        <v>Código sub-produto responsabilidade</v>
      </c>
      <c r="F29" t="b">
        <f t="shared" si="1"/>
        <v>1</v>
      </c>
      <c r="I29" s="42" t="s">
        <v>533</v>
      </c>
      <c r="J29" s="51" t="s">
        <v>542</v>
      </c>
      <c r="K29" s="8" t="s">
        <v>670</v>
      </c>
    </row>
    <row r="30" spans="1:17" x14ac:dyDescent="0.3">
      <c r="A30" t="str">
        <f t="shared" si="0"/>
        <v>BEMIMO_OUT_TRZ_CRED_PRCcod_fnld</v>
      </c>
      <c r="B30" s="42" t="s">
        <v>412</v>
      </c>
      <c r="C30" s="7" t="s">
        <v>5</v>
      </c>
      <c r="D30" s="2" t="s">
        <v>424</v>
      </c>
      <c r="E30" t="str">
        <f>VLOOKUP(A30,[1]Tabelas!$A$8:$H$174,8,0)</f>
        <v>Código finalidade da operação</v>
      </c>
      <c r="F30" t="b">
        <f t="shared" si="1"/>
        <v>1</v>
      </c>
      <c r="I30" s="42" t="s">
        <v>533</v>
      </c>
      <c r="J30" s="51" t="s">
        <v>543</v>
      </c>
      <c r="K30" s="51" t="s">
        <v>671</v>
      </c>
    </row>
    <row r="31" spans="1:17" x14ac:dyDescent="0.3">
      <c r="A31" t="str">
        <f t="shared" si="0"/>
        <v>BEMIMO_OUT_TRZ_CRED_PRCcod_ocupacao</v>
      </c>
      <c r="B31" s="42" t="s">
        <v>412</v>
      </c>
      <c r="C31" s="7" t="s">
        <v>5</v>
      </c>
      <c r="D31" s="2" t="s">
        <v>425</v>
      </c>
      <c r="E31" t="str">
        <f>VLOOKUP(A31,[1]Tabelas!$A$8:$H$174,8,0)</f>
        <v>Tipo de ocupação</v>
      </c>
      <c r="F31" t="b">
        <f t="shared" si="1"/>
        <v>1</v>
      </c>
      <c r="I31" s="42" t="s">
        <v>533</v>
      </c>
      <c r="J31" s="51" t="s">
        <v>544</v>
      </c>
      <c r="K31" s="51" t="s">
        <v>672</v>
      </c>
    </row>
    <row r="32" spans="1:17" x14ac:dyDescent="0.3">
      <c r="A32" t="str">
        <f t="shared" si="0"/>
        <v>BEMIMO_OUT_TRZ_CRED_PRCref_date</v>
      </c>
      <c r="B32" s="42" t="s">
        <v>412</v>
      </c>
      <c r="C32" s="7" t="s">
        <v>5</v>
      </c>
      <c r="D32" s="2" t="s">
        <v>21</v>
      </c>
      <c r="E32" t="str">
        <f>VLOOKUP(A32,[1]Tabelas!$A$8:$H$174,8,0)</f>
        <v>Data de referencia dos dados</v>
      </c>
      <c r="F32" t="b">
        <f t="shared" si="1"/>
        <v>1</v>
      </c>
      <c r="I32" s="42" t="s">
        <v>533</v>
      </c>
      <c r="J32" s="51" t="s">
        <v>531</v>
      </c>
      <c r="K32" s="51" t="s">
        <v>660</v>
      </c>
      <c r="O32" s="53" t="s">
        <v>533</v>
      </c>
      <c r="P32" s="54" t="s">
        <v>529</v>
      </c>
      <c r="Q32" s="54" t="s">
        <v>658</v>
      </c>
    </row>
    <row r="33" spans="1:17" x14ac:dyDescent="0.3">
      <c r="A33" t="str">
        <f t="shared" si="0"/>
        <v>BEMIMO_OUT_TRZ_CRED_PRCorigem</v>
      </c>
      <c r="B33" s="42" t="s">
        <v>412</v>
      </c>
      <c r="C33" s="7" t="s">
        <v>5</v>
      </c>
      <c r="D33" s="2" t="s">
        <v>20</v>
      </c>
      <c r="E33" t="str">
        <f>VLOOKUP(A33,[1]Tabelas!$A$8:$H$174,8,0)</f>
        <v>Codigo ID sistema origem da garantia (CS, GP, Lease, outros)</v>
      </c>
      <c r="F33" t="b">
        <f t="shared" si="1"/>
        <v>1</v>
      </c>
      <c r="I33" s="42" t="s">
        <v>533</v>
      </c>
      <c r="J33" s="51" t="s">
        <v>532</v>
      </c>
      <c r="K33" s="52" t="s">
        <v>661</v>
      </c>
      <c r="O33" s="53" t="s">
        <v>533</v>
      </c>
      <c r="P33" s="54" t="s">
        <v>530</v>
      </c>
      <c r="Q33" s="54" t="s">
        <v>659</v>
      </c>
    </row>
    <row r="34" spans="1:17" x14ac:dyDescent="0.3">
      <c r="A34" t="str">
        <f t="shared" si="0"/>
        <v>BEMIMO_OUT_TRZ_PRC_BENScempresa</v>
      </c>
      <c r="B34" s="42" t="s">
        <v>413</v>
      </c>
      <c r="C34" s="7" t="s">
        <v>3</v>
      </c>
      <c r="D34" s="2" t="s">
        <v>8</v>
      </c>
      <c r="E34" t="str">
        <f>VLOOKUP(A34,[1]Tabelas!$A$8:$H$174,8,0)</f>
        <v>Empresa da conta</v>
      </c>
      <c r="F34" t="b">
        <f t="shared" si="1"/>
        <v>1</v>
      </c>
      <c r="I34" s="42" t="s">
        <v>545</v>
      </c>
      <c r="J34" s="51" t="s">
        <v>517</v>
      </c>
      <c r="K34" s="9" t="s">
        <v>647</v>
      </c>
    </row>
    <row r="35" spans="1:17" x14ac:dyDescent="0.3">
      <c r="A35" t="str">
        <f t="shared" si="0"/>
        <v>BEMIMO_OUT_TRZ_PRC_BENSckbalcao</v>
      </c>
      <c r="B35" s="42" t="s">
        <v>413</v>
      </c>
      <c r="C35" s="7" t="s">
        <v>3</v>
      </c>
      <c r="D35" s="2" t="s">
        <v>9</v>
      </c>
      <c r="E35" t="str">
        <f>VLOOKUP(A35,[1]Tabelas!$A$8:$H$174,8,0)</f>
        <v>Código do balcão da Conta ID da Garantia</v>
      </c>
      <c r="F35" t="b">
        <f t="shared" si="1"/>
        <v>1</v>
      </c>
      <c r="I35" s="42" t="s">
        <v>545</v>
      </c>
      <c r="J35" s="51" t="s">
        <v>518</v>
      </c>
      <c r="K35" s="51" t="s">
        <v>648</v>
      </c>
    </row>
    <row r="36" spans="1:17" x14ac:dyDescent="0.3">
      <c r="A36" t="str">
        <f t="shared" si="0"/>
        <v>BEMIMO_OUT_TRZ_PRC_BENScknumcta</v>
      </c>
      <c r="B36" s="42" t="s">
        <v>413</v>
      </c>
      <c r="C36" s="7" t="s">
        <v>3</v>
      </c>
      <c r="D36" s="2" t="s">
        <v>10</v>
      </c>
      <c r="E36" t="str">
        <f>VLOOKUP(A36,[1]Tabelas!$A$8:$H$174,8,0)</f>
        <v>Número de Conta ID da Garantia</v>
      </c>
      <c r="F36" t="b">
        <f t="shared" si="1"/>
        <v>1</v>
      </c>
      <c r="I36" s="42" t="s">
        <v>545</v>
      </c>
      <c r="J36" s="51" t="s">
        <v>519</v>
      </c>
      <c r="K36" s="51" t="s">
        <v>649</v>
      </c>
    </row>
    <row r="37" spans="1:17" x14ac:dyDescent="0.3">
      <c r="A37" t="str">
        <f t="shared" si="0"/>
        <v>BEMIMO_OUT_TRZ_PRC_BENScomp_id_gar</v>
      </c>
      <c r="B37" s="42" t="s">
        <v>413</v>
      </c>
      <c r="C37" s="7" t="s">
        <v>3</v>
      </c>
      <c r="D37" s="2" t="s">
        <v>17</v>
      </c>
      <c r="E37" t="str">
        <f>VLOOKUP(A37,[1]Tabelas!$A$8:$H$174,8,0)</f>
        <v>Número ID da Caução / Versão GP / ID garantia Lease</v>
      </c>
      <c r="F37" t="b">
        <f t="shared" si="1"/>
        <v>1</v>
      </c>
      <c r="I37" s="42" t="s">
        <v>545</v>
      </c>
      <c r="J37" s="51" t="s">
        <v>520</v>
      </c>
      <c r="K37" s="8" t="s">
        <v>650</v>
      </c>
    </row>
    <row r="38" spans="1:17" x14ac:dyDescent="0.3">
      <c r="A38" t="str">
        <f t="shared" si="0"/>
        <v>BEMIMO_OUT_TRZ_PRC_BENScempbem</v>
      </c>
      <c r="B38" s="42" t="s">
        <v>413</v>
      </c>
      <c r="C38" s="7" t="s">
        <v>3</v>
      </c>
      <c r="D38" s="2" t="s">
        <v>49</v>
      </c>
      <c r="E38" t="str">
        <f>VLOOKUP(A38,[1]Tabelas!$A$8:$H$174,8,0)</f>
        <v>Código de empresa do Bem</v>
      </c>
      <c r="F38" t="b">
        <f t="shared" si="1"/>
        <v>1</v>
      </c>
      <c r="I38" s="42" t="s">
        <v>545</v>
      </c>
      <c r="J38" s="51" t="s">
        <v>546</v>
      </c>
      <c r="K38" s="8" t="s">
        <v>673</v>
      </c>
    </row>
    <row r="39" spans="1:17" x14ac:dyDescent="0.3">
      <c r="A39" t="str">
        <f t="shared" si="0"/>
        <v>BEMIMO_OUT_TRZ_PRC_BENSckbalbem</v>
      </c>
      <c r="B39" s="42" t="s">
        <v>413</v>
      </c>
      <c r="C39" s="7" t="s">
        <v>3</v>
      </c>
      <c r="D39" s="2" t="s">
        <v>50</v>
      </c>
      <c r="E39" t="str">
        <f>VLOOKUP(A39,[1]Tabelas!$A$8:$H$174,8,0)</f>
        <v>Código do balcão do Bem</v>
      </c>
      <c r="F39" t="b">
        <f t="shared" si="1"/>
        <v>1</v>
      </c>
      <c r="I39" s="42" t="s">
        <v>545</v>
      </c>
      <c r="J39" s="51" t="s">
        <v>547</v>
      </c>
      <c r="K39" s="8" t="s">
        <v>674</v>
      </c>
    </row>
    <row r="40" spans="1:17" x14ac:dyDescent="0.3">
      <c r="A40" t="str">
        <f t="shared" si="0"/>
        <v>BEMIMO_OUT_TRZ_PRC_BENSckctabem</v>
      </c>
      <c r="B40" s="42" t="s">
        <v>413</v>
      </c>
      <c r="C40" s="7" t="s">
        <v>3</v>
      </c>
      <c r="D40" s="2" t="s">
        <v>51</v>
      </c>
      <c r="E40" t="str">
        <f>VLOOKUP(A40,[1]Tabelas!$A$8:$H$174,8,0)</f>
        <v>Número de conta do Bem</v>
      </c>
      <c r="F40" t="b">
        <f t="shared" si="1"/>
        <v>1</v>
      </c>
      <c r="I40" s="42" t="s">
        <v>545</v>
      </c>
      <c r="J40" s="51" t="s">
        <v>548</v>
      </c>
      <c r="K40" s="8" t="s">
        <v>675</v>
      </c>
    </row>
    <row r="41" spans="1:17" x14ac:dyDescent="0.3">
      <c r="A41" t="str">
        <f t="shared" si="0"/>
        <v>BEMIMO_OUT_TRZ_PRC_BENSckrefbem</v>
      </c>
      <c r="B41" s="42" t="s">
        <v>413</v>
      </c>
      <c r="C41" s="7" t="s">
        <v>3</v>
      </c>
      <c r="D41" s="2" t="s">
        <v>52</v>
      </c>
      <c r="E41" t="str">
        <f>VLOOKUP(A41,[1]Tabelas!$A$8:$H$174,8,0)</f>
        <v>Número do Bem</v>
      </c>
      <c r="F41" t="b">
        <f t="shared" si="1"/>
        <v>1</v>
      </c>
      <c r="I41" s="42" t="s">
        <v>545</v>
      </c>
      <c r="J41" s="51" t="s">
        <v>549</v>
      </c>
      <c r="K41" s="8" t="s">
        <v>676</v>
      </c>
    </row>
    <row r="42" spans="1:17" x14ac:dyDescent="0.3">
      <c r="A42" t="str">
        <f t="shared" si="0"/>
        <v>BEMIMO_OUT_TRZ_PRC_BENSflg_fin</v>
      </c>
      <c r="B42" s="42" t="s">
        <v>413</v>
      </c>
      <c r="C42" s="7" t="s">
        <v>3</v>
      </c>
      <c r="D42" s="2" t="s">
        <v>337</v>
      </c>
      <c r="E42" t="str">
        <f>VLOOKUP(A42,[1]Tabelas!$A$8:$H$174,8,0)</f>
        <v>Indicador de bem financiado</v>
      </c>
      <c r="F42" t="b">
        <f t="shared" si="1"/>
        <v>1</v>
      </c>
      <c r="I42" s="42" t="s">
        <v>545</v>
      </c>
      <c r="J42" s="51" t="s">
        <v>550</v>
      </c>
      <c r="K42" s="8" t="s">
        <v>677</v>
      </c>
    </row>
    <row r="43" spans="1:17" x14ac:dyDescent="0.3">
      <c r="A43" t="str">
        <f t="shared" si="0"/>
        <v>BEMIMO_OUT_TRZ_PRC_BENSflg_adj</v>
      </c>
      <c r="B43" s="42" t="s">
        <v>413</v>
      </c>
      <c r="C43" s="7" t="s">
        <v>3</v>
      </c>
      <c r="D43" s="2" t="s">
        <v>426</v>
      </c>
      <c r="E43" t="str">
        <f>VLOOKUP(A43,[1]Tabelas!$A$8:$H$174,8,0)</f>
        <v>Indicador de bem adjudicado</v>
      </c>
      <c r="F43" t="b">
        <f t="shared" si="1"/>
        <v>1</v>
      </c>
      <c r="I43" s="42" t="s">
        <v>545</v>
      </c>
      <c r="J43" s="51" t="s">
        <v>551</v>
      </c>
      <c r="K43" s="51" t="s">
        <v>678</v>
      </c>
    </row>
    <row r="44" spans="1:17" x14ac:dyDescent="0.3">
      <c r="A44" t="str">
        <f t="shared" si="0"/>
        <v>BEMIMO_OUT_TRZ_PRC_BENSflg_col</v>
      </c>
      <c r="B44" s="42" t="s">
        <v>413</v>
      </c>
      <c r="C44" s="7" t="s">
        <v>3</v>
      </c>
      <c r="D44" s="2" t="s">
        <v>339</v>
      </c>
      <c r="E44" t="str">
        <f>VLOOKUP(A44,[1]Tabelas!$A$8:$H$174,8,0)</f>
        <v>Indicador de bem colateral</v>
      </c>
      <c r="F44" t="b">
        <f t="shared" si="1"/>
        <v>1</v>
      </c>
      <c r="I44" s="42" t="s">
        <v>545</v>
      </c>
      <c r="J44" s="51" t="s">
        <v>552</v>
      </c>
      <c r="K44" s="51" t="s">
        <v>679</v>
      </c>
    </row>
    <row r="45" spans="1:17" x14ac:dyDescent="0.3">
      <c r="A45" t="str">
        <f t="shared" si="0"/>
        <v>BEMIMO_OUT_TRZ_PRC_BENSflg_pro</v>
      </c>
      <c r="B45" s="42" t="s">
        <v>413</v>
      </c>
      <c r="C45" s="7" t="s">
        <v>3</v>
      </c>
      <c r="D45" s="2" t="s">
        <v>340</v>
      </c>
      <c r="E45" t="str">
        <f>VLOOKUP(A45,[1]Tabelas!$A$8:$H$174,8,0)</f>
        <v>Indicador de bem próprio</v>
      </c>
      <c r="F45" t="b">
        <f t="shared" si="1"/>
        <v>1</v>
      </c>
      <c r="I45" s="42" t="s">
        <v>545</v>
      </c>
      <c r="J45" s="51" t="s">
        <v>553</v>
      </c>
      <c r="K45" s="51" t="s">
        <v>680</v>
      </c>
    </row>
    <row r="46" spans="1:17" x14ac:dyDescent="0.3">
      <c r="A46" t="str">
        <f t="shared" si="0"/>
        <v>BEMIMO_OUT_TRZ_PRC_BENSref_date</v>
      </c>
      <c r="B46" s="42" t="s">
        <v>413</v>
      </c>
      <c r="C46" s="7" t="s">
        <v>3</v>
      </c>
      <c r="D46" s="2" t="s">
        <v>21</v>
      </c>
      <c r="E46" t="str">
        <f>VLOOKUP(A46,[1]Tabelas!$A$8:$H$174,8,0)</f>
        <v>Data de referencia dos dados</v>
      </c>
      <c r="F46" t="b">
        <f t="shared" si="1"/>
        <v>1</v>
      </c>
      <c r="I46" s="42" t="s">
        <v>545</v>
      </c>
      <c r="J46" s="51" t="s">
        <v>531</v>
      </c>
      <c r="K46" s="51" t="s">
        <v>660</v>
      </c>
      <c r="O46" s="53" t="s">
        <v>545</v>
      </c>
      <c r="P46" s="54" t="s">
        <v>529</v>
      </c>
      <c r="Q46" s="54" t="s">
        <v>658</v>
      </c>
    </row>
    <row r="47" spans="1:17" x14ac:dyDescent="0.3">
      <c r="A47" t="str">
        <f t="shared" si="0"/>
        <v>BEMIMO_OUT_TRZ_PRC_BENSorigem</v>
      </c>
      <c r="B47" s="42" t="s">
        <v>413</v>
      </c>
      <c r="C47" s="7" t="s">
        <v>3</v>
      </c>
      <c r="D47" s="2" t="s">
        <v>20</v>
      </c>
      <c r="E47" t="str">
        <f>VLOOKUP(A47,[1]Tabelas!$A$8:$H$174,8,0)</f>
        <v>Codigo ID sistema origem da garantia (CS, GP, Lease, outros)</v>
      </c>
      <c r="F47" t="b">
        <f t="shared" si="1"/>
        <v>1</v>
      </c>
      <c r="I47" s="42" t="s">
        <v>545</v>
      </c>
      <c r="J47" s="51" t="s">
        <v>532</v>
      </c>
      <c r="K47" s="52" t="s">
        <v>661</v>
      </c>
      <c r="O47" s="53" t="s">
        <v>545</v>
      </c>
      <c r="P47" s="54" t="s">
        <v>530</v>
      </c>
      <c r="Q47" s="54" t="s">
        <v>659</v>
      </c>
    </row>
    <row r="48" spans="1:17" x14ac:dyDescent="0.3">
      <c r="A48" t="str">
        <f t="shared" si="0"/>
        <v>BEMIMO_OUT_BENScempbem</v>
      </c>
      <c r="B48" s="43" t="s">
        <v>414</v>
      </c>
      <c r="C48" s="7" t="s">
        <v>4</v>
      </c>
      <c r="D48" s="2" t="s">
        <v>49</v>
      </c>
      <c r="E48" t="str">
        <f>VLOOKUP(A48,[1]Tabelas!$A$8:$H$174,8,0)</f>
        <v>Código de empresa do Bem</v>
      </c>
      <c r="F48" t="b">
        <f t="shared" si="1"/>
        <v>1</v>
      </c>
      <c r="I48" s="43" t="s">
        <v>554</v>
      </c>
      <c r="J48" s="51" t="s">
        <v>546</v>
      </c>
      <c r="K48" s="8" t="s">
        <v>673</v>
      </c>
    </row>
    <row r="49" spans="1:11" x14ac:dyDescent="0.3">
      <c r="A49" t="str">
        <f t="shared" si="0"/>
        <v>BEMIMO_OUT_BENSckbalbem</v>
      </c>
      <c r="B49" s="43" t="s">
        <v>414</v>
      </c>
      <c r="C49" s="7" t="s">
        <v>4</v>
      </c>
      <c r="D49" s="2" t="s">
        <v>50</v>
      </c>
      <c r="E49" t="str">
        <f>VLOOKUP(A49,[1]Tabelas!$A$8:$H$174,8,0)</f>
        <v>Código do balcão do Bem</v>
      </c>
      <c r="F49" t="b">
        <f t="shared" si="1"/>
        <v>1</v>
      </c>
      <c r="I49" s="43" t="s">
        <v>554</v>
      </c>
      <c r="J49" s="51" t="s">
        <v>547</v>
      </c>
      <c r="K49" s="8" t="s">
        <v>674</v>
      </c>
    </row>
    <row r="50" spans="1:11" x14ac:dyDescent="0.3">
      <c r="A50" t="str">
        <f t="shared" si="0"/>
        <v>BEMIMO_OUT_BENSckctabem</v>
      </c>
      <c r="B50" s="43" t="s">
        <v>414</v>
      </c>
      <c r="C50" s="7" t="s">
        <v>4</v>
      </c>
      <c r="D50" s="2" t="s">
        <v>51</v>
      </c>
      <c r="E50" t="str">
        <f>VLOOKUP(A50,[1]Tabelas!$A$8:$H$174,8,0)</f>
        <v>Número de conta do Bem</v>
      </c>
      <c r="F50" t="b">
        <f t="shared" si="1"/>
        <v>1</v>
      </c>
      <c r="I50" s="43" t="s">
        <v>554</v>
      </c>
      <c r="J50" s="51" t="s">
        <v>548</v>
      </c>
      <c r="K50" s="8" t="s">
        <v>675</v>
      </c>
    </row>
    <row r="51" spans="1:11" x14ac:dyDescent="0.3">
      <c r="A51" t="str">
        <f t="shared" si="0"/>
        <v>BEMIMO_OUT_BENSckrefbem</v>
      </c>
      <c r="B51" s="43" t="s">
        <v>414</v>
      </c>
      <c r="C51" s="7" t="s">
        <v>4</v>
      </c>
      <c r="D51" s="2" t="s">
        <v>52</v>
      </c>
      <c r="E51" t="str">
        <f>VLOOKUP(A51,[1]Tabelas!$A$8:$H$174,8,0)</f>
        <v>Número do Bem</v>
      </c>
      <c r="F51" t="b">
        <f t="shared" si="1"/>
        <v>1</v>
      </c>
      <c r="I51" s="43" t="s">
        <v>554</v>
      </c>
      <c r="J51" s="51" t="s">
        <v>549</v>
      </c>
      <c r="K51" s="8" t="s">
        <v>676</v>
      </c>
    </row>
    <row r="52" spans="1:11" x14ac:dyDescent="0.3">
      <c r="A52" t="str">
        <f t="shared" si="0"/>
        <v>BEMIMO_OUT_BENScod_tp_bem</v>
      </c>
      <c r="B52" s="43" t="s">
        <v>414</v>
      </c>
      <c r="C52" s="7" t="s">
        <v>4</v>
      </c>
      <c r="D52" s="3" t="s">
        <v>427</v>
      </c>
      <c r="E52" t="str">
        <f>VLOOKUP(A52,[1]Tabelas!$A$8:$H$174,8,0)</f>
        <v>Código indicador de tipo de bem</v>
      </c>
      <c r="F52" t="b">
        <f t="shared" si="1"/>
        <v>1</v>
      </c>
      <c r="I52" s="43" t="s">
        <v>554</v>
      </c>
      <c r="J52" s="8" t="s">
        <v>555</v>
      </c>
      <c r="K52" s="8" t="s">
        <v>681</v>
      </c>
    </row>
    <row r="53" spans="1:11" x14ac:dyDescent="0.3">
      <c r="A53" t="str">
        <f t="shared" si="0"/>
        <v>BEMIMO_OUT_BENScod_disconf</v>
      </c>
      <c r="B53" s="43" t="s">
        <v>414</v>
      </c>
      <c r="C53" s="7" t="s">
        <v>4</v>
      </c>
      <c r="D53" s="3" t="s">
        <v>428</v>
      </c>
      <c r="E53" t="str">
        <f>VLOOKUP(A53,[1]Tabelas!$A$8:$H$174,8,0)</f>
        <v>Distrito Concelho Freguesia</v>
      </c>
      <c r="F53" t="b">
        <f t="shared" si="1"/>
        <v>1</v>
      </c>
      <c r="I53" s="43" t="s">
        <v>554</v>
      </c>
      <c r="J53" s="8" t="s">
        <v>556</v>
      </c>
      <c r="K53" s="51" t="s">
        <v>682</v>
      </c>
    </row>
    <row r="54" spans="1:11" x14ac:dyDescent="0.3">
      <c r="A54" t="str">
        <f t="shared" si="0"/>
        <v>BEMIMO_OUT_BENSlocalid</v>
      </c>
      <c r="B54" s="43" t="s">
        <v>414</v>
      </c>
      <c r="C54" s="7" t="s">
        <v>4</v>
      </c>
      <c r="D54" s="3" t="s">
        <v>429</v>
      </c>
      <c r="E54" t="str">
        <f>VLOOKUP(A54,[1]Tabelas!$A$8:$H$174,8,0)</f>
        <v xml:space="preserve">Localidade                     </v>
      </c>
      <c r="F54" t="b">
        <f t="shared" si="1"/>
        <v>1</v>
      </c>
      <c r="I54" s="43" t="s">
        <v>554</v>
      </c>
      <c r="J54" s="8" t="s">
        <v>557</v>
      </c>
      <c r="K54" s="51" t="s">
        <v>683</v>
      </c>
    </row>
    <row r="55" spans="1:11" x14ac:dyDescent="0.3">
      <c r="A55" t="str">
        <f t="shared" si="0"/>
        <v>BEMIMO_OUT_BENSurbaniz</v>
      </c>
      <c r="B55" s="43" t="s">
        <v>414</v>
      </c>
      <c r="C55" s="7" t="s">
        <v>4</v>
      </c>
      <c r="D55" s="3" t="s">
        <v>430</v>
      </c>
      <c r="E55" t="str">
        <f>VLOOKUP(A55,[1]Tabelas!$A$8:$H$174,8,0)</f>
        <v xml:space="preserve">Urbanização                    </v>
      </c>
      <c r="F55" t="b">
        <f t="shared" si="1"/>
        <v>1</v>
      </c>
      <c r="I55" s="43" t="s">
        <v>554</v>
      </c>
      <c r="J55" s="8" t="s">
        <v>558</v>
      </c>
      <c r="K55" s="51" t="s">
        <v>684</v>
      </c>
    </row>
    <row r="56" spans="1:11" x14ac:dyDescent="0.3">
      <c r="A56" t="str">
        <f t="shared" si="0"/>
        <v>BEMIMO_OUT_BENScod_morada</v>
      </c>
      <c r="B56" s="43" t="s">
        <v>414</v>
      </c>
      <c r="C56" s="7" t="s">
        <v>4</v>
      </c>
      <c r="D56" s="3" t="s">
        <v>431</v>
      </c>
      <c r="E56" t="str">
        <f>VLOOKUP(A56,[1]Tabelas!$A$8:$H$174,8,0)</f>
        <v xml:space="preserve">Código da morada(rua,avenida,etc)       </v>
      </c>
      <c r="F56" t="b">
        <f t="shared" si="1"/>
        <v>1</v>
      </c>
      <c r="I56" s="43" t="s">
        <v>554</v>
      </c>
      <c r="J56" s="8" t="s">
        <v>559</v>
      </c>
      <c r="K56" s="51" t="s">
        <v>685</v>
      </c>
    </row>
    <row r="57" spans="1:11" x14ac:dyDescent="0.3">
      <c r="A57" t="str">
        <f t="shared" si="0"/>
        <v>BEMIMO_OUT_BENSmorada</v>
      </c>
      <c r="B57" s="43" t="s">
        <v>414</v>
      </c>
      <c r="C57" s="7" t="s">
        <v>4</v>
      </c>
      <c r="D57" s="3" t="s">
        <v>432</v>
      </c>
      <c r="E57" t="str">
        <f>VLOOKUP(A57,[1]Tabelas!$A$8:$H$174,8,0)</f>
        <v xml:space="preserve">Morada                         </v>
      </c>
      <c r="F57" t="b">
        <f t="shared" si="1"/>
        <v>1</v>
      </c>
      <c r="I57" s="43" t="s">
        <v>554</v>
      </c>
      <c r="J57" s="8" t="s">
        <v>560</v>
      </c>
      <c r="K57" s="51" t="s">
        <v>686</v>
      </c>
    </row>
    <row r="58" spans="1:11" x14ac:dyDescent="0.3">
      <c r="A58" t="str">
        <f t="shared" si="0"/>
        <v>BEMIMO_OUT_BENSnum</v>
      </c>
      <c r="B58" s="43" t="s">
        <v>414</v>
      </c>
      <c r="C58" s="7" t="s">
        <v>4</v>
      </c>
      <c r="D58" s="3" t="s">
        <v>433</v>
      </c>
      <c r="E58" t="str">
        <f>VLOOKUP(A58,[1]Tabelas!$A$8:$H$174,8,0)</f>
        <v xml:space="preserve">Número                         </v>
      </c>
      <c r="F58" t="b">
        <f t="shared" si="1"/>
        <v>1</v>
      </c>
      <c r="I58" s="43" t="s">
        <v>554</v>
      </c>
      <c r="J58" s="8" t="s">
        <v>561</v>
      </c>
      <c r="K58" s="51" t="s">
        <v>687</v>
      </c>
    </row>
    <row r="59" spans="1:11" x14ac:dyDescent="0.3">
      <c r="A59" t="str">
        <f t="shared" si="0"/>
        <v>BEMIMO_OUT_BENSlote</v>
      </c>
      <c r="B59" s="43" t="s">
        <v>414</v>
      </c>
      <c r="C59" s="7" t="s">
        <v>4</v>
      </c>
      <c r="D59" s="3" t="s">
        <v>434</v>
      </c>
      <c r="E59" t="str">
        <f>VLOOKUP(A59,[1]Tabelas!$A$8:$H$174,8,0)</f>
        <v xml:space="preserve">Lote                           </v>
      </c>
      <c r="F59" t="b">
        <f t="shared" si="1"/>
        <v>1</v>
      </c>
      <c r="I59" s="43" t="s">
        <v>554</v>
      </c>
      <c r="J59" s="8" t="s">
        <v>562</v>
      </c>
      <c r="K59" s="51" t="s">
        <v>688</v>
      </c>
    </row>
    <row r="60" spans="1:11" x14ac:dyDescent="0.3">
      <c r="A60" t="str">
        <f t="shared" si="0"/>
        <v>BEMIMO_OUT_BENSid_frac</v>
      </c>
      <c r="B60" s="43" t="s">
        <v>414</v>
      </c>
      <c r="C60" s="7" t="s">
        <v>4</v>
      </c>
      <c r="D60" s="3" t="s">
        <v>435</v>
      </c>
      <c r="E60" t="str">
        <f>VLOOKUP(A60,[1]Tabelas!$A$8:$H$174,8,0)</f>
        <v xml:space="preserve">Identificação da fracção       </v>
      </c>
      <c r="F60" t="b">
        <f t="shared" si="1"/>
        <v>1</v>
      </c>
      <c r="I60" s="43" t="s">
        <v>554</v>
      </c>
      <c r="J60" s="8" t="s">
        <v>563</v>
      </c>
      <c r="K60" s="51" t="s">
        <v>689</v>
      </c>
    </row>
    <row r="61" spans="1:11" x14ac:dyDescent="0.3">
      <c r="A61" t="str">
        <f t="shared" si="0"/>
        <v>BEMIMO_OUT_BENScod_pais</v>
      </c>
      <c r="B61" s="43" t="s">
        <v>414</v>
      </c>
      <c r="C61" s="7" t="s">
        <v>4</v>
      </c>
      <c r="D61" s="3" t="s">
        <v>78</v>
      </c>
      <c r="E61" t="str">
        <f>VLOOKUP(A61,[1]Tabelas!$A$8:$H$174,8,0)</f>
        <v>País da morada</v>
      </c>
      <c r="F61" t="b">
        <f t="shared" si="1"/>
        <v>1</v>
      </c>
      <c r="I61" s="43" t="s">
        <v>554</v>
      </c>
      <c r="J61" s="8" t="s">
        <v>564</v>
      </c>
      <c r="K61" s="51" t="s">
        <v>690</v>
      </c>
    </row>
    <row r="62" spans="1:11" x14ac:dyDescent="0.3">
      <c r="A62" t="str">
        <f t="shared" si="0"/>
        <v>BEMIMO_OUT_BENScod_idd_pred</v>
      </c>
      <c r="B62" s="43" t="s">
        <v>414</v>
      </c>
      <c r="C62" s="7" t="s">
        <v>4</v>
      </c>
      <c r="D62" s="3" t="s">
        <v>436</v>
      </c>
      <c r="E62" t="str">
        <f>VLOOKUP(A62,[1]Tabelas!$A$8:$H$174,8,0)</f>
        <v>Código de idade do bem</v>
      </c>
      <c r="F62" t="b">
        <f t="shared" si="1"/>
        <v>1</v>
      </c>
      <c r="I62" s="43" t="s">
        <v>554</v>
      </c>
      <c r="J62" s="8" t="s">
        <v>565</v>
      </c>
      <c r="K62" s="51" t="s">
        <v>691</v>
      </c>
    </row>
    <row r="63" spans="1:11" x14ac:dyDescent="0.3">
      <c r="A63" t="str">
        <f t="shared" si="0"/>
        <v>BEMIMO_OUT_BENSperc_obra</v>
      </c>
      <c r="B63" s="43" t="s">
        <v>414</v>
      </c>
      <c r="C63" s="7" t="s">
        <v>4</v>
      </c>
      <c r="D63" s="3" t="s">
        <v>437</v>
      </c>
      <c r="E63" t="str">
        <f>VLOOKUP(A63,[1]Tabelas!$A$8:$H$174,8,0)</f>
        <v>Percentagem de obra</v>
      </c>
      <c r="F63" t="b">
        <f t="shared" si="1"/>
        <v>1</v>
      </c>
      <c r="I63" s="43" t="s">
        <v>554</v>
      </c>
      <c r="J63" s="8" t="s">
        <v>566</v>
      </c>
      <c r="K63" s="51" t="s">
        <v>692</v>
      </c>
    </row>
    <row r="64" spans="1:11" x14ac:dyDescent="0.3">
      <c r="A64" t="str">
        <f t="shared" si="0"/>
        <v>BEMIMO_OUT_BENScod_art_matr</v>
      </c>
      <c r="B64" s="43" t="s">
        <v>414</v>
      </c>
      <c r="C64" s="7" t="s">
        <v>4</v>
      </c>
      <c r="D64" s="3" t="s">
        <v>438</v>
      </c>
      <c r="E64" t="str">
        <f>VLOOKUP(A64,[1]Tabelas!$A$8:$H$174,8,0)</f>
        <v>Código Matricial</v>
      </c>
      <c r="F64" t="b">
        <f t="shared" si="1"/>
        <v>1</v>
      </c>
      <c r="I64" s="43" t="s">
        <v>554</v>
      </c>
      <c r="J64" s="8" t="s">
        <v>567</v>
      </c>
      <c r="K64" s="51" t="s">
        <v>693</v>
      </c>
    </row>
    <row r="65" spans="1:17" x14ac:dyDescent="0.3">
      <c r="A65" t="str">
        <f t="shared" si="0"/>
        <v>BEMIMO_OUT_BENScod_fin_bem</v>
      </c>
      <c r="B65" s="43" t="s">
        <v>414</v>
      </c>
      <c r="C65" s="7" t="s">
        <v>4</v>
      </c>
      <c r="D65" s="3" t="s">
        <v>439</v>
      </c>
      <c r="E65" t="str">
        <f>VLOOKUP(A65,[1]Tabelas!$A$8:$H$174,8,0)</f>
        <v>Código indicador de utilização (finalidade) do bem</v>
      </c>
      <c r="F65" t="b">
        <f t="shared" si="1"/>
        <v>1</v>
      </c>
      <c r="I65" s="43" t="s">
        <v>554</v>
      </c>
      <c r="J65" s="8" t="s">
        <v>568</v>
      </c>
      <c r="K65" s="51" t="s">
        <v>694</v>
      </c>
    </row>
    <row r="66" spans="1:17" x14ac:dyDescent="0.3">
      <c r="A66" t="str">
        <f t="shared" si="0"/>
        <v>BEMIMO_OUT_BENScod_post</v>
      </c>
      <c r="B66" s="43" t="s">
        <v>414</v>
      </c>
      <c r="C66" s="7" t="s">
        <v>4</v>
      </c>
      <c r="D66" s="3" t="s">
        <v>440</v>
      </c>
      <c r="E66" t="str">
        <f>VLOOKUP(A66,[1]Tabelas!$A$8:$H$174,8,0)</f>
        <v>Código Postal</v>
      </c>
      <c r="F66" t="b">
        <f t="shared" si="1"/>
        <v>1</v>
      </c>
      <c r="I66" s="43" t="s">
        <v>554</v>
      </c>
      <c r="J66" s="8" t="s">
        <v>569</v>
      </c>
      <c r="K66" s="51" t="s">
        <v>695</v>
      </c>
    </row>
    <row r="67" spans="1:17" x14ac:dyDescent="0.3">
      <c r="A67" t="str">
        <f t="shared" si="0"/>
        <v>BEMIMO_OUT_BENSmontante_avl</v>
      </c>
      <c r="B67" s="43" t="s">
        <v>414</v>
      </c>
      <c r="C67" s="7" t="s">
        <v>4</v>
      </c>
      <c r="D67" s="3" t="s">
        <v>441</v>
      </c>
      <c r="E67" t="str">
        <f>VLOOKUP(A67,[1]Tabelas!$A$8:$H$174,8,0)</f>
        <v>Montante ultima avaliação</v>
      </c>
      <c r="F67" t="b">
        <f t="shared" si="1"/>
        <v>1</v>
      </c>
      <c r="I67" s="43" t="s">
        <v>554</v>
      </c>
      <c r="J67" s="8" t="s">
        <v>570</v>
      </c>
      <c r="K67" s="51" t="s">
        <v>696</v>
      </c>
    </row>
    <row r="68" spans="1:17" x14ac:dyDescent="0.3">
      <c r="A68" t="str">
        <f t="shared" ref="A68:A131" si="2">B68&amp;D68</f>
        <v>BEMIMO_OUT_BENSdata_avl</v>
      </c>
      <c r="B68" s="43" t="s">
        <v>414</v>
      </c>
      <c r="C68" s="7" t="s">
        <v>4</v>
      </c>
      <c r="D68" s="3" t="s">
        <v>442</v>
      </c>
      <c r="E68" t="str">
        <f>VLOOKUP(A68,[1]Tabelas!$A$8:$H$174,8,0)</f>
        <v>Data da última avaliação</v>
      </c>
      <c r="F68" t="b">
        <f t="shared" ref="F68:F131" si="3">E68=K68</f>
        <v>1</v>
      </c>
      <c r="I68" s="43" t="s">
        <v>554</v>
      </c>
      <c r="J68" s="8" t="s">
        <v>571</v>
      </c>
      <c r="K68" s="51" t="s">
        <v>697</v>
      </c>
    </row>
    <row r="69" spans="1:17" x14ac:dyDescent="0.3">
      <c r="A69" t="str">
        <f t="shared" si="2"/>
        <v>BEMIMO_OUT_BENSmontante_avl_dist</v>
      </c>
      <c r="B69" s="43" t="s">
        <v>414</v>
      </c>
      <c r="C69" s="7" t="s">
        <v>4</v>
      </c>
      <c r="D69" s="3" t="s">
        <v>443</v>
      </c>
      <c r="E69" t="str">
        <f>VLOOKUP(A69,[1]Tabelas!$A$8:$H$174,8,0)</f>
        <v xml:space="preserve">Montante de avl. distrate  </v>
      </c>
      <c r="F69" t="b">
        <f t="shared" si="3"/>
        <v>1</v>
      </c>
      <c r="I69" s="43" t="s">
        <v>554</v>
      </c>
      <c r="J69" s="8" t="s">
        <v>572</v>
      </c>
      <c r="K69" s="51" t="s">
        <v>698</v>
      </c>
    </row>
    <row r="70" spans="1:17" x14ac:dyDescent="0.3">
      <c r="A70" t="str">
        <f t="shared" si="2"/>
        <v>BEMIMO_OUT_BENScod_avl</v>
      </c>
      <c r="B70" s="43" t="s">
        <v>414</v>
      </c>
      <c r="C70" s="7" t="s">
        <v>4</v>
      </c>
      <c r="D70" s="3" t="s">
        <v>444</v>
      </c>
      <c r="E70" t="str">
        <f>VLOOKUP(A70,[1]Tabelas!$A$8:$H$174,8,0)</f>
        <v>Código interno da avaliadora</v>
      </c>
      <c r="F70" t="b">
        <f t="shared" si="3"/>
        <v>1</v>
      </c>
      <c r="I70" s="43" t="s">
        <v>554</v>
      </c>
      <c r="J70" s="8" t="s">
        <v>573</v>
      </c>
      <c r="K70" s="51" t="s">
        <v>699</v>
      </c>
    </row>
    <row r="71" spans="1:17" x14ac:dyDescent="0.3">
      <c r="A71" t="str">
        <f t="shared" si="2"/>
        <v>BEMIMO_OUT_BENSficha</v>
      </c>
      <c r="B71" s="43" t="s">
        <v>414</v>
      </c>
      <c r="C71" s="7" t="s">
        <v>4</v>
      </c>
      <c r="D71" s="3" t="s">
        <v>445</v>
      </c>
      <c r="E71" t="str">
        <f>VLOOKUP(A71,[1]Tabelas!$A$8:$H$174,8,0)</f>
        <v>Número de ficha de inscrição da hipoteca na conservatória</v>
      </c>
      <c r="F71" t="b">
        <f t="shared" si="3"/>
        <v>1</v>
      </c>
      <c r="I71" s="43" t="s">
        <v>554</v>
      </c>
      <c r="J71" s="8" t="s">
        <v>574</v>
      </c>
      <c r="K71" s="51" t="s">
        <v>700</v>
      </c>
    </row>
    <row r="72" spans="1:17" x14ac:dyDescent="0.3">
      <c r="A72" t="str">
        <f t="shared" si="2"/>
        <v>BEMIMO_OUT_BENSmontante_vnd_rap</v>
      </c>
      <c r="B72" s="43" t="s">
        <v>414</v>
      </c>
      <c r="C72" s="7" t="s">
        <v>4</v>
      </c>
      <c r="D72" s="4" t="s">
        <v>446</v>
      </c>
      <c r="E72" t="str">
        <f>VLOOKUP(A72,[1]Tabelas!$A$8:$H$174,8,0)</f>
        <v>Montante de venda rápida p/dações</v>
      </c>
      <c r="F72" t="b">
        <f t="shared" si="3"/>
        <v>1</v>
      </c>
      <c r="I72" s="43" t="s">
        <v>554</v>
      </c>
      <c r="J72" s="9" t="s">
        <v>575</v>
      </c>
      <c r="K72" s="51" t="s">
        <v>701</v>
      </c>
    </row>
    <row r="73" spans="1:17" x14ac:dyDescent="0.3">
      <c r="A73" t="str">
        <f t="shared" si="2"/>
        <v>BEMIMO_OUT_BENSprealcons</v>
      </c>
      <c r="B73" s="43" t="s">
        <v>414</v>
      </c>
      <c r="C73" s="7" t="s">
        <v>4</v>
      </c>
      <c r="D73" s="5" t="s">
        <v>447</v>
      </c>
      <c r="E73" t="str">
        <f>VLOOKUP(A73,[1]Tabelas!$A$8:$H$174,8,0)</f>
        <v>Percentagem de realização de utilização</v>
      </c>
      <c r="F73" t="b">
        <f t="shared" si="3"/>
        <v>1</v>
      </c>
      <c r="I73" s="43" t="s">
        <v>554</v>
      </c>
      <c r="J73" s="5" t="s">
        <v>576</v>
      </c>
      <c r="K73" s="51" t="s">
        <v>702</v>
      </c>
    </row>
    <row r="74" spans="1:17" x14ac:dyDescent="0.3">
      <c r="A74" t="str">
        <f t="shared" si="2"/>
        <v>BEMIMO_OUT_BENSdata_lic_util</v>
      </c>
      <c r="B74" s="43" t="s">
        <v>414</v>
      </c>
      <c r="C74" s="7" t="s">
        <v>4</v>
      </c>
      <c r="D74" s="5" t="s">
        <v>448</v>
      </c>
      <c r="E74" t="str">
        <f>VLOOKUP(A74,[1]Tabelas!$A$8:$H$174,8,0)</f>
        <v>Data de emissão da licença de utilização</v>
      </c>
      <c r="F74" t="b">
        <f t="shared" si="3"/>
        <v>1</v>
      </c>
      <c r="I74" s="43" t="s">
        <v>554</v>
      </c>
      <c r="J74" s="5" t="s">
        <v>577</v>
      </c>
      <c r="K74" s="51" t="s">
        <v>703</v>
      </c>
    </row>
    <row r="75" spans="1:17" x14ac:dyDescent="0.3">
      <c r="A75" t="str">
        <f t="shared" si="2"/>
        <v>BEMIMO_OUT_BENSarea_util</v>
      </c>
      <c r="B75" s="43" t="s">
        <v>414</v>
      </c>
      <c r="C75" s="7" t="s">
        <v>4</v>
      </c>
      <c r="D75" s="5" t="s">
        <v>449</v>
      </c>
      <c r="E75" t="str">
        <f>VLOOKUP(A75,[1]Tabelas!$A$8:$H$174,8,0)</f>
        <v>Área útil do imóvel</v>
      </c>
      <c r="F75" t="b">
        <f t="shared" si="3"/>
        <v>1</v>
      </c>
      <c r="I75" s="43" t="s">
        <v>554</v>
      </c>
      <c r="J75" s="5" t="s">
        <v>578</v>
      </c>
      <c r="K75" s="51" t="s">
        <v>704</v>
      </c>
    </row>
    <row r="76" spans="1:17" x14ac:dyDescent="0.3">
      <c r="A76" t="str">
        <f t="shared" si="2"/>
        <v>BEMIMO_OUT_BENSano_construcao</v>
      </c>
      <c r="B76" s="43" t="s">
        <v>414</v>
      </c>
      <c r="C76" s="7" t="s">
        <v>4</v>
      </c>
      <c r="D76" s="5" t="s">
        <v>450</v>
      </c>
      <c r="E76" t="str">
        <f>VLOOKUP(A76,[1]Tabelas!$A$8:$H$174,8,0)</f>
        <v>Ano de construção do imóvel</v>
      </c>
      <c r="F76" t="b">
        <f t="shared" si="3"/>
        <v>1</v>
      </c>
      <c r="I76" s="43" t="s">
        <v>554</v>
      </c>
      <c r="J76" s="5" t="s">
        <v>579</v>
      </c>
      <c r="K76" s="51" t="s">
        <v>705</v>
      </c>
    </row>
    <row r="77" spans="1:17" x14ac:dyDescent="0.3">
      <c r="A77" t="str">
        <f t="shared" si="2"/>
        <v>BEMIMO_OUT_BENSref_date</v>
      </c>
      <c r="B77" s="43" t="s">
        <v>414</v>
      </c>
      <c r="C77" s="7" t="s">
        <v>4</v>
      </c>
      <c r="D77" s="2" t="s">
        <v>21</v>
      </c>
      <c r="E77" t="str">
        <f>VLOOKUP(A77,[1]Tabelas!$A$8:$H$174,8,0)</f>
        <v>Data de referencia dos dados</v>
      </c>
      <c r="F77" t="b">
        <f t="shared" si="3"/>
        <v>1</v>
      </c>
      <c r="I77" s="43" t="s">
        <v>554</v>
      </c>
      <c r="J77" s="51" t="s">
        <v>531</v>
      </c>
      <c r="K77" s="51" t="s">
        <v>660</v>
      </c>
      <c r="O77" s="55" t="s">
        <v>554</v>
      </c>
      <c r="P77" s="54" t="s">
        <v>529</v>
      </c>
      <c r="Q77" s="54" t="s">
        <v>658</v>
      </c>
    </row>
    <row r="78" spans="1:17" x14ac:dyDescent="0.3">
      <c r="A78" t="str">
        <f t="shared" si="2"/>
        <v>BEMIMO_OUT_BENSorigem</v>
      </c>
      <c r="B78" s="43" t="s">
        <v>414</v>
      </c>
      <c r="C78" s="7" t="s">
        <v>4</v>
      </c>
      <c r="D78" s="2" t="s">
        <v>20</v>
      </c>
      <c r="E78" t="str">
        <f>VLOOKUP(A78,[1]Tabelas!$A$8:$H$174,8,0)</f>
        <v>Codigo ID sistema origem da garantia (CS, GP, Lease, outros)</v>
      </c>
      <c r="F78" t="b">
        <f t="shared" si="3"/>
        <v>1</v>
      </c>
      <c r="I78" s="43" t="s">
        <v>554</v>
      </c>
      <c r="J78" s="51" t="s">
        <v>532</v>
      </c>
      <c r="K78" s="52" t="s">
        <v>661</v>
      </c>
      <c r="O78" s="55" t="s">
        <v>554</v>
      </c>
      <c r="P78" s="54" t="s">
        <v>530</v>
      </c>
      <c r="Q78" s="54" t="s">
        <v>659</v>
      </c>
    </row>
    <row r="79" spans="1:17" x14ac:dyDescent="0.3">
      <c r="A79" t="str">
        <f t="shared" si="2"/>
        <v>BEMIMO_OUT_CERTIFcempbem</v>
      </c>
      <c r="B79" s="43" t="s">
        <v>415</v>
      </c>
      <c r="C79" s="7" t="s">
        <v>7</v>
      </c>
      <c r="D79" s="2" t="s">
        <v>49</v>
      </c>
      <c r="E79" t="str">
        <f>VLOOKUP(A79,[1]Tabelas!$A$8:$H$174,8,0)</f>
        <v>Código de empresa do Bem</v>
      </c>
      <c r="F79" t="b">
        <f t="shared" si="3"/>
        <v>1</v>
      </c>
      <c r="I79" s="43" t="s">
        <v>580</v>
      </c>
      <c r="J79" s="51" t="s">
        <v>546</v>
      </c>
      <c r="K79" s="8" t="s">
        <v>673</v>
      </c>
    </row>
    <row r="80" spans="1:17" x14ac:dyDescent="0.3">
      <c r="A80" t="str">
        <f t="shared" si="2"/>
        <v>BEMIMO_OUT_CERTIFckbalbem</v>
      </c>
      <c r="B80" s="43" t="s">
        <v>415</v>
      </c>
      <c r="C80" s="7" t="s">
        <v>7</v>
      </c>
      <c r="D80" s="2" t="s">
        <v>50</v>
      </c>
      <c r="E80" t="str">
        <f>VLOOKUP(A80,[1]Tabelas!$A$8:$H$174,8,0)</f>
        <v>Código do balcão do Bem</v>
      </c>
      <c r="F80" t="b">
        <f t="shared" si="3"/>
        <v>1</v>
      </c>
      <c r="I80" s="43" t="s">
        <v>580</v>
      </c>
      <c r="J80" s="51" t="s">
        <v>547</v>
      </c>
      <c r="K80" s="8" t="s">
        <v>674</v>
      </c>
    </row>
    <row r="81" spans="1:11" x14ac:dyDescent="0.3">
      <c r="A81" t="str">
        <f t="shared" si="2"/>
        <v>BEMIMO_OUT_CERTIFckctabem</v>
      </c>
      <c r="B81" s="43" t="s">
        <v>415</v>
      </c>
      <c r="C81" s="7" t="s">
        <v>7</v>
      </c>
      <c r="D81" s="2" t="s">
        <v>51</v>
      </c>
      <c r="E81" t="str">
        <f>VLOOKUP(A81,[1]Tabelas!$A$8:$H$174,8,0)</f>
        <v>Número de conta do Bem</v>
      </c>
      <c r="F81" t="b">
        <f t="shared" si="3"/>
        <v>1</v>
      </c>
      <c r="I81" s="43" t="s">
        <v>580</v>
      </c>
      <c r="J81" s="51" t="s">
        <v>548</v>
      </c>
      <c r="K81" s="8" t="s">
        <v>675</v>
      </c>
    </row>
    <row r="82" spans="1:11" x14ac:dyDescent="0.3">
      <c r="A82" t="str">
        <f t="shared" si="2"/>
        <v>BEMIMO_OUT_CERTIFckrefbem</v>
      </c>
      <c r="B82" s="43" t="s">
        <v>415</v>
      </c>
      <c r="C82" s="7" t="s">
        <v>7</v>
      </c>
      <c r="D82" s="2" t="s">
        <v>52</v>
      </c>
      <c r="E82" t="str">
        <f>VLOOKUP(A82,[1]Tabelas!$A$8:$H$174,8,0)</f>
        <v>Número do Bem</v>
      </c>
      <c r="F82" t="b">
        <f t="shared" si="3"/>
        <v>1</v>
      </c>
      <c r="I82" s="43" t="s">
        <v>580</v>
      </c>
      <c r="J82" s="51" t="s">
        <v>549</v>
      </c>
      <c r="K82" s="8" t="s">
        <v>676</v>
      </c>
    </row>
    <row r="83" spans="1:11" x14ac:dyDescent="0.3">
      <c r="A83" t="str">
        <f t="shared" si="2"/>
        <v>BEMIMO_OUT_CERTIFdata_epc</v>
      </c>
      <c r="B83" s="43" t="s">
        <v>415</v>
      </c>
      <c r="C83" s="7" t="s">
        <v>7</v>
      </c>
      <c r="D83" s="3" t="s">
        <v>451</v>
      </c>
      <c r="E83" t="str">
        <f>VLOOKUP(A83,[1]Tabelas!$A$8:$H$174,8,0)</f>
        <v>Data de emissão do documento EPC</v>
      </c>
      <c r="F83" t="b">
        <f t="shared" si="3"/>
        <v>1</v>
      </c>
      <c r="I83" s="43" t="s">
        <v>580</v>
      </c>
      <c r="J83" s="8" t="s">
        <v>581</v>
      </c>
      <c r="K83" s="8" t="s">
        <v>706</v>
      </c>
    </row>
    <row r="84" spans="1:11" x14ac:dyDescent="0.3">
      <c r="A84" t="str">
        <f t="shared" si="2"/>
        <v>BEMIMO_OUT_CERTIFepc</v>
      </c>
      <c r="B84" s="43" t="s">
        <v>415</v>
      </c>
      <c r="C84" s="7" t="s">
        <v>7</v>
      </c>
      <c r="D84" s="3" t="s">
        <v>45</v>
      </c>
      <c r="E84" t="str">
        <f>VLOOKUP(A84,[1]Tabelas!$A$8:$H$174,8,0)</f>
        <v>Rating que determina o grau de eficiência energética de um edifício, a ser usada para medir o risco de transição</v>
      </c>
      <c r="F84" t="b">
        <f t="shared" si="3"/>
        <v>1</v>
      </c>
      <c r="I84" s="43" t="s">
        <v>580</v>
      </c>
      <c r="J84" s="8" t="s">
        <v>582</v>
      </c>
      <c r="K84" s="8" t="s">
        <v>707</v>
      </c>
    </row>
    <row r="85" spans="1:11" x14ac:dyDescent="0.3">
      <c r="A85" t="str">
        <f t="shared" si="2"/>
        <v>BEMIMO_OUT_CERTIFdata_exprc_epc</v>
      </c>
      <c r="B85" s="43" t="s">
        <v>415</v>
      </c>
      <c r="C85" s="7" t="s">
        <v>7</v>
      </c>
      <c r="D85" s="3" t="s">
        <v>452</v>
      </c>
      <c r="E85" t="str">
        <f>VLOOKUP(A85,[1]Tabelas!$A$8:$H$174,8,0)</f>
        <v>Data que expira o documento EPC</v>
      </c>
      <c r="F85" t="b">
        <f t="shared" si="3"/>
        <v>1</v>
      </c>
      <c r="I85" s="43" t="s">
        <v>580</v>
      </c>
      <c r="J85" s="8" t="s">
        <v>583</v>
      </c>
      <c r="K85" s="51" t="s">
        <v>708</v>
      </c>
    </row>
    <row r="86" spans="1:11" x14ac:dyDescent="0.3">
      <c r="A86" t="str">
        <f t="shared" si="2"/>
        <v>BEMIMO_OUT_CERTIFvlr_enrg_renew</v>
      </c>
      <c r="B86" s="43" t="s">
        <v>415</v>
      </c>
      <c r="C86" s="7" t="s">
        <v>7</v>
      </c>
      <c r="D86" s="3" t="s">
        <v>453</v>
      </c>
      <c r="E86" t="str">
        <f>VLOOKUP(A86,[1]Tabelas!$A$8:$H$174,8,0)</f>
        <v>Representação da energia gerada a partir de fontes renováveis</v>
      </c>
      <c r="F86" t="b">
        <f t="shared" si="3"/>
        <v>1</v>
      </c>
      <c r="I86" s="43" t="s">
        <v>580</v>
      </c>
      <c r="J86" s="8" t="s">
        <v>584</v>
      </c>
      <c r="K86" s="51" t="s">
        <v>709</v>
      </c>
    </row>
    <row r="87" spans="1:11" x14ac:dyDescent="0.3">
      <c r="A87" t="str">
        <f t="shared" si="2"/>
        <v>BEMIMO_OUT_CERTIFvlr_emss_ano</v>
      </c>
      <c r="B87" s="43" t="s">
        <v>415</v>
      </c>
      <c r="C87" s="7" t="s">
        <v>7</v>
      </c>
      <c r="D87" s="3" t="s">
        <v>454</v>
      </c>
      <c r="E87" t="str">
        <f>VLOOKUP(A87,[1]Tabelas!$A$8:$H$174,8,0)</f>
        <v>Emissões kgco2/m2ano</v>
      </c>
      <c r="F87" t="b">
        <f t="shared" si="3"/>
        <v>1</v>
      </c>
      <c r="I87" s="43" t="s">
        <v>580</v>
      </c>
      <c r="J87" s="8" t="s">
        <v>585</v>
      </c>
      <c r="K87" s="51" t="s">
        <v>710</v>
      </c>
    </row>
    <row r="88" spans="1:11" x14ac:dyDescent="0.3">
      <c r="A88" t="str">
        <f t="shared" si="2"/>
        <v>BEMIMO_OUT_CERTIFflg_nzeb</v>
      </c>
      <c r="B88" s="43" t="s">
        <v>415</v>
      </c>
      <c r="C88" s="7" t="s">
        <v>7</v>
      </c>
      <c r="D88" s="3" t="s">
        <v>455</v>
      </c>
      <c r="E88" t="str">
        <f>VLOOKUP(A88,[1]Tabelas!$A$8:$H$174,8,0)</f>
        <v>Indicador que identifica edifícios NZEB</v>
      </c>
      <c r="F88" t="b">
        <f t="shared" si="3"/>
        <v>1</v>
      </c>
      <c r="I88" s="43" t="s">
        <v>580</v>
      </c>
      <c r="J88" s="8" t="s">
        <v>586</v>
      </c>
      <c r="K88" s="51" t="s">
        <v>711</v>
      </c>
    </row>
    <row r="89" spans="1:11" x14ac:dyDescent="0.3">
      <c r="A89" t="str">
        <f t="shared" si="2"/>
        <v>BEMIMO_OUT_CERTIFnvl_efcc_enrg</v>
      </c>
      <c r="B89" s="43" t="s">
        <v>415</v>
      </c>
      <c r="C89" s="7" t="s">
        <v>7</v>
      </c>
      <c r="D89" s="3" t="s">
        <v>456</v>
      </c>
      <c r="E89" t="str">
        <f>VLOOKUP(A89,[1]Tabelas!$A$8:$H$174,8,0)</f>
        <v>(Valor EP em kWh/m²)</v>
      </c>
      <c r="F89" t="b">
        <f t="shared" si="3"/>
        <v>1</v>
      </c>
      <c r="I89" s="43" t="s">
        <v>580</v>
      </c>
      <c r="J89" s="8" t="s">
        <v>587</v>
      </c>
      <c r="K89" s="51" t="s">
        <v>712</v>
      </c>
    </row>
    <row r="90" spans="1:11" x14ac:dyDescent="0.3">
      <c r="A90" t="str">
        <f t="shared" si="2"/>
        <v>BEMIMO_OUT_CERTIFvlr_cnsm_ano</v>
      </c>
      <c r="B90" s="43" t="s">
        <v>415</v>
      </c>
      <c r="C90" s="7" t="s">
        <v>7</v>
      </c>
      <c r="D90" s="3" t="s">
        <v>457</v>
      </c>
      <c r="E90" t="str">
        <f>VLOOKUP(A90,[1]Tabelas!$A$8:$H$174,8,0)</f>
        <v>Consumo kwh/m2ano</v>
      </c>
      <c r="F90" t="b">
        <f t="shared" si="3"/>
        <v>1</v>
      </c>
      <c r="I90" s="43" t="s">
        <v>580</v>
      </c>
      <c r="J90" s="8" t="s">
        <v>588</v>
      </c>
      <c r="K90" s="51" t="s">
        <v>713</v>
      </c>
    </row>
    <row r="91" spans="1:11" x14ac:dyDescent="0.3">
      <c r="A91" t="str">
        <f t="shared" si="2"/>
        <v>BEMIMO_OUT_CERTIFtp_crtfcd</v>
      </c>
      <c r="B91" s="43" t="s">
        <v>415</v>
      </c>
      <c r="C91" s="7" t="s">
        <v>7</v>
      </c>
      <c r="D91" s="3" t="s">
        <v>458</v>
      </c>
      <c r="E91" t="str">
        <f>VLOOKUP(A91,[1]Tabelas!$A$8:$H$174,8,0)</f>
        <v>Tipo de certificado</v>
      </c>
      <c r="F91" t="b">
        <f t="shared" si="3"/>
        <v>1</v>
      </c>
      <c r="I91" s="43" t="s">
        <v>580</v>
      </c>
      <c r="J91" s="8" t="s">
        <v>589</v>
      </c>
      <c r="K91" s="51" t="s">
        <v>714</v>
      </c>
    </row>
    <row r="92" spans="1:11" x14ac:dyDescent="0.3">
      <c r="A92" t="str">
        <f t="shared" si="2"/>
        <v>BEMIMO_OUT_CERTIFcod_sce</v>
      </c>
      <c r="B92" s="43" t="s">
        <v>415</v>
      </c>
      <c r="C92" s="7" t="s">
        <v>7</v>
      </c>
      <c r="D92" s="3" t="s">
        <v>459</v>
      </c>
      <c r="E92" t="str">
        <f>VLOOKUP(A92,[1]Tabelas!$A$8:$H$174,8,0)</f>
        <v>Numero SCE</v>
      </c>
      <c r="F92" t="b">
        <f t="shared" si="3"/>
        <v>1</v>
      </c>
      <c r="I92" s="43" t="s">
        <v>580</v>
      </c>
      <c r="J92" s="8" t="s">
        <v>590</v>
      </c>
      <c r="K92" s="51" t="s">
        <v>715</v>
      </c>
    </row>
    <row r="93" spans="1:11" x14ac:dyDescent="0.3">
      <c r="A93" t="str">
        <f t="shared" si="2"/>
        <v>BEMIMO_OUT_CERTIFcod_cnsrvtr_rgst_prdl</v>
      </c>
      <c r="B93" s="43" t="s">
        <v>415</v>
      </c>
      <c r="C93" s="7" t="s">
        <v>7</v>
      </c>
      <c r="D93" s="3" t="s">
        <v>460</v>
      </c>
      <c r="E93" t="str">
        <f>VLOOKUP(A93,[1]Tabelas!$A$8:$H$174,8,0)</f>
        <v>Land Registry Office</v>
      </c>
      <c r="F93" t="b">
        <f t="shared" si="3"/>
        <v>1</v>
      </c>
      <c r="I93" s="43" t="s">
        <v>580</v>
      </c>
      <c r="J93" s="8" t="s">
        <v>591</v>
      </c>
      <c r="K93" s="51" t="s">
        <v>716</v>
      </c>
    </row>
    <row r="94" spans="1:11" x14ac:dyDescent="0.3">
      <c r="A94" t="str">
        <f t="shared" si="2"/>
        <v>BEMIMO_OUT_CERTIFcod_inscrc</v>
      </c>
      <c r="B94" s="43" t="s">
        <v>415</v>
      </c>
      <c r="C94" s="7" t="s">
        <v>7</v>
      </c>
      <c r="D94" s="3" t="s">
        <v>461</v>
      </c>
      <c r="E94" t="str">
        <f>VLOOKUP(A94,[1]Tabelas!$A$8:$H$174,8,0)</f>
        <v>Número de registro para identificação do imóvel</v>
      </c>
      <c r="F94" t="b">
        <f t="shared" si="3"/>
        <v>1</v>
      </c>
      <c r="I94" s="43" t="s">
        <v>580</v>
      </c>
      <c r="J94" s="8" t="s">
        <v>592</v>
      </c>
      <c r="K94" s="51" t="s">
        <v>717</v>
      </c>
    </row>
    <row r="95" spans="1:11" x14ac:dyDescent="0.3">
      <c r="A95" t="str">
        <f t="shared" si="2"/>
        <v>BEMIMO_OUT_CERTIFvlr_emss_co2</v>
      </c>
      <c r="B95" s="43" t="s">
        <v>415</v>
      </c>
      <c r="C95" s="7" t="s">
        <v>7</v>
      </c>
      <c r="D95" s="3" t="s">
        <v>462</v>
      </c>
      <c r="E95" t="str">
        <f>VLOOKUP(A95,[1]Tabelas!$A$8:$H$174,8,0)</f>
        <v>Emissões CO2</v>
      </c>
      <c r="F95" t="b">
        <f t="shared" si="3"/>
        <v>1</v>
      </c>
      <c r="I95" s="43" t="s">
        <v>580</v>
      </c>
      <c r="J95" s="8" t="s">
        <v>593</v>
      </c>
      <c r="K95" s="51" t="s">
        <v>718</v>
      </c>
    </row>
    <row r="96" spans="1:11" x14ac:dyDescent="0.3">
      <c r="A96" t="str">
        <f t="shared" si="2"/>
        <v>BEMIMO_OUT_CERTIFvlr_aqcmnt_ambnt_rfrc</v>
      </c>
      <c r="B96" s="43" t="s">
        <v>415</v>
      </c>
      <c r="C96" s="7" t="s">
        <v>7</v>
      </c>
      <c r="D96" s="3" t="s">
        <v>463</v>
      </c>
      <c r="E96" t="str">
        <f>VLOOKUP(A96,[1]Tabelas!$A$8:$H$174,8,0)</f>
        <v>Referência para aquecimento do ambiente</v>
      </c>
      <c r="F96" t="b">
        <f t="shared" si="3"/>
        <v>1</v>
      </c>
      <c r="I96" s="43" t="s">
        <v>580</v>
      </c>
      <c r="J96" s="8" t="s">
        <v>594</v>
      </c>
      <c r="K96" s="51" t="s">
        <v>719</v>
      </c>
    </row>
    <row r="97" spans="1:11" x14ac:dyDescent="0.3">
      <c r="A97" t="str">
        <f t="shared" si="2"/>
        <v>BEMIMO_OUT_CERTIFvlr_aqcmnt_ambnt_edfc</v>
      </c>
      <c r="B97" s="43" t="s">
        <v>415</v>
      </c>
      <c r="C97" s="7" t="s">
        <v>7</v>
      </c>
      <c r="D97" s="3" t="s">
        <v>464</v>
      </c>
      <c r="E97" t="str">
        <f>VLOOKUP(A97,[1]Tabelas!$A$8:$H$174,8,0)</f>
        <v>Referência para aquecimento do espaço</v>
      </c>
      <c r="F97" t="b">
        <f t="shared" si="3"/>
        <v>1</v>
      </c>
      <c r="I97" s="43" t="s">
        <v>580</v>
      </c>
      <c r="J97" s="8" t="s">
        <v>595</v>
      </c>
      <c r="K97" s="51" t="s">
        <v>720</v>
      </c>
    </row>
    <row r="98" spans="1:11" x14ac:dyDescent="0.3">
      <c r="A98" t="str">
        <f t="shared" si="2"/>
        <v>BEMIMO_OUT_CERTIFvlr_aqcmnt_ambnt_rnvv</v>
      </c>
      <c r="B98" s="43" t="s">
        <v>415</v>
      </c>
      <c r="C98" s="7" t="s">
        <v>7</v>
      </c>
      <c r="D98" s="3" t="s">
        <v>465</v>
      </c>
      <c r="E98" t="str">
        <f>VLOOKUP(A98,[1]Tabelas!$A$8:$H$174,8,0)</f>
        <v>Aquecimento do ambiente renovável</v>
      </c>
      <c r="F98" t="b">
        <f t="shared" si="3"/>
        <v>1</v>
      </c>
      <c r="I98" s="43" t="s">
        <v>580</v>
      </c>
      <c r="J98" s="8" t="s">
        <v>596</v>
      </c>
      <c r="K98" s="51" t="s">
        <v>721</v>
      </c>
    </row>
    <row r="99" spans="1:11" x14ac:dyDescent="0.3">
      <c r="A99" t="str">
        <f t="shared" si="2"/>
        <v>BEMIMO_OUT_CERTIFvlr_arrfcmnt_ambnt_rfrc</v>
      </c>
      <c r="B99" s="43" t="s">
        <v>415</v>
      </c>
      <c r="C99" s="7" t="s">
        <v>7</v>
      </c>
      <c r="D99" s="3" t="s">
        <v>466</v>
      </c>
      <c r="E99" t="str">
        <f>VLOOKUP(A99,[1]Tabelas!$A$8:$H$174,8,0)</f>
        <v>Referência para arrefecimento do ambiente</v>
      </c>
      <c r="F99" t="b">
        <f t="shared" si="3"/>
        <v>1</v>
      </c>
      <c r="I99" s="43" t="s">
        <v>580</v>
      </c>
      <c r="J99" s="8" t="s">
        <v>597</v>
      </c>
      <c r="K99" s="51" t="s">
        <v>722</v>
      </c>
    </row>
    <row r="100" spans="1:11" x14ac:dyDescent="0.3">
      <c r="A100" t="str">
        <f t="shared" si="2"/>
        <v>BEMIMO_OUT_CERTIFvlr_arrfcmnt_ambnt_edfc</v>
      </c>
      <c r="B100" s="43" t="s">
        <v>415</v>
      </c>
      <c r="C100" s="7" t="s">
        <v>7</v>
      </c>
      <c r="D100" s="3" t="s">
        <v>467</v>
      </c>
      <c r="E100" t="str">
        <f>VLOOKUP(A100,[1]Tabelas!$A$8:$H$174,8,0)</f>
        <v>Referência para arrefecimento do espaço</v>
      </c>
      <c r="F100" t="b">
        <f t="shared" si="3"/>
        <v>1</v>
      </c>
      <c r="I100" s="43" t="s">
        <v>580</v>
      </c>
      <c r="J100" s="8" t="s">
        <v>598</v>
      </c>
      <c r="K100" s="51" t="s">
        <v>723</v>
      </c>
    </row>
    <row r="101" spans="1:11" x14ac:dyDescent="0.3">
      <c r="A101" t="str">
        <f t="shared" si="2"/>
        <v>BEMIMO_OUT_CERTIFvlr_arrfcmnt_ambnt_renvv</v>
      </c>
      <c r="B101" s="43" t="s">
        <v>415</v>
      </c>
      <c r="C101" s="7" t="s">
        <v>7</v>
      </c>
      <c r="D101" s="3" t="s">
        <v>468</v>
      </c>
      <c r="E101" t="str">
        <f>VLOOKUP(A101,[1]Tabelas!$A$8:$H$174,8,0)</f>
        <v>Arrefecimento do ambiente renovável</v>
      </c>
      <c r="F101" t="b">
        <f t="shared" si="3"/>
        <v>1</v>
      </c>
      <c r="I101" s="43" t="s">
        <v>580</v>
      </c>
      <c r="J101" s="8" t="s">
        <v>599</v>
      </c>
      <c r="K101" s="51" t="s">
        <v>724</v>
      </c>
    </row>
    <row r="102" spans="1:11" x14ac:dyDescent="0.3">
      <c r="A102" t="str">
        <f t="shared" si="2"/>
        <v>BEMIMO_OUT_CERTIFvlr_agua_qnt_sntr_rfrc</v>
      </c>
      <c r="B102" s="43" t="s">
        <v>415</v>
      </c>
      <c r="C102" s="7" t="s">
        <v>7</v>
      </c>
      <c r="D102" s="3" t="s">
        <v>469</v>
      </c>
      <c r="E102" t="str">
        <f>VLOOKUP(A102,[1]Tabelas!$A$8:$H$174,8,0)</f>
        <v>Referência para água quente doméstica a nivel ambiente</v>
      </c>
      <c r="F102" t="b">
        <f t="shared" si="3"/>
        <v>1</v>
      </c>
      <c r="I102" s="43" t="s">
        <v>580</v>
      </c>
      <c r="J102" s="8" t="s">
        <v>600</v>
      </c>
      <c r="K102" s="51" t="s">
        <v>725</v>
      </c>
    </row>
    <row r="103" spans="1:11" x14ac:dyDescent="0.3">
      <c r="A103" t="str">
        <f t="shared" si="2"/>
        <v>BEMIMO_OUT_CERTIFvlr_agua_qnt_sant_edfc</v>
      </c>
      <c r="B103" s="43" t="s">
        <v>415</v>
      </c>
      <c r="C103" s="7" t="s">
        <v>7</v>
      </c>
      <c r="D103" s="3" t="s">
        <v>470</v>
      </c>
      <c r="E103" t="str">
        <f>VLOOKUP(A103,[1]Tabelas!$A$8:$H$174,8,0)</f>
        <v>Referência para água quente do edificio a nivel ambiente</v>
      </c>
      <c r="F103" t="b">
        <f t="shared" si="3"/>
        <v>1</v>
      </c>
      <c r="I103" s="43" t="s">
        <v>580</v>
      </c>
      <c r="J103" s="8" t="s">
        <v>601</v>
      </c>
      <c r="K103" s="51" t="s">
        <v>726</v>
      </c>
    </row>
    <row r="104" spans="1:11" x14ac:dyDescent="0.3">
      <c r="A104" t="str">
        <f t="shared" si="2"/>
        <v>BEMIMO_OUT_CERTIFvlr_agua_qnt_snt_rnvv</v>
      </c>
      <c r="B104" s="43" t="s">
        <v>415</v>
      </c>
      <c r="C104" s="7" t="s">
        <v>7</v>
      </c>
      <c r="D104" s="4" t="s">
        <v>471</v>
      </c>
      <c r="E104" t="str">
        <f>VLOOKUP(A104,[1]Tabelas!$A$8:$H$174,8,0)</f>
        <v>Referência para água quente doméstica renovável a nivel ambiente</v>
      </c>
      <c r="F104" t="b">
        <f t="shared" si="3"/>
        <v>1</v>
      </c>
      <c r="I104" s="43" t="s">
        <v>580</v>
      </c>
      <c r="J104" s="9" t="s">
        <v>602</v>
      </c>
      <c r="K104" s="51" t="s">
        <v>727</v>
      </c>
    </row>
    <row r="105" spans="1:11" x14ac:dyDescent="0.3">
      <c r="A105" t="str">
        <f t="shared" si="2"/>
        <v>BEMIMO_OUT_CERTIFvlr_ncssdd_enrg_prmr</v>
      </c>
      <c r="B105" s="43" t="s">
        <v>415</v>
      </c>
      <c r="C105" s="7" t="s">
        <v>7</v>
      </c>
      <c r="D105" s="5" t="s">
        <v>472</v>
      </c>
      <c r="E105" t="str">
        <f>VLOOKUP(A105,[1]Tabelas!$A$8:$H$174,8,0)</f>
        <v>Principal energia necessária</v>
      </c>
      <c r="F105" t="b">
        <f t="shared" si="3"/>
        <v>1</v>
      </c>
      <c r="I105" s="43" t="s">
        <v>580</v>
      </c>
      <c r="J105" s="5" t="s">
        <v>603</v>
      </c>
      <c r="K105" s="51" t="s">
        <v>728</v>
      </c>
    </row>
    <row r="106" spans="1:11" x14ac:dyDescent="0.3">
      <c r="A106" t="str">
        <f t="shared" si="2"/>
        <v>BEMIMO_OUT_CERTIFvlr_ncssdd_enrg_utl_aqcd</v>
      </c>
      <c r="B106" s="43" t="s">
        <v>415</v>
      </c>
      <c r="C106" s="7" t="s">
        <v>7</v>
      </c>
      <c r="D106" s="5" t="s">
        <v>473</v>
      </c>
      <c r="E106" t="str">
        <f>VLOOKUP(A106,[1]Tabelas!$A$8:$H$174,8,0)</f>
        <v>Necessidades úteis de energia para aquecimento</v>
      </c>
      <c r="F106" t="b">
        <f t="shared" si="3"/>
        <v>1</v>
      </c>
      <c r="I106" s="43" t="s">
        <v>580</v>
      </c>
      <c r="J106" s="5" t="s">
        <v>604</v>
      </c>
      <c r="K106" s="51" t="s">
        <v>729</v>
      </c>
    </row>
    <row r="107" spans="1:11" x14ac:dyDescent="0.3">
      <c r="A107" t="str">
        <f t="shared" si="2"/>
        <v>BEMIMO_OUT_CERTIFvlr_enrg_utl_arrfcmnt</v>
      </c>
      <c r="B107" s="43" t="s">
        <v>415</v>
      </c>
      <c r="C107" s="7" t="s">
        <v>7</v>
      </c>
      <c r="D107" s="5" t="s">
        <v>474</v>
      </c>
      <c r="E107" t="str">
        <f>VLOOKUP(A107,[1]Tabelas!$A$8:$H$174,8,0)</f>
        <v>Necessidades úteis de energia para arrefecimento</v>
      </c>
      <c r="F107" t="b">
        <f t="shared" si="3"/>
        <v>1</v>
      </c>
      <c r="I107" s="43" t="s">
        <v>580</v>
      </c>
      <c r="J107" s="5" t="s">
        <v>605</v>
      </c>
      <c r="K107" s="51" t="s">
        <v>730</v>
      </c>
    </row>
    <row r="108" spans="1:11" x14ac:dyDescent="0.3">
      <c r="A108" t="str">
        <f t="shared" si="2"/>
        <v>BEMIMO_OUT_CERTIFvlr_enrg_utl_agua_qt_snt</v>
      </c>
      <c r="B108" s="43" t="s">
        <v>415</v>
      </c>
      <c r="C108" s="7" t="s">
        <v>7</v>
      </c>
      <c r="D108" s="5" t="s">
        <v>475</v>
      </c>
      <c r="E108" t="str">
        <f>VLOOKUP(A108,[1]Tabelas!$A$8:$H$174,8,0)</f>
        <v>Energia útil para água quente sanitária</v>
      </c>
      <c r="F108" t="b">
        <f t="shared" si="3"/>
        <v>1</v>
      </c>
      <c r="I108" s="43" t="s">
        <v>580</v>
      </c>
      <c r="J108" s="5" t="s">
        <v>606</v>
      </c>
      <c r="K108" s="51" t="s">
        <v>731</v>
      </c>
    </row>
    <row r="109" spans="1:11" x14ac:dyDescent="0.3">
      <c r="A109" t="str">
        <f t="shared" si="2"/>
        <v>BEMIMO_OUT_CERTIFvlr_enrg_eltc_vntldr</v>
      </c>
      <c r="B109" s="43" t="s">
        <v>415</v>
      </c>
      <c r="C109" s="7" t="s">
        <v>7</v>
      </c>
      <c r="D109" s="5" t="s">
        <v>476</v>
      </c>
      <c r="E109" t="str">
        <f>VLOOKUP(A109,[1]Tabelas!$A$8:$H$174,8,0)</f>
        <v>Energia elétrica necessária para ventiladores</v>
      </c>
      <c r="F109" t="b">
        <f t="shared" si="3"/>
        <v>1</v>
      </c>
      <c r="I109" s="43" t="s">
        <v>580</v>
      </c>
      <c r="J109" s="5" t="s">
        <v>607</v>
      </c>
      <c r="K109" s="51" t="s">
        <v>732</v>
      </c>
    </row>
    <row r="110" spans="1:11" x14ac:dyDescent="0.3">
      <c r="A110" t="str">
        <f t="shared" si="2"/>
        <v>BEMIMO_OUT_CERTIFvlr_enrg_fnts_rnvv_regl</v>
      </c>
      <c r="B110" s="43" t="s">
        <v>415</v>
      </c>
      <c r="C110" s="7" t="s">
        <v>7</v>
      </c>
      <c r="D110" s="5" t="s">
        <v>477</v>
      </c>
      <c r="E110" t="str">
        <f>VLOOKUP(A110,[1]Tabelas!$A$8:$H$174,8,0)</f>
        <v>Energia produzida a partir de fontes renováveis ​​– utilizações regulamentadas</v>
      </c>
      <c r="F110" t="b">
        <f t="shared" si="3"/>
        <v>1</v>
      </c>
      <c r="I110" s="43" t="s">
        <v>580</v>
      </c>
      <c r="J110" s="5" t="s">
        <v>608</v>
      </c>
      <c r="K110" s="51" t="s">
        <v>733</v>
      </c>
    </row>
    <row r="111" spans="1:11" x14ac:dyDescent="0.3">
      <c r="A111" t="str">
        <f t="shared" si="2"/>
        <v>BEMIMO_OUT_CERTIFvlr_enrg_fnts_rnvv_otr_uso</v>
      </c>
      <c r="B111" s="43" t="s">
        <v>415</v>
      </c>
      <c r="C111" s="7" t="s">
        <v>7</v>
      </c>
      <c r="D111" s="5" t="s">
        <v>478</v>
      </c>
      <c r="E111" t="str">
        <f>VLOOKUP(A111,[1]Tabelas!$A$8:$H$174,8,0)</f>
        <v>Energia produzida a partir de fontes renováveis ​​– outras fontes</v>
      </c>
      <c r="F111" t="b">
        <f t="shared" si="3"/>
        <v>1</v>
      </c>
      <c r="I111" s="43" t="s">
        <v>580</v>
      </c>
      <c r="J111" s="5" t="s">
        <v>609</v>
      </c>
      <c r="K111" s="51" t="s">
        <v>734</v>
      </c>
    </row>
    <row r="112" spans="1:11" x14ac:dyDescent="0.3">
      <c r="A112" t="str">
        <f t="shared" si="2"/>
        <v>BEMIMO_OUT_CERTIFflg_efcnc_enrgtc</v>
      </c>
      <c r="B112" s="43" t="s">
        <v>415</v>
      </c>
      <c r="C112" s="7" t="s">
        <v>7</v>
      </c>
      <c r="D112" s="5" t="s">
        <v>479</v>
      </c>
      <c r="E112" t="str">
        <f>VLOOKUP(A112,[1]Tabelas!$A$8:$H$174,8,0)</f>
        <v>Indicador de eficiência energética</v>
      </c>
      <c r="F112" t="b">
        <f t="shared" si="3"/>
        <v>1</v>
      </c>
      <c r="I112" s="43" t="s">
        <v>580</v>
      </c>
      <c r="J112" s="5" t="s">
        <v>610</v>
      </c>
      <c r="K112" s="51" t="s">
        <v>735</v>
      </c>
    </row>
    <row r="113" spans="1:11" x14ac:dyDescent="0.3">
      <c r="A113" t="str">
        <f t="shared" si="2"/>
        <v>BEMIMO_OUT_CERTIFflg_efcc_enrg_cnsm_tp_s</v>
      </c>
      <c r="B113" s="43" t="s">
        <v>415</v>
      </c>
      <c r="C113" s="7" t="s">
        <v>7</v>
      </c>
      <c r="D113" s="5" t="s">
        <v>480</v>
      </c>
      <c r="E113" t="str">
        <f>VLOOKUP(A113,[1]Tabelas!$A$8:$H$174,8,0)</f>
        <v>Indicador de eficiência energética de consumo tipo S</v>
      </c>
      <c r="F113" t="b">
        <f t="shared" si="3"/>
        <v>1</v>
      </c>
      <c r="I113" s="43" t="s">
        <v>580</v>
      </c>
      <c r="J113" s="5" t="s">
        <v>611</v>
      </c>
      <c r="K113" s="51" t="s">
        <v>736</v>
      </c>
    </row>
    <row r="114" spans="1:11" x14ac:dyDescent="0.3">
      <c r="A114" t="str">
        <f t="shared" si="2"/>
        <v>BEMIMO_OUT_CERTIFflg_efcnc_enrg_cnsm_tp_t</v>
      </c>
      <c r="B114" s="43" t="s">
        <v>415</v>
      </c>
      <c r="C114" s="7" t="s">
        <v>7</v>
      </c>
      <c r="D114" s="5" t="s">
        <v>481</v>
      </c>
      <c r="E114" t="str">
        <f>VLOOKUP(A114,[1]Tabelas!$A$8:$H$174,8,0)</f>
        <v>Indicador de eficiência energética de consumo tipo T</v>
      </c>
      <c r="F114" t="b">
        <f t="shared" si="3"/>
        <v>1</v>
      </c>
      <c r="I114" s="43" t="s">
        <v>580</v>
      </c>
      <c r="J114" s="5" t="s">
        <v>612</v>
      </c>
      <c r="K114" s="51" t="s">
        <v>737</v>
      </c>
    </row>
    <row r="115" spans="1:11" x14ac:dyDescent="0.3">
      <c r="A115" t="str">
        <f t="shared" si="2"/>
        <v>BEMIMO_OUT_CERTIFflg_efcnc_enrgtc_rnvv</v>
      </c>
      <c r="B115" s="43" t="s">
        <v>415</v>
      </c>
      <c r="C115" s="7" t="s">
        <v>7</v>
      </c>
      <c r="D115" s="5" t="s">
        <v>482</v>
      </c>
      <c r="E115" t="str">
        <f>VLOOKUP(A115,[1]Tabelas!$A$8:$H$174,8,0)</f>
        <v>Indicador de eficiência energética renovável</v>
      </c>
      <c r="F115" t="b">
        <f t="shared" si="3"/>
        <v>1</v>
      </c>
      <c r="I115" s="43" t="s">
        <v>580</v>
      </c>
      <c r="J115" s="5" t="s">
        <v>613</v>
      </c>
      <c r="K115" s="51" t="s">
        <v>738</v>
      </c>
    </row>
    <row r="116" spans="1:11" x14ac:dyDescent="0.3">
      <c r="A116" t="str">
        <f t="shared" si="2"/>
        <v>BEMIMO_OUT_CERTIFvlr_cst_ttl_invstmnt_estmd</v>
      </c>
      <c r="B116" s="43" t="s">
        <v>415</v>
      </c>
      <c r="C116" s="7" t="s">
        <v>7</v>
      </c>
      <c r="D116" s="5" t="s">
        <v>483</v>
      </c>
      <c r="E116" t="str">
        <f>VLOOKUP(A116,[1]Tabelas!$A$8:$H$174,8,0)</f>
        <v>Custo total estimado do investimento</v>
      </c>
      <c r="F116" t="b">
        <f t="shared" si="3"/>
        <v>1</v>
      </c>
      <c r="I116" s="43" t="s">
        <v>580</v>
      </c>
      <c r="J116" s="5" t="s">
        <v>614</v>
      </c>
      <c r="K116" s="51" t="s">
        <v>739</v>
      </c>
    </row>
    <row r="117" spans="1:11" x14ac:dyDescent="0.3">
      <c r="A117" t="str">
        <f t="shared" si="2"/>
        <v>BEMIMO_OUT_CERTIFvlr_rdc_anl_estmd_ftr</v>
      </c>
      <c r="B117" s="43" t="s">
        <v>415</v>
      </c>
      <c r="C117" s="7" t="s">
        <v>7</v>
      </c>
      <c r="D117" s="5" t="s">
        <v>484</v>
      </c>
      <c r="E117" t="str">
        <f>VLOOKUP(A117,[1]Tabelas!$A$8:$H$174,8,0)</f>
        <v>Redução anual estimada da fatura</v>
      </c>
      <c r="F117" t="b">
        <f t="shared" si="3"/>
        <v>1</v>
      </c>
      <c r="I117" s="43" t="s">
        <v>580</v>
      </c>
      <c r="J117" s="5" t="s">
        <v>615</v>
      </c>
      <c r="K117" s="51" t="s">
        <v>740</v>
      </c>
    </row>
    <row r="118" spans="1:11" x14ac:dyDescent="0.3">
      <c r="A118" t="str">
        <f t="shared" si="2"/>
        <v>BEMIMO_OUT_CERTIFvlr_class_enrg_aps_mdd</v>
      </c>
      <c r="B118" s="43" t="s">
        <v>415</v>
      </c>
      <c r="C118" s="7" t="s">
        <v>7</v>
      </c>
      <c r="D118" s="5" t="s">
        <v>485</v>
      </c>
      <c r="E118" t="str">
        <f>VLOOKUP(A118,[1]Tabelas!$A$8:$H$174,8,0)</f>
        <v>Classe energética após medição</v>
      </c>
      <c r="F118" t="b">
        <f t="shared" si="3"/>
        <v>1</v>
      </c>
      <c r="I118" s="43" t="s">
        <v>580</v>
      </c>
      <c r="J118" s="5" t="s">
        <v>616</v>
      </c>
      <c r="K118" s="51" t="s">
        <v>741</v>
      </c>
    </row>
    <row r="119" spans="1:11" x14ac:dyDescent="0.3">
      <c r="A119" t="str">
        <f t="shared" si="2"/>
        <v>BEMIMO_OUT_CERTIFvlr_alttt</v>
      </c>
      <c r="B119" s="43" t="s">
        <v>415</v>
      </c>
      <c r="C119" s="7" t="s">
        <v>7</v>
      </c>
      <c r="D119" s="5" t="s">
        <v>486</v>
      </c>
      <c r="E119" t="str">
        <f>VLOOKUP(A119,[1]Tabelas!$A$8:$H$174,8,0)</f>
        <v>Altura</v>
      </c>
      <c r="F119" t="b">
        <f t="shared" si="3"/>
        <v>1</v>
      </c>
      <c r="I119" s="43" t="s">
        <v>580</v>
      </c>
      <c r="J119" s="5" t="s">
        <v>617</v>
      </c>
      <c r="K119" s="51" t="s">
        <v>742</v>
      </c>
    </row>
    <row r="120" spans="1:11" x14ac:dyDescent="0.3">
      <c r="A120" t="str">
        <f t="shared" si="2"/>
        <v>BEMIMO_OUT_CERTIFvlr_grs_dia</v>
      </c>
      <c r="B120" s="43" t="s">
        <v>415</v>
      </c>
      <c r="C120" s="7" t="s">
        <v>7</v>
      </c>
      <c r="D120" s="5" t="s">
        <v>487</v>
      </c>
      <c r="E120" t="str">
        <f>VLOOKUP(A120,[1]Tabelas!$A$8:$H$174,8,0)</f>
        <v>Temperatura durante o dia</v>
      </c>
      <c r="F120" t="b">
        <f t="shared" si="3"/>
        <v>1</v>
      </c>
      <c r="I120" s="43" t="s">
        <v>580</v>
      </c>
      <c r="J120" s="5" t="s">
        <v>618</v>
      </c>
      <c r="K120" s="51" t="s">
        <v>743</v>
      </c>
    </row>
    <row r="121" spans="1:11" x14ac:dyDescent="0.3">
      <c r="A121" t="str">
        <f t="shared" si="2"/>
        <v>BEMIMO_OUT_CERTIFvlr_tmprtr_md_extrr</v>
      </c>
      <c r="B121" s="43" t="s">
        <v>415</v>
      </c>
      <c r="C121" s="7" t="s">
        <v>7</v>
      </c>
      <c r="D121" s="5" t="s">
        <v>488</v>
      </c>
      <c r="E121" t="str">
        <f>VLOOKUP(A121,[1]Tabelas!$A$8:$H$174,8,0)</f>
        <v>Temperatura média no exterior</v>
      </c>
      <c r="F121" t="b">
        <f t="shared" si="3"/>
        <v>1</v>
      </c>
      <c r="I121" s="43" t="s">
        <v>580</v>
      </c>
      <c r="J121" s="5" t="s">
        <v>619</v>
      </c>
      <c r="K121" s="51" t="s">
        <v>744</v>
      </c>
    </row>
    <row r="122" spans="1:11" x14ac:dyDescent="0.3">
      <c r="A122" t="str">
        <f t="shared" si="2"/>
        <v>BEMIMO_OUT_CERTIFzn_clmtc_invrn</v>
      </c>
      <c r="B122" s="43" t="s">
        <v>415</v>
      </c>
      <c r="C122" s="7" t="s">
        <v>7</v>
      </c>
      <c r="D122" s="5" t="s">
        <v>489</v>
      </c>
      <c r="E122" t="str">
        <f>VLOOKUP(A122,[1]Tabelas!$A$8:$H$174,8,0)</f>
        <v>Zona climática de inverno</v>
      </c>
      <c r="F122" t="b">
        <f t="shared" si="3"/>
        <v>1</v>
      </c>
      <c r="I122" s="43" t="s">
        <v>580</v>
      </c>
      <c r="J122" s="5" t="s">
        <v>620</v>
      </c>
      <c r="K122" s="51" t="s">
        <v>745</v>
      </c>
    </row>
    <row r="123" spans="1:11" x14ac:dyDescent="0.3">
      <c r="A123" t="str">
        <f t="shared" si="2"/>
        <v>BEMIMO_OUT_CERTIFzn_clmtc_vr</v>
      </c>
      <c r="B123" s="43" t="s">
        <v>415</v>
      </c>
      <c r="C123" s="7" t="s">
        <v>7</v>
      </c>
      <c r="D123" s="5" t="s">
        <v>490</v>
      </c>
      <c r="E123" t="str">
        <f>VLOOKUP(A123,[1]Tabelas!$A$8:$H$174,8,0)</f>
        <v>Zona climática de verão</v>
      </c>
      <c r="F123" t="b">
        <f t="shared" si="3"/>
        <v>1</v>
      </c>
      <c r="I123" s="43" t="s">
        <v>580</v>
      </c>
      <c r="J123" s="5" t="s">
        <v>621</v>
      </c>
      <c r="K123" s="51" t="s">
        <v>746</v>
      </c>
    </row>
    <row r="124" spans="1:11" x14ac:dyDescent="0.3">
      <c r="A124" t="str">
        <f t="shared" si="2"/>
        <v>BEMIMO_OUT_CERTIFvlr_drc_estc_aqcmnt</v>
      </c>
      <c r="B124" s="43" t="s">
        <v>415</v>
      </c>
      <c r="C124" s="7" t="s">
        <v>7</v>
      </c>
      <c r="D124" s="5" t="s">
        <v>491</v>
      </c>
      <c r="E124" t="str">
        <f>VLOOKUP(A124,[1]Tabelas!$A$8:$H$174,8,0)</f>
        <v>Duração da temporada de verão</v>
      </c>
      <c r="F124" t="b">
        <f t="shared" si="3"/>
        <v>1</v>
      </c>
      <c r="I124" s="43" t="s">
        <v>580</v>
      </c>
      <c r="J124" s="5" t="s">
        <v>622</v>
      </c>
      <c r="K124" s="51" t="s">
        <v>747</v>
      </c>
    </row>
    <row r="125" spans="1:11" x14ac:dyDescent="0.3">
      <c r="A125" t="str">
        <f t="shared" si="2"/>
        <v>BEMIMO_OUT_CERTIFvlr_drc_estc_arrfcmnt</v>
      </c>
      <c r="B125" s="43" t="s">
        <v>415</v>
      </c>
      <c r="C125" s="7" t="s">
        <v>7</v>
      </c>
      <c r="D125" s="5" t="s">
        <v>492</v>
      </c>
      <c r="E125" t="str">
        <f>VLOOKUP(A125,[1]Tabelas!$A$8:$H$174,8,0)</f>
        <v>Duração da temporada de inverno</v>
      </c>
      <c r="F125" t="b">
        <f t="shared" si="3"/>
        <v>1</v>
      </c>
      <c r="I125" s="43" t="s">
        <v>580</v>
      </c>
      <c r="J125" s="5" t="s">
        <v>623</v>
      </c>
      <c r="K125" s="51" t="s">
        <v>748</v>
      </c>
    </row>
    <row r="126" spans="1:11" x14ac:dyDescent="0.3">
      <c r="A126" t="str">
        <f t="shared" si="2"/>
        <v>BEMIMO_OUT_CERTIFvlr_comp_trmc_prds</v>
      </c>
      <c r="B126" s="43" t="s">
        <v>415</v>
      </c>
      <c r="C126" s="7" t="s">
        <v>7</v>
      </c>
      <c r="D126" s="5" t="s">
        <v>493</v>
      </c>
      <c r="E126" t="str">
        <f>VLOOKUP(A126,[1]Tabelas!$A$8:$H$174,8,0)</f>
        <v>Comportamento térmico da parede</v>
      </c>
      <c r="F126" t="b">
        <f t="shared" si="3"/>
        <v>1</v>
      </c>
      <c r="I126" s="43" t="s">
        <v>580</v>
      </c>
      <c r="J126" s="5" t="s">
        <v>624</v>
      </c>
      <c r="K126" s="51" t="s">
        <v>749</v>
      </c>
    </row>
    <row r="127" spans="1:11" x14ac:dyDescent="0.3">
      <c r="A127" t="str">
        <f t="shared" si="2"/>
        <v>BEMIMO_OUT_CERTIFvlr_comp_trmc_cbrtrs</v>
      </c>
      <c r="B127" s="43" t="s">
        <v>415</v>
      </c>
      <c r="C127" s="7" t="s">
        <v>7</v>
      </c>
      <c r="D127" s="5" t="s">
        <v>494</v>
      </c>
      <c r="E127" t="str">
        <f>VLOOKUP(A127,[1]Tabelas!$A$8:$H$174,8,0)</f>
        <v>Comportamento térmico do telhado</v>
      </c>
      <c r="F127" t="b">
        <f t="shared" si="3"/>
        <v>1</v>
      </c>
      <c r="I127" s="43" t="s">
        <v>580</v>
      </c>
      <c r="J127" s="5" t="s">
        <v>625</v>
      </c>
      <c r="K127" s="51" t="s">
        <v>750</v>
      </c>
    </row>
    <row r="128" spans="1:11" x14ac:dyDescent="0.3">
      <c r="A128" t="str">
        <f t="shared" si="2"/>
        <v>BEMIMO_OUT_CERTIFvlr_comp_trmc_pvmnts</v>
      </c>
      <c r="B128" s="43" t="s">
        <v>415</v>
      </c>
      <c r="C128" s="7" t="s">
        <v>7</v>
      </c>
      <c r="D128" s="5" t="s">
        <v>495</v>
      </c>
      <c r="E128" t="str">
        <f>VLOOKUP(A128,[1]Tabelas!$A$8:$H$174,8,0)</f>
        <v>Comportamento térmico dos pisos</v>
      </c>
      <c r="F128" t="b">
        <f t="shared" si="3"/>
        <v>1</v>
      </c>
      <c r="I128" s="43" t="s">
        <v>580</v>
      </c>
      <c r="J128" s="5" t="s">
        <v>626</v>
      </c>
      <c r="K128" s="51" t="s">
        <v>751</v>
      </c>
    </row>
    <row r="129" spans="1:17" x14ac:dyDescent="0.3">
      <c r="A129" t="str">
        <f t="shared" si="2"/>
        <v>BEMIMO_OUT_CERTIFvlr_comp_trmc_jnls</v>
      </c>
      <c r="B129" s="43" t="s">
        <v>415</v>
      </c>
      <c r="C129" s="7" t="s">
        <v>7</v>
      </c>
      <c r="D129" s="5" t="s">
        <v>496</v>
      </c>
      <c r="E129" t="str">
        <f>VLOOKUP(A129,[1]Tabelas!$A$8:$H$174,8,0)</f>
        <v>Comportamento térmico das janelas</v>
      </c>
      <c r="F129" t="b">
        <f t="shared" si="3"/>
        <v>1</v>
      </c>
      <c r="I129" s="43" t="s">
        <v>580</v>
      </c>
      <c r="J129" s="5" t="s">
        <v>627</v>
      </c>
      <c r="K129" s="51" t="s">
        <v>752</v>
      </c>
    </row>
    <row r="130" spans="1:17" x14ac:dyDescent="0.3">
      <c r="A130" t="str">
        <f t="shared" si="2"/>
        <v>BEMIMO_OUT_CERTIFvlr_comp_trmc_sstmtcn_vntld</v>
      </c>
      <c r="B130" s="43" t="s">
        <v>415</v>
      </c>
      <c r="C130" s="7" t="s">
        <v>7</v>
      </c>
      <c r="D130" s="5" t="s">
        <v>497</v>
      </c>
      <c r="E130" t="str">
        <f>VLOOKUP(A130,[1]Tabelas!$A$8:$H$174,8,0)</f>
        <v>Sistemas técnicos e comportamento térmico da ventilação</v>
      </c>
      <c r="F130" t="b">
        <f t="shared" si="3"/>
        <v>1</v>
      </c>
      <c r="I130" s="43" t="s">
        <v>580</v>
      </c>
      <c r="J130" s="5" t="s">
        <v>628</v>
      </c>
      <c r="K130" s="51" t="s">
        <v>753</v>
      </c>
    </row>
    <row r="131" spans="1:17" x14ac:dyDescent="0.3">
      <c r="A131" t="str">
        <f t="shared" si="2"/>
        <v>BEMIMO_OUT_CERTIFvlr_prds_gnhs_invrn_rfc</v>
      </c>
      <c r="B131" s="43" t="s">
        <v>415</v>
      </c>
      <c r="C131" s="7" t="s">
        <v>7</v>
      </c>
      <c r="D131" s="5" t="s">
        <v>498</v>
      </c>
      <c r="E131" t="str">
        <f>VLOOKUP(A131,[1]Tabelas!$A$8:$H$174,8,0)</f>
        <v>Referência de perdas e ganhos de calor no inverno</v>
      </c>
      <c r="F131" t="b">
        <f t="shared" si="3"/>
        <v>1</v>
      </c>
      <c r="I131" s="43" t="s">
        <v>580</v>
      </c>
      <c r="J131" s="5" t="s">
        <v>629</v>
      </c>
      <c r="K131" s="51" t="s">
        <v>754</v>
      </c>
    </row>
    <row r="132" spans="1:17" x14ac:dyDescent="0.3">
      <c r="A132" t="str">
        <f t="shared" ref="A132:A155" si="4">B132&amp;D132</f>
        <v>BEMIMO_OUT_CERTIFvlr_prds_gnhs_invrn_jnl</v>
      </c>
      <c r="B132" s="43" t="s">
        <v>415</v>
      </c>
      <c r="C132" s="7" t="s">
        <v>7</v>
      </c>
      <c r="D132" s="5" t="s">
        <v>499</v>
      </c>
      <c r="E132" t="str">
        <f>VLOOKUP(A132,[1]Tabelas!$A$8:$H$174,8,0)</f>
        <v>Referência de perdas e ganhos de calor no inverno das janelas</v>
      </c>
      <c r="F132" t="b">
        <f t="shared" ref="F132:F155" si="5">E132=K132</f>
        <v>1</v>
      </c>
      <c r="I132" s="43" t="s">
        <v>580</v>
      </c>
      <c r="J132" s="5" t="s">
        <v>630</v>
      </c>
      <c r="K132" s="51" t="s">
        <v>755</v>
      </c>
    </row>
    <row r="133" spans="1:17" x14ac:dyDescent="0.3">
      <c r="A133" t="str">
        <f t="shared" si="4"/>
        <v>BEMIMO_OUT_CERTIFvlr_prds_gnhs_invrn_vntnh</v>
      </c>
      <c r="B133" s="43" t="s">
        <v>415</v>
      </c>
      <c r="C133" s="7" t="s">
        <v>7</v>
      </c>
      <c r="D133" s="5" t="s">
        <v>500</v>
      </c>
      <c r="E133" t="str">
        <f>VLOOKUP(A133,[1]Tabelas!$A$8:$H$174,8,0)</f>
        <v>Referência de perdas e ganhos de calor no inverno dos ventiladores</v>
      </c>
      <c r="F133" t="b">
        <f t="shared" si="5"/>
        <v>1</v>
      </c>
      <c r="I133" s="43" t="s">
        <v>580</v>
      </c>
      <c r="J133" s="5" t="s">
        <v>631</v>
      </c>
      <c r="K133" s="51" t="s">
        <v>756</v>
      </c>
    </row>
    <row r="134" spans="1:17" x14ac:dyDescent="0.3">
      <c r="A134" t="str">
        <f t="shared" si="4"/>
        <v>BEMIMO_OUT_CERTIFvlr_prds_gnhs_invrn_cbrtr</v>
      </c>
      <c r="B134" s="43" t="s">
        <v>415</v>
      </c>
      <c r="C134" s="7" t="s">
        <v>7</v>
      </c>
      <c r="D134" s="5" t="s">
        <v>501</v>
      </c>
      <c r="E134" t="str">
        <f>VLOOKUP(A134,[1]Tabelas!$A$8:$H$174,8,0)</f>
        <v>Referência de perdas e ganhos de calor no inverno devido ao telhado</v>
      </c>
      <c r="F134" t="b">
        <f t="shared" si="5"/>
        <v>1</v>
      </c>
      <c r="I134" s="43" t="s">
        <v>580</v>
      </c>
      <c r="J134" s="5" t="s">
        <v>632</v>
      </c>
      <c r="K134" s="51" t="s">
        <v>757</v>
      </c>
    </row>
    <row r="135" spans="1:17" x14ac:dyDescent="0.3">
      <c r="A135" t="str">
        <f t="shared" si="4"/>
        <v>BEMIMO_OUT_CERTIFvlr_prd_gnh_invrn_prd_prt</v>
      </c>
      <c r="B135" s="43" t="s">
        <v>415</v>
      </c>
      <c r="C135" s="7" t="s">
        <v>7</v>
      </c>
      <c r="D135" s="5" t="s">
        <v>502</v>
      </c>
      <c r="E135" t="str">
        <f>VLOOKUP(A135,[1]Tabelas!$A$8:$H$174,8,0)</f>
        <v>Referência de perdas e ganhos de calor no inverno devido a portas e paredes</v>
      </c>
      <c r="F135" t="b">
        <f t="shared" si="5"/>
        <v>1</v>
      </c>
      <c r="I135" s="43" t="s">
        <v>580</v>
      </c>
      <c r="J135" s="5" t="s">
        <v>633</v>
      </c>
      <c r="K135" s="51" t="s">
        <v>758</v>
      </c>
    </row>
    <row r="136" spans="1:17" x14ac:dyDescent="0.3">
      <c r="A136" t="str">
        <f t="shared" si="4"/>
        <v>BEMIMO_OUT_CERTIFvlr_prd_gnh_invrn_pvmnt</v>
      </c>
      <c r="B136" s="43" t="s">
        <v>415</v>
      </c>
      <c r="C136" s="7" t="s">
        <v>7</v>
      </c>
      <c r="D136" s="5" t="s">
        <v>503</v>
      </c>
      <c r="E136" t="str">
        <f>VLOOKUP(A136,[1]Tabelas!$A$8:$H$174,8,0)</f>
        <v>Referência de perdas e ganhos de calor no inverno devido aos pisos</v>
      </c>
      <c r="F136" t="b">
        <f t="shared" si="5"/>
        <v>1</v>
      </c>
      <c r="I136" s="43" t="s">
        <v>580</v>
      </c>
      <c r="J136" s="5" t="s">
        <v>634</v>
      </c>
      <c r="K136" s="51" t="s">
        <v>759</v>
      </c>
    </row>
    <row r="137" spans="1:17" x14ac:dyDescent="0.3">
      <c r="A137" t="str">
        <f t="shared" si="4"/>
        <v>BEMIMO_OUT_CERTIFvlr_prds_gnhs_vr_rfrc</v>
      </c>
      <c r="B137" s="43" t="s">
        <v>415</v>
      </c>
      <c r="C137" s="7" t="s">
        <v>7</v>
      </c>
      <c r="D137" s="5" t="s">
        <v>504</v>
      </c>
      <c r="E137" t="str">
        <f>VLOOKUP(A137,[1]Tabelas!$A$8:$H$174,8,0)</f>
        <v>Referência de perdas e ganhos de calor no verão</v>
      </c>
      <c r="F137" t="b">
        <f t="shared" si="5"/>
        <v>1</v>
      </c>
      <c r="I137" s="43" t="s">
        <v>580</v>
      </c>
      <c r="J137" s="5" t="s">
        <v>635</v>
      </c>
      <c r="K137" s="51" t="s">
        <v>760</v>
      </c>
    </row>
    <row r="138" spans="1:17" x14ac:dyDescent="0.3">
      <c r="A138" t="str">
        <f t="shared" si="4"/>
        <v>BEMIMO_OUT_CERTIFvlr_prds_gnhs_vr_jnl</v>
      </c>
      <c r="B138" s="43" t="s">
        <v>415</v>
      </c>
      <c r="C138" s="7" t="s">
        <v>7</v>
      </c>
      <c r="D138" s="5" t="s">
        <v>505</v>
      </c>
      <c r="E138" t="str">
        <f>VLOOKUP(A138,[1]Tabelas!$A$8:$H$174,8,0)</f>
        <v>Referência de perdas e ganhos de calor no verão das janelas</v>
      </c>
      <c r="F138" t="b">
        <f t="shared" si="5"/>
        <v>1</v>
      </c>
      <c r="I138" s="43" t="s">
        <v>580</v>
      </c>
      <c r="J138" s="5" t="s">
        <v>636</v>
      </c>
      <c r="K138" s="51" t="s">
        <v>761</v>
      </c>
    </row>
    <row r="139" spans="1:17" x14ac:dyDescent="0.3">
      <c r="A139" t="str">
        <f t="shared" si="4"/>
        <v>BEMIMO_OUT_CERTIFvlr_prds_gnhs_vr_cbrtr</v>
      </c>
      <c r="B139" s="43" t="s">
        <v>415</v>
      </c>
      <c r="C139" s="7" t="s">
        <v>7</v>
      </c>
      <c r="D139" s="5" t="s">
        <v>506</v>
      </c>
      <c r="E139" t="str">
        <f>VLOOKUP(A139,[1]Tabelas!$A$8:$H$174,8,0)</f>
        <v>Referência de perdas e ganhos de calor no verão devido ao telhado</v>
      </c>
      <c r="F139" t="b">
        <f t="shared" si="5"/>
        <v>1</v>
      </c>
      <c r="I139" s="43" t="s">
        <v>580</v>
      </c>
      <c r="J139" s="5" t="s">
        <v>637</v>
      </c>
      <c r="K139" s="51" t="s">
        <v>762</v>
      </c>
    </row>
    <row r="140" spans="1:17" x14ac:dyDescent="0.3">
      <c r="A140" t="str">
        <f t="shared" si="4"/>
        <v>BEMIMO_OUT_CERTIFvlr_prds_gnhs_vr_prd_prt</v>
      </c>
      <c r="B140" s="43" t="s">
        <v>415</v>
      </c>
      <c r="C140" s="7" t="s">
        <v>7</v>
      </c>
      <c r="D140" s="5" t="s">
        <v>507</v>
      </c>
      <c r="E140" t="str">
        <f>VLOOKUP(A140,[1]Tabelas!$A$8:$H$174,8,0)</f>
        <v>Referência de perdas e ganhos de calor no verão devido a portas e paredes</v>
      </c>
      <c r="F140" t="b">
        <f t="shared" si="5"/>
        <v>1</v>
      </c>
      <c r="I140" s="43" t="s">
        <v>580</v>
      </c>
      <c r="J140" s="5" t="s">
        <v>638</v>
      </c>
      <c r="K140" s="51" t="s">
        <v>763</v>
      </c>
    </row>
    <row r="141" spans="1:17" x14ac:dyDescent="0.3">
      <c r="A141" t="str">
        <f t="shared" si="4"/>
        <v>BEMIMO_OUT_CERTIFmetodo_info</v>
      </c>
      <c r="B141" s="43" t="s">
        <v>415</v>
      </c>
      <c r="C141" s="7" t="s">
        <v>7</v>
      </c>
      <c r="D141" s="3" t="s">
        <v>508</v>
      </c>
      <c r="E141" t="str">
        <f>VLOOKUP(A141,[1]Tabelas!$A$8:$H$174,8,0)</f>
        <v>Indicação do método de obtenção da informação</v>
      </c>
      <c r="F141" t="b">
        <f t="shared" si="5"/>
        <v>1</v>
      </c>
      <c r="I141" s="43" t="s">
        <v>580</v>
      </c>
      <c r="J141" s="8" t="s">
        <v>639</v>
      </c>
      <c r="K141" s="52" t="s">
        <v>764</v>
      </c>
    </row>
    <row r="142" spans="1:17" x14ac:dyDescent="0.3">
      <c r="A142" t="str">
        <f t="shared" si="4"/>
        <v>BEMIMO_OUT_CERTIFref_date</v>
      </c>
      <c r="B142" s="43" t="s">
        <v>415</v>
      </c>
      <c r="C142" s="7" t="s">
        <v>7</v>
      </c>
      <c r="D142" s="2" t="s">
        <v>21</v>
      </c>
      <c r="E142" t="str">
        <f>VLOOKUP(A142,[1]Tabelas!$A$8:$H$174,8,0)</f>
        <v>Data de referencia dos dados</v>
      </c>
      <c r="F142" t="b">
        <f t="shared" si="5"/>
        <v>1</v>
      </c>
      <c r="I142" s="43" t="s">
        <v>580</v>
      </c>
      <c r="J142" s="51" t="s">
        <v>531</v>
      </c>
      <c r="K142" s="51" t="s">
        <v>660</v>
      </c>
      <c r="O142" s="55" t="s">
        <v>580</v>
      </c>
      <c r="P142" s="54" t="s">
        <v>529</v>
      </c>
      <c r="Q142" s="54" t="s">
        <v>658</v>
      </c>
    </row>
    <row r="143" spans="1:17" x14ac:dyDescent="0.3">
      <c r="A143" t="str">
        <f t="shared" si="4"/>
        <v>BEMIMO_OUT_CERTIForigem</v>
      </c>
      <c r="B143" s="43" t="s">
        <v>415</v>
      </c>
      <c r="C143" s="7" t="s">
        <v>7</v>
      </c>
      <c r="D143" s="2" t="s">
        <v>20</v>
      </c>
      <c r="E143" t="str">
        <f>VLOOKUP(A143,[1]Tabelas!$A$8:$H$174,8,0)</f>
        <v>Codigo ID sistema origem</v>
      </c>
      <c r="F143" t="b">
        <f t="shared" si="5"/>
        <v>1</v>
      </c>
      <c r="I143" s="43" t="s">
        <v>580</v>
      </c>
      <c r="J143" s="51" t="s">
        <v>532</v>
      </c>
      <c r="K143" s="52" t="s">
        <v>765</v>
      </c>
      <c r="O143" s="55" t="s">
        <v>580</v>
      </c>
      <c r="P143" s="54" t="s">
        <v>530</v>
      </c>
      <c r="Q143" s="54" t="s">
        <v>659</v>
      </c>
    </row>
    <row r="144" spans="1:17" x14ac:dyDescent="0.3">
      <c r="A144" t="str">
        <f t="shared" si="4"/>
        <v>BEMIMO_INP_CERTIF_ESTIMATIVAdata_extraccao_info</v>
      </c>
      <c r="B144" s="43" t="s">
        <v>416</v>
      </c>
      <c r="C144" s="7" t="s">
        <v>6</v>
      </c>
      <c r="D144" s="2" t="s">
        <v>509</v>
      </c>
      <c r="E144" t="str">
        <f>VLOOKUP(A144,[1]Tabelas!$A$8:$H$174,8,0)</f>
        <v>Data de referência da informação enviada para o fornecedor</v>
      </c>
      <c r="F144" t="b">
        <f t="shared" si="5"/>
        <v>1</v>
      </c>
      <c r="I144" s="43" t="s">
        <v>640</v>
      </c>
      <c r="J144" s="51" t="s">
        <v>641</v>
      </c>
      <c r="K144" s="8" t="s">
        <v>766</v>
      </c>
    </row>
    <row r="145" spans="1:11" x14ac:dyDescent="0.3">
      <c r="A145" t="str">
        <f t="shared" si="4"/>
        <v>BEMIMO_INP_CERTIF_ESTIMATIVAcempbem</v>
      </c>
      <c r="B145" s="43" t="s">
        <v>416</v>
      </c>
      <c r="C145" s="7" t="s">
        <v>6</v>
      </c>
      <c r="D145" s="2" t="s">
        <v>49</v>
      </c>
      <c r="E145" t="str">
        <f>VLOOKUP(A145,[1]Tabelas!$A$8:$H$174,8,0)</f>
        <v>Código de empresa do Bem</v>
      </c>
      <c r="F145" t="b">
        <f t="shared" si="5"/>
        <v>1</v>
      </c>
      <c r="I145" s="43" t="s">
        <v>640</v>
      </c>
      <c r="J145" s="51" t="s">
        <v>546</v>
      </c>
      <c r="K145" s="8" t="s">
        <v>673</v>
      </c>
    </row>
    <row r="146" spans="1:11" x14ac:dyDescent="0.3">
      <c r="A146" t="str">
        <f t="shared" si="4"/>
        <v>BEMIMO_INP_CERTIF_ESTIMATIVAckbalbem</v>
      </c>
      <c r="B146" s="43" t="s">
        <v>416</v>
      </c>
      <c r="C146" s="7" t="s">
        <v>6</v>
      </c>
      <c r="D146" s="2" t="s">
        <v>50</v>
      </c>
      <c r="E146" t="str">
        <f>VLOOKUP(A146,[1]Tabelas!$A$8:$H$174,8,0)</f>
        <v>Código do balcão do Bem</v>
      </c>
      <c r="F146" t="b">
        <f t="shared" si="5"/>
        <v>1</v>
      </c>
      <c r="I146" s="43" t="s">
        <v>640</v>
      </c>
      <c r="J146" s="51" t="s">
        <v>547</v>
      </c>
      <c r="K146" s="8" t="s">
        <v>674</v>
      </c>
    </row>
    <row r="147" spans="1:11" x14ac:dyDescent="0.3">
      <c r="A147" t="str">
        <f t="shared" si="4"/>
        <v>BEMIMO_INP_CERTIF_ESTIMATIVAckctabem</v>
      </c>
      <c r="B147" s="43" t="s">
        <v>416</v>
      </c>
      <c r="C147" s="7" t="s">
        <v>6</v>
      </c>
      <c r="D147" s="2" t="s">
        <v>51</v>
      </c>
      <c r="E147" t="str">
        <f>VLOOKUP(A147,[1]Tabelas!$A$8:$H$174,8,0)</f>
        <v>Número de conta do Bem</v>
      </c>
      <c r="F147" t="b">
        <f t="shared" si="5"/>
        <v>1</v>
      </c>
      <c r="I147" s="43" t="s">
        <v>640</v>
      </c>
      <c r="J147" s="51" t="s">
        <v>548</v>
      </c>
      <c r="K147" s="8" t="s">
        <v>675</v>
      </c>
    </row>
    <row r="148" spans="1:11" x14ac:dyDescent="0.3">
      <c r="A148" t="str">
        <f t="shared" si="4"/>
        <v>BEMIMO_INP_CERTIF_ESTIMATIVAckrefbem</v>
      </c>
      <c r="B148" s="43" t="s">
        <v>416</v>
      </c>
      <c r="C148" s="7" t="s">
        <v>6</v>
      </c>
      <c r="D148" s="2" t="s">
        <v>52</v>
      </c>
      <c r="E148" t="str">
        <f>VLOOKUP(A148,[1]Tabelas!$A$8:$H$174,8,0)</f>
        <v>Número do Bem</v>
      </c>
      <c r="F148" t="b">
        <f t="shared" si="5"/>
        <v>1</v>
      </c>
      <c r="I148" s="43" t="s">
        <v>640</v>
      </c>
      <c r="J148" s="51" t="s">
        <v>549</v>
      </c>
      <c r="K148" s="8" t="s">
        <v>676</v>
      </c>
    </row>
    <row r="149" spans="1:11" x14ac:dyDescent="0.3">
      <c r="A149" t="str">
        <f t="shared" si="4"/>
        <v>BEMIMO_INP_CERTIF_ESTIMATIVAchave_encriptada</v>
      </c>
      <c r="B149" s="43" t="s">
        <v>416</v>
      </c>
      <c r="C149" s="7" t="s">
        <v>6</v>
      </c>
      <c r="D149" s="3" t="s">
        <v>510</v>
      </c>
      <c r="E149" t="str">
        <f>VLOOKUP(A149,[1]Tabelas!$A$8:$H$174,8,0)</f>
        <v>Chave encriptada do bem, gerada com base na concatenação das variáveis cempbem, ckbalbem, ckctabem e ckrefbem</v>
      </c>
      <c r="F149" t="b">
        <f t="shared" si="5"/>
        <v>1</v>
      </c>
      <c r="I149" s="43" t="s">
        <v>640</v>
      </c>
      <c r="J149" s="8" t="s">
        <v>642</v>
      </c>
      <c r="K149" s="8" t="s">
        <v>767</v>
      </c>
    </row>
    <row r="150" spans="1:11" x14ac:dyDescent="0.3">
      <c r="A150" t="str">
        <f t="shared" si="4"/>
        <v>BEMIMO_INP_CERTIF_ESTIMATIVAfornecedor</v>
      </c>
      <c r="B150" s="43" t="s">
        <v>416</v>
      </c>
      <c r="C150" s="7" t="s">
        <v>6</v>
      </c>
      <c r="D150" s="3" t="s">
        <v>511</v>
      </c>
      <c r="E150" t="str">
        <f>VLOOKUP(A150,[1]Tabelas!$A$8:$H$174,8,0)</f>
        <v>Fornecedor da informação</v>
      </c>
      <c r="F150" t="b">
        <f t="shared" si="5"/>
        <v>1</v>
      </c>
      <c r="I150" s="43" t="s">
        <v>640</v>
      </c>
      <c r="J150" s="8" t="s">
        <v>643</v>
      </c>
      <c r="K150" s="8" t="s">
        <v>768</v>
      </c>
    </row>
    <row r="151" spans="1:11" x14ac:dyDescent="0.3">
      <c r="A151" t="str">
        <f t="shared" si="4"/>
        <v>BEMIMO_INP_CERTIF_ESTIMATIVAepc</v>
      </c>
      <c r="B151" s="43" t="s">
        <v>416</v>
      </c>
      <c r="C151" s="7" t="s">
        <v>6</v>
      </c>
      <c r="D151" s="3" t="s">
        <v>45</v>
      </c>
      <c r="E151" t="str">
        <f>VLOOKUP(A151,[1]Tabelas!$A$8:$H$174,8,0)</f>
        <v>Rating que determina o grau de eficiência energética de um edifício, a ser usada para medir o risco de transição</v>
      </c>
      <c r="F151" t="b">
        <f t="shared" si="5"/>
        <v>1</v>
      </c>
      <c r="I151" s="43" t="s">
        <v>640</v>
      </c>
      <c r="J151" s="8" t="s">
        <v>582</v>
      </c>
      <c r="K151" s="8" t="s">
        <v>707</v>
      </c>
    </row>
    <row r="152" spans="1:11" x14ac:dyDescent="0.3">
      <c r="A152" t="str">
        <f t="shared" si="4"/>
        <v>BEMIMO_INP_CERTIF_ESTIMATIVAvlr_emss_ano</v>
      </c>
      <c r="B152" s="43" t="s">
        <v>416</v>
      </c>
      <c r="C152" s="7" t="s">
        <v>6</v>
      </c>
      <c r="D152" s="3" t="s">
        <v>454</v>
      </c>
      <c r="E152" t="str">
        <f>VLOOKUP(A152,[1]Tabelas!$A$8:$H$174,8,0)</f>
        <v>Emissões kgco2/m2ano</v>
      </c>
      <c r="F152" t="b">
        <f t="shared" si="5"/>
        <v>1</v>
      </c>
      <c r="I152" s="43" t="s">
        <v>640</v>
      </c>
      <c r="J152" s="8" t="s">
        <v>585</v>
      </c>
      <c r="K152" s="51" t="s">
        <v>710</v>
      </c>
    </row>
    <row r="153" spans="1:11" x14ac:dyDescent="0.3">
      <c r="A153" t="str">
        <f t="shared" si="4"/>
        <v>BEMIMO_INP_CERTIF_ESTIMATIVAvlr_cnsm_ano</v>
      </c>
      <c r="B153" s="43" t="s">
        <v>416</v>
      </c>
      <c r="C153" s="7" t="s">
        <v>6</v>
      </c>
      <c r="D153" s="3" t="s">
        <v>457</v>
      </c>
      <c r="E153" t="str">
        <f>VLOOKUP(A153,[1]Tabelas!$A$8:$H$174,8,0)</f>
        <v>Consumo kwh/m2ano</v>
      </c>
      <c r="F153" t="b">
        <f t="shared" si="5"/>
        <v>1</v>
      </c>
      <c r="I153" s="43" t="s">
        <v>640</v>
      </c>
      <c r="J153" s="8" t="s">
        <v>588</v>
      </c>
      <c r="K153" s="51" t="s">
        <v>713</v>
      </c>
    </row>
    <row r="154" spans="1:11" x14ac:dyDescent="0.3">
      <c r="A154" t="str">
        <f t="shared" si="4"/>
        <v>BEMIMO_INP_CERTIF_ESTIMATIVAmetodo_info</v>
      </c>
      <c r="B154" s="43" t="s">
        <v>416</v>
      </c>
      <c r="C154" s="7" t="s">
        <v>6</v>
      </c>
      <c r="D154" s="3" t="s">
        <v>508</v>
      </c>
      <c r="E154" t="str">
        <f>VLOOKUP(A154,[1]Tabelas!$A$8:$H$174,8,0)</f>
        <v>Indicação do método de obtenção da informação</v>
      </c>
      <c r="F154" t="b">
        <f t="shared" si="5"/>
        <v>1</v>
      </c>
      <c r="I154" s="43" t="s">
        <v>640</v>
      </c>
      <c r="J154" s="8" t="s">
        <v>639</v>
      </c>
      <c r="K154" s="8" t="s">
        <v>764</v>
      </c>
    </row>
    <row r="155" spans="1:11" x14ac:dyDescent="0.3">
      <c r="A155" t="str">
        <f t="shared" si="4"/>
        <v>BEMIMO_INP_CERTIF_ESTIMATIVAscore_qualidade</v>
      </c>
      <c r="B155" s="43" t="s">
        <v>416</v>
      </c>
      <c r="C155" s="7" t="s">
        <v>6</v>
      </c>
      <c r="D155" s="3" t="s">
        <v>76</v>
      </c>
      <c r="E155" t="str">
        <f>VLOOKUP(A155,[1]Tabelas!$A$8:$H$174,8,0)</f>
        <v>Grau de qualiade associada à informação disponibilizada pelo fornecedor</v>
      </c>
      <c r="F155" t="b">
        <f t="shared" si="5"/>
        <v>1</v>
      </c>
      <c r="I155" s="43" t="s">
        <v>640</v>
      </c>
      <c r="J155" s="8" t="s">
        <v>644</v>
      </c>
      <c r="K155" s="8" t="s">
        <v>769</v>
      </c>
    </row>
    <row r="156" spans="1:11" x14ac:dyDescent="0.3">
      <c r="I156" s="43" t="s">
        <v>640</v>
      </c>
      <c r="J156" s="8" t="s">
        <v>529</v>
      </c>
      <c r="K156" s="8" t="s">
        <v>770</v>
      </c>
    </row>
    <row r="157" spans="1:11" x14ac:dyDescent="0.3">
      <c r="I157" s="43" t="s">
        <v>640</v>
      </c>
      <c r="J157" s="8" t="s">
        <v>530</v>
      </c>
      <c r="K157" s="8" t="s">
        <v>771</v>
      </c>
    </row>
    <row r="158" spans="1:11" x14ac:dyDescent="0.3">
      <c r="I158" s="43" t="s">
        <v>640</v>
      </c>
      <c r="J158" s="8" t="s">
        <v>531</v>
      </c>
      <c r="K158" s="8" t="s">
        <v>772</v>
      </c>
    </row>
    <row r="159" spans="1:11" x14ac:dyDescent="0.3">
      <c r="I159" s="43" t="s">
        <v>640</v>
      </c>
      <c r="J159" s="8" t="s">
        <v>645</v>
      </c>
      <c r="K159" s="8" t="s">
        <v>773</v>
      </c>
    </row>
  </sheetData>
  <autoFilter ref="B2:D155" xr:uid="{02D78856-057F-4DFF-A82F-1C4611D2E6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4451-63C3-4DEB-988B-72F940CEF425}">
  <dimension ref="A2:O169"/>
  <sheetViews>
    <sheetView topLeftCell="A135" zoomScale="70" workbookViewId="0">
      <selection activeCell="B2" sqref="B2:D169"/>
    </sheetView>
  </sheetViews>
  <sheetFormatPr defaultRowHeight="14.4" x14ac:dyDescent="0.3"/>
  <cols>
    <col min="2" max="2" width="25.77734375" bestFit="1" customWidth="1"/>
    <col min="3" max="3" width="26.109375" bestFit="1" customWidth="1"/>
    <col min="4" max="4" width="32.44140625" bestFit="1" customWidth="1"/>
    <col min="9" max="10" width="27.33203125" bestFit="1" customWidth="1"/>
    <col min="14" max="14" width="24.6640625" bestFit="1" customWidth="1"/>
    <col min="15" max="15" width="14.21875" bestFit="1" customWidth="1"/>
  </cols>
  <sheetData>
    <row r="2" spans="1:15" ht="17.399999999999999" x14ac:dyDescent="0.3">
      <c r="B2" s="1" t="s">
        <v>0</v>
      </c>
      <c r="C2" s="1"/>
      <c r="D2" s="1" t="s">
        <v>1</v>
      </c>
      <c r="E2" s="7" t="s">
        <v>181</v>
      </c>
      <c r="I2" s="45" t="s">
        <v>179</v>
      </c>
      <c r="J2" s="45" t="s">
        <v>180</v>
      </c>
      <c r="K2" s="15" t="s">
        <v>182</v>
      </c>
      <c r="N2" s="25" t="s">
        <v>190</v>
      </c>
      <c r="O2" t="s">
        <v>192</v>
      </c>
    </row>
    <row r="3" spans="1:15" ht="17.399999999999999" x14ac:dyDescent="0.3">
      <c r="A3" s="16" t="str">
        <f>C3&amp;D3</f>
        <v>cd_imv_out_prccempresa</v>
      </c>
      <c r="B3" s="42" t="s">
        <v>411</v>
      </c>
      <c r="C3" s="7" t="s">
        <v>2</v>
      </c>
      <c r="D3" s="2" t="s">
        <v>8</v>
      </c>
      <c r="E3" t="str">
        <f t="shared" ref="E3:E34" si="0">IFERROR(IF(VLOOKUP(A3,$H$3:$H$226,1,0)=A3,"Ok","Nok"),"Nok")</f>
        <v>Ok</v>
      </c>
      <c r="H3" s="16" t="str">
        <f>I3&amp;J3</f>
        <v>cd_imv_inp_certif_estimativacempbem</v>
      </c>
      <c r="I3" s="44" t="s">
        <v>6</v>
      </c>
      <c r="J3" s="44" t="s">
        <v>49</v>
      </c>
      <c r="K3" t="str">
        <f t="shared" ref="K3:K26" si="1">IFERROR(IF(VLOOKUP(H3,$A$3:$A$214,1,0)=H3,"Ok","Nok"),"Nok")</f>
        <v>Ok</v>
      </c>
      <c r="N3" s="26" t="s">
        <v>6</v>
      </c>
      <c r="O3">
        <v>12</v>
      </c>
    </row>
    <row r="4" spans="1:15" ht="17.399999999999999" x14ac:dyDescent="0.3">
      <c r="A4" s="16" t="str">
        <f t="shared" ref="A4:A67" si="2">C4&amp;D4</f>
        <v>cd_imv_out_prcckbalcao</v>
      </c>
      <c r="B4" s="42" t="s">
        <v>411</v>
      </c>
      <c r="C4" s="7" t="s">
        <v>2</v>
      </c>
      <c r="D4" s="2" t="s">
        <v>9</v>
      </c>
      <c r="E4" t="str">
        <f t="shared" si="0"/>
        <v>Ok</v>
      </c>
      <c r="H4" s="16" t="str">
        <f t="shared" ref="H4:H66" si="3">I4&amp;J4</f>
        <v>cd_imv_inp_certif_estimativachave_encriptada</v>
      </c>
      <c r="I4" s="44" t="s">
        <v>6</v>
      </c>
      <c r="J4" s="44" t="s">
        <v>510</v>
      </c>
      <c r="K4" t="str">
        <f t="shared" si="1"/>
        <v>Ok</v>
      </c>
      <c r="N4" s="26" t="s">
        <v>4</v>
      </c>
      <c r="O4">
        <v>31</v>
      </c>
    </row>
    <row r="5" spans="1:15" ht="17.399999999999999" x14ac:dyDescent="0.3">
      <c r="A5" s="16" t="str">
        <f t="shared" si="2"/>
        <v>cd_imv_out_prccknumcta</v>
      </c>
      <c r="B5" s="42" t="s">
        <v>411</v>
      </c>
      <c r="C5" s="7" t="s">
        <v>2</v>
      </c>
      <c r="D5" s="2" t="s">
        <v>10</v>
      </c>
      <c r="E5" t="str">
        <f t="shared" si="0"/>
        <v>Ok</v>
      </c>
      <c r="H5" s="16" t="str">
        <f t="shared" si="3"/>
        <v>cd_imv_inp_certif_estimativackbalbem</v>
      </c>
      <c r="I5" s="44" t="s">
        <v>6</v>
      </c>
      <c r="J5" s="44" t="s">
        <v>50</v>
      </c>
      <c r="K5" t="str">
        <f t="shared" si="1"/>
        <v>Ok</v>
      </c>
      <c r="N5" s="26" t="s">
        <v>7</v>
      </c>
      <c r="O5">
        <v>65</v>
      </c>
    </row>
    <row r="6" spans="1:15" ht="17.399999999999999" x14ac:dyDescent="0.3">
      <c r="A6" s="16" t="str">
        <f t="shared" si="2"/>
        <v>cd_imv_out_prccomp_id_gar</v>
      </c>
      <c r="B6" s="42" t="s">
        <v>411</v>
      </c>
      <c r="C6" s="7" t="s">
        <v>2</v>
      </c>
      <c r="D6" s="2" t="s">
        <v>17</v>
      </c>
      <c r="E6" t="str">
        <f t="shared" si="0"/>
        <v>Ok</v>
      </c>
      <c r="H6" s="16" t="str">
        <f t="shared" si="3"/>
        <v>cd_imv_inp_certif_estimativackctabem</v>
      </c>
      <c r="I6" s="44" t="s">
        <v>6</v>
      </c>
      <c r="J6" s="44" t="s">
        <v>51</v>
      </c>
      <c r="K6" t="str">
        <f t="shared" si="1"/>
        <v>Ok</v>
      </c>
      <c r="N6" s="26" t="s">
        <v>2</v>
      </c>
      <c r="O6">
        <v>14</v>
      </c>
    </row>
    <row r="7" spans="1:15" ht="17.399999999999999" x14ac:dyDescent="0.3">
      <c r="A7" s="16" t="str">
        <f t="shared" si="2"/>
        <v>cd_imv_out_prccod_prd_grnt</v>
      </c>
      <c r="B7" s="42" t="s">
        <v>411</v>
      </c>
      <c r="C7" s="7" t="s">
        <v>2</v>
      </c>
      <c r="D7" s="2" t="s">
        <v>14</v>
      </c>
      <c r="E7" t="str">
        <f t="shared" si="0"/>
        <v>Ok</v>
      </c>
      <c r="H7" s="16" t="str">
        <f t="shared" si="3"/>
        <v>cd_imv_inp_certif_estimativackrefbem</v>
      </c>
      <c r="I7" s="44" t="s">
        <v>6</v>
      </c>
      <c r="J7" s="44" t="s">
        <v>52</v>
      </c>
      <c r="K7" t="str">
        <f t="shared" si="1"/>
        <v>Ok</v>
      </c>
      <c r="N7" s="26" t="s">
        <v>5</v>
      </c>
      <c r="O7">
        <v>17</v>
      </c>
    </row>
    <row r="8" spans="1:15" ht="17.399999999999999" x14ac:dyDescent="0.3">
      <c r="A8" s="16" t="str">
        <f t="shared" si="2"/>
        <v>cd_imv_out_prccod_sprd_grnt</v>
      </c>
      <c r="B8" s="42" t="s">
        <v>411</v>
      </c>
      <c r="C8" s="7" t="s">
        <v>2</v>
      </c>
      <c r="D8" s="2" t="s">
        <v>15</v>
      </c>
      <c r="E8" t="str">
        <f t="shared" si="0"/>
        <v>Ok</v>
      </c>
      <c r="H8" s="16" t="str">
        <f t="shared" si="3"/>
        <v>cd_imv_inp_certif_estimativadata_extraccao_info</v>
      </c>
      <c r="I8" s="44" t="s">
        <v>6</v>
      </c>
      <c r="J8" s="44" t="s">
        <v>509</v>
      </c>
      <c r="K8" t="str">
        <f t="shared" si="1"/>
        <v>Ok</v>
      </c>
      <c r="N8" s="26" t="s">
        <v>3</v>
      </c>
      <c r="O8">
        <v>14</v>
      </c>
    </row>
    <row r="9" spans="1:15" ht="17.399999999999999" x14ac:dyDescent="0.3">
      <c r="A9" s="16" t="str">
        <f t="shared" si="2"/>
        <v>cd_imv_out_prcdata_inicio</v>
      </c>
      <c r="B9" s="42" t="s">
        <v>411</v>
      </c>
      <c r="C9" s="7" t="s">
        <v>2</v>
      </c>
      <c r="D9" s="2" t="s">
        <v>18</v>
      </c>
      <c r="E9" t="str">
        <f t="shared" si="0"/>
        <v>Ok</v>
      </c>
      <c r="H9" s="16" t="str">
        <f t="shared" si="3"/>
        <v>cd_imv_inp_certif_estimativaepc</v>
      </c>
      <c r="I9" s="44" t="s">
        <v>6</v>
      </c>
      <c r="J9" s="44" t="s">
        <v>45</v>
      </c>
      <c r="K9" t="str">
        <f t="shared" si="1"/>
        <v>Ok</v>
      </c>
      <c r="N9" s="26" t="s">
        <v>191</v>
      </c>
      <c r="O9">
        <v>153</v>
      </c>
    </row>
    <row r="10" spans="1:15" ht="17.399999999999999" x14ac:dyDescent="0.3">
      <c r="A10" s="16" t="str">
        <f t="shared" si="2"/>
        <v>cd_imv_out_prcdata_vcmt</v>
      </c>
      <c r="B10" s="42" t="s">
        <v>411</v>
      </c>
      <c r="C10" s="7" t="s">
        <v>2</v>
      </c>
      <c r="D10" s="2" t="s">
        <v>19</v>
      </c>
      <c r="E10" t="str">
        <f t="shared" si="0"/>
        <v>Ok</v>
      </c>
      <c r="H10" s="16" t="str">
        <f t="shared" si="3"/>
        <v>cd_imv_inp_certif_estimativafornecedor</v>
      </c>
      <c r="I10" s="44" t="s">
        <v>6</v>
      </c>
      <c r="J10" s="44" t="s">
        <v>511</v>
      </c>
      <c r="K10" t="str">
        <f t="shared" si="1"/>
        <v>Ok</v>
      </c>
    </row>
    <row r="11" spans="1:15" ht="17.399999999999999" x14ac:dyDescent="0.3">
      <c r="A11" s="16" t="str">
        <f t="shared" si="2"/>
        <v>cd_imv_out_prccod_tipo</v>
      </c>
      <c r="B11" s="42" t="s">
        <v>411</v>
      </c>
      <c r="C11" s="7" t="s">
        <v>2</v>
      </c>
      <c r="D11" s="2" t="s">
        <v>16</v>
      </c>
      <c r="E11" t="str">
        <f t="shared" si="0"/>
        <v>Ok</v>
      </c>
      <c r="H11" s="16" t="str">
        <f t="shared" si="3"/>
        <v>cd_imv_inp_certif_estimativametodo_info</v>
      </c>
      <c r="I11" s="44" t="s">
        <v>6</v>
      </c>
      <c r="J11" s="44" t="s">
        <v>508</v>
      </c>
      <c r="K11" t="str">
        <f t="shared" si="1"/>
        <v>Ok</v>
      </c>
    </row>
    <row r="12" spans="1:15" ht="17.399999999999999" x14ac:dyDescent="0.3">
      <c r="A12" s="16" t="str">
        <f t="shared" si="2"/>
        <v>cd_imv_out_prccod_moeda</v>
      </c>
      <c r="B12" s="42" t="s">
        <v>411</v>
      </c>
      <c r="C12" s="7" t="s">
        <v>2</v>
      </c>
      <c r="D12" s="2" t="s">
        <v>12</v>
      </c>
      <c r="E12" t="str">
        <f t="shared" si="0"/>
        <v>Ok</v>
      </c>
      <c r="H12" s="16" t="str">
        <f t="shared" si="3"/>
        <v>cd_imv_inp_certif_estimativascore_qualidade</v>
      </c>
      <c r="I12" s="44" t="s">
        <v>6</v>
      </c>
      <c r="J12" s="44" t="s">
        <v>76</v>
      </c>
      <c r="K12" t="str">
        <f t="shared" si="1"/>
        <v>Ok</v>
      </c>
    </row>
    <row r="13" spans="1:15" ht="17.399999999999999" x14ac:dyDescent="0.3">
      <c r="A13" s="16" t="str">
        <f t="shared" si="2"/>
        <v>cd_imv_out_prccod_grt</v>
      </c>
      <c r="B13" s="42" t="s">
        <v>411</v>
      </c>
      <c r="C13" s="7" t="s">
        <v>2</v>
      </c>
      <c r="D13" s="2" t="s">
        <v>11</v>
      </c>
      <c r="E13" t="str">
        <f t="shared" si="0"/>
        <v>Ok</v>
      </c>
      <c r="H13" s="16" t="str">
        <f t="shared" si="3"/>
        <v>cd_imv_inp_certif_estimativavlr_cnsm_ano</v>
      </c>
      <c r="I13" s="44" t="s">
        <v>6</v>
      </c>
      <c r="J13" s="44" t="s">
        <v>457</v>
      </c>
      <c r="K13" t="str">
        <f t="shared" si="1"/>
        <v>Ok</v>
      </c>
    </row>
    <row r="14" spans="1:15" ht="17.399999999999999" x14ac:dyDescent="0.3">
      <c r="A14" s="16" t="str">
        <f t="shared" si="2"/>
        <v>cd_imv_out_prccod_observacao</v>
      </c>
      <c r="B14" s="42" t="s">
        <v>411</v>
      </c>
      <c r="C14" s="7" t="s">
        <v>2</v>
      </c>
      <c r="D14" s="2" t="s">
        <v>13</v>
      </c>
      <c r="E14" t="str">
        <f t="shared" si="0"/>
        <v>Ok</v>
      </c>
      <c r="H14" s="16" t="str">
        <f t="shared" si="3"/>
        <v>cd_imv_inp_certif_estimativavlr_emss_ano</v>
      </c>
      <c r="I14" s="44" t="s">
        <v>6</v>
      </c>
      <c r="J14" s="44" t="s">
        <v>454</v>
      </c>
      <c r="K14" t="str">
        <f t="shared" si="1"/>
        <v>Ok</v>
      </c>
    </row>
    <row r="15" spans="1:15" ht="17.399999999999999" x14ac:dyDescent="0.3">
      <c r="A15" s="46" t="str">
        <f t="shared" si="2"/>
        <v>cd_imv_out_prcckutulmo</v>
      </c>
      <c r="B15" s="47" t="s">
        <v>411</v>
      </c>
      <c r="C15" s="17" t="s">
        <v>2</v>
      </c>
      <c r="D15" s="48" t="s">
        <v>144</v>
      </c>
      <c r="E15" s="18" t="str">
        <f t="shared" si="0"/>
        <v>Nok</v>
      </c>
      <c r="F15" t="s">
        <v>512</v>
      </c>
      <c r="H15" s="16" t="str">
        <f t="shared" si="3"/>
        <v>cd_imv_out_bensano_construcao</v>
      </c>
      <c r="I15" s="44" t="s">
        <v>4</v>
      </c>
      <c r="J15" s="44" t="s">
        <v>450</v>
      </c>
      <c r="K15" t="str">
        <f t="shared" si="1"/>
        <v>Ok</v>
      </c>
      <c r="L15" t="s">
        <v>514</v>
      </c>
    </row>
    <row r="16" spans="1:15" ht="17.399999999999999" x14ac:dyDescent="0.3">
      <c r="A16" s="46" t="str">
        <f t="shared" si="2"/>
        <v>cd_imv_out_prchtimest</v>
      </c>
      <c r="B16" s="47" t="s">
        <v>411</v>
      </c>
      <c r="C16" s="17" t="s">
        <v>2</v>
      </c>
      <c r="D16" s="48" t="s">
        <v>145</v>
      </c>
      <c r="E16" s="18" t="str">
        <f t="shared" si="0"/>
        <v>Nok</v>
      </c>
      <c r="F16" t="s">
        <v>512</v>
      </c>
      <c r="H16" s="16" t="str">
        <f t="shared" si="3"/>
        <v>cd_imv_out_bensarea_util</v>
      </c>
      <c r="I16" s="44" t="s">
        <v>4</v>
      </c>
      <c r="J16" s="44" t="s">
        <v>449</v>
      </c>
      <c r="K16" t="str">
        <f t="shared" si="1"/>
        <v>Ok</v>
      </c>
    </row>
    <row r="17" spans="1:11" ht="17.399999999999999" x14ac:dyDescent="0.3">
      <c r="A17" s="16" t="str">
        <f t="shared" si="2"/>
        <v>cd_imv_out_prcref_date</v>
      </c>
      <c r="B17" s="42" t="s">
        <v>411</v>
      </c>
      <c r="C17" s="7" t="s">
        <v>2</v>
      </c>
      <c r="D17" s="2" t="s">
        <v>21</v>
      </c>
      <c r="E17" t="str">
        <f t="shared" si="0"/>
        <v>Ok</v>
      </c>
      <c r="H17" s="16" t="str">
        <f t="shared" si="3"/>
        <v>cd_imv_out_benscempbem</v>
      </c>
      <c r="I17" s="44" t="s">
        <v>4</v>
      </c>
      <c r="J17" s="44" t="s">
        <v>49</v>
      </c>
      <c r="K17" t="str">
        <f t="shared" si="1"/>
        <v>Ok</v>
      </c>
    </row>
    <row r="18" spans="1:11" ht="17.399999999999999" x14ac:dyDescent="0.3">
      <c r="A18" s="16" t="str">
        <f t="shared" si="2"/>
        <v>cd_imv_out_prcorigem</v>
      </c>
      <c r="B18" s="42" t="s">
        <v>411</v>
      </c>
      <c r="C18" s="7" t="s">
        <v>2</v>
      </c>
      <c r="D18" s="2" t="s">
        <v>20</v>
      </c>
      <c r="E18" t="str">
        <f t="shared" si="0"/>
        <v>Ok</v>
      </c>
      <c r="H18" s="16" t="str">
        <f t="shared" si="3"/>
        <v>cd_imv_out_bensckbalbem</v>
      </c>
      <c r="I18" s="44" t="s">
        <v>4</v>
      </c>
      <c r="J18" s="44" t="s">
        <v>50</v>
      </c>
      <c r="K18" t="str">
        <f t="shared" si="1"/>
        <v>Ok</v>
      </c>
    </row>
    <row r="19" spans="1:11" ht="17.399999999999999" x14ac:dyDescent="0.3">
      <c r="A19" s="16" t="str">
        <f t="shared" si="2"/>
        <v>cd_imv_out_trz_cred_prccempresp</v>
      </c>
      <c r="B19" s="42" t="s">
        <v>412</v>
      </c>
      <c r="C19" s="7" t="s">
        <v>5</v>
      </c>
      <c r="D19" s="2" t="s">
        <v>417</v>
      </c>
      <c r="E19" t="str">
        <f t="shared" si="0"/>
        <v>Ok</v>
      </c>
      <c r="H19" s="16" t="str">
        <f t="shared" si="3"/>
        <v>cd_imv_out_bensckctabem</v>
      </c>
      <c r="I19" s="44" t="s">
        <v>4</v>
      </c>
      <c r="J19" s="44" t="s">
        <v>51</v>
      </c>
      <c r="K19" t="str">
        <f t="shared" si="1"/>
        <v>Ok</v>
      </c>
    </row>
    <row r="20" spans="1:11" ht="17.399999999999999" x14ac:dyDescent="0.3">
      <c r="A20" s="16" t="str">
        <f t="shared" si="2"/>
        <v>cd_imv_out_trz_cred_prcckbalres</v>
      </c>
      <c r="B20" s="42" t="s">
        <v>412</v>
      </c>
      <c r="C20" s="7" t="s">
        <v>5</v>
      </c>
      <c r="D20" s="2" t="s">
        <v>418</v>
      </c>
      <c r="E20" t="str">
        <f t="shared" si="0"/>
        <v>Ok</v>
      </c>
      <c r="H20" s="16" t="str">
        <f t="shared" si="3"/>
        <v>cd_imv_out_bensckrefbem</v>
      </c>
      <c r="I20" s="44" t="s">
        <v>4</v>
      </c>
      <c r="J20" s="44" t="s">
        <v>52</v>
      </c>
      <c r="K20" t="str">
        <f t="shared" si="1"/>
        <v>Ok</v>
      </c>
    </row>
    <row r="21" spans="1:11" ht="17.399999999999999" x14ac:dyDescent="0.3">
      <c r="A21" s="16" t="str">
        <f t="shared" si="2"/>
        <v>cd_imv_out_trz_cred_prcckctares</v>
      </c>
      <c r="B21" s="42" t="s">
        <v>412</v>
      </c>
      <c r="C21" s="7" t="s">
        <v>5</v>
      </c>
      <c r="D21" s="2" t="s">
        <v>419</v>
      </c>
      <c r="E21" t="str">
        <f t="shared" si="0"/>
        <v>Ok</v>
      </c>
      <c r="H21" s="16" t="str">
        <f t="shared" si="3"/>
        <v>cd_imv_out_benscod_art_matr</v>
      </c>
      <c r="I21" s="44" t="s">
        <v>4</v>
      </c>
      <c r="J21" s="44" t="s">
        <v>438</v>
      </c>
      <c r="K21" t="str">
        <f t="shared" si="1"/>
        <v>Ok</v>
      </c>
    </row>
    <row r="22" spans="1:11" ht="17.399999999999999" x14ac:dyDescent="0.3">
      <c r="A22" s="16" t="str">
        <f t="shared" si="2"/>
        <v>cd_imv_out_trz_cred_prcckrefresp</v>
      </c>
      <c r="B22" s="42" t="s">
        <v>412</v>
      </c>
      <c r="C22" s="7" t="s">
        <v>5</v>
      </c>
      <c r="D22" s="2" t="s">
        <v>420</v>
      </c>
      <c r="E22" t="str">
        <f t="shared" si="0"/>
        <v>Ok</v>
      </c>
      <c r="H22" s="16" t="str">
        <f t="shared" si="3"/>
        <v>cd_imv_out_benscod_avl</v>
      </c>
      <c r="I22" s="44" t="s">
        <v>4</v>
      </c>
      <c r="J22" s="44" t="s">
        <v>444</v>
      </c>
      <c r="K22" t="str">
        <f t="shared" si="1"/>
        <v>Ok</v>
      </c>
    </row>
    <row r="23" spans="1:11" ht="17.399999999999999" x14ac:dyDescent="0.3">
      <c r="A23" s="16" t="str">
        <f t="shared" si="2"/>
        <v>cd_imv_out_trz_cred_prccempresa</v>
      </c>
      <c r="B23" s="42" t="s">
        <v>412</v>
      </c>
      <c r="C23" s="7" t="s">
        <v>5</v>
      </c>
      <c r="D23" s="2" t="s">
        <v>8</v>
      </c>
      <c r="E23" t="str">
        <f t="shared" si="0"/>
        <v>Ok</v>
      </c>
      <c r="H23" s="16" t="str">
        <f t="shared" si="3"/>
        <v>cd_imv_out_benscod_disconf</v>
      </c>
      <c r="I23" s="44" t="s">
        <v>4</v>
      </c>
      <c r="J23" s="44" t="s">
        <v>428</v>
      </c>
      <c r="K23" t="str">
        <f t="shared" si="1"/>
        <v>Ok</v>
      </c>
    </row>
    <row r="24" spans="1:11" ht="17.399999999999999" x14ac:dyDescent="0.3">
      <c r="A24" s="16" t="str">
        <f t="shared" si="2"/>
        <v>cd_imv_out_trz_cred_prcckbalcao</v>
      </c>
      <c r="B24" s="42" t="s">
        <v>412</v>
      </c>
      <c r="C24" s="7" t="s">
        <v>5</v>
      </c>
      <c r="D24" s="2" t="s">
        <v>9</v>
      </c>
      <c r="E24" t="str">
        <f t="shared" si="0"/>
        <v>Ok</v>
      </c>
      <c r="H24" s="16" t="str">
        <f t="shared" si="3"/>
        <v>cd_imv_out_benscod_fin_bem</v>
      </c>
      <c r="I24" s="44" t="s">
        <v>4</v>
      </c>
      <c r="J24" s="44" t="s">
        <v>439</v>
      </c>
      <c r="K24" t="str">
        <f t="shared" si="1"/>
        <v>Ok</v>
      </c>
    </row>
    <row r="25" spans="1:11" ht="17.399999999999999" x14ac:dyDescent="0.3">
      <c r="A25" s="16" t="str">
        <f t="shared" si="2"/>
        <v>cd_imv_out_trz_cred_prccknumcta</v>
      </c>
      <c r="B25" s="42" t="s">
        <v>412</v>
      </c>
      <c r="C25" s="7" t="s">
        <v>5</v>
      </c>
      <c r="D25" s="2" t="s">
        <v>10</v>
      </c>
      <c r="E25" t="str">
        <f t="shared" si="0"/>
        <v>Ok</v>
      </c>
      <c r="H25" s="16" t="str">
        <f t="shared" si="3"/>
        <v>cd_imv_out_benscod_idd_pred</v>
      </c>
      <c r="I25" s="44" t="s">
        <v>4</v>
      </c>
      <c r="J25" s="44" t="s">
        <v>436</v>
      </c>
      <c r="K25" t="str">
        <f t="shared" si="1"/>
        <v>Ok</v>
      </c>
    </row>
    <row r="26" spans="1:11" ht="17.399999999999999" x14ac:dyDescent="0.3">
      <c r="A26" s="16" t="str">
        <f t="shared" si="2"/>
        <v>cd_imv_out_trz_cred_prccomp_id_gar</v>
      </c>
      <c r="B26" s="42" t="s">
        <v>412</v>
      </c>
      <c r="C26" s="7" t="s">
        <v>5</v>
      </c>
      <c r="D26" s="2" t="s">
        <v>17</v>
      </c>
      <c r="E26" t="str">
        <f t="shared" si="0"/>
        <v>Ok</v>
      </c>
      <c r="H26" s="16" t="str">
        <f t="shared" si="3"/>
        <v>cd_imv_out_benscod_morada</v>
      </c>
      <c r="I26" s="44" t="s">
        <v>4</v>
      </c>
      <c r="J26" s="44" t="s">
        <v>431</v>
      </c>
      <c r="K26" t="str">
        <f t="shared" si="1"/>
        <v>Ok</v>
      </c>
    </row>
    <row r="27" spans="1:11" ht="17.399999999999999" x14ac:dyDescent="0.3">
      <c r="A27" s="16" t="str">
        <f t="shared" si="2"/>
        <v>cd_imv_out_trz_cred_prcdata_inicio</v>
      </c>
      <c r="B27" s="42" t="s">
        <v>412</v>
      </c>
      <c r="C27" s="7" t="s">
        <v>5</v>
      </c>
      <c r="D27" s="2" t="s">
        <v>18</v>
      </c>
      <c r="E27" t="str">
        <f t="shared" si="0"/>
        <v>Ok</v>
      </c>
      <c r="H27" s="16" t="str">
        <f t="shared" si="3"/>
        <v>cd_imv_out_benscod_pais</v>
      </c>
      <c r="I27" s="44" t="s">
        <v>4</v>
      </c>
      <c r="J27" s="44" t="s">
        <v>78</v>
      </c>
      <c r="K27" t="str">
        <f t="shared" ref="K27" si="4">IFERROR(IF(VLOOKUP(H27,$A$3:$A$214,1,0)=H27,"Ok","Nok"),"Nok")</f>
        <v>Ok</v>
      </c>
    </row>
    <row r="28" spans="1:11" ht="17.399999999999999" x14ac:dyDescent="0.3">
      <c r="A28" s="16" t="str">
        <f t="shared" si="2"/>
        <v>cd_imv_out_trz_cred_prcdata_fim</v>
      </c>
      <c r="B28" s="42" t="s">
        <v>412</v>
      </c>
      <c r="C28" s="7" t="s">
        <v>5</v>
      </c>
      <c r="D28" s="2" t="s">
        <v>421</v>
      </c>
      <c r="E28" t="str">
        <f t="shared" si="0"/>
        <v>Ok</v>
      </c>
      <c r="H28" s="16" t="str">
        <f t="shared" si="3"/>
        <v>cd_imv_out_benscod_post</v>
      </c>
      <c r="I28" s="44" t="s">
        <v>4</v>
      </c>
      <c r="J28" s="44" t="s">
        <v>440</v>
      </c>
      <c r="K28" t="str">
        <f t="shared" ref="K28:K59" si="5">IFERROR(IF(VLOOKUP(H28,$A$3:$A$214,1,0)=H28,"Ok","Nok"),"Nok")</f>
        <v>Ok</v>
      </c>
    </row>
    <row r="29" spans="1:11" ht="17.399999999999999" x14ac:dyDescent="0.3">
      <c r="A29" s="16" t="str">
        <f t="shared" si="2"/>
        <v>cd_imv_out_trz_cred_prcdata_vcmt</v>
      </c>
      <c r="B29" s="42" t="s">
        <v>412</v>
      </c>
      <c r="C29" s="7" t="s">
        <v>5</v>
      </c>
      <c r="D29" s="2" t="s">
        <v>19</v>
      </c>
      <c r="E29" t="str">
        <f t="shared" si="0"/>
        <v>Ok</v>
      </c>
      <c r="H29" s="16" t="str">
        <f t="shared" si="3"/>
        <v>cd_imv_out_benscod_tp_bem</v>
      </c>
      <c r="I29" s="44" t="s">
        <v>4</v>
      </c>
      <c r="J29" s="50" t="s">
        <v>427</v>
      </c>
      <c r="K29" t="str">
        <f t="shared" si="5"/>
        <v>Ok</v>
      </c>
    </row>
    <row r="30" spans="1:11" ht="17.399999999999999" x14ac:dyDescent="0.3">
      <c r="A30" s="16" t="str">
        <f t="shared" si="2"/>
        <v>cd_imv_out_trz_cred_prccod_prd_resp</v>
      </c>
      <c r="B30" s="42" t="s">
        <v>412</v>
      </c>
      <c r="C30" s="7" t="s">
        <v>5</v>
      </c>
      <c r="D30" s="2" t="s">
        <v>422</v>
      </c>
      <c r="E30" t="str">
        <f t="shared" si="0"/>
        <v>Ok</v>
      </c>
      <c r="H30" s="16" t="str">
        <f t="shared" si="3"/>
        <v>cd_imv_out_bensdata_avl</v>
      </c>
      <c r="I30" s="44" t="s">
        <v>4</v>
      </c>
      <c r="J30" s="44" t="s">
        <v>442</v>
      </c>
      <c r="K30" t="str">
        <f t="shared" si="5"/>
        <v>Ok</v>
      </c>
    </row>
    <row r="31" spans="1:11" ht="17.399999999999999" x14ac:dyDescent="0.3">
      <c r="A31" s="16" t="str">
        <f t="shared" si="2"/>
        <v>cd_imv_out_trz_cred_prccod_sprd_resp</v>
      </c>
      <c r="B31" s="42" t="s">
        <v>412</v>
      </c>
      <c r="C31" s="7" t="s">
        <v>5</v>
      </c>
      <c r="D31" s="2" t="s">
        <v>423</v>
      </c>
      <c r="E31" t="str">
        <f t="shared" si="0"/>
        <v>Ok</v>
      </c>
      <c r="H31" s="16" t="str">
        <f t="shared" si="3"/>
        <v>cd_imv_out_bensdata_lic_util</v>
      </c>
      <c r="I31" s="44" t="s">
        <v>4</v>
      </c>
      <c r="J31" s="44" t="s">
        <v>448</v>
      </c>
      <c r="K31" t="str">
        <f t="shared" si="5"/>
        <v>Ok</v>
      </c>
    </row>
    <row r="32" spans="1:11" ht="17.399999999999999" x14ac:dyDescent="0.3">
      <c r="A32" s="16" t="str">
        <f t="shared" si="2"/>
        <v>cd_imv_out_trz_cred_prccod_fnld</v>
      </c>
      <c r="B32" s="42" t="s">
        <v>412</v>
      </c>
      <c r="C32" s="7" t="s">
        <v>5</v>
      </c>
      <c r="D32" s="2" t="s">
        <v>424</v>
      </c>
      <c r="E32" t="str">
        <f t="shared" si="0"/>
        <v>Ok</v>
      </c>
      <c r="H32" s="16" t="str">
        <f t="shared" si="3"/>
        <v>cd_imv_out_bensficha</v>
      </c>
      <c r="I32" s="44" t="s">
        <v>4</v>
      </c>
      <c r="J32" s="44" t="s">
        <v>445</v>
      </c>
      <c r="K32" t="str">
        <f t="shared" si="5"/>
        <v>Ok</v>
      </c>
    </row>
    <row r="33" spans="1:11" ht="17.399999999999999" x14ac:dyDescent="0.3">
      <c r="A33" s="16" t="str">
        <f t="shared" si="2"/>
        <v>cd_imv_out_trz_cred_prccod_ocupacao</v>
      </c>
      <c r="B33" s="42" t="s">
        <v>412</v>
      </c>
      <c r="C33" s="7" t="s">
        <v>5</v>
      </c>
      <c r="D33" s="2" t="s">
        <v>425</v>
      </c>
      <c r="E33" t="str">
        <f t="shared" si="0"/>
        <v>Ok</v>
      </c>
      <c r="H33" s="16" t="str">
        <f t="shared" si="3"/>
        <v>cd_imv_out_bensid_frac</v>
      </c>
      <c r="I33" s="44" t="s">
        <v>4</v>
      </c>
      <c r="J33" s="44" t="s">
        <v>435</v>
      </c>
      <c r="K33" t="str">
        <f t="shared" si="5"/>
        <v>Ok</v>
      </c>
    </row>
    <row r="34" spans="1:11" ht="17.399999999999999" x14ac:dyDescent="0.3">
      <c r="A34" s="16" t="str">
        <f t="shared" si="2"/>
        <v>cd_imv_out_trz_cred_prcckutulmo</v>
      </c>
      <c r="B34" s="47" t="s">
        <v>412</v>
      </c>
      <c r="C34" s="17" t="s">
        <v>5</v>
      </c>
      <c r="D34" s="48" t="s">
        <v>144</v>
      </c>
      <c r="E34" s="18" t="str">
        <f t="shared" si="0"/>
        <v>Nok</v>
      </c>
      <c r="F34" t="s">
        <v>512</v>
      </c>
      <c r="H34" s="16" t="str">
        <f t="shared" si="3"/>
        <v>cd_imv_out_benslocalid</v>
      </c>
      <c r="I34" s="44" t="s">
        <v>4</v>
      </c>
      <c r="J34" s="44" t="s">
        <v>429</v>
      </c>
      <c r="K34" t="str">
        <f t="shared" si="5"/>
        <v>Ok</v>
      </c>
    </row>
    <row r="35" spans="1:11" ht="17.399999999999999" x14ac:dyDescent="0.3">
      <c r="A35" s="16" t="str">
        <f t="shared" si="2"/>
        <v>cd_imv_out_trz_cred_prchtimest</v>
      </c>
      <c r="B35" s="47" t="s">
        <v>412</v>
      </c>
      <c r="C35" s="17" t="s">
        <v>5</v>
      </c>
      <c r="D35" s="48" t="s">
        <v>145</v>
      </c>
      <c r="E35" s="18" t="str">
        <f t="shared" ref="E35:E66" si="6">IFERROR(IF(VLOOKUP(A35,$H$3:$H$226,1,0)=A35,"Ok","Nok"),"Nok")</f>
        <v>Nok</v>
      </c>
      <c r="F35" t="s">
        <v>512</v>
      </c>
      <c r="H35" s="16" t="str">
        <f t="shared" si="3"/>
        <v>cd_imv_out_benslote</v>
      </c>
      <c r="I35" s="44" t="s">
        <v>4</v>
      </c>
      <c r="J35" s="44" t="s">
        <v>434</v>
      </c>
      <c r="K35" t="str">
        <f t="shared" si="5"/>
        <v>Ok</v>
      </c>
    </row>
    <row r="36" spans="1:11" ht="17.399999999999999" x14ac:dyDescent="0.3">
      <c r="A36" s="16" t="str">
        <f t="shared" si="2"/>
        <v>cd_imv_out_trz_cred_prcref_date</v>
      </c>
      <c r="B36" s="42" t="s">
        <v>412</v>
      </c>
      <c r="C36" s="7" t="s">
        <v>5</v>
      </c>
      <c r="D36" s="2" t="s">
        <v>21</v>
      </c>
      <c r="E36" t="str">
        <f t="shared" si="6"/>
        <v>Ok</v>
      </c>
      <c r="H36" s="16" t="str">
        <f t="shared" si="3"/>
        <v>cd_imv_out_bensmontante_avl</v>
      </c>
      <c r="I36" s="44" t="s">
        <v>4</v>
      </c>
      <c r="J36" s="44" t="s">
        <v>441</v>
      </c>
      <c r="K36" t="str">
        <f t="shared" si="5"/>
        <v>Ok</v>
      </c>
    </row>
    <row r="37" spans="1:11" ht="17.399999999999999" x14ac:dyDescent="0.3">
      <c r="A37" s="16" t="str">
        <f t="shared" si="2"/>
        <v>cd_imv_out_trz_cred_prcorigem</v>
      </c>
      <c r="B37" s="42" t="s">
        <v>412</v>
      </c>
      <c r="C37" s="7" t="s">
        <v>5</v>
      </c>
      <c r="D37" s="2" t="s">
        <v>20</v>
      </c>
      <c r="E37" t="str">
        <f t="shared" si="6"/>
        <v>Ok</v>
      </c>
      <c r="H37" s="16" t="str">
        <f t="shared" si="3"/>
        <v>cd_imv_out_bensmontante_avl_dist</v>
      </c>
      <c r="I37" s="44" t="s">
        <v>4</v>
      </c>
      <c r="J37" s="44" t="s">
        <v>443</v>
      </c>
      <c r="K37" t="str">
        <f t="shared" si="5"/>
        <v>Ok</v>
      </c>
    </row>
    <row r="38" spans="1:11" ht="17.399999999999999" x14ac:dyDescent="0.3">
      <c r="A38" s="16" t="str">
        <f t="shared" si="2"/>
        <v>cd_imv_out_trz_prc_bens_imvcempresa</v>
      </c>
      <c r="B38" s="42" t="s">
        <v>413</v>
      </c>
      <c r="C38" s="7" t="s">
        <v>3</v>
      </c>
      <c r="D38" s="2" t="s">
        <v>8</v>
      </c>
      <c r="E38" t="str">
        <f t="shared" si="6"/>
        <v>Ok</v>
      </c>
      <c r="H38" s="16" t="str">
        <f t="shared" si="3"/>
        <v>cd_imv_out_bensmontante_vnd_rap</v>
      </c>
      <c r="I38" s="44" t="s">
        <v>4</v>
      </c>
      <c r="J38" s="44" t="s">
        <v>446</v>
      </c>
      <c r="K38" t="str">
        <f t="shared" si="5"/>
        <v>Ok</v>
      </c>
    </row>
    <row r="39" spans="1:11" ht="17.399999999999999" x14ac:dyDescent="0.3">
      <c r="A39" s="16" t="str">
        <f t="shared" si="2"/>
        <v>cd_imv_out_trz_prc_bens_imvckbalcao</v>
      </c>
      <c r="B39" s="42" t="s">
        <v>413</v>
      </c>
      <c r="C39" s="7" t="s">
        <v>3</v>
      </c>
      <c r="D39" s="2" t="s">
        <v>9</v>
      </c>
      <c r="E39" t="str">
        <f t="shared" si="6"/>
        <v>Ok</v>
      </c>
      <c r="H39" s="16" t="str">
        <f t="shared" si="3"/>
        <v>cd_imv_out_bensmorada</v>
      </c>
      <c r="I39" s="44" t="s">
        <v>4</v>
      </c>
      <c r="J39" s="44" t="s">
        <v>432</v>
      </c>
      <c r="K39" t="str">
        <f t="shared" si="5"/>
        <v>Ok</v>
      </c>
    </row>
    <row r="40" spans="1:11" ht="17.399999999999999" x14ac:dyDescent="0.3">
      <c r="A40" s="16" t="str">
        <f t="shared" si="2"/>
        <v>cd_imv_out_trz_prc_bens_imvcknumcta</v>
      </c>
      <c r="B40" s="42" t="s">
        <v>413</v>
      </c>
      <c r="C40" s="7" t="s">
        <v>3</v>
      </c>
      <c r="D40" s="2" t="s">
        <v>10</v>
      </c>
      <c r="E40" t="str">
        <f t="shared" si="6"/>
        <v>Ok</v>
      </c>
      <c r="H40" s="16" t="str">
        <f t="shared" si="3"/>
        <v>cd_imv_out_bensnum</v>
      </c>
      <c r="I40" s="44" t="s">
        <v>4</v>
      </c>
      <c r="J40" s="44" t="s">
        <v>433</v>
      </c>
      <c r="K40" t="str">
        <f t="shared" si="5"/>
        <v>Ok</v>
      </c>
    </row>
    <row r="41" spans="1:11" ht="17.399999999999999" x14ac:dyDescent="0.3">
      <c r="A41" s="16" t="str">
        <f t="shared" si="2"/>
        <v>cd_imv_out_trz_prc_bens_imvcomp_id_gar</v>
      </c>
      <c r="B41" s="42" t="s">
        <v>413</v>
      </c>
      <c r="C41" s="7" t="s">
        <v>3</v>
      </c>
      <c r="D41" s="2" t="s">
        <v>17</v>
      </c>
      <c r="E41" t="str">
        <f t="shared" si="6"/>
        <v>Ok</v>
      </c>
      <c r="H41" s="16" t="str">
        <f t="shared" si="3"/>
        <v>cd_imv_out_bensorigem</v>
      </c>
      <c r="I41" s="44" t="s">
        <v>4</v>
      </c>
      <c r="J41" s="44" t="s">
        <v>20</v>
      </c>
      <c r="K41" t="str">
        <f t="shared" si="5"/>
        <v>Ok</v>
      </c>
    </row>
    <row r="42" spans="1:11" ht="17.399999999999999" x14ac:dyDescent="0.3">
      <c r="A42" s="16" t="str">
        <f t="shared" si="2"/>
        <v>cd_imv_out_trz_prc_bens_imvcempbem</v>
      </c>
      <c r="B42" s="42" t="s">
        <v>413</v>
      </c>
      <c r="C42" s="7" t="s">
        <v>3</v>
      </c>
      <c r="D42" s="2" t="s">
        <v>49</v>
      </c>
      <c r="E42" t="str">
        <f t="shared" si="6"/>
        <v>Ok</v>
      </c>
      <c r="H42" s="16" t="str">
        <f t="shared" si="3"/>
        <v>cd_imv_out_bensperc_obra</v>
      </c>
      <c r="I42" s="44" t="s">
        <v>4</v>
      </c>
      <c r="J42" s="44" t="s">
        <v>437</v>
      </c>
      <c r="K42" t="str">
        <f t="shared" si="5"/>
        <v>Ok</v>
      </c>
    </row>
    <row r="43" spans="1:11" ht="17.399999999999999" x14ac:dyDescent="0.3">
      <c r="A43" s="16" t="str">
        <f t="shared" si="2"/>
        <v>cd_imv_out_trz_prc_bens_imvckbalbem</v>
      </c>
      <c r="B43" s="42" t="s">
        <v>413</v>
      </c>
      <c r="C43" s="7" t="s">
        <v>3</v>
      </c>
      <c r="D43" s="2" t="s">
        <v>50</v>
      </c>
      <c r="E43" t="str">
        <f t="shared" si="6"/>
        <v>Ok</v>
      </c>
      <c r="H43" s="16" t="str">
        <f t="shared" si="3"/>
        <v>cd_imv_out_bensprealcons</v>
      </c>
      <c r="I43" s="44" t="s">
        <v>4</v>
      </c>
      <c r="J43" s="44" t="s">
        <v>447</v>
      </c>
      <c r="K43" t="str">
        <f t="shared" si="5"/>
        <v>Ok</v>
      </c>
    </row>
    <row r="44" spans="1:11" ht="17.399999999999999" x14ac:dyDescent="0.3">
      <c r="A44" s="16" t="str">
        <f t="shared" si="2"/>
        <v>cd_imv_out_trz_prc_bens_imvckctabem</v>
      </c>
      <c r="B44" s="42" t="s">
        <v>413</v>
      </c>
      <c r="C44" s="7" t="s">
        <v>3</v>
      </c>
      <c r="D44" s="2" t="s">
        <v>51</v>
      </c>
      <c r="E44" t="str">
        <f t="shared" si="6"/>
        <v>Ok</v>
      </c>
      <c r="H44" s="16" t="str">
        <f t="shared" si="3"/>
        <v>cd_imv_out_bensref_date</v>
      </c>
      <c r="I44" s="44" t="s">
        <v>4</v>
      </c>
      <c r="J44" s="44" t="s">
        <v>21</v>
      </c>
      <c r="K44" t="str">
        <f t="shared" si="5"/>
        <v>Ok</v>
      </c>
    </row>
    <row r="45" spans="1:11" ht="17.399999999999999" x14ac:dyDescent="0.3">
      <c r="A45" s="16" t="str">
        <f t="shared" si="2"/>
        <v>cd_imv_out_trz_prc_bens_imvckrefbem</v>
      </c>
      <c r="B45" s="42" t="s">
        <v>413</v>
      </c>
      <c r="C45" s="7" t="s">
        <v>3</v>
      </c>
      <c r="D45" s="2" t="s">
        <v>52</v>
      </c>
      <c r="E45" t="str">
        <f t="shared" si="6"/>
        <v>Ok</v>
      </c>
      <c r="H45" s="16" t="str">
        <f t="shared" si="3"/>
        <v>cd_imv_out_bensurbaniz</v>
      </c>
      <c r="I45" s="44" t="s">
        <v>4</v>
      </c>
      <c r="J45" s="44" t="s">
        <v>430</v>
      </c>
      <c r="K45" t="str">
        <f t="shared" si="5"/>
        <v>Ok</v>
      </c>
    </row>
    <row r="46" spans="1:11" ht="17.399999999999999" x14ac:dyDescent="0.3">
      <c r="A46" s="16" t="str">
        <f t="shared" si="2"/>
        <v>cd_imv_out_trz_prc_bens_imvflg_fin</v>
      </c>
      <c r="B46" s="42" t="s">
        <v>413</v>
      </c>
      <c r="C46" s="7" t="s">
        <v>3</v>
      </c>
      <c r="D46" s="2" t="s">
        <v>337</v>
      </c>
      <c r="E46" t="str">
        <f t="shared" si="6"/>
        <v>Ok</v>
      </c>
      <c r="H46" s="16" t="str">
        <f t="shared" si="3"/>
        <v>cd_imv_out_certifcempbem</v>
      </c>
      <c r="I46" s="44" t="s">
        <v>7</v>
      </c>
      <c r="J46" s="44" t="s">
        <v>49</v>
      </c>
      <c r="K46" t="str">
        <f t="shared" si="5"/>
        <v>Ok</v>
      </c>
    </row>
    <row r="47" spans="1:11" ht="17.399999999999999" x14ac:dyDescent="0.3">
      <c r="A47" s="16" t="str">
        <f t="shared" si="2"/>
        <v>cd_imv_out_trz_prc_bens_imvflg_adj</v>
      </c>
      <c r="B47" s="42" t="s">
        <v>413</v>
      </c>
      <c r="C47" s="7" t="s">
        <v>3</v>
      </c>
      <c r="D47" s="2" t="s">
        <v>426</v>
      </c>
      <c r="E47" t="str">
        <f t="shared" si="6"/>
        <v>Ok</v>
      </c>
      <c r="H47" s="16" t="str">
        <f t="shared" si="3"/>
        <v>cd_imv_out_certifckbalbem</v>
      </c>
      <c r="I47" s="44" t="s">
        <v>7</v>
      </c>
      <c r="J47" s="44" t="s">
        <v>50</v>
      </c>
      <c r="K47" t="str">
        <f t="shared" si="5"/>
        <v>Ok</v>
      </c>
    </row>
    <row r="48" spans="1:11" ht="17.399999999999999" x14ac:dyDescent="0.3">
      <c r="A48" s="16" t="str">
        <f t="shared" si="2"/>
        <v>cd_imv_out_trz_prc_bens_imvflg_col</v>
      </c>
      <c r="B48" s="42" t="s">
        <v>413</v>
      </c>
      <c r="C48" s="7" t="s">
        <v>3</v>
      </c>
      <c r="D48" s="2" t="s">
        <v>339</v>
      </c>
      <c r="E48" t="str">
        <f t="shared" si="6"/>
        <v>Ok</v>
      </c>
      <c r="H48" s="16" t="str">
        <f t="shared" si="3"/>
        <v>cd_imv_out_certifckctabem</v>
      </c>
      <c r="I48" s="44" t="s">
        <v>7</v>
      </c>
      <c r="J48" s="44" t="s">
        <v>51</v>
      </c>
      <c r="K48" t="str">
        <f t="shared" si="5"/>
        <v>Ok</v>
      </c>
    </row>
    <row r="49" spans="1:11" ht="17.399999999999999" x14ac:dyDescent="0.3">
      <c r="A49" s="16" t="str">
        <f t="shared" si="2"/>
        <v>cd_imv_out_trz_prc_bens_imvflg_pro</v>
      </c>
      <c r="B49" s="42" t="s">
        <v>413</v>
      </c>
      <c r="C49" s="7" t="s">
        <v>3</v>
      </c>
      <c r="D49" s="2" t="s">
        <v>340</v>
      </c>
      <c r="E49" t="str">
        <f t="shared" si="6"/>
        <v>Ok</v>
      </c>
      <c r="H49" s="16" t="str">
        <f t="shared" si="3"/>
        <v>cd_imv_out_certifckrefbem</v>
      </c>
      <c r="I49" s="44" t="s">
        <v>7</v>
      </c>
      <c r="J49" s="44" t="s">
        <v>52</v>
      </c>
      <c r="K49" t="str">
        <f t="shared" si="5"/>
        <v>Ok</v>
      </c>
    </row>
    <row r="50" spans="1:11" ht="17.399999999999999" x14ac:dyDescent="0.3">
      <c r="A50" s="16" t="str">
        <f t="shared" si="2"/>
        <v>cd_imv_out_trz_prc_bens_imvckutulmo</v>
      </c>
      <c r="B50" s="47" t="s">
        <v>413</v>
      </c>
      <c r="C50" s="17" t="s">
        <v>3</v>
      </c>
      <c r="D50" s="48" t="s">
        <v>144</v>
      </c>
      <c r="E50" s="18" t="str">
        <f t="shared" si="6"/>
        <v>Nok</v>
      </c>
      <c r="F50" t="s">
        <v>512</v>
      </c>
      <c r="H50" s="16" t="str">
        <f t="shared" si="3"/>
        <v>cd_imv_out_certifcod_cnsrvtr_rgst_prdl</v>
      </c>
      <c r="I50" s="44" t="s">
        <v>7</v>
      </c>
      <c r="J50" s="44" t="s">
        <v>460</v>
      </c>
      <c r="K50" t="str">
        <f t="shared" si="5"/>
        <v>Ok</v>
      </c>
    </row>
    <row r="51" spans="1:11" ht="17.399999999999999" x14ac:dyDescent="0.3">
      <c r="A51" s="16" t="str">
        <f t="shared" si="2"/>
        <v>cd_imv_out_trz_prc_bens_imvhtimest</v>
      </c>
      <c r="B51" s="47" t="s">
        <v>413</v>
      </c>
      <c r="C51" s="17" t="s">
        <v>3</v>
      </c>
      <c r="D51" s="48" t="s">
        <v>145</v>
      </c>
      <c r="E51" s="18" t="str">
        <f t="shared" si="6"/>
        <v>Nok</v>
      </c>
      <c r="F51" t="s">
        <v>512</v>
      </c>
      <c r="H51" s="16" t="str">
        <f t="shared" si="3"/>
        <v>cd_imv_out_certifcod_inscrc</v>
      </c>
      <c r="I51" s="44" t="s">
        <v>7</v>
      </c>
      <c r="J51" s="44" t="s">
        <v>461</v>
      </c>
      <c r="K51" t="str">
        <f t="shared" si="5"/>
        <v>Ok</v>
      </c>
    </row>
    <row r="52" spans="1:11" ht="17.399999999999999" x14ac:dyDescent="0.3">
      <c r="A52" s="16" t="str">
        <f t="shared" si="2"/>
        <v>cd_imv_out_trz_prc_bens_imvref_date</v>
      </c>
      <c r="B52" s="42" t="s">
        <v>413</v>
      </c>
      <c r="C52" s="7" t="s">
        <v>3</v>
      </c>
      <c r="D52" s="2" t="s">
        <v>21</v>
      </c>
      <c r="E52" t="str">
        <f t="shared" si="6"/>
        <v>Ok</v>
      </c>
      <c r="H52" s="16" t="str">
        <f t="shared" si="3"/>
        <v>cd_imv_out_certifcod_sce</v>
      </c>
      <c r="I52" s="44" t="s">
        <v>7</v>
      </c>
      <c r="J52" s="44" t="s">
        <v>459</v>
      </c>
      <c r="K52" t="str">
        <f t="shared" si="5"/>
        <v>Ok</v>
      </c>
    </row>
    <row r="53" spans="1:11" ht="17.399999999999999" x14ac:dyDescent="0.3">
      <c r="A53" s="16" t="str">
        <f t="shared" si="2"/>
        <v>cd_imv_out_trz_prc_bens_imvorigem</v>
      </c>
      <c r="B53" s="42" t="s">
        <v>413</v>
      </c>
      <c r="C53" s="7" t="s">
        <v>3</v>
      </c>
      <c r="D53" s="2" t="s">
        <v>20</v>
      </c>
      <c r="E53" t="str">
        <f t="shared" si="6"/>
        <v>Ok</v>
      </c>
      <c r="H53" s="16" t="str">
        <f t="shared" si="3"/>
        <v>cd_imv_out_certifdata_epc</v>
      </c>
      <c r="I53" s="44" t="s">
        <v>7</v>
      </c>
      <c r="J53" s="44" t="s">
        <v>451</v>
      </c>
      <c r="K53" t="str">
        <f t="shared" si="5"/>
        <v>Ok</v>
      </c>
    </row>
    <row r="54" spans="1:11" ht="17.399999999999999" x14ac:dyDescent="0.3">
      <c r="A54" s="16" t="str">
        <f t="shared" si="2"/>
        <v>cd_imv_out_benscempbem</v>
      </c>
      <c r="B54" s="43" t="s">
        <v>414</v>
      </c>
      <c r="C54" s="7" t="s">
        <v>4</v>
      </c>
      <c r="D54" s="2" t="s">
        <v>49</v>
      </c>
      <c r="E54" t="str">
        <f t="shared" si="6"/>
        <v>Ok</v>
      </c>
      <c r="H54" s="16" t="str">
        <f t="shared" si="3"/>
        <v>cd_imv_out_certifdata_exprc_epc</v>
      </c>
      <c r="I54" s="44" t="s">
        <v>7</v>
      </c>
      <c r="J54" s="44" t="s">
        <v>452</v>
      </c>
      <c r="K54" t="str">
        <f t="shared" si="5"/>
        <v>Ok</v>
      </c>
    </row>
    <row r="55" spans="1:11" ht="17.399999999999999" x14ac:dyDescent="0.3">
      <c r="A55" s="16" t="str">
        <f t="shared" si="2"/>
        <v>cd_imv_out_bensckbalbem</v>
      </c>
      <c r="B55" s="43" t="s">
        <v>414</v>
      </c>
      <c r="C55" s="7" t="s">
        <v>4</v>
      </c>
      <c r="D55" s="2" t="s">
        <v>50</v>
      </c>
      <c r="E55" t="str">
        <f t="shared" si="6"/>
        <v>Ok</v>
      </c>
      <c r="H55" s="16" t="str">
        <f t="shared" si="3"/>
        <v>cd_imv_out_certifepc</v>
      </c>
      <c r="I55" s="44" t="s">
        <v>7</v>
      </c>
      <c r="J55" s="44" t="s">
        <v>45</v>
      </c>
      <c r="K55" t="str">
        <f t="shared" si="5"/>
        <v>Ok</v>
      </c>
    </row>
    <row r="56" spans="1:11" ht="17.399999999999999" x14ac:dyDescent="0.3">
      <c r="A56" s="16" t="str">
        <f t="shared" si="2"/>
        <v>cd_imv_out_bensckctabem</v>
      </c>
      <c r="B56" s="43" t="s">
        <v>414</v>
      </c>
      <c r="C56" s="7" t="s">
        <v>4</v>
      </c>
      <c r="D56" s="2" t="s">
        <v>51</v>
      </c>
      <c r="E56" t="str">
        <f t="shared" si="6"/>
        <v>Ok</v>
      </c>
      <c r="H56" s="16" t="str">
        <f t="shared" si="3"/>
        <v>cd_imv_out_certifflg_efcc_enrg_cnsm_tp_s</v>
      </c>
      <c r="I56" s="44" t="s">
        <v>7</v>
      </c>
      <c r="J56" s="44" t="s">
        <v>480</v>
      </c>
      <c r="K56" t="str">
        <f t="shared" si="5"/>
        <v>Ok</v>
      </c>
    </row>
    <row r="57" spans="1:11" ht="17.399999999999999" x14ac:dyDescent="0.3">
      <c r="A57" s="16" t="str">
        <f t="shared" si="2"/>
        <v>cd_imv_out_bensckrefbem</v>
      </c>
      <c r="B57" s="43" t="s">
        <v>414</v>
      </c>
      <c r="C57" s="7" t="s">
        <v>4</v>
      </c>
      <c r="D57" s="2" t="s">
        <v>52</v>
      </c>
      <c r="E57" t="str">
        <f t="shared" si="6"/>
        <v>Ok</v>
      </c>
      <c r="H57" s="16" t="str">
        <f t="shared" si="3"/>
        <v>cd_imv_out_certifflg_efcnc_enrg_cnsm_tp_t</v>
      </c>
      <c r="I57" s="44" t="s">
        <v>7</v>
      </c>
      <c r="J57" s="44" t="s">
        <v>481</v>
      </c>
      <c r="K57" t="str">
        <f t="shared" si="5"/>
        <v>Ok</v>
      </c>
    </row>
    <row r="58" spans="1:11" ht="17.399999999999999" x14ac:dyDescent="0.3">
      <c r="A58" s="16" t="str">
        <f t="shared" si="2"/>
        <v>cd_imv_out_benscod_tp_bem</v>
      </c>
      <c r="B58" s="43" t="s">
        <v>414</v>
      </c>
      <c r="C58" s="7" t="s">
        <v>4</v>
      </c>
      <c r="D58" s="3" t="s">
        <v>427</v>
      </c>
      <c r="E58" t="str">
        <f t="shared" si="6"/>
        <v>Ok</v>
      </c>
      <c r="H58" s="16" t="str">
        <f t="shared" si="3"/>
        <v>cd_imv_out_certifflg_efcnc_enrgtc</v>
      </c>
      <c r="I58" s="44" t="s">
        <v>7</v>
      </c>
      <c r="J58" s="44" t="s">
        <v>479</v>
      </c>
      <c r="K58" t="str">
        <f t="shared" si="5"/>
        <v>Ok</v>
      </c>
    </row>
    <row r="59" spans="1:11" ht="17.399999999999999" x14ac:dyDescent="0.3">
      <c r="A59" s="16" t="str">
        <f t="shared" si="2"/>
        <v>cd_imv_out_benscod_disconf</v>
      </c>
      <c r="B59" s="43" t="s">
        <v>414</v>
      </c>
      <c r="C59" s="7" t="s">
        <v>4</v>
      </c>
      <c r="D59" s="3" t="s">
        <v>428</v>
      </c>
      <c r="E59" t="str">
        <f t="shared" si="6"/>
        <v>Ok</v>
      </c>
      <c r="H59" s="16" t="str">
        <f t="shared" si="3"/>
        <v>cd_imv_out_certifflg_efcnc_enrgtc_rnvv</v>
      </c>
      <c r="I59" s="44" t="s">
        <v>7</v>
      </c>
      <c r="J59" s="44" t="s">
        <v>482</v>
      </c>
      <c r="K59" t="str">
        <f t="shared" si="5"/>
        <v>Ok</v>
      </c>
    </row>
    <row r="60" spans="1:11" ht="17.399999999999999" x14ac:dyDescent="0.3">
      <c r="A60" s="16" t="str">
        <f t="shared" si="2"/>
        <v>cd_imv_out_benslocalid</v>
      </c>
      <c r="B60" s="43" t="s">
        <v>414</v>
      </c>
      <c r="C60" s="7" t="s">
        <v>4</v>
      </c>
      <c r="D60" s="3" t="s">
        <v>429</v>
      </c>
      <c r="E60" t="str">
        <f t="shared" si="6"/>
        <v>Ok</v>
      </c>
      <c r="H60" s="16" t="str">
        <f t="shared" si="3"/>
        <v>cd_imv_out_certifflg_nzeb</v>
      </c>
      <c r="I60" s="44" t="s">
        <v>7</v>
      </c>
      <c r="J60" s="44" t="s">
        <v>455</v>
      </c>
      <c r="K60" t="str">
        <f t="shared" ref="K60:K91" si="7">IFERROR(IF(VLOOKUP(H60,$A$3:$A$214,1,0)=H60,"Ok","Nok"),"Nok")</f>
        <v>Ok</v>
      </c>
    </row>
    <row r="61" spans="1:11" ht="17.399999999999999" x14ac:dyDescent="0.3">
      <c r="A61" s="16" t="str">
        <f t="shared" si="2"/>
        <v>cd_imv_out_bensurbaniz</v>
      </c>
      <c r="B61" s="43" t="s">
        <v>414</v>
      </c>
      <c r="C61" s="7" t="s">
        <v>4</v>
      </c>
      <c r="D61" s="3" t="s">
        <v>430</v>
      </c>
      <c r="E61" t="str">
        <f t="shared" si="6"/>
        <v>Ok</v>
      </c>
      <c r="H61" s="16" t="str">
        <f t="shared" si="3"/>
        <v>cd_imv_out_certifmetodo_info</v>
      </c>
      <c r="I61" s="44" t="s">
        <v>7</v>
      </c>
      <c r="J61" s="44" t="s">
        <v>508</v>
      </c>
      <c r="K61" t="str">
        <f t="shared" si="7"/>
        <v>Ok</v>
      </c>
    </row>
    <row r="62" spans="1:11" ht="17.399999999999999" x14ac:dyDescent="0.3">
      <c r="A62" s="16" t="str">
        <f t="shared" si="2"/>
        <v>cd_imv_out_benscod_morada</v>
      </c>
      <c r="B62" s="43" t="s">
        <v>414</v>
      </c>
      <c r="C62" s="7" t="s">
        <v>4</v>
      </c>
      <c r="D62" s="3" t="s">
        <v>431</v>
      </c>
      <c r="E62" t="str">
        <f t="shared" si="6"/>
        <v>Ok</v>
      </c>
      <c r="H62" s="16" t="str">
        <f t="shared" si="3"/>
        <v>cd_imv_out_certifnvl_efcc_enrg</v>
      </c>
      <c r="I62" s="44" t="s">
        <v>7</v>
      </c>
      <c r="J62" s="44" t="s">
        <v>456</v>
      </c>
      <c r="K62" t="str">
        <f t="shared" si="7"/>
        <v>Ok</v>
      </c>
    </row>
    <row r="63" spans="1:11" ht="17.399999999999999" x14ac:dyDescent="0.3">
      <c r="A63" s="16" t="str">
        <f t="shared" si="2"/>
        <v>cd_imv_out_bensmorada</v>
      </c>
      <c r="B63" s="43" t="s">
        <v>414</v>
      </c>
      <c r="C63" s="7" t="s">
        <v>4</v>
      </c>
      <c r="D63" s="3" t="s">
        <v>432</v>
      </c>
      <c r="E63" t="str">
        <f t="shared" si="6"/>
        <v>Ok</v>
      </c>
      <c r="H63" s="16" t="str">
        <f t="shared" si="3"/>
        <v>cd_imv_out_certiforigem</v>
      </c>
      <c r="I63" s="44" t="s">
        <v>7</v>
      </c>
      <c r="J63" s="44" t="s">
        <v>20</v>
      </c>
      <c r="K63" t="str">
        <f t="shared" si="7"/>
        <v>Ok</v>
      </c>
    </row>
    <row r="64" spans="1:11" ht="17.399999999999999" x14ac:dyDescent="0.3">
      <c r="A64" s="16" t="str">
        <f t="shared" si="2"/>
        <v>cd_imv_out_bensnum</v>
      </c>
      <c r="B64" s="43" t="s">
        <v>414</v>
      </c>
      <c r="C64" s="7" t="s">
        <v>4</v>
      </c>
      <c r="D64" s="3" t="s">
        <v>433</v>
      </c>
      <c r="E64" t="str">
        <f t="shared" si="6"/>
        <v>Ok</v>
      </c>
      <c r="H64" s="16" t="str">
        <f t="shared" si="3"/>
        <v>cd_imv_out_certifref_date</v>
      </c>
      <c r="I64" s="44" t="s">
        <v>7</v>
      </c>
      <c r="J64" s="44" t="s">
        <v>21</v>
      </c>
      <c r="K64" t="str">
        <f t="shared" si="7"/>
        <v>Ok</v>
      </c>
    </row>
    <row r="65" spans="1:11" ht="17.399999999999999" x14ac:dyDescent="0.3">
      <c r="A65" s="16" t="str">
        <f t="shared" si="2"/>
        <v>cd_imv_out_benslote</v>
      </c>
      <c r="B65" s="43" t="s">
        <v>414</v>
      </c>
      <c r="C65" s="7" t="s">
        <v>4</v>
      </c>
      <c r="D65" s="3" t="s">
        <v>434</v>
      </c>
      <c r="E65" t="str">
        <f t="shared" si="6"/>
        <v>Ok</v>
      </c>
      <c r="H65" s="16" t="str">
        <f t="shared" si="3"/>
        <v>cd_imv_out_certiftp_crtfcd</v>
      </c>
      <c r="I65" s="44" t="s">
        <v>7</v>
      </c>
      <c r="J65" s="44" t="s">
        <v>458</v>
      </c>
      <c r="K65" t="str">
        <f t="shared" si="7"/>
        <v>Ok</v>
      </c>
    </row>
    <row r="66" spans="1:11" ht="17.399999999999999" x14ac:dyDescent="0.3">
      <c r="A66" s="16" t="str">
        <f t="shared" si="2"/>
        <v>cd_imv_out_bensid_frac</v>
      </c>
      <c r="B66" s="43" t="s">
        <v>414</v>
      </c>
      <c r="C66" s="7" t="s">
        <v>4</v>
      </c>
      <c r="D66" s="3" t="s">
        <v>435</v>
      </c>
      <c r="E66" t="str">
        <f t="shared" si="6"/>
        <v>Ok</v>
      </c>
      <c r="H66" s="16" t="str">
        <f t="shared" si="3"/>
        <v>cd_imv_out_certifvlr_agua_qnt_sant_edfc</v>
      </c>
      <c r="I66" s="44" t="s">
        <v>7</v>
      </c>
      <c r="J66" s="44" t="s">
        <v>470</v>
      </c>
      <c r="K66" t="str">
        <f t="shared" si="7"/>
        <v>Ok</v>
      </c>
    </row>
    <row r="67" spans="1:11" ht="17.399999999999999" x14ac:dyDescent="0.3">
      <c r="A67" s="16" t="str">
        <f t="shared" si="2"/>
        <v>cd_imv_out_benscod_pais</v>
      </c>
      <c r="B67" s="43" t="s">
        <v>414</v>
      </c>
      <c r="C67" s="7" t="s">
        <v>4</v>
      </c>
      <c r="D67" s="3" t="s">
        <v>78</v>
      </c>
      <c r="E67" t="str">
        <f t="shared" ref="E67:E98" si="8">IFERROR(IF(VLOOKUP(A67,$H$3:$H$226,1,0)=A67,"Ok","Nok"),"Nok")</f>
        <v>Ok</v>
      </c>
      <c r="H67" s="16" t="str">
        <f t="shared" ref="H67:H127" si="9">I67&amp;J67</f>
        <v>cd_imv_out_certifvlr_agua_qnt_snt_rnvv</v>
      </c>
      <c r="I67" s="44" t="s">
        <v>7</v>
      </c>
      <c r="J67" s="44" t="s">
        <v>471</v>
      </c>
      <c r="K67" t="str">
        <f t="shared" si="7"/>
        <v>Ok</v>
      </c>
    </row>
    <row r="68" spans="1:11" ht="17.399999999999999" x14ac:dyDescent="0.3">
      <c r="A68" s="16" t="str">
        <f t="shared" ref="A68:A131" si="10">C68&amp;D68</f>
        <v>cd_imv_out_benscod_idd_pred</v>
      </c>
      <c r="B68" s="43" t="s">
        <v>414</v>
      </c>
      <c r="C68" s="7" t="s">
        <v>4</v>
      </c>
      <c r="D68" s="3" t="s">
        <v>436</v>
      </c>
      <c r="E68" t="str">
        <f t="shared" si="8"/>
        <v>Ok</v>
      </c>
      <c r="H68" s="16" t="str">
        <f t="shared" si="9"/>
        <v>cd_imv_out_certifvlr_agua_qnt_sntr_rfrc</v>
      </c>
      <c r="I68" s="44" t="s">
        <v>7</v>
      </c>
      <c r="J68" s="44" t="s">
        <v>469</v>
      </c>
      <c r="K68" t="str">
        <f t="shared" si="7"/>
        <v>Ok</v>
      </c>
    </row>
    <row r="69" spans="1:11" ht="17.399999999999999" x14ac:dyDescent="0.3">
      <c r="A69" s="16" t="str">
        <f t="shared" si="10"/>
        <v>cd_imv_out_bensperc_obra</v>
      </c>
      <c r="B69" s="43" t="s">
        <v>414</v>
      </c>
      <c r="C69" s="7" t="s">
        <v>4</v>
      </c>
      <c r="D69" s="3" t="s">
        <v>437</v>
      </c>
      <c r="E69" t="str">
        <f t="shared" si="8"/>
        <v>Ok</v>
      </c>
      <c r="H69" s="16" t="str">
        <f t="shared" si="9"/>
        <v>cd_imv_out_certifvlr_alttt</v>
      </c>
      <c r="I69" s="44" t="s">
        <v>7</v>
      </c>
      <c r="J69" s="44" t="s">
        <v>486</v>
      </c>
      <c r="K69" t="str">
        <f t="shared" si="7"/>
        <v>Ok</v>
      </c>
    </row>
    <row r="70" spans="1:11" ht="17.399999999999999" x14ac:dyDescent="0.3">
      <c r="A70" s="16" t="str">
        <f t="shared" si="10"/>
        <v>cd_imv_out_benscod_art_matr</v>
      </c>
      <c r="B70" s="43" t="s">
        <v>414</v>
      </c>
      <c r="C70" s="7" t="s">
        <v>4</v>
      </c>
      <c r="D70" s="3" t="s">
        <v>438</v>
      </c>
      <c r="E70" t="str">
        <f t="shared" si="8"/>
        <v>Ok</v>
      </c>
      <c r="H70" s="16" t="str">
        <f t="shared" si="9"/>
        <v>cd_imv_out_certifvlr_aqcmnt_ambnt_edfc</v>
      </c>
      <c r="I70" s="44" t="s">
        <v>7</v>
      </c>
      <c r="J70" s="44" t="s">
        <v>464</v>
      </c>
      <c r="K70" t="str">
        <f t="shared" si="7"/>
        <v>Ok</v>
      </c>
    </row>
    <row r="71" spans="1:11" ht="17.399999999999999" x14ac:dyDescent="0.3">
      <c r="A71" s="16" t="str">
        <f t="shared" si="10"/>
        <v>cd_imv_out_benscod_fin_bem</v>
      </c>
      <c r="B71" s="43" t="s">
        <v>414</v>
      </c>
      <c r="C71" s="7" t="s">
        <v>4</v>
      </c>
      <c r="D71" s="3" t="s">
        <v>439</v>
      </c>
      <c r="E71" t="str">
        <f t="shared" si="8"/>
        <v>Ok</v>
      </c>
      <c r="H71" s="16" t="str">
        <f t="shared" si="9"/>
        <v>cd_imv_out_certifvlr_aqcmnt_ambnt_rfrc</v>
      </c>
      <c r="I71" s="44" t="s">
        <v>7</v>
      </c>
      <c r="J71" s="44" t="s">
        <v>463</v>
      </c>
      <c r="K71" t="str">
        <f t="shared" si="7"/>
        <v>Ok</v>
      </c>
    </row>
    <row r="72" spans="1:11" ht="17.399999999999999" x14ac:dyDescent="0.3">
      <c r="A72" s="16" t="str">
        <f t="shared" si="10"/>
        <v>cd_imv_out_benscod_post</v>
      </c>
      <c r="B72" s="43" t="s">
        <v>414</v>
      </c>
      <c r="C72" s="7" t="s">
        <v>4</v>
      </c>
      <c r="D72" s="3" t="s">
        <v>440</v>
      </c>
      <c r="E72" t="str">
        <f t="shared" si="8"/>
        <v>Ok</v>
      </c>
      <c r="H72" s="16" t="str">
        <f t="shared" si="9"/>
        <v>cd_imv_out_certifvlr_aqcmnt_ambnt_rnvv</v>
      </c>
      <c r="I72" s="44" t="s">
        <v>7</v>
      </c>
      <c r="J72" s="44" t="s">
        <v>465</v>
      </c>
      <c r="K72" t="str">
        <f t="shared" si="7"/>
        <v>Ok</v>
      </c>
    </row>
    <row r="73" spans="1:11" ht="17.399999999999999" x14ac:dyDescent="0.3">
      <c r="A73" s="16" t="str">
        <f t="shared" si="10"/>
        <v>cd_imv_out_bensmontante_avl</v>
      </c>
      <c r="B73" s="43" t="s">
        <v>414</v>
      </c>
      <c r="C73" s="7" t="s">
        <v>4</v>
      </c>
      <c r="D73" s="3" t="s">
        <v>441</v>
      </c>
      <c r="E73" t="str">
        <f t="shared" si="8"/>
        <v>Ok</v>
      </c>
      <c r="H73" s="16" t="str">
        <f t="shared" si="9"/>
        <v>cd_imv_out_certifvlr_arrfcmnt_ambnt_edfc</v>
      </c>
      <c r="I73" s="44" t="s">
        <v>7</v>
      </c>
      <c r="J73" s="44" t="s">
        <v>467</v>
      </c>
      <c r="K73" t="str">
        <f t="shared" si="7"/>
        <v>Ok</v>
      </c>
    </row>
    <row r="74" spans="1:11" ht="17.399999999999999" x14ac:dyDescent="0.3">
      <c r="A74" s="16" t="str">
        <f t="shared" si="10"/>
        <v>cd_imv_out_bensdata_avl</v>
      </c>
      <c r="B74" s="43" t="s">
        <v>414</v>
      </c>
      <c r="C74" s="7" t="s">
        <v>4</v>
      </c>
      <c r="D74" s="3" t="s">
        <v>442</v>
      </c>
      <c r="E74" t="str">
        <f t="shared" si="8"/>
        <v>Ok</v>
      </c>
      <c r="H74" s="16" t="str">
        <f t="shared" si="9"/>
        <v>cd_imv_out_certifvlr_arrfcmnt_ambnt_renvv</v>
      </c>
      <c r="I74" s="44" t="s">
        <v>7</v>
      </c>
      <c r="J74" s="44" t="s">
        <v>468</v>
      </c>
      <c r="K74" t="str">
        <f t="shared" si="7"/>
        <v>Ok</v>
      </c>
    </row>
    <row r="75" spans="1:11" ht="17.399999999999999" x14ac:dyDescent="0.3">
      <c r="A75" s="16" t="str">
        <f t="shared" si="10"/>
        <v>cd_imv_out_bensmontante_avl_dist</v>
      </c>
      <c r="B75" s="43" t="s">
        <v>414</v>
      </c>
      <c r="C75" s="7" t="s">
        <v>4</v>
      </c>
      <c r="D75" s="3" t="s">
        <v>443</v>
      </c>
      <c r="E75" t="str">
        <f t="shared" si="8"/>
        <v>Ok</v>
      </c>
      <c r="H75" s="16" t="str">
        <f t="shared" si="9"/>
        <v>cd_imv_out_certifvlr_arrfcmnt_ambnt_rfrc</v>
      </c>
      <c r="I75" s="44" t="s">
        <v>7</v>
      </c>
      <c r="J75" s="44" t="s">
        <v>466</v>
      </c>
      <c r="K75" t="str">
        <f t="shared" si="7"/>
        <v>Ok</v>
      </c>
    </row>
    <row r="76" spans="1:11" ht="17.399999999999999" x14ac:dyDescent="0.3">
      <c r="A76" s="16" t="str">
        <f t="shared" si="10"/>
        <v>cd_imv_out_benscod_avl</v>
      </c>
      <c r="B76" s="43" t="s">
        <v>414</v>
      </c>
      <c r="C76" s="7" t="s">
        <v>4</v>
      </c>
      <c r="D76" s="3" t="s">
        <v>444</v>
      </c>
      <c r="E76" t="str">
        <f t="shared" si="8"/>
        <v>Ok</v>
      </c>
      <c r="H76" s="16" t="str">
        <f t="shared" si="9"/>
        <v>cd_imv_out_certifvlr_class_enrg_aps_mdd</v>
      </c>
      <c r="I76" s="44" t="s">
        <v>7</v>
      </c>
      <c r="J76" s="44" t="s">
        <v>485</v>
      </c>
      <c r="K76" t="str">
        <f t="shared" si="7"/>
        <v>Ok</v>
      </c>
    </row>
    <row r="77" spans="1:11" ht="17.399999999999999" x14ac:dyDescent="0.3">
      <c r="A77" s="16" t="str">
        <f t="shared" si="10"/>
        <v>cd_imv_out_bensficha</v>
      </c>
      <c r="B77" s="43" t="s">
        <v>414</v>
      </c>
      <c r="C77" s="7" t="s">
        <v>4</v>
      </c>
      <c r="D77" s="3" t="s">
        <v>445</v>
      </c>
      <c r="E77" t="str">
        <f t="shared" si="8"/>
        <v>Ok</v>
      </c>
      <c r="H77" s="16" t="str">
        <f t="shared" si="9"/>
        <v>cd_imv_out_certifvlr_cnsm_ano</v>
      </c>
      <c r="I77" s="44" t="s">
        <v>7</v>
      </c>
      <c r="J77" s="44" t="s">
        <v>457</v>
      </c>
      <c r="K77" t="str">
        <f t="shared" si="7"/>
        <v>Ok</v>
      </c>
    </row>
    <row r="78" spans="1:11" ht="17.399999999999999" x14ac:dyDescent="0.3">
      <c r="A78" s="16" t="str">
        <f t="shared" si="10"/>
        <v>cd_imv_out_bensmontante_vnd_rap</v>
      </c>
      <c r="B78" s="43" t="s">
        <v>414</v>
      </c>
      <c r="C78" s="7" t="s">
        <v>4</v>
      </c>
      <c r="D78" s="4" t="s">
        <v>446</v>
      </c>
      <c r="E78" t="str">
        <f t="shared" si="8"/>
        <v>Ok</v>
      </c>
      <c r="H78" s="16" t="str">
        <f t="shared" si="9"/>
        <v>cd_imv_out_certifvlr_comp_trmc_cbrtrs</v>
      </c>
      <c r="I78" s="44" t="s">
        <v>7</v>
      </c>
      <c r="J78" s="44" t="s">
        <v>494</v>
      </c>
      <c r="K78" t="str">
        <f t="shared" si="7"/>
        <v>Ok</v>
      </c>
    </row>
    <row r="79" spans="1:11" ht="17.399999999999999" x14ac:dyDescent="0.3">
      <c r="A79" s="16" t="str">
        <f t="shared" si="10"/>
        <v>cd_imv_out_bensprealcons</v>
      </c>
      <c r="B79" s="43" t="s">
        <v>414</v>
      </c>
      <c r="C79" s="7" t="s">
        <v>4</v>
      </c>
      <c r="D79" s="5" t="s">
        <v>447</v>
      </c>
      <c r="E79" t="str">
        <f t="shared" si="8"/>
        <v>Ok</v>
      </c>
      <c r="H79" s="16" t="str">
        <f t="shared" si="9"/>
        <v>cd_imv_out_certifvlr_comp_trmc_jnls</v>
      </c>
      <c r="I79" s="44" t="s">
        <v>7</v>
      </c>
      <c r="J79" s="44" t="s">
        <v>496</v>
      </c>
      <c r="K79" t="str">
        <f t="shared" si="7"/>
        <v>Ok</v>
      </c>
    </row>
    <row r="80" spans="1:11" ht="17.399999999999999" x14ac:dyDescent="0.3">
      <c r="A80" s="16" t="str">
        <f t="shared" si="10"/>
        <v>cd_imv_out_bensdata_lic_util</v>
      </c>
      <c r="B80" s="43" t="s">
        <v>414</v>
      </c>
      <c r="C80" s="7" t="s">
        <v>4</v>
      </c>
      <c r="D80" s="5" t="s">
        <v>448</v>
      </c>
      <c r="E80" t="str">
        <f t="shared" si="8"/>
        <v>Ok</v>
      </c>
      <c r="H80" s="16" t="str">
        <f t="shared" si="9"/>
        <v>cd_imv_out_certifvlr_comp_trmc_prds</v>
      </c>
      <c r="I80" s="44" t="s">
        <v>7</v>
      </c>
      <c r="J80" s="44" t="s">
        <v>493</v>
      </c>
      <c r="K80" t="str">
        <f t="shared" si="7"/>
        <v>Ok</v>
      </c>
    </row>
    <row r="81" spans="1:11" ht="17.399999999999999" x14ac:dyDescent="0.3">
      <c r="A81" s="16" t="str">
        <f t="shared" si="10"/>
        <v>cd_imv_out_bensarea_util</v>
      </c>
      <c r="B81" s="43" t="s">
        <v>414</v>
      </c>
      <c r="C81" s="7" t="s">
        <v>4</v>
      </c>
      <c r="D81" s="5" t="s">
        <v>449</v>
      </c>
      <c r="E81" t="str">
        <f t="shared" si="8"/>
        <v>Ok</v>
      </c>
      <c r="H81" s="16" t="str">
        <f t="shared" si="9"/>
        <v>cd_imv_out_certifvlr_comp_trmc_pvmnts</v>
      </c>
      <c r="I81" s="44" t="s">
        <v>7</v>
      </c>
      <c r="J81" s="44" t="s">
        <v>495</v>
      </c>
      <c r="K81" t="str">
        <f t="shared" si="7"/>
        <v>Ok</v>
      </c>
    </row>
    <row r="82" spans="1:11" ht="17.399999999999999" x14ac:dyDescent="0.3">
      <c r="A82" s="16" t="str">
        <f t="shared" si="10"/>
        <v>cd_imv_out_bensano_construcao</v>
      </c>
      <c r="B82" s="43" t="s">
        <v>414</v>
      </c>
      <c r="C82" s="7" t="s">
        <v>4</v>
      </c>
      <c r="D82" s="5" t="s">
        <v>450</v>
      </c>
      <c r="E82" t="str">
        <f t="shared" si="8"/>
        <v>Ok</v>
      </c>
      <c r="H82" s="16" t="str">
        <f t="shared" si="9"/>
        <v>cd_imv_out_certifvlr_comp_trmc_sstmtcn_vntld</v>
      </c>
      <c r="I82" s="44" t="s">
        <v>7</v>
      </c>
      <c r="J82" s="44" t="s">
        <v>497</v>
      </c>
      <c r="K82" t="str">
        <f t="shared" si="7"/>
        <v>Ok</v>
      </c>
    </row>
    <row r="83" spans="1:11" ht="17.399999999999999" x14ac:dyDescent="0.3">
      <c r="A83" s="16" t="str">
        <f t="shared" si="10"/>
        <v>cd_imv_out_bensckutulmo</v>
      </c>
      <c r="B83" s="49" t="s">
        <v>414</v>
      </c>
      <c r="C83" s="17" t="s">
        <v>4</v>
      </c>
      <c r="D83" s="48" t="s">
        <v>144</v>
      </c>
      <c r="E83" s="18" t="str">
        <f t="shared" si="8"/>
        <v>Nok</v>
      </c>
      <c r="F83" t="s">
        <v>512</v>
      </c>
      <c r="H83" s="16" t="str">
        <f t="shared" si="9"/>
        <v>cd_imv_out_certifvlr_cst_ttl_invstmnt_estmd</v>
      </c>
      <c r="I83" s="44" t="s">
        <v>7</v>
      </c>
      <c r="J83" s="44" t="s">
        <v>483</v>
      </c>
      <c r="K83" t="str">
        <f t="shared" si="7"/>
        <v>Ok</v>
      </c>
    </row>
    <row r="84" spans="1:11" ht="17.399999999999999" x14ac:dyDescent="0.3">
      <c r="A84" s="16" t="str">
        <f t="shared" si="10"/>
        <v>cd_imv_out_benshtimest</v>
      </c>
      <c r="B84" s="49" t="s">
        <v>414</v>
      </c>
      <c r="C84" s="17" t="s">
        <v>4</v>
      </c>
      <c r="D84" s="48" t="s">
        <v>145</v>
      </c>
      <c r="E84" s="18" t="str">
        <f t="shared" si="8"/>
        <v>Nok</v>
      </c>
      <c r="F84" t="s">
        <v>512</v>
      </c>
      <c r="H84" s="16" t="str">
        <f t="shared" si="9"/>
        <v>cd_imv_out_certifvlr_drc_estc_aqcmnt</v>
      </c>
      <c r="I84" s="44" t="s">
        <v>7</v>
      </c>
      <c r="J84" s="44" t="s">
        <v>491</v>
      </c>
      <c r="K84" t="str">
        <f t="shared" si="7"/>
        <v>Ok</v>
      </c>
    </row>
    <row r="85" spans="1:11" ht="17.399999999999999" x14ac:dyDescent="0.3">
      <c r="A85" s="16" t="str">
        <f t="shared" si="10"/>
        <v>cd_imv_out_bensref_date</v>
      </c>
      <c r="B85" s="43" t="s">
        <v>414</v>
      </c>
      <c r="C85" s="7" t="s">
        <v>4</v>
      </c>
      <c r="D85" s="2" t="s">
        <v>21</v>
      </c>
      <c r="E85" t="str">
        <f t="shared" si="8"/>
        <v>Ok</v>
      </c>
      <c r="H85" s="16" t="str">
        <f t="shared" si="9"/>
        <v>cd_imv_out_certifvlr_drc_estc_arrfcmnt</v>
      </c>
      <c r="I85" s="44" t="s">
        <v>7</v>
      </c>
      <c r="J85" s="44" t="s">
        <v>492</v>
      </c>
      <c r="K85" t="str">
        <f t="shared" si="7"/>
        <v>Ok</v>
      </c>
    </row>
    <row r="86" spans="1:11" ht="17.399999999999999" x14ac:dyDescent="0.3">
      <c r="A86" s="16" t="str">
        <f t="shared" si="10"/>
        <v>cd_imv_out_bensorigem</v>
      </c>
      <c r="B86" s="43" t="s">
        <v>414</v>
      </c>
      <c r="C86" s="7" t="s">
        <v>4</v>
      </c>
      <c r="D86" s="2" t="s">
        <v>20</v>
      </c>
      <c r="E86" t="str">
        <f t="shared" si="8"/>
        <v>Ok</v>
      </c>
      <c r="H86" s="16" t="str">
        <f t="shared" si="9"/>
        <v>cd_imv_out_certifvlr_emss_ano</v>
      </c>
      <c r="I86" s="44" t="s">
        <v>7</v>
      </c>
      <c r="J86" s="44" t="s">
        <v>454</v>
      </c>
      <c r="K86" t="str">
        <f t="shared" si="7"/>
        <v>Ok</v>
      </c>
    </row>
    <row r="87" spans="1:11" ht="17.399999999999999" x14ac:dyDescent="0.3">
      <c r="A87" s="16" t="str">
        <f t="shared" si="10"/>
        <v>cd_imv_out_certifcempbem</v>
      </c>
      <c r="B87" s="43" t="s">
        <v>415</v>
      </c>
      <c r="C87" s="7" t="s">
        <v>7</v>
      </c>
      <c r="D87" s="2" t="s">
        <v>49</v>
      </c>
      <c r="E87" t="str">
        <f t="shared" si="8"/>
        <v>Ok</v>
      </c>
      <c r="H87" s="16" t="str">
        <f t="shared" si="9"/>
        <v>cd_imv_out_certifvlr_emss_co2</v>
      </c>
      <c r="I87" s="44" t="s">
        <v>7</v>
      </c>
      <c r="J87" s="44" t="s">
        <v>462</v>
      </c>
      <c r="K87" t="str">
        <f t="shared" si="7"/>
        <v>Ok</v>
      </c>
    </row>
    <row r="88" spans="1:11" ht="17.399999999999999" x14ac:dyDescent="0.3">
      <c r="A88" s="16" t="str">
        <f t="shared" si="10"/>
        <v>cd_imv_out_certifckbalbem</v>
      </c>
      <c r="B88" s="43" t="s">
        <v>415</v>
      </c>
      <c r="C88" s="7" t="s">
        <v>7</v>
      </c>
      <c r="D88" s="2" t="s">
        <v>50</v>
      </c>
      <c r="E88" t="str">
        <f t="shared" si="8"/>
        <v>Ok</v>
      </c>
      <c r="H88" s="16" t="str">
        <f t="shared" si="9"/>
        <v>cd_imv_out_certifvlr_enrg_eltc_vntldr</v>
      </c>
      <c r="I88" s="44" t="s">
        <v>7</v>
      </c>
      <c r="J88" s="44" t="s">
        <v>476</v>
      </c>
      <c r="K88" t="str">
        <f t="shared" si="7"/>
        <v>Ok</v>
      </c>
    </row>
    <row r="89" spans="1:11" ht="17.399999999999999" x14ac:dyDescent="0.3">
      <c r="A89" s="16" t="str">
        <f t="shared" si="10"/>
        <v>cd_imv_out_certifckctabem</v>
      </c>
      <c r="B89" s="43" t="s">
        <v>415</v>
      </c>
      <c r="C89" s="7" t="s">
        <v>7</v>
      </c>
      <c r="D89" s="2" t="s">
        <v>51</v>
      </c>
      <c r="E89" t="str">
        <f t="shared" si="8"/>
        <v>Ok</v>
      </c>
      <c r="H89" s="16" t="str">
        <f t="shared" si="9"/>
        <v>cd_imv_out_certifvlr_enrg_fnts_rnvv_otr_uso</v>
      </c>
      <c r="I89" s="44" t="s">
        <v>7</v>
      </c>
      <c r="J89" s="44" t="s">
        <v>478</v>
      </c>
      <c r="K89" t="str">
        <f t="shared" si="7"/>
        <v>Ok</v>
      </c>
    </row>
    <row r="90" spans="1:11" ht="17.399999999999999" x14ac:dyDescent="0.3">
      <c r="A90" s="16" t="str">
        <f t="shared" si="10"/>
        <v>cd_imv_out_certifckrefbem</v>
      </c>
      <c r="B90" s="43" t="s">
        <v>415</v>
      </c>
      <c r="C90" s="7" t="s">
        <v>7</v>
      </c>
      <c r="D90" s="2" t="s">
        <v>52</v>
      </c>
      <c r="E90" t="str">
        <f t="shared" si="8"/>
        <v>Ok</v>
      </c>
      <c r="H90" s="16" t="str">
        <f t="shared" si="9"/>
        <v>cd_imv_out_certifvlr_enrg_fnts_rnvv_regl</v>
      </c>
      <c r="I90" s="44" t="s">
        <v>7</v>
      </c>
      <c r="J90" s="44" t="s">
        <v>477</v>
      </c>
      <c r="K90" t="str">
        <f t="shared" si="7"/>
        <v>Ok</v>
      </c>
    </row>
    <row r="91" spans="1:11" ht="17.399999999999999" x14ac:dyDescent="0.3">
      <c r="A91" s="16" t="str">
        <f t="shared" si="10"/>
        <v>cd_imv_out_certifdata_epc</v>
      </c>
      <c r="B91" s="43" t="s">
        <v>415</v>
      </c>
      <c r="C91" s="7" t="s">
        <v>7</v>
      </c>
      <c r="D91" s="3" t="s">
        <v>451</v>
      </c>
      <c r="E91" t="str">
        <f t="shared" si="8"/>
        <v>Ok</v>
      </c>
      <c r="H91" s="16" t="str">
        <f t="shared" si="9"/>
        <v>cd_imv_out_certifvlr_enrg_renew</v>
      </c>
      <c r="I91" s="44" t="s">
        <v>7</v>
      </c>
      <c r="J91" s="44" t="s">
        <v>453</v>
      </c>
      <c r="K91" t="str">
        <f t="shared" si="7"/>
        <v>Ok</v>
      </c>
    </row>
    <row r="92" spans="1:11" ht="17.399999999999999" x14ac:dyDescent="0.3">
      <c r="A92" s="16" t="str">
        <f t="shared" si="10"/>
        <v>cd_imv_out_certifepc</v>
      </c>
      <c r="B92" s="43" t="s">
        <v>415</v>
      </c>
      <c r="C92" s="7" t="s">
        <v>7</v>
      </c>
      <c r="D92" s="3" t="s">
        <v>45</v>
      </c>
      <c r="E92" t="str">
        <f t="shared" si="8"/>
        <v>Ok</v>
      </c>
      <c r="H92" s="16" t="str">
        <f t="shared" si="9"/>
        <v>cd_imv_out_certifvlr_enrg_utl_agua_qt_snt</v>
      </c>
      <c r="I92" s="44" t="s">
        <v>7</v>
      </c>
      <c r="J92" s="44" t="s">
        <v>475</v>
      </c>
      <c r="K92" t="str">
        <f t="shared" ref="K92:K123" si="11">IFERROR(IF(VLOOKUP(H92,$A$3:$A$214,1,0)=H92,"Ok","Nok"),"Nok")</f>
        <v>Ok</v>
      </c>
    </row>
    <row r="93" spans="1:11" ht="17.399999999999999" x14ac:dyDescent="0.3">
      <c r="A93" s="16" t="str">
        <f t="shared" si="10"/>
        <v>cd_imv_out_certifdata_exprc_epc</v>
      </c>
      <c r="B93" s="43" t="s">
        <v>415</v>
      </c>
      <c r="C93" s="7" t="s">
        <v>7</v>
      </c>
      <c r="D93" s="3" t="s">
        <v>452</v>
      </c>
      <c r="E93" t="str">
        <f t="shared" si="8"/>
        <v>Ok</v>
      </c>
      <c r="H93" s="16" t="str">
        <f t="shared" si="9"/>
        <v>cd_imv_out_certifvlr_enrg_utl_arrfcmnt</v>
      </c>
      <c r="I93" s="44" t="s">
        <v>7</v>
      </c>
      <c r="J93" s="44" t="s">
        <v>474</v>
      </c>
      <c r="K93" t="str">
        <f t="shared" si="11"/>
        <v>Ok</v>
      </c>
    </row>
    <row r="94" spans="1:11" ht="17.399999999999999" x14ac:dyDescent="0.3">
      <c r="A94" s="16" t="str">
        <f t="shared" si="10"/>
        <v>cd_imv_out_certifvlr_enrg_renew</v>
      </c>
      <c r="B94" s="43" t="s">
        <v>415</v>
      </c>
      <c r="C94" s="7" t="s">
        <v>7</v>
      </c>
      <c r="D94" s="3" t="s">
        <v>453</v>
      </c>
      <c r="E94" t="str">
        <f t="shared" si="8"/>
        <v>Ok</v>
      </c>
      <c r="H94" s="16" t="str">
        <f t="shared" si="9"/>
        <v>cd_imv_out_certifvlr_grs_dia</v>
      </c>
      <c r="I94" s="44" t="s">
        <v>7</v>
      </c>
      <c r="J94" s="44" t="s">
        <v>487</v>
      </c>
      <c r="K94" t="str">
        <f t="shared" si="11"/>
        <v>Ok</v>
      </c>
    </row>
    <row r="95" spans="1:11" ht="17.399999999999999" x14ac:dyDescent="0.3">
      <c r="A95" s="16" t="str">
        <f t="shared" si="10"/>
        <v>cd_imv_out_certifvlr_emss_ano</v>
      </c>
      <c r="B95" s="43" t="s">
        <v>415</v>
      </c>
      <c r="C95" s="7" t="s">
        <v>7</v>
      </c>
      <c r="D95" s="3" t="s">
        <v>454</v>
      </c>
      <c r="E95" t="str">
        <f t="shared" si="8"/>
        <v>Ok</v>
      </c>
      <c r="H95" s="16" t="str">
        <f t="shared" si="9"/>
        <v>cd_imv_out_certifvlr_ncssdd_enrg_prmr</v>
      </c>
      <c r="I95" s="44" t="s">
        <v>7</v>
      </c>
      <c r="J95" s="44" t="s">
        <v>472</v>
      </c>
      <c r="K95" t="str">
        <f t="shared" si="11"/>
        <v>Ok</v>
      </c>
    </row>
    <row r="96" spans="1:11" ht="17.399999999999999" x14ac:dyDescent="0.3">
      <c r="A96" s="16" t="str">
        <f t="shared" si="10"/>
        <v>cd_imv_out_certifflg_nzeb</v>
      </c>
      <c r="B96" s="43" t="s">
        <v>415</v>
      </c>
      <c r="C96" s="7" t="s">
        <v>7</v>
      </c>
      <c r="D96" s="3" t="s">
        <v>455</v>
      </c>
      <c r="E96" t="str">
        <f t="shared" si="8"/>
        <v>Ok</v>
      </c>
      <c r="H96" s="16" t="str">
        <f t="shared" si="9"/>
        <v>cd_imv_out_certifvlr_ncssdd_enrg_utl_aqcd</v>
      </c>
      <c r="I96" s="44" t="s">
        <v>7</v>
      </c>
      <c r="J96" s="44" t="s">
        <v>473</v>
      </c>
      <c r="K96" t="str">
        <f t="shared" si="11"/>
        <v>Ok</v>
      </c>
    </row>
    <row r="97" spans="1:11" ht="17.399999999999999" x14ac:dyDescent="0.3">
      <c r="A97" s="16" t="str">
        <f t="shared" si="10"/>
        <v>cd_imv_out_certifnvl_efcc_enrg</v>
      </c>
      <c r="B97" s="43" t="s">
        <v>415</v>
      </c>
      <c r="C97" s="7" t="s">
        <v>7</v>
      </c>
      <c r="D97" s="3" t="s">
        <v>456</v>
      </c>
      <c r="E97" t="str">
        <f t="shared" si="8"/>
        <v>Ok</v>
      </c>
      <c r="H97" s="16" t="str">
        <f t="shared" si="9"/>
        <v>cd_imv_out_certifvlr_prd_gnh_invrn_prd_prt</v>
      </c>
      <c r="I97" s="44" t="s">
        <v>7</v>
      </c>
      <c r="J97" s="44" t="s">
        <v>502</v>
      </c>
      <c r="K97" t="str">
        <f t="shared" si="11"/>
        <v>Ok</v>
      </c>
    </row>
    <row r="98" spans="1:11" ht="17.399999999999999" x14ac:dyDescent="0.3">
      <c r="A98" s="16" t="str">
        <f t="shared" si="10"/>
        <v>cd_imv_out_certifvlr_cnsm_ano</v>
      </c>
      <c r="B98" s="43" t="s">
        <v>415</v>
      </c>
      <c r="C98" s="7" t="s">
        <v>7</v>
      </c>
      <c r="D98" s="3" t="s">
        <v>457</v>
      </c>
      <c r="E98" t="str">
        <f t="shared" si="8"/>
        <v>Ok</v>
      </c>
      <c r="H98" s="16" t="str">
        <f t="shared" si="9"/>
        <v>cd_imv_out_certifvlr_prd_gnh_invrn_pvmnt</v>
      </c>
      <c r="I98" s="44" t="s">
        <v>7</v>
      </c>
      <c r="J98" s="44" t="s">
        <v>503</v>
      </c>
      <c r="K98" t="str">
        <f t="shared" si="11"/>
        <v>Ok</v>
      </c>
    </row>
    <row r="99" spans="1:11" ht="17.399999999999999" x14ac:dyDescent="0.3">
      <c r="A99" s="16" t="str">
        <f t="shared" si="10"/>
        <v>cd_imv_out_certiftp_crtfcd</v>
      </c>
      <c r="B99" s="43" t="s">
        <v>415</v>
      </c>
      <c r="C99" s="7" t="s">
        <v>7</v>
      </c>
      <c r="D99" s="3" t="s">
        <v>458</v>
      </c>
      <c r="E99" t="str">
        <f t="shared" ref="E99:E130" si="12">IFERROR(IF(VLOOKUP(A99,$H$3:$H$226,1,0)=A99,"Ok","Nok"),"Nok")</f>
        <v>Ok</v>
      </c>
      <c r="H99" s="16" t="str">
        <f t="shared" si="9"/>
        <v>cd_imv_out_certifvlr_prds_gnhs_invrn_cbrtr</v>
      </c>
      <c r="I99" s="44" t="s">
        <v>7</v>
      </c>
      <c r="J99" s="44" t="s">
        <v>501</v>
      </c>
      <c r="K99" t="str">
        <f t="shared" si="11"/>
        <v>Ok</v>
      </c>
    </row>
    <row r="100" spans="1:11" ht="17.399999999999999" x14ac:dyDescent="0.3">
      <c r="A100" s="16" t="str">
        <f t="shared" si="10"/>
        <v>cd_imv_out_certifcod_sce</v>
      </c>
      <c r="B100" s="43" t="s">
        <v>415</v>
      </c>
      <c r="C100" s="7" t="s">
        <v>7</v>
      </c>
      <c r="D100" s="3" t="s">
        <v>459</v>
      </c>
      <c r="E100" t="str">
        <f t="shared" si="12"/>
        <v>Ok</v>
      </c>
      <c r="H100" s="16" t="str">
        <f t="shared" si="9"/>
        <v>cd_imv_out_certifvlr_prds_gnhs_invrn_jnl</v>
      </c>
      <c r="I100" s="44" t="s">
        <v>7</v>
      </c>
      <c r="J100" s="44" t="s">
        <v>499</v>
      </c>
      <c r="K100" t="str">
        <f t="shared" si="11"/>
        <v>Ok</v>
      </c>
    </row>
    <row r="101" spans="1:11" ht="17.399999999999999" x14ac:dyDescent="0.3">
      <c r="A101" s="16" t="str">
        <f t="shared" si="10"/>
        <v>cd_imv_out_certifcod_cnsrvtr_rgst_prdl</v>
      </c>
      <c r="B101" s="43" t="s">
        <v>415</v>
      </c>
      <c r="C101" s="7" t="s">
        <v>7</v>
      </c>
      <c r="D101" s="3" t="s">
        <v>460</v>
      </c>
      <c r="E101" t="str">
        <f t="shared" si="12"/>
        <v>Ok</v>
      </c>
      <c r="H101" s="16" t="str">
        <f t="shared" si="9"/>
        <v>cd_imv_out_certifvlr_prds_gnhs_invrn_rfc</v>
      </c>
      <c r="I101" s="44" t="s">
        <v>7</v>
      </c>
      <c r="J101" s="44" t="s">
        <v>498</v>
      </c>
      <c r="K101" t="str">
        <f t="shared" si="11"/>
        <v>Ok</v>
      </c>
    </row>
    <row r="102" spans="1:11" ht="17.399999999999999" x14ac:dyDescent="0.3">
      <c r="A102" s="16" t="str">
        <f t="shared" si="10"/>
        <v>cd_imv_out_certifcod_inscrc</v>
      </c>
      <c r="B102" s="43" t="s">
        <v>415</v>
      </c>
      <c r="C102" s="7" t="s">
        <v>7</v>
      </c>
      <c r="D102" s="3" t="s">
        <v>461</v>
      </c>
      <c r="E102" t="str">
        <f t="shared" si="12"/>
        <v>Ok</v>
      </c>
      <c r="H102" s="16" t="str">
        <f t="shared" si="9"/>
        <v>cd_imv_out_certifvlr_prds_gnhs_invrn_vntnh</v>
      </c>
      <c r="I102" s="44" t="s">
        <v>7</v>
      </c>
      <c r="J102" s="44" t="s">
        <v>500</v>
      </c>
      <c r="K102" t="str">
        <f t="shared" si="11"/>
        <v>Ok</v>
      </c>
    </row>
    <row r="103" spans="1:11" ht="17.399999999999999" x14ac:dyDescent="0.3">
      <c r="A103" s="16" t="str">
        <f t="shared" si="10"/>
        <v>cd_imv_out_certifvlr_emss_co2</v>
      </c>
      <c r="B103" s="43" t="s">
        <v>415</v>
      </c>
      <c r="C103" s="7" t="s">
        <v>7</v>
      </c>
      <c r="D103" s="3" t="s">
        <v>462</v>
      </c>
      <c r="E103" t="str">
        <f t="shared" si="12"/>
        <v>Ok</v>
      </c>
      <c r="H103" s="16" t="str">
        <f t="shared" si="9"/>
        <v>cd_imv_out_certifvlr_prds_gnhs_vr_cbrtr</v>
      </c>
      <c r="I103" s="44" t="s">
        <v>7</v>
      </c>
      <c r="J103" s="44" t="s">
        <v>506</v>
      </c>
      <c r="K103" t="str">
        <f t="shared" si="11"/>
        <v>Ok</v>
      </c>
    </row>
    <row r="104" spans="1:11" ht="17.399999999999999" x14ac:dyDescent="0.3">
      <c r="A104" s="16" t="str">
        <f t="shared" si="10"/>
        <v>cd_imv_out_certifvlr_aqcmnt_ambnt_rfrc</v>
      </c>
      <c r="B104" s="43" t="s">
        <v>415</v>
      </c>
      <c r="C104" s="7" t="s">
        <v>7</v>
      </c>
      <c r="D104" s="3" t="s">
        <v>463</v>
      </c>
      <c r="E104" t="str">
        <f t="shared" si="12"/>
        <v>Ok</v>
      </c>
      <c r="H104" s="16" t="str">
        <f t="shared" si="9"/>
        <v>cd_imv_out_certifvlr_prds_gnhs_vr_jnl</v>
      </c>
      <c r="I104" s="44" t="s">
        <v>7</v>
      </c>
      <c r="J104" s="44" t="s">
        <v>505</v>
      </c>
      <c r="K104" t="str">
        <f t="shared" si="11"/>
        <v>Ok</v>
      </c>
    </row>
    <row r="105" spans="1:11" ht="17.399999999999999" x14ac:dyDescent="0.3">
      <c r="A105" s="16" t="str">
        <f t="shared" si="10"/>
        <v>cd_imv_out_certifvlr_aqcmnt_ambnt_edfc</v>
      </c>
      <c r="B105" s="43" t="s">
        <v>415</v>
      </c>
      <c r="C105" s="7" t="s">
        <v>7</v>
      </c>
      <c r="D105" s="3" t="s">
        <v>464</v>
      </c>
      <c r="E105" t="str">
        <f t="shared" si="12"/>
        <v>Ok</v>
      </c>
      <c r="H105" s="16" t="str">
        <f t="shared" si="9"/>
        <v>cd_imv_out_certifvlr_prds_gnhs_vr_prd_prt</v>
      </c>
      <c r="I105" s="44" t="s">
        <v>7</v>
      </c>
      <c r="J105" s="44" t="s">
        <v>507</v>
      </c>
      <c r="K105" t="str">
        <f t="shared" si="11"/>
        <v>Ok</v>
      </c>
    </row>
    <row r="106" spans="1:11" ht="17.399999999999999" x14ac:dyDescent="0.3">
      <c r="A106" s="16" t="str">
        <f t="shared" si="10"/>
        <v>cd_imv_out_certifvlr_aqcmnt_ambnt_rnvv</v>
      </c>
      <c r="B106" s="43" t="s">
        <v>415</v>
      </c>
      <c r="C106" s="7" t="s">
        <v>7</v>
      </c>
      <c r="D106" s="3" t="s">
        <v>465</v>
      </c>
      <c r="E106" t="str">
        <f t="shared" si="12"/>
        <v>Ok</v>
      </c>
      <c r="H106" s="16" t="str">
        <f t="shared" si="9"/>
        <v>cd_imv_out_certifvlr_prds_gnhs_vr_rfrc</v>
      </c>
      <c r="I106" s="44" t="s">
        <v>7</v>
      </c>
      <c r="J106" s="44" t="s">
        <v>504</v>
      </c>
      <c r="K106" t="str">
        <f t="shared" si="11"/>
        <v>Ok</v>
      </c>
    </row>
    <row r="107" spans="1:11" ht="17.399999999999999" x14ac:dyDescent="0.3">
      <c r="A107" s="16" t="str">
        <f t="shared" si="10"/>
        <v>cd_imv_out_certifvlr_arrfcmnt_ambnt_rfrc</v>
      </c>
      <c r="B107" s="43" t="s">
        <v>415</v>
      </c>
      <c r="C107" s="7" t="s">
        <v>7</v>
      </c>
      <c r="D107" s="3" t="s">
        <v>466</v>
      </c>
      <c r="E107" t="str">
        <f t="shared" si="12"/>
        <v>Ok</v>
      </c>
      <c r="H107" s="16" t="str">
        <f t="shared" si="9"/>
        <v>cd_imv_out_certifvlr_rdc_anl_estmd_ftr</v>
      </c>
      <c r="I107" s="44" t="s">
        <v>7</v>
      </c>
      <c r="J107" s="44" t="s">
        <v>484</v>
      </c>
      <c r="K107" t="str">
        <f t="shared" si="11"/>
        <v>Ok</v>
      </c>
    </row>
    <row r="108" spans="1:11" ht="17.399999999999999" x14ac:dyDescent="0.3">
      <c r="A108" s="16" t="str">
        <f t="shared" si="10"/>
        <v>cd_imv_out_certifvlr_arrfcmnt_ambnt_edfc</v>
      </c>
      <c r="B108" s="43" t="s">
        <v>415</v>
      </c>
      <c r="C108" s="7" t="s">
        <v>7</v>
      </c>
      <c r="D108" s="3" t="s">
        <v>467</v>
      </c>
      <c r="E108" t="str">
        <f t="shared" si="12"/>
        <v>Ok</v>
      </c>
      <c r="H108" s="16" t="str">
        <f t="shared" si="9"/>
        <v>cd_imv_out_certifvlr_tmprtr_md_extrr</v>
      </c>
      <c r="I108" s="44" t="s">
        <v>7</v>
      </c>
      <c r="J108" s="44" t="s">
        <v>488</v>
      </c>
      <c r="K108" t="str">
        <f t="shared" si="11"/>
        <v>Ok</v>
      </c>
    </row>
    <row r="109" spans="1:11" ht="17.399999999999999" x14ac:dyDescent="0.3">
      <c r="A109" s="16" t="str">
        <f t="shared" si="10"/>
        <v>cd_imv_out_certifvlr_arrfcmnt_ambnt_renvv</v>
      </c>
      <c r="B109" s="43" t="s">
        <v>415</v>
      </c>
      <c r="C109" s="7" t="s">
        <v>7</v>
      </c>
      <c r="D109" s="3" t="s">
        <v>468</v>
      </c>
      <c r="E109" t="str">
        <f t="shared" si="12"/>
        <v>Ok</v>
      </c>
      <c r="H109" s="16" t="str">
        <f t="shared" si="9"/>
        <v>cd_imv_out_certifzn_clmtc_invrn</v>
      </c>
      <c r="I109" s="44" t="s">
        <v>7</v>
      </c>
      <c r="J109" s="44" t="s">
        <v>489</v>
      </c>
      <c r="K109" t="str">
        <f t="shared" si="11"/>
        <v>Ok</v>
      </c>
    </row>
    <row r="110" spans="1:11" ht="17.399999999999999" x14ac:dyDescent="0.3">
      <c r="A110" s="16" t="str">
        <f t="shared" si="10"/>
        <v>cd_imv_out_certifvlr_agua_qnt_sntr_rfrc</v>
      </c>
      <c r="B110" s="43" t="s">
        <v>415</v>
      </c>
      <c r="C110" s="7" t="s">
        <v>7</v>
      </c>
      <c r="D110" s="3" t="s">
        <v>469</v>
      </c>
      <c r="E110" t="str">
        <f t="shared" si="12"/>
        <v>Ok</v>
      </c>
      <c r="H110" s="16" t="str">
        <f t="shared" si="9"/>
        <v>cd_imv_out_certifzn_clmtc_vr</v>
      </c>
      <c r="I110" s="44" t="s">
        <v>7</v>
      </c>
      <c r="J110" s="44" t="s">
        <v>490</v>
      </c>
      <c r="K110" t="str">
        <f t="shared" si="11"/>
        <v>Ok</v>
      </c>
    </row>
    <row r="111" spans="1:11" ht="17.399999999999999" x14ac:dyDescent="0.3">
      <c r="A111" s="16" t="str">
        <f t="shared" si="10"/>
        <v>cd_imv_out_certifvlr_agua_qnt_sant_edfc</v>
      </c>
      <c r="B111" s="43" t="s">
        <v>415</v>
      </c>
      <c r="C111" s="7" t="s">
        <v>7</v>
      </c>
      <c r="D111" s="3" t="s">
        <v>470</v>
      </c>
      <c r="E111" t="str">
        <f t="shared" si="12"/>
        <v>Ok</v>
      </c>
      <c r="H111" s="16" t="str">
        <f t="shared" si="9"/>
        <v>cd_imv_out_prccempresa</v>
      </c>
      <c r="I111" s="44" t="s">
        <v>2</v>
      </c>
      <c r="J111" s="44" t="s">
        <v>8</v>
      </c>
      <c r="K111" t="str">
        <f t="shared" si="11"/>
        <v>Ok</v>
      </c>
    </row>
    <row r="112" spans="1:11" ht="17.399999999999999" x14ac:dyDescent="0.3">
      <c r="A112" s="16" t="str">
        <f t="shared" si="10"/>
        <v>cd_imv_out_certifvlr_agua_qnt_snt_rnvv</v>
      </c>
      <c r="B112" s="43" t="s">
        <v>415</v>
      </c>
      <c r="C112" s="7" t="s">
        <v>7</v>
      </c>
      <c r="D112" s="4" t="s">
        <v>471</v>
      </c>
      <c r="E112" t="str">
        <f t="shared" si="12"/>
        <v>Ok</v>
      </c>
      <c r="H112" s="16" t="str">
        <f t="shared" si="9"/>
        <v>cd_imv_out_prcckbalcao</v>
      </c>
      <c r="I112" s="44" t="s">
        <v>2</v>
      </c>
      <c r="J112" s="44" t="s">
        <v>9</v>
      </c>
      <c r="K112" t="str">
        <f t="shared" si="11"/>
        <v>Ok</v>
      </c>
    </row>
    <row r="113" spans="1:11" ht="17.399999999999999" x14ac:dyDescent="0.3">
      <c r="A113" s="16" t="str">
        <f t="shared" si="10"/>
        <v>cd_imv_out_certifvlr_ncssdd_enrg_prmr</v>
      </c>
      <c r="B113" s="43" t="s">
        <v>415</v>
      </c>
      <c r="C113" s="7" t="s">
        <v>7</v>
      </c>
      <c r="D113" s="5" t="s">
        <v>472</v>
      </c>
      <c r="E113" t="str">
        <f t="shared" si="12"/>
        <v>Ok</v>
      </c>
      <c r="H113" s="16" t="str">
        <f t="shared" si="9"/>
        <v>cd_imv_out_prccknumcta</v>
      </c>
      <c r="I113" s="44" t="s">
        <v>2</v>
      </c>
      <c r="J113" s="44" t="s">
        <v>10</v>
      </c>
      <c r="K113" t="str">
        <f t="shared" si="11"/>
        <v>Ok</v>
      </c>
    </row>
    <row r="114" spans="1:11" ht="17.399999999999999" x14ac:dyDescent="0.3">
      <c r="A114" s="16" t="str">
        <f t="shared" si="10"/>
        <v>cd_imv_out_certifvlr_ncssdd_enrg_utl_aqcd</v>
      </c>
      <c r="B114" s="43" t="s">
        <v>415</v>
      </c>
      <c r="C114" s="7" t="s">
        <v>7</v>
      </c>
      <c r="D114" s="5" t="s">
        <v>473</v>
      </c>
      <c r="E114" t="str">
        <f t="shared" si="12"/>
        <v>Ok</v>
      </c>
      <c r="H114" s="16" t="str">
        <f t="shared" si="9"/>
        <v>cd_imv_out_prccod_grt</v>
      </c>
      <c r="I114" s="44" t="s">
        <v>2</v>
      </c>
      <c r="J114" s="44" t="s">
        <v>11</v>
      </c>
      <c r="K114" t="str">
        <f t="shared" si="11"/>
        <v>Ok</v>
      </c>
    </row>
    <row r="115" spans="1:11" ht="17.399999999999999" x14ac:dyDescent="0.3">
      <c r="A115" s="16" t="str">
        <f t="shared" si="10"/>
        <v>cd_imv_out_certifvlr_enrg_utl_arrfcmnt</v>
      </c>
      <c r="B115" s="43" t="s">
        <v>415</v>
      </c>
      <c r="C115" s="7" t="s">
        <v>7</v>
      </c>
      <c r="D115" s="5" t="s">
        <v>474</v>
      </c>
      <c r="E115" t="str">
        <f t="shared" si="12"/>
        <v>Ok</v>
      </c>
      <c r="H115" s="16" t="str">
        <f t="shared" si="9"/>
        <v>cd_imv_out_prccod_moeda</v>
      </c>
      <c r="I115" s="44" t="s">
        <v>2</v>
      </c>
      <c r="J115" s="44" t="s">
        <v>12</v>
      </c>
      <c r="K115" t="str">
        <f t="shared" si="11"/>
        <v>Ok</v>
      </c>
    </row>
    <row r="116" spans="1:11" ht="17.399999999999999" x14ac:dyDescent="0.3">
      <c r="A116" s="16" t="str">
        <f t="shared" si="10"/>
        <v>cd_imv_out_certifvlr_enrg_utl_agua_qt_snt</v>
      </c>
      <c r="B116" s="43" t="s">
        <v>415</v>
      </c>
      <c r="C116" s="7" t="s">
        <v>7</v>
      </c>
      <c r="D116" s="5" t="s">
        <v>475</v>
      </c>
      <c r="E116" t="str">
        <f t="shared" si="12"/>
        <v>Ok</v>
      </c>
      <c r="H116" s="16" t="str">
        <f t="shared" si="9"/>
        <v>cd_imv_out_prccod_observacao</v>
      </c>
      <c r="I116" s="44" t="s">
        <v>2</v>
      </c>
      <c r="J116" s="44" t="s">
        <v>13</v>
      </c>
      <c r="K116" t="str">
        <f t="shared" si="11"/>
        <v>Ok</v>
      </c>
    </row>
    <row r="117" spans="1:11" ht="17.399999999999999" x14ac:dyDescent="0.3">
      <c r="A117" s="16" t="str">
        <f t="shared" si="10"/>
        <v>cd_imv_out_certifvlr_enrg_eltc_vntldr</v>
      </c>
      <c r="B117" s="43" t="s">
        <v>415</v>
      </c>
      <c r="C117" s="7" t="s">
        <v>7</v>
      </c>
      <c r="D117" s="5" t="s">
        <v>476</v>
      </c>
      <c r="E117" t="str">
        <f t="shared" si="12"/>
        <v>Ok</v>
      </c>
      <c r="H117" s="16" t="str">
        <f t="shared" si="9"/>
        <v>cd_imv_out_prccod_prd_grnt</v>
      </c>
      <c r="I117" s="44" t="s">
        <v>2</v>
      </c>
      <c r="J117" s="44" t="s">
        <v>14</v>
      </c>
      <c r="K117" t="str">
        <f t="shared" si="11"/>
        <v>Ok</v>
      </c>
    </row>
    <row r="118" spans="1:11" ht="17.399999999999999" x14ac:dyDescent="0.3">
      <c r="A118" s="16" t="str">
        <f t="shared" si="10"/>
        <v>cd_imv_out_certifvlr_enrg_fnts_rnvv_regl</v>
      </c>
      <c r="B118" s="43" t="s">
        <v>415</v>
      </c>
      <c r="C118" s="7" t="s">
        <v>7</v>
      </c>
      <c r="D118" s="5" t="s">
        <v>477</v>
      </c>
      <c r="E118" t="str">
        <f t="shared" si="12"/>
        <v>Ok</v>
      </c>
      <c r="H118" s="16" t="str">
        <f t="shared" si="9"/>
        <v>cd_imv_out_prccod_sprd_grnt</v>
      </c>
      <c r="I118" s="44" t="s">
        <v>2</v>
      </c>
      <c r="J118" s="44" t="s">
        <v>15</v>
      </c>
      <c r="K118" t="str">
        <f t="shared" si="11"/>
        <v>Ok</v>
      </c>
    </row>
    <row r="119" spans="1:11" ht="17.399999999999999" x14ac:dyDescent="0.3">
      <c r="A119" s="16" t="str">
        <f t="shared" si="10"/>
        <v>cd_imv_out_certifvlr_enrg_fnts_rnvv_otr_uso</v>
      </c>
      <c r="B119" s="43" t="s">
        <v>415</v>
      </c>
      <c r="C119" s="7" t="s">
        <v>7</v>
      </c>
      <c r="D119" s="5" t="s">
        <v>478</v>
      </c>
      <c r="E119" t="str">
        <f t="shared" si="12"/>
        <v>Ok</v>
      </c>
      <c r="H119" s="16" t="str">
        <f t="shared" si="9"/>
        <v>cd_imv_out_prccod_tipo</v>
      </c>
      <c r="I119" s="44" t="s">
        <v>2</v>
      </c>
      <c r="J119" s="44" t="s">
        <v>16</v>
      </c>
      <c r="K119" t="str">
        <f t="shared" si="11"/>
        <v>Ok</v>
      </c>
    </row>
    <row r="120" spans="1:11" ht="17.399999999999999" x14ac:dyDescent="0.3">
      <c r="A120" s="16" t="str">
        <f t="shared" si="10"/>
        <v>cd_imv_out_certifflg_efcnc_enrgtc</v>
      </c>
      <c r="B120" s="43" t="s">
        <v>415</v>
      </c>
      <c r="C120" s="7" t="s">
        <v>7</v>
      </c>
      <c r="D120" s="5" t="s">
        <v>479</v>
      </c>
      <c r="E120" t="str">
        <f t="shared" si="12"/>
        <v>Ok</v>
      </c>
      <c r="H120" s="16" t="str">
        <f t="shared" si="9"/>
        <v>cd_imv_out_prccomp_id_gar</v>
      </c>
      <c r="I120" s="44" t="s">
        <v>2</v>
      </c>
      <c r="J120" s="44" t="s">
        <v>17</v>
      </c>
      <c r="K120" t="str">
        <f t="shared" si="11"/>
        <v>Ok</v>
      </c>
    </row>
    <row r="121" spans="1:11" ht="17.399999999999999" x14ac:dyDescent="0.3">
      <c r="A121" s="16" t="str">
        <f t="shared" si="10"/>
        <v>cd_imv_out_certifflg_efcc_enrg_cnsm_tp_s</v>
      </c>
      <c r="B121" s="43" t="s">
        <v>415</v>
      </c>
      <c r="C121" s="7" t="s">
        <v>7</v>
      </c>
      <c r="D121" s="5" t="s">
        <v>480</v>
      </c>
      <c r="E121" t="str">
        <f t="shared" si="12"/>
        <v>Ok</v>
      </c>
      <c r="H121" s="16" t="str">
        <f t="shared" si="9"/>
        <v>cd_imv_out_prcdata_inicio</v>
      </c>
      <c r="I121" s="44" t="s">
        <v>2</v>
      </c>
      <c r="J121" s="44" t="s">
        <v>18</v>
      </c>
      <c r="K121" t="str">
        <f t="shared" si="11"/>
        <v>Ok</v>
      </c>
    </row>
    <row r="122" spans="1:11" ht="17.399999999999999" x14ac:dyDescent="0.3">
      <c r="A122" s="16" t="str">
        <f t="shared" si="10"/>
        <v>cd_imv_out_certifflg_efcnc_enrg_cnsm_tp_t</v>
      </c>
      <c r="B122" s="43" t="s">
        <v>415</v>
      </c>
      <c r="C122" s="7" t="s">
        <v>7</v>
      </c>
      <c r="D122" s="5" t="s">
        <v>481</v>
      </c>
      <c r="E122" t="str">
        <f t="shared" si="12"/>
        <v>Ok</v>
      </c>
      <c r="H122" s="16" t="str">
        <f t="shared" si="9"/>
        <v>cd_imv_out_prcdata_vcmt</v>
      </c>
      <c r="I122" s="44" t="s">
        <v>2</v>
      </c>
      <c r="J122" s="44" t="s">
        <v>19</v>
      </c>
      <c r="K122" t="str">
        <f t="shared" si="11"/>
        <v>Ok</v>
      </c>
    </row>
    <row r="123" spans="1:11" ht="17.399999999999999" x14ac:dyDescent="0.3">
      <c r="A123" s="16" t="str">
        <f t="shared" si="10"/>
        <v>cd_imv_out_certifflg_efcnc_enrgtc_rnvv</v>
      </c>
      <c r="B123" s="43" t="s">
        <v>415</v>
      </c>
      <c r="C123" s="7" t="s">
        <v>7</v>
      </c>
      <c r="D123" s="5" t="s">
        <v>482</v>
      </c>
      <c r="E123" t="str">
        <f t="shared" si="12"/>
        <v>Ok</v>
      </c>
      <c r="H123" s="16" t="str">
        <f t="shared" si="9"/>
        <v>cd_imv_out_prcorigem</v>
      </c>
      <c r="I123" s="44" t="s">
        <v>2</v>
      </c>
      <c r="J123" s="44" t="s">
        <v>20</v>
      </c>
      <c r="K123" t="str">
        <f t="shared" si="11"/>
        <v>Ok</v>
      </c>
    </row>
    <row r="124" spans="1:11" ht="17.399999999999999" x14ac:dyDescent="0.3">
      <c r="A124" s="16" t="str">
        <f t="shared" si="10"/>
        <v>cd_imv_out_certifvlr_cst_ttl_invstmnt_estmd</v>
      </c>
      <c r="B124" s="43" t="s">
        <v>415</v>
      </c>
      <c r="C124" s="7" t="s">
        <v>7</v>
      </c>
      <c r="D124" s="5" t="s">
        <v>483</v>
      </c>
      <c r="E124" t="str">
        <f t="shared" si="12"/>
        <v>Ok</v>
      </c>
      <c r="H124" s="16" t="str">
        <f t="shared" si="9"/>
        <v>cd_imv_out_prcref_date</v>
      </c>
      <c r="I124" s="44" t="s">
        <v>2</v>
      </c>
      <c r="J124" s="44" t="s">
        <v>21</v>
      </c>
      <c r="K124" t="str">
        <f t="shared" ref="K124:K155" si="13">IFERROR(IF(VLOOKUP(H124,$A$3:$A$214,1,0)=H124,"Ok","Nok"),"Nok")</f>
        <v>Ok</v>
      </c>
    </row>
    <row r="125" spans="1:11" ht="17.399999999999999" x14ac:dyDescent="0.3">
      <c r="A125" s="16" t="str">
        <f t="shared" si="10"/>
        <v>cd_imv_out_certifvlr_rdc_anl_estmd_ftr</v>
      </c>
      <c r="B125" s="43" t="s">
        <v>415</v>
      </c>
      <c r="C125" s="7" t="s">
        <v>7</v>
      </c>
      <c r="D125" s="5" t="s">
        <v>484</v>
      </c>
      <c r="E125" t="str">
        <f t="shared" si="12"/>
        <v>Ok</v>
      </c>
      <c r="H125" s="16" t="str">
        <f t="shared" si="9"/>
        <v>cd_imv_out_trz_cred_prccempresa</v>
      </c>
      <c r="I125" s="44" t="s">
        <v>5</v>
      </c>
      <c r="J125" s="44" t="s">
        <v>8</v>
      </c>
      <c r="K125" t="str">
        <f t="shared" si="13"/>
        <v>Ok</v>
      </c>
    </row>
    <row r="126" spans="1:11" ht="17.399999999999999" x14ac:dyDescent="0.3">
      <c r="A126" s="16" t="str">
        <f t="shared" si="10"/>
        <v>cd_imv_out_certifvlr_class_enrg_aps_mdd</v>
      </c>
      <c r="B126" s="43" t="s">
        <v>415</v>
      </c>
      <c r="C126" s="7" t="s">
        <v>7</v>
      </c>
      <c r="D126" s="5" t="s">
        <v>485</v>
      </c>
      <c r="E126" t="str">
        <f t="shared" si="12"/>
        <v>Ok</v>
      </c>
      <c r="H126" s="16" t="str">
        <f t="shared" si="9"/>
        <v>cd_imv_out_trz_cred_prccempresp</v>
      </c>
      <c r="I126" s="44" t="s">
        <v>5</v>
      </c>
      <c r="J126" s="44" t="s">
        <v>417</v>
      </c>
      <c r="K126" t="str">
        <f t="shared" si="13"/>
        <v>Ok</v>
      </c>
    </row>
    <row r="127" spans="1:11" ht="17.399999999999999" x14ac:dyDescent="0.3">
      <c r="A127" s="16" t="str">
        <f t="shared" si="10"/>
        <v>cd_imv_out_certifvlr_alttt</v>
      </c>
      <c r="B127" s="43" t="s">
        <v>415</v>
      </c>
      <c r="C127" s="7" t="s">
        <v>7</v>
      </c>
      <c r="D127" s="5" t="s">
        <v>486</v>
      </c>
      <c r="E127" t="str">
        <f t="shared" si="12"/>
        <v>Ok</v>
      </c>
      <c r="H127" s="16" t="str">
        <f t="shared" si="9"/>
        <v>cd_imv_out_trz_cred_prcckbalcao</v>
      </c>
      <c r="I127" s="44" t="s">
        <v>5</v>
      </c>
      <c r="J127" s="44" t="s">
        <v>9</v>
      </c>
      <c r="K127" t="str">
        <f t="shared" si="13"/>
        <v>Ok</v>
      </c>
    </row>
    <row r="128" spans="1:11" ht="17.399999999999999" x14ac:dyDescent="0.3">
      <c r="A128" s="16" t="str">
        <f t="shared" si="10"/>
        <v>cd_imv_out_certifvlr_grs_dia</v>
      </c>
      <c r="B128" s="43" t="s">
        <v>415</v>
      </c>
      <c r="C128" s="7" t="s">
        <v>7</v>
      </c>
      <c r="D128" s="5" t="s">
        <v>487</v>
      </c>
      <c r="E128" t="str">
        <f t="shared" si="12"/>
        <v>Ok</v>
      </c>
      <c r="H128" s="16" t="str">
        <f t="shared" ref="H128:H155" si="14">I128&amp;J128</f>
        <v>cd_imv_out_trz_cred_prcckbalres</v>
      </c>
      <c r="I128" s="44" t="s">
        <v>5</v>
      </c>
      <c r="J128" s="44" t="s">
        <v>418</v>
      </c>
      <c r="K128" t="str">
        <f t="shared" si="13"/>
        <v>Ok</v>
      </c>
    </row>
    <row r="129" spans="1:11" ht="17.399999999999999" x14ac:dyDescent="0.3">
      <c r="A129" s="16" t="str">
        <f t="shared" si="10"/>
        <v>cd_imv_out_certifvlr_tmprtr_md_extrr</v>
      </c>
      <c r="B129" s="43" t="s">
        <v>415</v>
      </c>
      <c r="C129" s="7" t="s">
        <v>7</v>
      </c>
      <c r="D129" s="5" t="s">
        <v>488</v>
      </c>
      <c r="E129" t="str">
        <f t="shared" si="12"/>
        <v>Ok</v>
      </c>
      <c r="H129" s="16" t="str">
        <f t="shared" si="14"/>
        <v>cd_imv_out_trz_cred_prcckctares</v>
      </c>
      <c r="I129" s="44" t="s">
        <v>5</v>
      </c>
      <c r="J129" s="44" t="s">
        <v>419</v>
      </c>
      <c r="K129" t="str">
        <f t="shared" si="13"/>
        <v>Ok</v>
      </c>
    </row>
    <row r="130" spans="1:11" ht="17.399999999999999" x14ac:dyDescent="0.3">
      <c r="A130" s="16" t="str">
        <f t="shared" si="10"/>
        <v>cd_imv_out_certifzn_clmtc_invrn</v>
      </c>
      <c r="B130" s="43" t="s">
        <v>415</v>
      </c>
      <c r="C130" s="7" t="s">
        <v>7</v>
      </c>
      <c r="D130" s="5" t="s">
        <v>489</v>
      </c>
      <c r="E130" t="str">
        <f t="shared" si="12"/>
        <v>Ok</v>
      </c>
      <c r="H130" s="16" t="str">
        <f t="shared" si="14"/>
        <v>cd_imv_out_trz_cred_prccknumcta</v>
      </c>
      <c r="I130" s="44" t="s">
        <v>5</v>
      </c>
      <c r="J130" s="44" t="s">
        <v>10</v>
      </c>
      <c r="K130" t="str">
        <f t="shared" si="13"/>
        <v>Ok</v>
      </c>
    </row>
    <row r="131" spans="1:11" ht="17.399999999999999" x14ac:dyDescent="0.3">
      <c r="A131" s="16" t="str">
        <f t="shared" si="10"/>
        <v>cd_imv_out_certifzn_clmtc_vr</v>
      </c>
      <c r="B131" s="43" t="s">
        <v>415</v>
      </c>
      <c r="C131" s="7" t="s">
        <v>7</v>
      </c>
      <c r="D131" s="5" t="s">
        <v>490</v>
      </c>
      <c r="E131" t="str">
        <f t="shared" ref="E131:E162" si="15">IFERROR(IF(VLOOKUP(A131,$H$3:$H$226,1,0)=A131,"Ok","Nok"),"Nok")</f>
        <v>Ok</v>
      </c>
      <c r="H131" s="16" t="str">
        <f t="shared" si="14"/>
        <v>cd_imv_out_trz_cred_prcckrefresp</v>
      </c>
      <c r="I131" s="44" t="s">
        <v>5</v>
      </c>
      <c r="J131" s="44" t="s">
        <v>420</v>
      </c>
      <c r="K131" t="str">
        <f t="shared" si="13"/>
        <v>Ok</v>
      </c>
    </row>
    <row r="132" spans="1:11" ht="17.399999999999999" x14ac:dyDescent="0.3">
      <c r="A132" s="16" t="str">
        <f t="shared" ref="A132:A169" si="16">C132&amp;D132</f>
        <v>cd_imv_out_certifvlr_drc_estc_aqcmnt</v>
      </c>
      <c r="B132" s="43" t="s">
        <v>415</v>
      </c>
      <c r="C132" s="7" t="s">
        <v>7</v>
      </c>
      <c r="D132" s="5" t="s">
        <v>491</v>
      </c>
      <c r="E132" t="str">
        <f t="shared" si="15"/>
        <v>Ok</v>
      </c>
      <c r="H132" s="16" t="str">
        <f t="shared" si="14"/>
        <v>cd_imv_out_trz_cred_prccod_fnld</v>
      </c>
      <c r="I132" s="44" t="s">
        <v>5</v>
      </c>
      <c r="J132" s="44" t="s">
        <v>424</v>
      </c>
      <c r="K132" t="str">
        <f t="shared" si="13"/>
        <v>Ok</v>
      </c>
    </row>
    <row r="133" spans="1:11" ht="17.399999999999999" x14ac:dyDescent="0.3">
      <c r="A133" s="16" t="str">
        <f t="shared" si="16"/>
        <v>cd_imv_out_certifvlr_drc_estc_arrfcmnt</v>
      </c>
      <c r="B133" s="43" t="s">
        <v>415</v>
      </c>
      <c r="C133" s="7" t="s">
        <v>7</v>
      </c>
      <c r="D133" s="5" t="s">
        <v>492</v>
      </c>
      <c r="E133" t="str">
        <f t="shared" si="15"/>
        <v>Ok</v>
      </c>
      <c r="H133" s="16" t="str">
        <f t="shared" si="14"/>
        <v>cd_imv_out_trz_cred_prccod_ocupacao</v>
      </c>
      <c r="I133" s="44" t="s">
        <v>5</v>
      </c>
      <c r="J133" s="44" t="s">
        <v>425</v>
      </c>
      <c r="K133" t="str">
        <f t="shared" si="13"/>
        <v>Ok</v>
      </c>
    </row>
    <row r="134" spans="1:11" ht="17.399999999999999" x14ac:dyDescent="0.3">
      <c r="A134" s="16" t="str">
        <f t="shared" si="16"/>
        <v>cd_imv_out_certifvlr_comp_trmc_prds</v>
      </c>
      <c r="B134" s="43" t="s">
        <v>415</v>
      </c>
      <c r="C134" s="7" t="s">
        <v>7</v>
      </c>
      <c r="D134" s="5" t="s">
        <v>493</v>
      </c>
      <c r="E134" t="str">
        <f t="shared" si="15"/>
        <v>Ok</v>
      </c>
      <c r="H134" s="16" t="str">
        <f t="shared" si="14"/>
        <v>cd_imv_out_trz_cred_prccod_prd_resp</v>
      </c>
      <c r="I134" s="44" t="s">
        <v>5</v>
      </c>
      <c r="J134" s="44" t="s">
        <v>422</v>
      </c>
      <c r="K134" t="str">
        <f t="shared" si="13"/>
        <v>Ok</v>
      </c>
    </row>
    <row r="135" spans="1:11" ht="17.399999999999999" x14ac:dyDescent="0.3">
      <c r="A135" s="16" t="str">
        <f t="shared" si="16"/>
        <v>cd_imv_out_certifvlr_comp_trmc_cbrtrs</v>
      </c>
      <c r="B135" s="43" t="s">
        <v>415</v>
      </c>
      <c r="C135" s="7" t="s">
        <v>7</v>
      </c>
      <c r="D135" s="5" t="s">
        <v>494</v>
      </c>
      <c r="E135" t="str">
        <f t="shared" si="15"/>
        <v>Ok</v>
      </c>
      <c r="H135" s="16" t="str">
        <f t="shared" si="14"/>
        <v>cd_imv_out_trz_cred_prccod_sprd_resp</v>
      </c>
      <c r="I135" s="44" t="s">
        <v>5</v>
      </c>
      <c r="J135" s="44" t="s">
        <v>423</v>
      </c>
      <c r="K135" t="str">
        <f t="shared" si="13"/>
        <v>Ok</v>
      </c>
    </row>
    <row r="136" spans="1:11" ht="17.399999999999999" x14ac:dyDescent="0.3">
      <c r="A136" s="16" t="str">
        <f t="shared" si="16"/>
        <v>cd_imv_out_certifvlr_comp_trmc_pvmnts</v>
      </c>
      <c r="B136" s="43" t="s">
        <v>415</v>
      </c>
      <c r="C136" s="7" t="s">
        <v>7</v>
      </c>
      <c r="D136" s="5" t="s">
        <v>495</v>
      </c>
      <c r="E136" t="str">
        <f t="shared" si="15"/>
        <v>Ok</v>
      </c>
      <c r="H136" s="16" t="str">
        <f t="shared" si="14"/>
        <v>cd_imv_out_trz_cred_prccomp_id_gar</v>
      </c>
      <c r="I136" s="44" t="s">
        <v>5</v>
      </c>
      <c r="J136" s="44" t="s">
        <v>17</v>
      </c>
      <c r="K136" t="str">
        <f t="shared" si="13"/>
        <v>Ok</v>
      </c>
    </row>
    <row r="137" spans="1:11" ht="17.399999999999999" x14ac:dyDescent="0.3">
      <c r="A137" s="16" t="str">
        <f t="shared" si="16"/>
        <v>cd_imv_out_certifvlr_comp_trmc_jnls</v>
      </c>
      <c r="B137" s="43" t="s">
        <v>415</v>
      </c>
      <c r="C137" s="7" t="s">
        <v>7</v>
      </c>
      <c r="D137" s="5" t="s">
        <v>496</v>
      </c>
      <c r="E137" t="str">
        <f t="shared" si="15"/>
        <v>Ok</v>
      </c>
      <c r="H137" s="16" t="str">
        <f t="shared" si="14"/>
        <v>cd_imv_out_trz_cred_prcdata_fim</v>
      </c>
      <c r="I137" s="44" t="s">
        <v>5</v>
      </c>
      <c r="J137" s="44" t="s">
        <v>421</v>
      </c>
      <c r="K137" t="str">
        <f t="shared" si="13"/>
        <v>Ok</v>
      </c>
    </row>
    <row r="138" spans="1:11" ht="17.399999999999999" x14ac:dyDescent="0.3">
      <c r="A138" s="16" t="str">
        <f t="shared" si="16"/>
        <v>cd_imv_out_certifvlr_comp_trmc_sstmtcn_vntld</v>
      </c>
      <c r="B138" s="43" t="s">
        <v>415</v>
      </c>
      <c r="C138" s="7" t="s">
        <v>7</v>
      </c>
      <c r="D138" s="5" t="s">
        <v>497</v>
      </c>
      <c r="E138" t="str">
        <f t="shared" si="15"/>
        <v>Ok</v>
      </c>
      <c r="H138" s="16" t="str">
        <f t="shared" si="14"/>
        <v>cd_imv_out_trz_cred_prcdata_inicio</v>
      </c>
      <c r="I138" s="44" t="s">
        <v>5</v>
      </c>
      <c r="J138" s="44" t="s">
        <v>18</v>
      </c>
      <c r="K138" t="str">
        <f t="shared" si="13"/>
        <v>Ok</v>
      </c>
    </row>
    <row r="139" spans="1:11" ht="17.399999999999999" x14ac:dyDescent="0.3">
      <c r="A139" s="16" t="str">
        <f t="shared" si="16"/>
        <v>cd_imv_out_certifvlr_prds_gnhs_invrn_rfc</v>
      </c>
      <c r="B139" s="43" t="s">
        <v>415</v>
      </c>
      <c r="C139" s="7" t="s">
        <v>7</v>
      </c>
      <c r="D139" s="5" t="s">
        <v>498</v>
      </c>
      <c r="E139" t="str">
        <f t="shared" si="15"/>
        <v>Ok</v>
      </c>
      <c r="H139" s="16" t="str">
        <f t="shared" si="14"/>
        <v>cd_imv_out_trz_cred_prcdata_vcmt</v>
      </c>
      <c r="I139" s="44" t="s">
        <v>5</v>
      </c>
      <c r="J139" s="44" t="s">
        <v>19</v>
      </c>
      <c r="K139" t="str">
        <f t="shared" si="13"/>
        <v>Ok</v>
      </c>
    </row>
    <row r="140" spans="1:11" ht="17.399999999999999" x14ac:dyDescent="0.3">
      <c r="A140" s="16" t="str">
        <f t="shared" si="16"/>
        <v>cd_imv_out_certifvlr_prds_gnhs_invrn_jnl</v>
      </c>
      <c r="B140" s="43" t="s">
        <v>415</v>
      </c>
      <c r="C140" s="7" t="s">
        <v>7</v>
      </c>
      <c r="D140" s="5" t="s">
        <v>499</v>
      </c>
      <c r="E140" t="str">
        <f t="shared" si="15"/>
        <v>Ok</v>
      </c>
      <c r="H140" s="16" t="str">
        <f t="shared" si="14"/>
        <v>cd_imv_out_trz_cred_prcorigem</v>
      </c>
      <c r="I140" s="44" t="s">
        <v>5</v>
      </c>
      <c r="J140" s="44" t="s">
        <v>20</v>
      </c>
      <c r="K140" t="str">
        <f t="shared" si="13"/>
        <v>Ok</v>
      </c>
    </row>
    <row r="141" spans="1:11" ht="17.399999999999999" x14ac:dyDescent="0.3">
      <c r="A141" s="16" t="str">
        <f t="shared" si="16"/>
        <v>cd_imv_out_certifvlr_prds_gnhs_invrn_vntnh</v>
      </c>
      <c r="B141" s="43" t="s">
        <v>415</v>
      </c>
      <c r="C141" s="7" t="s">
        <v>7</v>
      </c>
      <c r="D141" s="5" t="s">
        <v>500</v>
      </c>
      <c r="E141" t="str">
        <f t="shared" si="15"/>
        <v>Ok</v>
      </c>
      <c r="H141" s="16" t="str">
        <f t="shared" si="14"/>
        <v>cd_imv_out_trz_cred_prcref_date</v>
      </c>
      <c r="I141" s="44" t="s">
        <v>5</v>
      </c>
      <c r="J141" s="44" t="s">
        <v>21</v>
      </c>
      <c r="K141" t="str">
        <f t="shared" si="13"/>
        <v>Ok</v>
      </c>
    </row>
    <row r="142" spans="1:11" ht="17.399999999999999" x14ac:dyDescent="0.3">
      <c r="A142" s="16" t="str">
        <f t="shared" si="16"/>
        <v>cd_imv_out_certifvlr_prds_gnhs_invrn_cbrtr</v>
      </c>
      <c r="B142" s="43" t="s">
        <v>415</v>
      </c>
      <c r="C142" s="7" t="s">
        <v>7</v>
      </c>
      <c r="D142" s="5" t="s">
        <v>501</v>
      </c>
      <c r="E142" t="str">
        <f t="shared" si="15"/>
        <v>Ok</v>
      </c>
      <c r="H142" s="16" t="str">
        <f t="shared" si="14"/>
        <v>cd_imv_out_trz_prc_bens_imvcempbem</v>
      </c>
      <c r="I142" s="44" t="s">
        <v>3</v>
      </c>
      <c r="J142" s="44" t="s">
        <v>49</v>
      </c>
      <c r="K142" t="str">
        <f t="shared" si="13"/>
        <v>Ok</v>
      </c>
    </row>
    <row r="143" spans="1:11" ht="17.399999999999999" x14ac:dyDescent="0.3">
      <c r="A143" s="16" t="str">
        <f t="shared" si="16"/>
        <v>cd_imv_out_certifvlr_prd_gnh_invrn_prd_prt</v>
      </c>
      <c r="B143" s="43" t="s">
        <v>415</v>
      </c>
      <c r="C143" s="7" t="s">
        <v>7</v>
      </c>
      <c r="D143" s="5" t="s">
        <v>502</v>
      </c>
      <c r="E143" t="str">
        <f t="shared" si="15"/>
        <v>Ok</v>
      </c>
      <c r="H143" s="16" t="str">
        <f t="shared" si="14"/>
        <v>cd_imv_out_trz_prc_bens_imvcempresa</v>
      </c>
      <c r="I143" s="44" t="s">
        <v>3</v>
      </c>
      <c r="J143" s="44" t="s">
        <v>8</v>
      </c>
      <c r="K143" t="str">
        <f t="shared" si="13"/>
        <v>Ok</v>
      </c>
    </row>
    <row r="144" spans="1:11" ht="17.399999999999999" x14ac:dyDescent="0.3">
      <c r="A144" s="16" t="str">
        <f t="shared" si="16"/>
        <v>cd_imv_out_certifvlr_prd_gnh_invrn_pvmnt</v>
      </c>
      <c r="B144" s="43" t="s">
        <v>415</v>
      </c>
      <c r="C144" s="7" t="s">
        <v>7</v>
      </c>
      <c r="D144" s="5" t="s">
        <v>503</v>
      </c>
      <c r="E144" t="str">
        <f t="shared" si="15"/>
        <v>Ok</v>
      </c>
      <c r="H144" s="16" t="str">
        <f t="shared" si="14"/>
        <v>cd_imv_out_trz_prc_bens_imvckbalbem</v>
      </c>
      <c r="I144" s="44" t="s">
        <v>3</v>
      </c>
      <c r="J144" s="44" t="s">
        <v>50</v>
      </c>
      <c r="K144" t="str">
        <f t="shared" si="13"/>
        <v>Ok</v>
      </c>
    </row>
    <row r="145" spans="1:11" ht="17.399999999999999" x14ac:dyDescent="0.3">
      <c r="A145" s="16" t="str">
        <f t="shared" si="16"/>
        <v>cd_imv_out_certifvlr_prds_gnhs_vr_rfrc</v>
      </c>
      <c r="B145" s="43" t="s">
        <v>415</v>
      </c>
      <c r="C145" s="7" t="s">
        <v>7</v>
      </c>
      <c r="D145" s="5" t="s">
        <v>504</v>
      </c>
      <c r="E145" t="str">
        <f t="shared" si="15"/>
        <v>Ok</v>
      </c>
      <c r="H145" s="16" t="str">
        <f t="shared" si="14"/>
        <v>cd_imv_out_trz_prc_bens_imvckbalcao</v>
      </c>
      <c r="I145" s="44" t="s">
        <v>3</v>
      </c>
      <c r="J145" s="44" t="s">
        <v>9</v>
      </c>
      <c r="K145" t="str">
        <f t="shared" si="13"/>
        <v>Ok</v>
      </c>
    </row>
    <row r="146" spans="1:11" ht="17.399999999999999" x14ac:dyDescent="0.3">
      <c r="A146" s="16" t="str">
        <f t="shared" si="16"/>
        <v>cd_imv_out_certifvlr_prds_gnhs_vr_jnl</v>
      </c>
      <c r="B146" s="43" t="s">
        <v>415</v>
      </c>
      <c r="C146" s="7" t="s">
        <v>7</v>
      </c>
      <c r="D146" s="5" t="s">
        <v>505</v>
      </c>
      <c r="E146" t="str">
        <f t="shared" si="15"/>
        <v>Ok</v>
      </c>
      <c r="H146" s="16" t="str">
        <f t="shared" si="14"/>
        <v>cd_imv_out_trz_prc_bens_imvckctabem</v>
      </c>
      <c r="I146" s="44" t="s">
        <v>3</v>
      </c>
      <c r="J146" s="44" t="s">
        <v>51</v>
      </c>
      <c r="K146" t="str">
        <f t="shared" si="13"/>
        <v>Ok</v>
      </c>
    </row>
    <row r="147" spans="1:11" ht="17.399999999999999" x14ac:dyDescent="0.3">
      <c r="A147" s="16" t="str">
        <f t="shared" si="16"/>
        <v>cd_imv_out_certifvlr_prds_gnhs_vr_cbrtr</v>
      </c>
      <c r="B147" s="43" t="s">
        <v>415</v>
      </c>
      <c r="C147" s="7" t="s">
        <v>7</v>
      </c>
      <c r="D147" s="5" t="s">
        <v>506</v>
      </c>
      <c r="E147" t="str">
        <f t="shared" si="15"/>
        <v>Ok</v>
      </c>
      <c r="H147" s="16" t="str">
        <f t="shared" si="14"/>
        <v>cd_imv_out_trz_prc_bens_imvcknumcta</v>
      </c>
      <c r="I147" s="44" t="s">
        <v>3</v>
      </c>
      <c r="J147" s="44" t="s">
        <v>10</v>
      </c>
      <c r="K147" t="str">
        <f t="shared" si="13"/>
        <v>Ok</v>
      </c>
    </row>
    <row r="148" spans="1:11" ht="17.399999999999999" x14ac:dyDescent="0.3">
      <c r="A148" s="16" t="str">
        <f t="shared" si="16"/>
        <v>cd_imv_out_certifvlr_prds_gnhs_vr_prd_prt</v>
      </c>
      <c r="B148" s="43" t="s">
        <v>415</v>
      </c>
      <c r="C148" s="7" t="s">
        <v>7</v>
      </c>
      <c r="D148" s="5" t="s">
        <v>507</v>
      </c>
      <c r="E148" t="str">
        <f t="shared" si="15"/>
        <v>Ok</v>
      </c>
      <c r="H148" s="16" t="str">
        <f t="shared" si="14"/>
        <v>cd_imv_out_trz_prc_bens_imvckrefbem</v>
      </c>
      <c r="I148" s="44" t="s">
        <v>3</v>
      </c>
      <c r="J148" s="44" t="s">
        <v>52</v>
      </c>
      <c r="K148" t="str">
        <f t="shared" si="13"/>
        <v>Ok</v>
      </c>
    </row>
    <row r="149" spans="1:11" ht="17.399999999999999" x14ac:dyDescent="0.3">
      <c r="A149" s="16" t="str">
        <f t="shared" si="16"/>
        <v>cd_imv_out_certifmetodo_info</v>
      </c>
      <c r="B149" s="43" t="s">
        <v>415</v>
      </c>
      <c r="C149" s="7" t="s">
        <v>7</v>
      </c>
      <c r="D149" s="6" t="s">
        <v>508</v>
      </c>
      <c r="E149" t="str">
        <f t="shared" si="15"/>
        <v>Ok</v>
      </c>
      <c r="H149" s="16" t="str">
        <f t="shared" si="14"/>
        <v>cd_imv_out_trz_prc_bens_imvcomp_id_gar</v>
      </c>
      <c r="I149" s="44" t="s">
        <v>3</v>
      </c>
      <c r="J149" s="44" t="s">
        <v>17</v>
      </c>
      <c r="K149" t="str">
        <f t="shared" si="13"/>
        <v>Ok</v>
      </c>
    </row>
    <row r="150" spans="1:11" ht="17.399999999999999" x14ac:dyDescent="0.3">
      <c r="A150" s="16" t="str">
        <f t="shared" si="16"/>
        <v>cd_imv_out_certifckutulmo</v>
      </c>
      <c r="B150" s="49" t="s">
        <v>415</v>
      </c>
      <c r="C150" s="17" t="s">
        <v>7</v>
      </c>
      <c r="D150" s="48" t="s">
        <v>144</v>
      </c>
      <c r="E150" s="18" t="str">
        <f t="shared" si="15"/>
        <v>Nok</v>
      </c>
      <c r="F150" t="s">
        <v>512</v>
      </c>
      <c r="H150" s="16" t="str">
        <f t="shared" si="14"/>
        <v>cd_imv_out_trz_prc_bens_imvflg_adj</v>
      </c>
      <c r="I150" s="44" t="s">
        <v>3</v>
      </c>
      <c r="J150" s="44" t="s">
        <v>426</v>
      </c>
      <c r="K150" t="str">
        <f t="shared" si="13"/>
        <v>Ok</v>
      </c>
    </row>
    <row r="151" spans="1:11" ht="17.399999999999999" x14ac:dyDescent="0.3">
      <c r="A151" s="16" t="str">
        <f t="shared" si="16"/>
        <v>cd_imv_out_certifhtimest</v>
      </c>
      <c r="B151" s="49" t="s">
        <v>415</v>
      </c>
      <c r="C151" s="17" t="s">
        <v>7</v>
      </c>
      <c r="D151" s="48" t="s">
        <v>145</v>
      </c>
      <c r="E151" s="18" t="str">
        <f t="shared" si="15"/>
        <v>Nok</v>
      </c>
      <c r="F151" t="s">
        <v>512</v>
      </c>
      <c r="H151" s="16" t="str">
        <f t="shared" si="14"/>
        <v>cd_imv_out_trz_prc_bens_imvflg_col</v>
      </c>
      <c r="I151" s="44" t="s">
        <v>3</v>
      </c>
      <c r="J151" s="44" t="s">
        <v>339</v>
      </c>
      <c r="K151" t="str">
        <f t="shared" si="13"/>
        <v>Ok</v>
      </c>
    </row>
    <row r="152" spans="1:11" ht="17.399999999999999" x14ac:dyDescent="0.3">
      <c r="A152" s="16" t="str">
        <f t="shared" si="16"/>
        <v>cd_imv_out_certifref_date</v>
      </c>
      <c r="B152" s="43" t="s">
        <v>415</v>
      </c>
      <c r="C152" s="7" t="s">
        <v>7</v>
      </c>
      <c r="D152" s="2" t="s">
        <v>21</v>
      </c>
      <c r="E152" t="str">
        <f t="shared" si="15"/>
        <v>Ok</v>
      </c>
      <c r="H152" s="16" t="str">
        <f t="shared" si="14"/>
        <v>cd_imv_out_trz_prc_bens_imvflg_fin</v>
      </c>
      <c r="I152" s="44" t="s">
        <v>3</v>
      </c>
      <c r="J152" s="44" t="s">
        <v>337</v>
      </c>
      <c r="K152" t="str">
        <f t="shared" si="13"/>
        <v>Ok</v>
      </c>
    </row>
    <row r="153" spans="1:11" ht="17.399999999999999" x14ac:dyDescent="0.3">
      <c r="A153" s="16" t="str">
        <f t="shared" si="16"/>
        <v>cd_imv_out_certiforigem</v>
      </c>
      <c r="B153" s="43" t="s">
        <v>415</v>
      </c>
      <c r="C153" s="7" t="s">
        <v>7</v>
      </c>
      <c r="D153" s="2" t="s">
        <v>20</v>
      </c>
      <c r="E153" t="str">
        <f t="shared" si="15"/>
        <v>Ok</v>
      </c>
      <c r="H153" s="16" t="str">
        <f t="shared" si="14"/>
        <v>cd_imv_out_trz_prc_bens_imvflg_pro</v>
      </c>
      <c r="I153" s="44" t="s">
        <v>3</v>
      </c>
      <c r="J153" s="44" t="s">
        <v>340</v>
      </c>
      <c r="K153" t="str">
        <f t="shared" si="13"/>
        <v>Ok</v>
      </c>
    </row>
    <row r="154" spans="1:11" ht="17.399999999999999" x14ac:dyDescent="0.3">
      <c r="A154" s="16" t="str">
        <f t="shared" si="16"/>
        <v>cd_imv_inp_certif_estimativadata_extraccao_info</v>
      </c>
      <c r="B154" s="43" t="s">
        <v>416</v>
      </c>
      <c r="C154" s="7" t="s">
        <v>6</v>
      </c>
      <c r="D154" s="2" t="s">
        <v>509</v>
      </c>
      <c r="E154" t="str">
        <f t="shared" si="15"/>
        <v>Ok</v>
      </c>
      <c r="H154" s="16" t="str">
        <f t="shared" si="14"/>
        <v>cd_imv_out_trz_prc_bens_imvorigem</v>
      </c>
      <c r="I154" s="44" t="s">
        <v>3</v>
      </c>
      <c r="J154" s="44" t="s">
        <v>20</v>
      </c>
      <c r="K154" t="str">
        <f t="shared" si="13"/>
        <v>Ok</v>
      </c>
    </row>
    <row r="155" spans="1:11" ht="17.399999999999999" x14ac:dyDescent="0.3">
      <c r="A155" s="16" t="str">
        <f t="shared" si="16"/>
        <v>cd_imv_inp_certif_estimativacempbem</v>
      </c>
      <c r="B155" s="43" t="s">
        <v>416</v>
      </c>
      <c r="C155" s="7" t="s">
        <v>6</v>
      </c>
      <c r="D155" s="2" t="s">
        <v>49</v>
      </c>
      <c r="E155" t="str">
        <f t="shared" si="15"/>
        <v>Ok</v>
      </c>
      <c r="H155" s="16" t="str">
        <f t="shared" si="14"/>
        <v>cd_imv_out_trz_prc_bens_imvref_date</v>
      </c>
      <c r="I155" s="44" t="s">
        <v>3</v>
      </c>
      <c r="J155" s="44" t="s">
        <v>21</v>
      </c>
      <c r="K155" t="str">
        <f t="shared" si="13"/>
        <v>Ok</v>
      </c>
    </row>
    <row r="156" spans="1:11" x14ac:dyDescent="0.3">
      <c r="A156" s="16" t="str">
        <f t="shared" si="16"/>
        <v>cd_imv_inp_certif_estimativackbalbem</v>
      </c>
      <c r="B156" s="43" t="s">
        <v>416</v>
      </c>
      <c r="C156" s="7" t="s">
        <v>6</v>
      </c>
      <c r="D156" s="2" t="s">
        <v>50</v>
      </c>
      <c r="E156" t="str">
        <f t="shared" si="15"/>
        <v>Ok</v>
      </c>
    </row>
    <row r="157" spans="1:11" x14ac:dyDescent="0.3">
      <c r="A157" s="16" t="str">
        <f t="shared" si="16"/>
        <v>cd_imv_inp_certif_estimativackctabem</v>
      </c>
      <c r="B157" s="43" t="s">
        <v>416</v>
      </c>
      <c r="C157" s="7" t="s">
        <v>6</v>
      </c>
      <c r="D157" s="2" t="s">
        <v>51</v>
      </c>
      <c r="E157" t="str">
        <f t="shared" si="15"/>
        <v>Ok</v>
      </c>
    </row>
    <row r="158" spans="1:11" x14ac:dyDescent="0.3">
      <c r="A158" s="16" t="str">
        <f t="shared" si="16"/>
        <v>cd_imv_inp_certif_estimativackrefbem</v>
      </c>
      <c r="B158" s="43" t="s">
        <v>416</v>
      </c>
      <c r="C158" s="7" t="s">
        <v>6</v>
      </c>
      <c r="D158" s="2" t="s">
        <v>52</v>
      </c>
      <c r="E158" t="str">
        <f t="shared" si="15"/>
        <v>Ok</v>
      </c>
    </row>
    <row r="159" spans="1:11" x14ac:dyDescent="0.3">
      <c r="A159" s="16" t="str">
        <f t="shared" si="16"/>
        <v>cd_imv_inp_certif_estimativachave_encriptada</v>
      </c>
      <c r="B159" s="43" t="s">
        <v>416</v>
      </c>
      <c r="C159" s="7" t="s">
        <v>6</v>
      </c>
      <c r="D159" s="3" t="s">
        <v>510</v>
      </c>
      <c r="E159" t="str">
        <f t="shared" si="15"/>
        <v>Ok</v>
      </c>
    </row>
    <row r="160" spans="1:11" x14ac:dyDescent="0.3">
      <c r="A160" s="16" t="str">
        <f t="shared" si="16"/>
        <v>cd_imv_inp_certif_estimativafornecedor</v>
      </c>
      <c r="B160" s="43" t="s">
        <v>416</v>
      </c>
      <c r="C160" s="7" t="s">
        <v>6</v>
      </c>
      <c r="D160" s="3" t="s">
        <v>511</v>
      </c>
      <c r="E160" t="str">
        <f t="shared" si="15"/>
        <v>Ok</v>
      </c>
    </row>
    <row r="161" spans="1:6" x14ac:dyDescent="0.3">
      <c r="A161" s="16" t="str">
        <f t="shared" si="16"/>
        <v>cd_imv_inp_certif_estimativaepc</v>
      </c>
      <c r="B161" s="43" t="s">
        <v>416</v>
      </c>
      <c r="C161" s="7" t="s">
        <v>6</v>
      </c>
      <c r="D161" s="3" t="s">
        <v>45</v>
      </c>
      <c r="E161" t="str">
        <f t="shared" si="15"/>
        <v>Ok</v>
      </c>
    </row>
    <row r="162" spans="1:6" x14ac:dyDescent="0.3">
      <c r="A162" s="16" t="str">
        <f t="shared" si="16"/>
        <v>cd_imv_inp_certif_estimativavlr_emss_ano</v>
      </c>
      <c r="B162" s="43" t="s">
        <v>416</v>
      </c>
      <c r="C162" s="7" t="s">
        <v>6</v>
      </c>
      <c r="D162" s="3" t="s">
        <v>454</v>
      </c>
      <c r="E162" t="str">
        <f t="shared" si="15"/>
        <v>Ok</v>
      </c>
    </row>
    <row r="163" spans="1:6" x14ac:dyDescent="0.3">
      <c r="A163" s="16" t="str">
        <f t="shared" si="16"/>
        <v>cd_imv_inp_certif_estimativavlr_cnsm_ano</v>
      </c>
      <c r="B163" s="43" t="s">
        <v>416</v>
      </c>
      <c r="C163" s="7" t="s">
        <v>6</v>
      </c>
      <c r="D163" s="3" t="s">
        <v>457</v>
      </c>
      <c r="E163" t="str">
        <f t="shared" ref="E163:E169" si="17">IFERROR(IF(VLOOKUP(A163,$H$3:$H$226,1,0)=A163,"Ok","Nok"),"Nok")</f>
        <v>Ok</v>
      </c>
    </row>
    <row r="164" spans="1:6" x14ac:dyDescent="0.3">
      <c r="A164" s="16" t="str">
        <f t="shared" si="16"/>
        <v>cd_imv_inp_certif_estimativametodo_info</v>
      </c>
      <c r="B164" s="43" t="s">
        <v>416</v>
      </c>
      <c r="C164" s="7" t="s">
        <v>6</v>
      </c>
      <c r="D164" s="3" t="s">
        <v>508</v>
      </c>
      <c r="E164" t="str">
        <f t="shared" si="17"/>
        <v>Ok</v>
      </c>
    </row>
    <row r="165" spans="1:6" x14ac:dyDescent="0.3">
      <c r="A165" s="16" t="str">
        <f t="shared" si="16"/>
        <v>cd_imv_inp_certif_estimativascore_qualidade</v>
      </c>
      <c r="B165" s="43" t="s">
        <v>416</v>
      </c>
      <c r="C165" s="7" t="s">
        <v>6</v>
      </c>
      <c r="D165" s="3" t="s">
        <v>76</v>
      </c>
      <c r="E165" t="str">
        <f t="shared" si="17"/>
        <v>Ok</v>
      </c>
    </row>
    <row r="166" spans="1:6" x14ac:dyDescent="0.3">
      <c r="A166" s="16" t="str">
        <f t="shared" si="16"/>
        <v>cd_imv_inp_certif_estimativackutulmo</v>
      </c>
      <c r="B166" s="49" t="s">
        <v>416</v>
      </c>
      <c r="C166" s="17" t="s">
        <v>6</v>
      </c>
      <c r="D166" s="19" t="s">
        <v>144</v>
      </c>
      <c r="E166" s="18" t="str">
        <f t="shared" si="17"/>
        <v>Nok</v>
      </c>
      <c r="F166" t="s">
        <v>512</v>
      </c>
    </row>
    <row r="167" spans="1:6" x14ac:dyDescent="0.3">
      <c r="A167" s="16" t="str">
        <f t="shared" si="16"/>
        <v>cd_imv_inp_certif_estimativahtimest</v>
      </c>
      <c r="B167" s="49" t="s">
        <v>416</v>
      </c>
      <c r="C167" s="17" t="s">
        <v>6</v>
      </c>
      <c r="D167" s="19" t="s">
        <v>145</v>
      </c>
      <c r="E167" s="18" t="str">
        <f t="shared" si="17"/>
        <v>Nok</v>
      </c>
      <c r="F167" t="s">
        <v>512</v>
      </c>
    </row>
    <row r="168" spans="1:6" x14ac:dyDescent="0.3">
      <c r="A168" s="16" t="str">
        <f t="shared" si="16"/>
        <v>cd_imv_inp_certif_estimativaref_date</v>
      </c>
      <c r="B168" s="49" t="s">
        <v>416</v>
      </c>
      <c r="C168" s="17" t="s">
        <v>6</v>
      </c>
      <c r="D168" s="19" t="s">
        <v>21</v>
      </c>
      <c r="E168" s="18" t="str">
        <f t="shared" si="17"/>
        <v>Nok</v>
      </c>
      <c r="F168" t="s">
        <v>512</v>
      </c>
    </row>
    <row r="169" spans="1:6" x14ac:dyDescent="0.3">
      <c r="A169" s="16" t="str">
        <f t="shared" si="16"/>
        <v>cd_imv_inp_certif_estimativacod_visao</v>
      </c>
      <c r="B169" s="49" t="s">
        <v>416</v>
      </c>
      <c r="C169" s="17" t="s">
        <v>6</v>
      </c>
      <c r="D169" s="19" t="s">
        <v>146</v>
      </c>
      <c r="E169" s="18" t="str">
        <f t="shared" si="17"/>
        <v>Nok</v>
      </c>
      <c r="F169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2498-B42B-4E2C-8DC2-D2DB2A6DC38D}">
  <dimension ref="A2:S234"/>
  <sheetViews>
    <sheetView topLeftCell="A188" workbookViewId="0">
      <selection activeCell="C191" sqref="C191"/>
    </sheetView>
  </sheetViews>
  <sheetFormatPr defaultRowHeight="14.4" x14ac:dyDescent="0.3"/>
  <cols>
    <col min="2" max="2" width="24.6640625" bestFit="1" customWidth="1"/>
    <col min="3" max="3" width="23.109375" bestFit="1" customWidth="1"/>
    <col min="9" max="9" width="15.77734375" customWidth="1"/>
    <col min="10" max="10" width="19.6640625" bestFit="1" customWidth="1"/>
    <col min="11" max="11" width="31.88671875" bestFit="1" customWidth="1"/>
    <col min="12" max="12" width="29.33203125" bestFit="1" customWidth="1"/>
    <col min="17" max="17" width="33.5546875" bestFit="1" customWidth="1"/>
    <col min="18" max="18" width="13.109375" bestFit="1" customWidth="1"/>
    <col min="19" max="19" width="14.21875" bestFit="1" customWidth="1"/>
  </cols>
  <sheetData>
    <row r="2" spans="1:19" x14ac:dyDescent="0.3">
      <c r="B2" s="1" t="s">
        <v>22</v>
      </c>
      <c r="C2" s="1" t="s">
        <v>1</v>
      </c>
      <c r="D2" s="7" t="s">
        <v>181</v>
      </c>
      <c r="J2" s="14" t="s">
        <v>178</v>
      </c>
      <c r="K2" s="14" t="s">
        <v>179</v>
      </c>
      <c r="L2" s="14" t="s">
        <v>180</v>
      </c>
      <c r="M2" s="15" t="s">
        <v>182</v>
      </c>
      <c r="N2" s="15" t="s">
        <v>189</v>
      </c>
    </row>
    <row r="3" spans="1:19" x14ac:dyDescent="0.3">
      <c r="A3" s="16" t="str">
        <f t="shared" ref="A3:A66" si="0">B3&amp;C3</f>
        <v>modesg_inp_empr_excl_parisref_date</v>
      </c>
      <c r="B3" s="3" t="s">
        <v>109</v>
      </c>
      <c r="C3" s="8" t="s">
        <v>21</v>
      </c>
      <c r="D3" t="str">
        <f t="shared" ref="D3:D66" si="1">IFERROR(IF(VLOOKUP(A3,$I$3:$I$234,1,0)=A3,"Ok","Nok"),"Nok")</f>
        <v>Ok</v>
      </c>
      <c r="I3" s="16" t="str">
        <f>K3&amp;L3</f>
        <v>modesg_inp_empr_excl_parisccli_kgl</v>
      </c>
      <c r="J3" s="7" t="s">
        <v>147</v>
      </c>
      <c r="K3" s="7" t="s">
        <v>109</v>
      </c>
      <c r="L3" t="s">
        <v>148</v>
      </c>
      <c r="M3" t="str">
        <f>IFERROR(IF(VLOOKUP(I3,$A$3:$A$214,1,0)=I3,"Ok","Nok"),"Nok")</f>
        <v>Ok</v>
      </c>
      <c r="N3" t="s">
        <v>193</v>
      </c>
      <c r="Q3" s="25" t="s">
        <v>179</v>
      </c>
      <c r="R3" s="25" t="s">
        <v>189</v>
      </c>
      <c r="S3" t="s">
        <v>192</v>
      </c>
    </row>
    <row r="4" spans="1:19" x14ac:dyDescent="0.3">
      <c r="A4" s="16" t="str">
        <f t="shared" si="0"/>
        <v>modesg_inp_empr_excl_parisisin</v>
      </c>
      <c r="B4" s="3" t="s">
        <v>109</v>
      </c>
      <c r="C4" s="8" t="s">
        <v>110</v>
      </c>
      <c r="D4" t="str">
        <f t="shared" si="1"/>
        <v>Ok</v>
      </c>
      <c r="I4" s="16" t="str">
        <f t="shared" ref="I4:I67" si="2">K4&amp;L4</f>
        <v>modesg_inp_empr_excl_parisclei</v>
      </c>
      <c r="J4" s="7" t="s">
        <v>147</v>
      </c>
      <c r="K4" s="7" t="s">
        <v>109</v>
      </c>
      <c r="L4" t="s">
        <v>111</v>
      </c>
      <c r="M4" t="str">
        <f t="shared" ref="M4:M67" si="3">IFERROR(IF(VLOOKUP(I4,$A$3:$A$214,1,0)=I4,"Ok","Nok"),"Nok")</f>
        <v>Ok</v>
      </c>
      <c r="N4" t="s">
        <v>193</v>
      </c>
      <c r="Q4" t="s">
        <v>109</v>
      </c>
      <c r="R4" t="s">
        <v>193</v>
      </c>
      <c r="S4">
        <v>7</v>
      </c>
    </row>
    <row r="5" spans="1:19" x14ac:dyDescent="0.3">
      <c r="A5" s="16" t="str">
        <f t="shared" si="0"/>
        <v>modesg_inp_empr_excl_parisclei</v>
      </c>
      <c r="B5" s="3" t="s">
        <v>109</v>
      </c>
      <c r="C5" s="8" t="s">
        <v>111</v>
      </c>
      <c r="D5" t="str">
        <f t="shared" si="1"/>
        <v>Ok</v>
      </c>
      <c r="I5" s="16" t="str">
        <f t="shared" si="2"/>
        <v>modesg_inp_empr_excl_parisflg_scib</v>
      </c>
      <c r="J5" s="7" t="s">
        <v>147</v>
      </c>
      <c r="K5" s="7" t="s">
        <v>109</v>
      </c>
      <c r="L5" t="s">
        <v>113</v>
      </c>
      <c r="M5" t="str">
        <f t="shared" si="3"/>
        <v>Ok</v>
      </c>
      <c r="N5" t="s">
        <v>193</v>
      </c>
      <c r="Q5" t="s">
        <v>138</v>
      </c>
      <c r="R5" t="s">
        <v>183</v>
      </c>
      <c r="S5">
        <v>2</v>
      </c>
    </row>
    <row r="6" spans="1:19" x14ac:dyDescent="0.3">
      <c r="A6" s="16" t="str">
        <f t="shared" si="0"/>
        <v>modesg_inp_empr_excl_parisccli_kgl</v>
      </c>
      <c r="B6" s="3" t="s">
        <v>109</v>
      </c>
      <c r="C6" s="8" t="s">
        <v>148</v>
      </c>
      <c r="D6" t="str">
        <f t="shared" si="1"/>
        <v>Ok</v>
      </c>
      <c r="I6" s="16" t="str">
        <f t="shared" si="2"/>
        <v>modesg_inp_empr_excl_parisisin</v>
      </c>
      <c r="J6" s="7" t="s">
        <v>147</v>
      </c>
      <c r="K6" s="7" t="s">
        <v>109</v>
      </c>
      <c r="L6" t="s">
        <v>110</v>
      </c>
      <c r="M6" t="str">
        <f t="shared" si="3"/>
        <v>Ok</v>
      </c>
      <c r="N6" t="s">
        <v>193</v>
      </c>
      <c r="R6" t="s">
        <v>193</v>
      </c>
      <c r="S6">
        <v>16</v>
      </c>
    </row>
    <row r="7" spans="1:19" x14ac:dyDescent="0.3">
      <c r="A7" s="16" t="str">
        <f t="shared" si="0"/>
        <v>modesg_inp_empr_excl_parisnome_entidade</v>
      </c>
      <c r="B7" s="3" t="s">
        <v>109</v>
      </c>
      <c r="C7" s="8" t="s">
        <v>112</v>
      </c>
      <c r="D7" t="str">
        <f t="shared" si="1"/>
        <v>Ok</v>
      </c>
      <c r="I7" s="16" t="str">
        <f t="shared" si="2"/>
        <v>modesg_inp_empr_excl_parisnome_entidade</v>
      </c>
      <c r="J7" s="7" t="s">
        <v>147</v>
      </c>
      <c r="K7" s="7" t="s">
        <v>109</v>
      </c>
      <c r="L7" t="s">
        <v>112</v>
      </c>
      <c r="M7" t="str">
        <f t="shared" si="3"/>
        <v>Ok</v>
      </c>
      <c r="N7" t="s">
        <v>193</v>
      </c>
      <c r="Q7" t="s">
        <v>129</v>
      </c>
      <c r="R7" t="s">
        <v>183</v>
      </c>
      <c r="S7">
        <v>5</v>
      </c>
    </row>
    <row r="8" spans="1:19" x14ac:dyDescent="0.3">
      <c r="A8" s="16" t="str">
        <f t="shared" si="0"/>
        <v>modesg_inp_empr_excl_parisflg_scib</v>
      </c>
      <c r="B8" s="3" t="s">
        <v>109</v>
      </c>
      <c r="C8" s="8" t="s">
        <v>113</v>
      </c>
      <c r="D8" t="str">
        <f t="shared" si="1"/>
        <v>Ok</v>
      </c>
      <c r="I8" s="16" t="str">
        <f t="shared" si="2"/>
        <v>modesg_inp_empr_excl_parisnome_pais</v>
      </c>
      <c r="J8" s="7" t="s">
        <v>147</v>
      </c>
      <c r="K8" s="7" t="s">
        <v>109</v>
      </c>
      <c r="L8" t="s">
        <v>63</v>
      </c>
      <c r="M8" t="str">
        <f t="shared" si="3"/>
        <v>Ok</v>
      </c>
      <c r="N8" t="s">
        <v>193</v>
      </c>
      <c r="R8" t="s">
        <v>193</v>
      </c>
      <c r="S8">
        <v>9</v>
      </c>
    </row>
    <row r="9" spans="1:19" x14ac:dyDescent="0.3">
      <c r="A9" s="16" t="str">
        <f t="shared" si="0"/>
        <v>modesg_inp_empr_excl_parisnome_pais</v>
      </c>
      <c r="B9" s="3" t="s">
        <v>109</v>
      </c>
      <c r="C9" s="8" t="s">
        <v>63</v>
      </c>
      <c r="D9" t="str">
        <f t="shared" si="1"/>
        <v>Ok</v>
      </c>
      <c r="I9" s="16" t="str">
        <f t="shared" si="2"/>
        <v>modesg_inp_empr_excl_parisref_date</v>
      </c>
      <c r="J9" s="7" t="s">
        <v>147</v>
      </c>
      <c r="K9" s="7" t="s">
        <v>109</v>
      </c>
      <c r="L9" t="s">
        <v>21</v>
      </c>
      <c r="M9" t="str">
        <f t="shared" si="3"/>
        <v>Ok</v>
      </c>
      <c r="N9" t="s">
        <v>193</v>
      </c>
      <c r="Q9" t="s">
        <v>118</v>
      </c>
      <c r="R9" t="s">
        <v>193</v>
      </c>
      <c r="S9">
        <v>17</v>
      </c>
    </row>
    <row r="10" spans="1:19" x14ac:dyDescent="0.3">
      <c r="A10" s="16" t="str">
        <f t="shared" si="0"/>
        <v>modesg_inp_emss_bens_imoveisasset_class</v>
      </c>
      <c r="B10" s="3" t="s">
        <v>138</v>
      </c>
      <c r="C10" s="8" t="s">
        <v>139</v>
      </c>
      <c r="D10" t="str">
        <f t="shared" si="1"/>
        <v>Ok</v>
      </c>
      <c r="I10" s="16" t="str">
        <f t="shared" si="2"/>
        <v>modesg_inp_emss_bens_imoveisscp_ftr_emss_ano1</v>
      </c>
      <c r="J10" s="7" t="s">
        <v>147</v>
      </c>
      <c r="K10" s="7" t="s">
        <v>138</v>
      </c>
      <c r="L10" t="s">
        <v>143</v>
      </c>
      <c r="M10" t="str">
        <f t="shared" si="3"/>
        <v>Ok</v>
      </c>
      <c r="N10" t="s">
        <v>515</v>
      </c>
      <c r="Q10" t="s">
        <v>62</v>
      </c>
      <c r="R10" t="s">
        <v>183</v>
      </c>
      <c r="S10">
        <v>1</v>
      </c>
    </row>
    <row r="11" spans="1:19" x14ac:dyDescent="0.3">
      <c r="A11" s="16" t="str">
        <f t="shared" si="0"/>
        <v>modesg_inp_emss_bens_imoveisnome_pais</v>
      </c>
      <c r="B11" s="3" t="s">
        <v>138</v>
      </c>
      <c r="C11" s="8" t="s">
        <v>63</v>
      </c>
      <c r="D11" t="str">
        <f t="shared" si="1"/>
        <v>Ok</v>
      </c>
      <c r="I11" s="16" t="str">
        <f t="shared" si="2"/>
        <v>modesg_inp_emss_bens_imoveisepc</v>
      </c>
      <c r="J11" s="7" t="s">
        <v>147</v>
      </c>
      <c r="K11" s="7" t="s">
        <v>138</v>
      </c>
      <c r="L11" t="s">
        <v>45</v>
      </c>
      <c r="M11" t="str">
        <f t="shared" si="3"/>
        <v>Ok</v>
      </c>
      <c r="N11" t="s">
        <v>515</v>
      </c>
      <c r="R11" t="s">
        <v>193</v>
      </c>
      <c r="S11">
        <v>16</v>
      </c>
    </row>
    <row r="12" spans="1:19" x14ac:dyDescent="0.3">
      <c r="A12" s="16" t="str">
        <f t="shared" si="0"/>
        <v>modesg_inp_emss_bens_imoveisnome_estado</v>
      </c>
      <c r="B12" s="3" t="s">
        <v>138</v>
      </c>
      <c r="C12" s="8" t="s">
        <v>65</v>
      </c>
      <c r="D12" t="str">
        <f t="shared" si="1"/>
        <v>Ok</v>
      </c>
      <c r="I12" s="16" t="str">
        <f t="shared" si="2"/>
        <v>modesg_inp_emss_bens_imoveisflg_ftr_emss_area</v>
      </c>
      <c r="J12" s="7" t="s">
        <v>147</v>
      </c>
      <c r="K12" s="7" t="s">
        <v>138</v>
      </c>
      <c r="L12" t="s">
        <v>142</v>
      </c>
      <c r="M12" t="str">
        <f t="shared" si="3"/>
        <v>Ok</v>
      </c>
      <c r="N12" t="s">
        <v>515</v>
      </c>
      <c r="Q12" t="s">
        <v>77</v>
      </c>
      <c r="R12" t="s">
        <v>183</v>
      </c>
      <c r="S12">
        <v>1</v>
      </c>
    </row>
    <row r="13" spans="1:19" x14ac:dyDescent="0.3">
      <c r="A13" s="16" t="str">
        <f t="shared" si="0"/>
        <v>modesg_inp_emss_bens_imoveistipo_bem</v>
      </c>
      <c r="B13" s="3" t="s">
        <v>138</v>
      </c>
      <c r="C13" s="11" t="s">
        <v>140</v>
      </c>
      <c r="D13" t="str">
        <f t="shared" si="1"/>
        <v>Ok</v>
      </c>
      <c r="I13" s="16" t="str">
        <f t="shared" si="2"/>
        <v>modesg_inp_emss_bens_imoveisnome_estado</v>
      </c>
      <c r="J13" s="7" t="s">
        <v>147</v>
      </c>
      <c r="K13" s="7" t="s">
        <v>138</v>
      </c>
      <c r="L13" t="s">
        <v>65</v>
      </c>
      <c r="M13" t="str">
        <f t="shared" si="3"/>
        <v>Ok</v>
      </c>
      <c r="N13" t="s">
        <v>193</v>
      </c>
      <c r="R13" t="s">
        <v>193</v>
      </c>
      <c r="S13">
        <v>5</v>
      </c>
    </row>
    <row r="14" spans="1:19" x14ac:dyDescent="0.3">
      <c r="A14" s="16" t="str">
        <f t="shared" si="0"/>
        <v>modesg_inp_emss_bens_imoveistipo_finalidade_bem</v>
      </c>
      <c r="B14" s="3" t="s">
        <v>138</v>
      </c>
      <c r="C14" s="11" t="s">
        <v>141</v>
      </c>
      <c r="D14" t="str">
        <f t="shared" si="1"/>
        <v>Ok</v>
      </c>
      <c r="I14" s="16" t="str">
        <f t="shared" si="2"/>
        <v>modesg_inp_emss_bens_imoveisnome_fator_emissao</v>
      </c>
      <c r="J14" s="7" t="s">
        <v>147</v>
      </c>
      <c r="K14" s="7" t="s">
        <v>138</v>
      </c>
      <c r="L14" t="s">
        <v>72</v>
      </c>
      <c r="M14" t="str">
        <f t="shared" si="3"/>
        <v>Ok</v>
      </c>
      <c r="N14" t="s">
        <v>193</v>
      </c>
      <c r="Q14" t="s">
        <v>114</v>
      </c>
      <c r="R14" t="s">
        <v>183</v>
      </c>
      <c r="S14">
        <v>20</v>
      </c>
    </row>
    <row r="15" spans="1:19" x14ac:dyDescent="0.3">
      <c r="A15" s="16" t="str">
        <f t="shared" si="0"/>
        <v>modesg_inp_emss_bens_imoveisepc</v>
      </c>
      <c r="B15" s="3" t="s">
        <v>138</v>
      </c>
      <c r="C15" s="11" t="s">
        <v>45</v>
      </c>
      <c r="D15" t="str">
        <f t="shared" si="1"/>
        <v>Ok</v>
      </c>
      <c r="I15" s="16" t="str">
        <f t="shared" si="2"/>
        <v>modesg_inp_emss_bens_imoveisnome_pais</v>
      </c>
      <c r="J15" s="7" t="s">
        <v>147</v>
      </c>
      <c r="K15" s="7" t="s">
        <v>138</v>
      </c>
      <c r="L15" t="s">
        <v>63</v>
      </c>
      <c r="M15" t="str">
        <f t="shared" si="3"/>
        <v>Ok</v>
      </c>
      <c r="N15" t="s">
        <v>193</v>
      </c>
      <c r="R15" t="s">
        <v>193</v>
      </c>
      <c r="S15">
        <v>20</v>
      </c>
    </row>
    <row r="16" spans="1:19" x14ac:dyDescent="0.3">
      <c r="A16" s="16" t="str">
        <f t="shared" si="0"/>
        <v>modesg_inp_emss_bens_imoveisflg_ftr_emss_area</v>
      </c>
      <c r="B16" s="3" t="s">
        <v>138</v>
      </c>
      <c r="C16" s="11" t="s">
        <v>142</v>
      </c>
      <c r="D16" t="str">
        <f t="shared" si="1"/>
        <v>Ok</v>
      </c>
      <c r="I16" s="16" t="str">
        <f t="shared" si="2"/>
        <v>modesg_inp_emss_bens_imoveisnome_regiao</v>
      </c>
      <c r="J16" s="17" t="s">
        <v>147</v>
      </c>
      <c r="K16" s="17" t="s">
        <v>138</v>
      </c>
      <c r="L16" s="18" t="s">
        <v>64</v>
      </c>
      <c r="M16" s="18" t="str">
        <f t="shared" si="3"/>
        <v>Nok</v>
      </c>
      <c r="N16" t="s">
        <v>183</v>
      </c>
      <c r="Q16" t="s">
        <v>116</v>
      </c>
      <c r="R16" t="s">
        <v>193</v>
      </c>
      <c r="S16">
        <v>6</v>
      </c>
    </row>
    <row r="17" spans="1:19" x14ac:dyDescent="0.3">
      <c r="A17" s="16" t="str">
        <f t="shared" si="0"/>
        <v>modesg_inp_emss_bens_imoveisnome_unidade_funcional</v>
      </c>
      <c r="B17" s="3" t="s">
        <v>138</v>
      </c>
      <c r="C17" s="8" t="s">
        <v>70</v>
      </c>
      <c r="D17" t="str">
        <f t="shared" si="1"/>
        <v>Ok</v>
      </c>
      <c r="I17" s="16" t="str">
        <f t="shared" si="2"/>
        <v>modesg_inp_emss_bens_imoveisnome_unidade_funcional</v>
      </c>
      <c r="J17" s="7" t="s">
        <v>147</v>
      </c>
      <c r="K17" s="7" t="s">
        <v>138</v>
      </c>
      <c r="L17" t="s">
        <v>70</v>
      </c>
      <c r="M17" t="str">
        <f t="shared" si="3"/>
        <v>Ok</v>
      </c>
      <c r="N17" t="s">
        <v>193</v>
      </c>
      <c r="Q17" t="s">
        <v>137</v>
      </c>
      <c r="R17" t="s">
        <v>193</v>
      </c>
      <c r="S17">
        <v>18</v>
      </c>
    </row>
    <row r="18" spans="1:19" x14ac:dyDescent="0.3">
      <c r="A18" s="16" t="str">
        <f t="shared" si="0"/>
        <v>modesg_inp_emss_bens_imoveisunidade_funcional</v>
      </c>
      <c r="B18" s="3" t="s">
        <v>138</v>
      </c>
      <c r="C18" s="8" t="s">
        <v>71</v>
      </c>
      <c r="D18" t="str">
        <f t="shared" si="1"/>
        <v>Ok</v>
      </c>
      <c r="I18" s="16" t="str">
        <f t="shared" si="2"/>
        <v>modesg_inp_emss_bens_imoveisref_date</v>
      </c>
      <c r="J18" s="7" t="s">
        <v>147</v>
      </c>
      <c r="K18" s="7" t="s">
        <v>138</v>
      </c>
      <c r="L18" t="s">
        <v>21</v>
      </c>
      <c r="M18" t="str">
        <f t="shared" si="3"/>
        <v>Ok</v>
      </c>
      <c r="N18" t="s">
        <v>193</v>
      </c>
      <c r="Q18" t="s">
        <v>84</v>
      </c>
      <c r="R18" t="s">
        <v>193</v>
      </c>
      <c r="S18">
        <v>32</v>
      </c>
    </row>
    <row r="19" spans="1:19" x14ac:dyDescent="0.3">
      <c r="A19" s="16" t="str">
        <f t="shared" si="0"/>
        <v>modesg_inp_emss_bens_imoveisnome_fator_emissao</v>
      </c>
      <c r="B19" s="3" t="s">
        <v>138</v>
      </c>
      <c r="C19" s="8" t="s">
        <v>72</v>
      </c>
      <c r="D19" t="str">
        <f t="shared" si="1"/>
        <v>Ok</v>
      </c>
      <c r="I19" s="16" t="str">
        <f t="shared" si="2"/>
        <v>modesg_inp_emss_bens_imoveisscore_qualidade</v>
      </c>
      <c r="J19" s="7" t="s">
        <v>147</v>
      </c>
      <c r="K19" s="7" t="s">
        <v>138</v>
      </c>
      <c r="L19" t="s">
        <v>76</v>
      </c>
      <c r="M19" t="str">
        <f t="shared" si="3"/>
        <v>Ok</v>
      </c>
      <c r="N19" t="s">
        <v>193</v>
      </c>
      <c r="Q19" t="s">
        <v>48</v>
      </c>
      <c r="R19" t="s">
        <v>193</v>
      </c>
      <c r="S19">
        <v>15</v>
      </c>
    </row>
    <row r="20" spans="1:19" x14ac:dyDescent="0.3">
      <c r="A20" s="16" t="str">
        <f t="shared" si="0"/>
        <v>modesg_inp_emss_bens_imoveisunidade_fator_emissao</v>
      </c>
      <c r="B20" s="3" t="s">
        <v>138</v>
      </c>
      <c r="C20" s="8" t="s">
        <v>150</v>
      </c>
      <c r="D20" t="str">
        <f t="shared" si="1"/>
        <v>Ok</v>
      </c>
      <c r="I20" s="16" t="str">
        <f t="shared" si="2"/>
        <v>modesg_inp_emss_bens_imoveisscp1_ftr_emss</v>
      </c>
      <c r="J20" s="7" t="s">
        <v>147</v>
      </c>
      <c r="K20" s="7" t="s">
        <v>138</v>
      </c>
      <c r="L20" t="s">
        <v>73</v>
      </c>
      <c r="M20" t="str">
        <f t="shared" si="3"/>
        <v>Ok</v>
      </c>
      <c r="N20" t="s">
        <v>193</v>
      </c>
      <c r="Q20" t="s">
        <v>23</v>
      </c>
      <c r="R20" t="s">
        <v>183</v>
      </c>
      <c r="S20">
        <v>1</v>
      </c>
    </row>
    <row r="21" spans="1:19" x14ac:dyDescent="0.3">
      <c r="A21" s="16" t="str">
        <f t="shared" si="0"/>
        <v>modesg_inp_emss_bens_imoveisscp_ftr_emss_ano1</v>
      </c>
      <c r="B21" s="3" t="s">
        <v>138</v>
      </c>
      <c r="C21" s="8" t="s">
        <v>143</v>
      </c>
      <c r="D21" t="str">
        <f t="shared" si="1"/>
        <v>Ok</v>
      </c>
      <c r="I21" s="16" t="str">
        <f t="shared" si="2"/>
        <v>modesg_inp_emss_bens_imoveisscp2_ftr_emss</v>
      </c>
      <c r="J21" s="7" t="s">
        <v>147</v>
      </c>
      <c r="K21" s="7" t="s">
        <v>138</v>
      </c>
      <c r="L21" t="s">
        <v>74</v>
      </c>
      <c r="M21" t="str">
        <f t="shared" si="3"/>
        <v>Ok</v>
      </c>
      <c r="N21" t="s">
        <v>193</v>
      </c>
      <c r="R21" t="s">
        <v>193</v>
      </c>
      <c r="S21">
        <v>13</v>
      </c>
    </row>
    <row r="22" spans="1:19" x14ac:dyDescent="0.3">
      <c r="A22" s="16" t="str">
        <f t="shared" si="0"/>
        <v>modesg_inp_emss_bens_imoveisscore_qualidade</v>
      </c>
      <c r="B22" s="3" t="s">
        <v>138</v>
      </c>
      <c r="C22" s="8" t="s">
        <v>76</v>
      </c>
      <c r="D22" t="str">
        <f t="shared" si="1"/>
        <v>Ok</v>
      </c>
      <c r="I22" s="16" t="str">
        <f t="shared" si="2"/>
        <v>modesg_inp_emss_bens_imoveisasset_class</v>
      </c>
      <c r="J22" s="7" t="s">
        <v>147</v>
      </c>
      <c r="K22" s="7" t="s">
        <v>138</v>
      </c>
      <c r="L22" t="s">
        <v>139</v>
      </c>
      <c r="M22" t="str">
        <f t="shared" si="3"/>
        <v>Ok</v>
      </c>
      <c r="N22" t="s">
        <v>193</v>
      </c>
      <c r="Q22" t="s">
        <v>34</v>
      </c>
      <c r="R22" t="s">
        <v>183</v>
      </c>
      <c r="S22">
        <v>3</v>
      </c>
    </row>
    <row r="23" spans="1:19" x14ac:dyDescent="0.3">
      <c r="A23" s="16" t="str">
        <f t="shared" si="0"/>
        <v>modesg_inp_emss_bens_imoveisscp1_ftr_emss</v>
      </c>
      <c r="B23" s="3" t="s">
        <v>138</v>
      </c>
      <c r="C23" s="8" t="s">
        <v>73</v>
      </c>
      <c r="D23" t="str">
        <f t="shared" si="1"/>
        <v>Ok</v>
      </c>
      <c r="I23" s="16" t="str">
        <f t="shared" si="2"/>
        <v>modesg_inp_emss_bens_imoveistipo_bem</v>
      </c>
      <c r="J23" s="7" t="s">
        <v>147</v>
      </c>
      <c r="K23" s="7" t="s">
        <v>138</v>
      </c>
      <c r="L23" t="s">
        <v>140</v>
      </c>
      <c r="M23" t="str">
        <f t="shared" si="3"/>
        <v>Ok</v>
      </c>
      <c r="N23" t="s">
        <v>193</v>
      </c>
      <c r="R23" t="s">
        <v>193</v>
      </c>
      <c r="S23">
        <v>25</v>
      </c>
    </row>
    <row r="24" spans="1:19" x14ac:dyDescent="0.3">
      <c r="A24" s="16" t="str">
        <f t="shared" si="0"/>
        <v>modesg_inp_emss_bens_imoveisscp2_ftr_emss</v>
      </c>
      <c r="B24" s="3" t="s">
        <v>138</v>
      </c>
      <c r="C24" s="8" t="s">
        <v>74</v>
      </c>
      <c r="D24" t="str">
        <f t="shared" si="1"/>
        <v>Ok</v>
      </c>
      <c r="I24" s="16" t="str">
        <f t="shared" si="2"/>
        <v>modesg_inp_emss_bens_imoveisemission factor type</v>
      </c>
      <c r="J24" s="17" t="s">
        <v>147</v>
      </c>
      <c r="K24" s="17" t="s">
        <v>138</v>
      </c>
      <c r="L24" s="18" t="s">
        <v>185</v>
      </c>
      <c r="M24" s="18" t="str">
        <f t="shared" si="3"/>
        <v>Nok</v>
      </c>
      <c r="N24" t="s">
        <v>183</v>
      </c>
      <c r="Q24" t="s">
        <v>191</v>
      </c>
      <c r="S24">
        <v>232</v>
      </c>
    </row>
    <row r="25" spans="1:19" x14ac:dyDescent="0.3">
      <c r="A25" s="16" t="str">
        <f t="shared" si="0"/>
        <v>modesg_inp_emss_bens_imoveisckutulmo</v>
      </c>
      <c r="B25" s="19" t="s">
        <v>138</v>
      </c>
      <c r="C25" s="20" t="s">
        <v>144</v>
      </c>
      <c r="D25" s="18" t="str">
        <f t="shared" si="1"/>
        <v>Nok</v>
      </c>
      <c r="E25" t="s">
        <v>184</v>
      </c>
      <c r="I25" s="16" t="str">
        <f t="shared" si="2"/>
        <v>modesg_inp_emss_bens_imoveistipo_finalidade_bem</v>
      </c>
      <c r="J25" s="7" t="s">
        <v>147</v>
      </c>
      <c r="K25" s="7" t="s">
        <v>138</v>
      </c>
      <c r="L25" t="s">
        <v>141</v>
      </c>
      <c r="M25" t="str">
        <f t="shared" si="3"/>
        <v>Ok</v>
      </c>
      <c r="N25" t="s">
        <v>193</v>
      </c>
    </row>
    <row r="26" spans="1:19" x14ac:dyDescent="0.3">
      <c r="A26" s="16" t="str">
        <f t="shared" si="0"/>
        <v>modesg_inp_emss_bens_imoveishtimest</v>
      </c>
      <c r="B26" s="19" t="s">
        <v>138</v>
      </c>
      <c r="C26" s="21" t="s">
        <v>145</v>
      </c>
      <c r="D26" s="18" t="str">
        <f t="shared" si="1"/>
        <v>Nok</v>
      </c>
      <c r="E26" t="s">
        <v>184</v>
      </c>
      <c r="I26" s="16" t="str">
        <f t="shared" si="2"/>
        <v>modesg_inp_emss_bens_imoveisunidade_fator_emissao</v>
      </c>
      <c r="J26" s="7" t="s">
        <v>147</v>
      </c>
      <c r="K26" s="7" t="s">
        <v>138</v>
      </c>
      <c r="L26" t="s">
        <v>150</v>
      </c>
      <c r="M26" t="str">
        <f t="shared" si="3"/>
        <v>Ok</v>
      </c>
      <c r="N26" t="s">
        <v>193</v>
      </c>
    </row>
    <row r="27" spans="1:19" x14ac:dyDescent="0.3">
      <c r="A27" s="16" t="str">
        <f t="shared" si="0"/>
        <v>modesg_inp_emss_bens_imoveisref_date</v>
      </c>
      <c r="B27" s="3" t="s">
        <v>138</v>
      </c>
      <c r="C27" s="12" t="s">
        <v>21</v>
      </c>
      <c r="D27" t="str">
        <f t="shared" si="1"/>
        <v>Ok</v>
      </c>
      <c r="I27" s="16" t="str">
        <f t="shared" si="2"/>
        <v>modesg_inp_emss_bens_imoveisunidade_funcional</v>
      </c>
      <c r="J27" s="7" t="s">
        <v>147</v>
      </c>
      <c r="K27" s="7" t="s">
        <v>138</v>
      </c>
      <c r="L27" t="s">
        <v>71</v>
      </c>
      <c r="M27" t="str">
        <f t="shared" si="3"/>
        <v>Ok</v>
      </c>
      <c r="N27" t="s">
        <v>193</v>
      </c>
    </row>
    <row r="28" spans="1:19" x14ac:dyDescent="0.3">
      <c r="A28" s="16" t="str">
        <f t="shared" si="0"/>
        <v>modesg_inp_emss_bens_imoveiscod_visao</v>
      </c>
      <c r="B28" s="19" t="s">
        <v>138</v>
      </c>
      <c r="C28" s="21" t="s">
        <v>146</v>
      </c>
      <c r="D28" s="18" t="str">
        <f t="shared" si="1"/>
        <v>Nok</v>
      </c>
      <c r="E28" t="s">
        <v>184</v>
      </c>
      <c r="I28" s="16" t="str">
        <f t="shared" si="2"/>
        <v>modesg_inp_emss_naceano</v>
      </c>
      <c r="J28" s="17" t="s">
        <v>147</v>
      </c>
      <c r="K28" s="17" t="s">
        <v>129</v>
      </c>
      <c r="L28" s="18" t="s">
        <v>149</v>
      </c>
      <c r="M28" s="18" t="str">
        <f t="shared" si="3"/>
        <v>Nok</v>
      </c>
      <c r="N28" t="s">
        <v>183</v>
      </c>
    </row>
    <row r="29" spans="1:19" x14ac:dyDescent="0.3">
      <c r="A29" s="16" t="str">
        <f t="shared" si="0"/>
        <v>modesg_inp_emss_naceref_date</v>
      </c>
      <c r="B29" s="3" t="s">
        <v>129</v>
      </c>
      <c r="C29" s="8" t="s">
        <v>21</v>
      </c>
      <c r="D29" t="str">
        <f t="shared" si="1"/>
        <v>Ok</v>
      </c>
      <c r="I29" s="16" t="str">
        <f t="shared" si="2"/>
        <v>modesg_inp_emss_nacecod_class_indust</v>
      </c>
      <c r="J29" s="7" t="s">
        <v>147</v>
      </c>
      <c r="K29" s="7" t="s">
        <v>129</v>
      </c>
      <c r="L29" t="s">
        <v>130</v>
      </c>
      <c r="M29" t="str">
        <f t="shared" si="3"/>
        <v>Ok</v>
      </c>
      <c r="N29" t="s">
        <v>193</v>
      </c>
    </row>
    <row r="30" spans="1:19" x14ac:dyDescent="0.3">
      <c r="A30" s="16" t="str">
        <f t="shared" si="0"/>
        <v>modesg_inp_emss_nacenome_pais</v>
      </c>
      <c r="B30" s="22" t="s">
        <v>129</v>
      </c>
      <c r="C30" s="23" t="s">
        <v>63</v>
      </c>
      <c r="D30" s="24" t="str">
        <f t="shared" si="1"/>
        <v>Nok</v>
      </c>
      <c r="E30" t="s">
        <v>186</v>
      </c>
      <c r="I30" s="16" t="str">
        <f t="shared" si="2"/>
        <v>modesg_inp_emss_nacecod_nace_esg</v>
      </c>
      <c r="J30" s="7" t="s">
        <v>147</v>
      </c>
      <c r="K30" s="7" t="s">
        <v>129</v>
      </c>
      <c r="L30" t="s">
        <v>108</v>
      </c>
      <c r="M30" t="str">
        <f t="shared" si="3"/>
        <v>Ok</v>
      </c>
      <c r="N30" t="s">
        <v>193</v>
      </c>
    </row>
    <row r="31" spans="1:19" x14ac:dyDescent="0.3">
      <c r="A31" s="16" t="str">
        <f t="shared" si="0"/>
        <v>modesg_inp_emss_nacecod_class_indust</v>
      </c>
      <c r="B31" s="3" t="s">
        <v>129</v>
      </c>
      <c r="C31" s="8" t="s">
        <v>130</v>
      </c>
      <c r="D31" t="str">
        <f t="shared" si="1"/>
        <v>Ok</v>
      </c>
      <c r="I31" s="16" t="str">
        <f t="shared" si="2"/>
        <v>modesg_inp_emss_naceclassification_Level_1</v>
      </c>
      <c r="J31" s="17" t="s">
        <v>147</v>
      </c>
      <c r="K31" s="17" t="s">
        <v>129</v>
      </c>
      <c r="L31" s="18" t="s">
        <v>187</v>
      </c>
      <c r="M31" s="18" t="str">
        <f t="shared" si="3"/>
        <v>Nok</v>
      </c>
      <c r="N31" t="s">
        <v>183</v>
      </c>
    </row>
    <row r="32" spans="1:19" x14ac:dyDescent="0.3">
      <c r="A32" s="16" t="str">
        <f t="shared" si="0"/>
        <v>modesg_inp_emss_nacecod_nace_esg</v>
      </c>
      <c r="B32" s="3" t="s">
        <v>129</v>
      </c>
      <c r="C32" s="8" t="s">
        <v>108</v>
      </c>
      <c r="D32" t="str">
        <f t="shared" si="1"/>
        <v>Ok</v>
      </c>
      <c r="I32" s="16" t="str">
        <f t="shared" si="2"/>
        <v>modesg_inp_emss_nacenome_regiao</v>
      </c>
      <c r="J32" s="17" t="s">
        <v>147</v>
      </c>
      <c r="K32" s="17" t="s">
        <v>129</v>
      </c>
      <c r="L32" s="18" t="s">
        <v>64</v>
      </c>
      <c r="M32" s="18" t="str">
        <f t="shared" si="3"/>
        <v>Nok</v>
      </c>
      <c r="N32" t="s">
        <v>183</v>
      </c>
    </row>
    <row r="33" spans="1:14" x14ac:dyDescent="0.3">
      <c r="A33" s="16" t="str">
        <f t="shared" si="0"/>
        <v>modesg_inp_emss_nacearea_atividade</v>
      </c>
      <c r="B33" s="22" t="s">
        <v>129</v>
      </c>
      <c r="C33" s="23" t="s">
        <v>131</v>
      </c>
      <c r="D33" s="24" t="str">
        <f t="shared" si="1"/>
        <v>Nok</v>
      </c>
      <c r="E33" t="s">
        <v>186</v>
      </c>
      <c r="I33" s="16" t="str">
        <f t="shared" si="2"/>
        <v>modesg_inp_emss_nacemethodology_option</v>
      </c>
      <c r="J33" s="17" t="s">
        <v>147</v>
      </c>
      <c r="K33" s="17" t="s">
        <v>129</v>
      </c>
      <c r="L33" s="18" t="s">
        <v>188</v>
      </c>
      <c r="M33" s="18" t="str">
        <f t="shared" si="3"/>
        <v>Nok</v>
      </c>
      <c r="N33" t="s">
        <v>183</v>
      </c>
    </row>
    <row r="34" spans="1:14" x14ac:dyDescent="0.3">
      <c r="A34" s="16" t="str">
        <f t="shared" si="0"/>
        <v>modesg_inp_emss_nacetipo_atividade</v>
      </c>
      <c r="B34" s="22" t="s">
        <v>129</v>
      </c>
      <c r="C34" s="23" t="s">
        <v>132</v>
      </c>
      <c r="D34" s="24" t="str">
        <f t="shared" si="1"/>
        <v>Nok</v>
      </c>
      <c r="E34" t="s">
        <v>186</v>
      </c>
      <c r="I34" s="16" t="str">
        <f t="shared" si="2"/>
        <v>modesg_inp_emss_naceref_date</v>
      </c>
      <c r="J34" s="7" t="s">
        <v>147</v>
      </c>
      <c r="K34" s="7" t="s">
        <v>129</v>
      </c>
      <c r="L34" t="s">
        <v>21</v>
      </c>
      <c r="M34" t="str">
        <f t="shared" si="3"/>
        <v>Ok</v>
      </c>
      <c r="N34" t="s">
        <v>193</v>
      </c>
    </row>
    <row r="35" spans="1:14" x14ac:dyDescent="0.3">
      <c r="A35" s="16" t="str">
        <f t="shared" si="0"/>
        <v>modesg_inp_emss_nacesub_tipo_atividade_1</v>
      </c>
      <c r="B35" s="22" t="s">
        <v>129</v>
      </c>
      <c r="C35" s="23" t="s">
        <v>133</v>
      </c>
      <c r="D35" s="24" t="str">
        <f t="shared" si="1"/>
        <v>Nok</v>
      </c>
      <c r="E35" t="s">
        <v>186</v>
      </c>
      <c r="I35" s="16" t="str">
        <f t="shared" si="2"/>
        <v>modesg_inp_emss_nacescore_qualidade</v>
      </c>
      <c r="J35" s="7" t="s">
        <v>147</v>
      </c>
      <c r="K35" s="7" t="s">
        <v>129</v>
      </c>
      <c r="L35" t="s">
        <v>76</v>
      </c>
      <c r="M35" t="str">
        <f t="shared" si="3"/>
        <v>Ok</v>
      </c>
      <c r="N35" t="s">
        <v>193</v>
      </c>
    </row>
    <row r="36" spans="1:14" x14ac:dyDescent="0.3">
      <c r="A36" s="16" t="str">
        <f t="shared" si="0"/>
        <v>modesg_inp_emss_nacesub_tipo_atividade_2</v>
      </c>
      <c r="B36" s="22" t="s">
        <v>129</v>
      </c>
      <c r="C36" s="23" t="s">
        <v>134</v>
      </c>
      <c r="D36" s="24" t="str">
        <f t="shared" si="1"/>
        <v>Nok</v>
      </c>
      <c r="E36" t="s">
        <v>186</v>
      </c>
      <c r="I36" s="16" t="str">
        <f t="shared" si="2"/>
        <v>modesg_inp_emss_nacescp1_ftr_emss</v>
      </c>
      <c r="J36" s="7" t="s">
        <v>147</v>
      </c>
      <c r="K36" s="7" t="s">
        <v>129</v>
      </c>
      <c r="L36" t="s">
        <v>73</v>
      </c>
      <c r="M36" t="str">
        <f t="shared" si="3"/>
        <v>Ok</v>
      </c>
      <c r="N36" t="s">
        <v>193</v>
      </c>
    </row>
    <row r="37" spans="1:14" x14ac:dyDescent="0.3">
      <c r="A37" s="16" t="str">
        <f t="shared" si="0"/>
        <v>modesg_inp_emss_naceunidade_funcional</v>
      </c>
      <c r="B37" s="3" t="s">
        <v>129</v>
      </c>
      <c r="C37" s="8" t="s">
        <v>71</v>
      </c>
      <c r="D37" t="str">
        <f t="shared" si="1"/>
        <v>Ok</v>
      </c>
      <c r="I37" s="16" t="str">
        <f t="shared" si="2"/>
        <v>modesg_inp_emss_nacescp2_ftr_emss</v>
      </c>
      <c r="J37" s="7" t="s">
        <v>147</v>
      </c>
      <c r="K37" s="7" t="s">
        <v>129</v>
      </c>
      <c r="L37" t="s">
        <v>74</v>
      </c>
      <c r="M37" t="str">
        <f t="shared" si="3"/>
        <v>Ok</v>
      </c>
      <c r="N37" t="s">
        <v>193</v>
      </c>
    </row>
    <row r="38" spans="1:14" x14ac:dyDescent="0.3">
      <c r="A38" s="16" t="str">
        <f t="shared" si="0"/>
        <v>modesg_inp_emss_naceunidades_unidade_funcional</v>
      </c>
      <c r="B38" s="22" t="s">
        <v>129</v>
      </c>
      <c r="C38" s="23" t="s">
        <v>135</v>
      </c>
      <c r="D38" s="24" t="str">
        <f t="shared" si="1"/>
        <v>Nok</v>
      </c>
      <c r="E38" t="s">
        <v>186</v>
      </c>
      <c r="I38" s="16" t="str">
        <f t="shared" si="2"/>
        <v>modesg_inp_emss_nacescp3_ftr_emss</v>
      </c>
      <c r="J38" s="7" t="s">
        <v>147</v>
      </c>
      <c r="K38" s="7" t="s">
        <v>129</v>
      </c>
      <c r="L38" t="s">
        <v>75</v>
      </c>
      <c r="M38" t="str">
        <f t="shared" si="3"/>
        <v>Ok</v>
      </c>
      <c r="N38" t="s">
        <v>193</v>
      </c>
    </row>
    <row r="39" spans="1:14" x14ac:dyDescent="0.3">
      <c r="A39" s="16" t="str">
        <f t="shared" si="0"/>
        <v>modesg_inp_emss_nacefator_emissao</v>
      </c>
      <c r="B39" s="22" t="s">
        <v>129</v>
      </c>
      <c r="C39" s="23" t="s">
        <v>136</v>
      </c>
      <c r="D39" s="24" t="str">
        <f t="shared" si="1"/>
        <v>Nok</v>
      </c>
      <c r="E39" t="s">
        <v>186</v>
      </c>
      <c r="I39" s="16" t="str">
        <f t="shared" si="2"/>
        <v>modesg_inp_emss_naceasset_class</v>
      </c>
      <c r="J39" s="17" t="s">
        <v>147</v>
      </c>
      <c r="K39" s="17" t="s">
        <v>129</v>
      </c>
      <c r="L39" s="18" t="s">
        <v>139</v>
      </c>
      <c r="M39" s="18" t="str">
        <f t="shared" si="3"/>
        <v>Nok</v>
      </c>
      <c r="N39" t="s">
        <v>183</v>
      </c>
    </row>
    <row r="40" spans="1:14" x14ac:dyDescent="0.3">
      <c r="A40" s="16" t="str">
        <f t="shared" si="0"/>
        <v>modesg_inp_emss_naceunidade_fator_de_emissao</v>
      </c>
      <c r="B40" s="3" t="s">
        <v>129</v>
      </c>
      <c r="C40" s="8" t="s">
        <v>151</v>
      </c>
      <c r="D40" t="str">
        <f t="shared" si="1"/>
        <v>Ok</v>
      </c>
      <c r="I40" s="16" t="str">
        <f t="shared" si="2"/>
        <v>modesg_inp_emss_naceunidade_fator_de_emissao</v>
      </c>
      <c r="J40" s="7" t="s">
        <v>147</v>
      </c>
      <c r="K40" s="7" t="s">
        <v>129</v>
      </c>
      <c r="L40" t="s">
        <v>151</v>
      </c>
      <c r="M40" t="str">
        <f t="shared" si="3"/>
        <v>Ok</v>
      </c>
      <c r="N40" t="s">
        <v>193</v>
      </c>
    </row>
    <row r="41" spans="1:14" x14ac:dyDescent="0.3">
      <c r="A41" s="16" t="str">
        <f t="shared" si="0"/>
        <v>modesg_inp_emss_nacescp1_ftr_emss</v>
      </c>
      <c r="B41" s="3" t="s">
        <v>129</v>
      </c>
      <c r="C41" s="8" t="s">
        <v>73</v>
      </c>
      <c r="D41" t="str">
        <f t="shared" si="1"/>
        <v>Ok</v>
      </c>
      <c r="I41" s="16" t="str">
        <f t="shared" si="2"/>
        <v>modesg_inp_emss_naceunidade_funcional</v>
      </c>
      <c r="J41" s="7" t="s">
        <v>147</v>
      </c>
      <c r="K41" s="7" t="s">
        <v>129</v>
      </c>
      <c r="L41" t="s">
        <v>71</v>
      </c>
      <c r="M41" t="str">
        <f t="shared" si="3"/>
        <v>Ok</v>
      </c>
      <c r="N41" t="s">
        <v>193</v>
      </c>
    </row>
    <row r="42" spans="1:14" x14ac:dyDescent="0.3">
      <c r="A42" s="16" t="str">
        <f t="shared" si="0"/>
        <v>modesg_inp_emss_nacescp2_ftr_emss</v>
      </c>
      <c r="B42" s="3" t="s">
        <v>129</v>
      </c>
      <c r="C42" s="8" t="s">
        <v>74</v>
      </c>
      <c r="D42" t="str">
        <f t="shared" si="1"/>
        <v>Ok</v>
      </c>
      <c r="I42" s="16" t="str">
        <f t="shared" si="2"/>
        <v>modesg_inp_emss_scibano_info</v>
      </c>
      <c r="J42" s="7" t="s">
        <v>147</v>
      </c>
      <c r="K42" s="7" t="s">
        <v>118</v>
      </c>
      <c r="L42" t="s">
        <v>123</v>
      </c>
      <c r="M42" t="str">
        <f t="shared" si="3"/>
        <v>Ok</v>
      </c>
      <c r="N42" t="s">
        <v>193</v>
      </c>
    </row>
    <row r="43" spans="1:14" x14ac:dyDescent="0.3">
      <c r="A43" s="16" t="str">
        <f t="shared" si="0"/>
        <v>modesg_inp_emss_nacescp3_ftr_emss</v>
      </c>
      <c r="B43" s="3" t="s">
        <v>129</v>
      </c>
      <c r="C43" s="8" t="s">
        <v>75</v>
      </c>
      <c r="D43" t="str">
        <f t="shared" si="1"/>
        <v>Ok</v>
      </c>
      <c r="I43" s="16" t="str">
        <f t="shared" si="2"/>
        <v>modesg_inp_emss_scibcapital_proprio</v>
      </c>
      <c r="J43" s="7" t="s">
        <v>147</v>
      </c>
      <c r="K43" s="7" t="s">
        <v>118</v>
      </c>
      <c r="L43" t="s">
        <v>128</v>
      </c>
      <c r="M43" t="str">
        <f t="shared" si="3"/>
        <v>Ok</v>
      </c>
      <c r="N43" t="s">
        <v>193</v>
      </c>
    </row>
    <row r="44" spans="1:14" x14ac:dyDescent="0.3">
      <c r="A44" s="16" t="str">
        <f t="shared" si="0"/>
        <v>modesg_inp_emss_nacescore_qualidade</v>
      </c>
      <c r="B44" s="3" t="s">
        <v>129</v>
      </c>
      <c r="C44" s="8" t="s">
        <v>76</v>
      </c>
      <c r="D44" t="str">
        <f t="shared" si="1"/>
        <v>Ok</v>
      </c>
      <c r="I44" s="16" t="str">
        <f t="shared" si="2"/>
        <v>modesg_inp_emss_scibccli_kgl</v>
      </c>
      <c r="J44" s="7" t="s">
        <v>147</v>
      </c>
      <c r="K44" s="7" t="s">
        <v>118</v>
      </c>
      <c r="L44" t="s">
        <v>148</v>
      </c>
      <c r="M44" t="str">
        <f t="shared" si="3"/>
        <v>Ok</v>
      </c>
      <c r="N44" t="s">
        <v>193</v>
      </c>
    </row>
    <row r="45" spans="1:14" x14ac:dyDescent="0.3">
      <c r="A45" s="16" t="str">
        <f t="shared" si="0"/>
        <v>modesg_inp_emss_scibref_date</v>
      </c>
      <c r="B45" s="3" t="s">
        <v>118</v>
      </c>
      <c r="C45" s="8" t="s">
        <v>21</v>
      </c>
      <c r="D45" t="str">
        <f t="shared" si="1"/>
        <v>Ok</v>
      </c>
      <c r="I45" s="16" t="str">
        <f t="shared" si="2"/>
        <v>modesg_inp_emss_scibclei</v>
      </c>
      <c r="J45" s="7" t="s">
        <v>147</v>
      </c>
      <c r="K45" s="7" t="s">
        <v>118</v>
      </c>
      <c r="L45" t="s">
        <v>111</v>
      </c>
      <c r="M45" t="str">
        <f t="shared" si="3"/>
        <v>Ok</v>
      </c>
      <c r="N45" t="s">
        <v>193</v>
      </c>
    </row>
    <row r="46" spans="1:14" x14ac:dyDescent="0.3">
      <c r="A46" s="16" t="str">
        <f t="shared" si="0"/>
        <v>modesg_inp_emss_scibccli_kgl</v>
      </c>
      <c r="B46" s="3" t="s">
        <v>118</v>
      </c>
      <c r="C46" s="8" t="s">
        <v>148</v>
      </c>
      <c r="D46" t="str">
        <f t="shared" si="1"/>
        <v>Ok</v>
      </c>
      <c r="I46" s="16" t="str">
        <f t="shared" si="2"/>
        <v>modesg_inp_emss_scibdivida_total</v>
      </c>
      <c r="J46" s="7" t="s">
        <v>147</v>
      </c>
      <c r="K46" s="7" t="s">
        <v>118</v>
      </c>
      <c r="L46" t="s">
        <v>127</v>
      </c>
      <c r="M46" t="str">
        <f t="shared" si="3"/>
        <v>Ok</v>
      </c>
      <c r="N46" t="s">
        <v>193</v>
      </c>
    </row>
    <row r="47" spans="1:14" x14ac:dyDescent="0.3">
      <c r="A47" s="16" t="str">
        <f t="shared" si="0"/>
        <v>modesg_inp_emss_scibnome_grupo</v>
      </c>
      <c r="B47" s="3" t="s">
        <v>118</v>
      </c>
      <c r="C47" s="8" t="s">
        <v>119</v>
      </c>
      <c r="D47" t="str">
        <f t="shared" si="1"/>
        <v>Ok</v>
      </c>
      <c r="I47" s="16" t="str">
        <f t="shared" si="2"/>
        <v>modesg_inp_emss_scibisin</v>
      </c>
      <c r="J47" s="7" t="s">
        <v>147</v>
      </c>
      <c r="K47" s="7" t="s">
        <v>118</v>
      </c>
      <c r="L47" t="s">
        <v>110</v>
      </c>
      <c r="M47" t="str">
        <f t="shared" si="3"/>
        <v>Ok</v>
      </c>
      <c r="N47" t="s">
        <v>193</v>
      </c>
    </row>
    <row r="48" spans="1:14" x14ac:dyDescent="0.3">
      <c r="A48" s="16" t="str">
        <f t="shared" si="0"/>
        <v>modesg_inp_emss_scibisin</v>
      </c>
      <c r="B48" s="3" t="s">
        <v>118</v>
      </c>
      <c r="C48" s="8" t="s">
        <v>110</v>
      </c>
      <c r="D48" t="str">
        <f t="shared" si="1"/>
        <v>Ok</v>
      </c>
      <c r="I48" s="16" t="str">
        <f t="shared" si="2"/>
        <v>modesg_inp_emss_scibnome_grupo</v>
      </c>
      <c r="J48" s="7" t="s">
        <v>147</v>
      </c>
      <c r="K48" s="7" t="s">
        <v>118</v>
      </c>
      <c r="L48" t="s">
        <v>119</v>
      </c>
      <c r="M48" t="str">
        <f t="shared" si="3"/>
        <v>Ok</v>
      </c>
      <c r="N48" t="s">
        <v>193</v>
      </c>
    </row>
    <row r="49" spans="1:14" x14ac:dyDescent="0.3">
      <c r="A49" s="16" t="str">
        <f t="shared" si="0"/>
        <v>modesg_inp_emss_scibclei</v>
      </c>
      <c r="B49" s="3" t="s">
        <v>118</v>
      </c>
      <c r="C49" s="8" t="s">
        <v>111</v>
      </c>
      <c r="D49" t="str">
        <f t="shared" si="1"/>
        <v>Ok</v>
      </c>
      <c r="I49" s="16" t="str">
        <f t="shared" si="2"/>
        <v>modesg_inp_emss_sciborigem_scp1</v>
      </c>
      <c r="J49" s="7" t="s">
        <v>147</v>
      </c>
      <c r="K49" s="7" t="s">
        <v>118</v>
      </c>
      <c r="L49" t="s">
        <v>124</v>
      </c>
      <c r="M49" t="str">
        <f t="shared" si="3"/>
        <v>Ok</v>
      </c>
      <c r="N49" t="s">
        <v>193</v>
      </c>
    </row>
    <row r="50" spans="1:14" x14ac:dyDescent="0.3">
      <c r="A50" s="16" t="str">
        <f t="shared" si="0"/>
        <v>modesg_inp_emss_scibscp1_emss</v>
      </c>
      <c r="B50" s="3" t="s">
        <v>118</v>
      </c>
      <c r="C50" s="8" t="s">
        <v>53</v>
      </c>
      <c r="D50" t="str">
        <f t="shared" si="1"/>
        <v>Ok</v>
      </c>
      <c r="I50" s="16" t="str">
        <f t="shared" si="2"/>
        <v>modesg_inp_emss_sciborigem_scp2</v>
      </c>
      <c r="J50" s="7" t="s">
        <v>147</v>
      </c>
      <c r="K50" s="7" t="s">
        <v>118</v>
      </c>
      <c r="L50" t="s">
        <v>125</v>
      </c>
      <c r="M50" t="str">
        <f t="shared" si="3"/>
        <v>Ok</v>
      </c>
      <c r="N50" t="s">
        <v>193</v>
      </c>
    </row>
    <row r="51" spans="1:14" x14ac:dyDescent="0.3">
      <c r="A51" s="16" t="str">
        <f t="shared" si="0"/>
        <v>modesg_inp_emss_scibscp2_emss</v>
      </c>
      <c r="B51" s="3" t="s">
        <v>118</v>
      </c>
      <c r="C51" s="8" t="s">
        <v>54</v>
      </c>
      <c r="D51" t="str">
        <f t="shared" si="1"/>
        <v>Ok</v>
      </c>
      <c r="I51" s="16" t="str">
        <f t="shared" si="2"/>
        <v>modesg_inp_emss_sciborigem_scp3</v>
      </c>
      <c r="J51" s="7" t="s">
        <v>147</v>
      </c>
      <c r="K51" s="7" t="s">
        <v>118</v>
      </c>
      <c r="L51" t="s">
        <v>126</v>
      </c>
      <c r="M51" t="str">
        <f t="shared" si="3"/>
        <v>Ok</v>
      </c>
      <c r="N51" t="s">
        <v>193</v>
      </c>
    </row>
    <row r="52" spans="1:14" x14ac:dyDescent="0.3">
      <c r="A52" s="16" t="str">
        <f t="shared" si="0"/>
        <v>modesg_inp_emss_scibscp3_emss</v>
      </c>
      <c r="B52" s="3" t="s">
        <v>118</v>
      </c>
      <c r="C52" s="8" t="s">
        <v>55</v>
      </c>
      <c r="D52" t="str">
        <f t="shared" si="1"/>
        <v>Ok</v>
      </c>
      <c r="I52" s="16" t="str">
        <f t="shared" si="2"/>
        <v>modesg_inp_emss_scibref_date</v>
      </c>
      <c r="J52" s="7" t="s">
        <v>147</v>
      </c>
      <c r="K52" s="7" t="s">
        <v>118</v>
      </c>
      <c r="L52" t="s">
        <v>21</v>
      </c>
      <c r="M52" t="str">
        <f t="shared" si="3"/>
        <v>Ok</v>
      </c>
      <c r="N52" t="s">
        <v>193</v>
      </c>
    </row>
    <row r="53" spans="1:14" x14ac:dyDescent="0.3">
      <c r="A53" s="16" t="str">
        <f t="shared" si="0"/>
        <v>modesg_inp_emss_scibscore_scp1</v>
      </c>
      <c r="B53" s="3" t="s">
        <v>118</v>
      </c>
      <c r="C53" s="8" t="s">
        <v>120</v>
      </c>
      <c r="D53" t="str">
        <f t="shared" si="1"/>
        <v>Ok</v>
      </c>
      <c r="I53" s="16" t="str">
        <f t="shared" si="2"/>
        <v>modesg_inp_emss_scibscore_scp1</v>
      </c>
      <c r="J53" s="7" t="s">
        <v>147</v>
      </c>
      <c r="K53" s="7" t="s">
        <v>118</v>
      </c>
      <c r="L53" t="s">
        <v>120</v>
      </c>
      <c r="M53" t="str">
        <f t="shared" si="3"/>
        <v>Ok</v>
      </c>
      <c r="N53" t="s">
        <v>193</v>
      </c>
    </row>
    <row r="54" spans="1:14" x14ac:dyDescent="0.3">
      <c r="A54" s="16" t="str">
        <f t="shared" si="0"/>
        <v>modesg_inp_emss_scibscore_scp2</v>
      </c>
      <c r="B54" s="3" t="s">
        <v>118</v>
      </c>
      <c r="C54" s="8" t="s">
        <v>121</v>
      </c>
      <c r="D54" t="str">
        <f t="shared" si="1"/>
        <v>Ok</v>
      </c>
      <c r="I54" s="16" t="str">
        <f t="shared" si="2"/>
        <v>modesg_inp_emss_scibscore_scp2</v>
      </c>
      <c r="J54" s="7" t="s">
        <v>147</v>
      </c>
      <c r="K54" s="7" t="s">
        <v>118</v>
      </c>
      <c r="L54" t="s">
        <v>121</v>
      </c>
      <c r="M54" t="str">
        <f t="shared" si="3"/>
        <v>Ok</v>
      </c>
      <c r="N54" t="s">
        <v>193</v>
      </c>
    </row>
    <row r="55" spans="1:14" x14ac:dyDescent="0.3">
      <c r="A55" s="16" t="str">
        <f t="shared" si="0"/>
        <v>modesg_inp_emss_scibscore_scp3</v>
      </c>
      <c r="B55" s="3" t="s">
        <v>118</v>
      </c>
      <c r="C55" s="8" t="s">
        <v>122</v>
      </c>
      <c r="D55" t="str">
        <f t="shared" si="1"/>
        <v>Ok</v>
      </c>
      <c r="I55" s="16" t="str">
        <f t="shared" si="2"/>
        <v>modesg_inp_emss_scibscore_scp3</v>
      </c>
      <c r="J55" s="7" t="s">
        <v>147</v>
      </c>
      <c r="K55" s="7" t="s">
        <v>118</v>
      </c>
      <c r="L55" t="s">
        <v>122</v>
      </c>
      <c r="M55" t="str">
        <f t="shared" si="3"/>
        <v>Ok</v>
      </c>
      <c r="N55" t="s">
        <v>193</v>
      </c>
    </row>
    <row r="56" spans="1:14" x14ac:dyDescent="0.3">
      <c r="A56" s="16" t="str">
        <f t="shared" si="0"/>
        <v>modesg_inp_emss_scibano_info</v>
      </c>
      <c r="B56" s="3" t="s">
        <v>118</v>
      </c>
      <c r="C56" s="8" t="s">
        <v>123</v>
      </c>
      <c r="D56" t="str">
        <f t="shared" si="1"/>
        <v>Ok</v>
      </c>
      <c r="I56" s="16" t="str">
        <f t="shared" si="2"/>
        <v>modesg_inp_emss_scibscp1_emss</v>
      </c>
      <c r="J56" s="7" t="s">
        <v>147</v>
      </c>
      <c r="K56" s="7" t="s">
        <v>118</v>
      </c>
      <c r="L56" t="s">
        <v>53</v>
      </c>
      <c r="M56" t="str">
        <f t="shared" si="3"/>
        <v>Ok</v>
      </c>
      <c r="N56" t="s">
        <v>193</v>
      </c>
    </row>
    <row r="57" spans="1:14" x14ac:dyDescent="0.3">
      <c r="A57" s="16" t="str">
        <f t="shared" si="0"/>
        <v>modesg_inp_emss_sciborigem_scp1</v>
      </c>
      <c r="B57" s="3" t="s">
        <v>118</v>
      </c>
      <c r="C57" s="8" t="s">
        <v>124</v>
      </c>
      <c r="D57" t="str">
        <f t="shared" si="1"/>
        <v>Ok</v>
      </c>
      <c r="I57" s="16" t="str">
        <f t="shared" si="2"/>
        <v>modesg_inp_emss_scibscp2_emss</v>
      </c>
      <c r="J57" s="7" t="s">
        <v>147</v>
      </c>
      <c r="K57" s="7" t="s">
        <v>118</v>
      </c>
      <c r="L57" t="s">
        <v>54</v>
      </c>
      <c r="M57" t="str">
        <f t="shared" si="3"/>
        <v>Ok</v>
      </c>
      <c r="N57" t="s">
        <v>193</v>
      </c>
    </row>
    <row r="58" spans="1:14" x14ac:dyDescent="0.3">
      <c r="A58" s="16" t="str">
        <f t="shared" si="0"/>
        <v>modesg_inp_emss_sciborigem_scp2</v>
      </c>
      <c r="B58" s="3" t="s">
        <v>118</v>
      </c>
      <c r="C58" s="8" t="s">
        <v>125</v>
      </c>
      <c r="D58" t="str">
        <f t="shared" si="1"/>
        <v>Ok</v>
      </c>
      <c r="I58" s="16" t="str">
        <f t="shared" si="2"/>
        <v>modesg_inp_emss_scibscp3_emss</v>
      </c>
      <c r="J58" s="7" t="s">
        <v>147</v>
      </c>
      <c r="K58" s="7" t="s">
        <v>118</v>
      </c>
      <c r="L58" t="s">
        <v>55</v>
      </c>
      <c r="M58" t="str">
        <f t="shared" si="3"/>
        <v>Ok</v>
      </c>
      <c r="N58" t="s">
        <v>193</v>
      </c>
    </row>
    <row r="59" spans="1:14" x14ac:dyDescent="0.3">
      <c r="A59" s="16" t="str">
        <f t="shared" si="0"/>
        <v>modesg_inp_emss_sciborigem_scp3</v>
      </c>
      <c r="B59" s="3" t="s">
        <v>118</v>
      </c>
      <c r="C59" s="8" t="s">
        <v>126</v>
      </c>
      <c r="D59" t="str">
        <f t="shared" si="1"/>
        <v>Ok</v>
      </c>
      <c r="I59" s="16" t="str">
        <f t="shared" si="2"/>
        <v>modesg_inp_emss_vclsdata_level_5</v>
      </c>
      <c r="J59" s="17" t="s">
        <v>147</v>
      </c>
      <c r="K59" s="17" t="s">
        <v>62</v>
      </c>
      <c r="L59" s="18" t="s">
        <v>152</v>
      </c>
      <c r="M59" s="18" t="str">
        <f t="shared" si="3"/>
        <v>Nok</v>
      </c>
      <c r="N59" t="s">
        <v>183</v>
      </c>
    </row>
    <row r="60" spans="1:14" x14ac:dyDescent="0.3">
      <c r="A60" s="16" t="str">
        <f t="shared" si="0"/>
        <v>modesg_inp_emss_scibdivida_total</v>
      </c>
      <c r="B60" s="3" t="s">
        <v>118</v>
      </c>
      <c r="C60" s="8" t="s">
        <v>127</v>
      </c>
      <c r="D60" t="str">
        <f t="shared" si="1"/>
        <v>Ok</v>
      </c>
      <c r="I60" s="16" t="str">
        <f t="shared" si="2"/>
        <v>modesg_inp_emss_vclsmarca</v>
      </c>
      <c r="J60" s="7" t="s">
        <v>147</v>
      </c>
      <c r="K60" s="7" t="s">
        <v>62</v>
      </c>
      <c r="L60" t="s">
        <v>69</v>
      </c>
      <c r="M60" t="str">
        <f t="shared" si="3"/>
        <v>Ok</v>
      </c>
      <c r="N60" t="s">
        <v>193</v>
      </c>
    </row>
    <row r="61" spans="1:14" x14ac:dyDescent="0.3">
      <c r="A61" s="16" t="str">
        <f t="shared" si="0"/>
        <v>modesg_inp_emss_scibcapital_proprio</v>
      </c>
      <c r="B61" s="3" t="s">
        <v>118</v>
      </c>
      <c r="C61" s="8" t="s">
        <v>128</v>
      </c>
      <c r="D61" t="str">
        <f t="shared" si="1"/>
        <v>Ok</v>
      </c>
      <c r="I61" s="16" t="str">
        <f t="shared" si="2"/>
        <v>modesg_inp_emss_vclsmodelo</v>
      </c>
      <c r="J61" s="7" t="s">
        <v>147</v>
      </c>
      <c r="K61" s="7" t="s">
        <v>62</v>
      </c>
      <c r="L61" t="s">
        <v>68</v>
      </c>
      <c r="M61" t="str">
        <f t="shared" si="3"/>
        <v>Ok</v>
      </c>
      <c r="N61" t="s">
        <v>193</v>
      </c>
    </row>
    <row r="62" spans="1:14" x14ac:dyDescent="0.3">
      <c r="A62" s="16" t="str">
        <f t="shared" si="0"/>
        <v>modesg_inp_emss_vclsref_date</v>
      </c>
      <c r="B62" s="3" t="s">
        <v>62</v>
      </c>
      <c r="C62" s="12" t="s">
        <v>21</v>
      </c>
      <c r="D62" t="str">
        <f t="shared" si="1"/>
        <v>Ok</v>
      </c>
      <c r="I62" s="16" t="str">
        <f t="shared" si="2"/>
        <v>modesg_inp_emss_vclsnome_estado</v>
      </c>
      <c r="J62" s="7" t="s">
        <v>147</v>
      </c>
      <c r="K62" s="7" t="s">
        <v>62</v>
      </c>
      <c r="L62" t="s">
        <v>65</v>
      </c>
      <c r="M62" t="str">
        <f t="shared" si="3"/>
        <v>Ok</v>
      </c>
      <c r="N62" t="s">
        <v>193</v>
      </c>
    </row>
    <row r="63" spans="1:14" x14ac:dyDescent="0.3">
      <c r="A63" s="16" t="str">
        <f t="shared" si="0"/>
        <v>modesg_inp_emss_vclsnome_pais</v>
      </c>
      <c r="B63" s="3" t="s">
        <v>62</v>
      </c>
      <c r="C63" s="8" t="s">
        <v>63</v>
      </c>
      <c r="D63" t="str">
        <f t="shared" si="1"/>
        <v>Ok</v>
      </c>
      <c r="I63" s="16" t="str">
        <f t="shared" si="2"/>
        <v>modesg_inp_emss_vclsnome_fator_emissao</v>
      </c>
      <c r="J63" s="7" t="s">
        <v>147</v>
      </c>
      <c r="K63" s="7" t="s">
        <v>62</v>
      </c>
      <c r="L63" t="s">
        <v>72</v>
      </c>
      <c r="M63" t="str">
        <f t="shared" si="3"/>
        <v>Ok</v>
      </c>
      <c r="N63" t="s">
        <v>193</v>
      </c>
    </row>
    <row r="64" spans="1:14" x14ac:dyDescent="0.3">
      <c r="A64" s="16" t="str">
        <f t="shared" si="0"/>
        <v>modesg_inp_emss_vclsnome_regiao</v>
      </c>
      <c r="B64" s="3" t="s">
        <v>62</v>
      </c>
      <c r="C64" s="8" t="s">
        <v>64</v>
      </c>
      <c r="D64" t="str">
        <f t="shared" si="1"/>
        <v>Ok</v>
      </c>
      <c r="I64" s="16" t="str">
        <f t="shared" si="2"/>
        <v>modesg_inp_emss_vclsnome_pais</v>
      </c>
      <c r="J64" s="7" t="s">
        <v>147</v>
      </c>
      <c r="K64" s="7" t="s">
        <v>62</v>
      </c>
      <c r="L64" t="s">
        <v>63</v>
      </c>
      <c r="M64" t="str">
        <f t="shared" si="3"/>
        <v>Ok</v>
      </c>
      <c r="N64" t="s">
        <v>193</v>
      </c>
    </row>
    <row r="65" spans="1:14" x14ac:dyDescent="0.3">
      <c r="A65" s="16" t="str">
        <f t="shared" si="0"/>
        <v>modesg_inp_emss_vclsnome_estado</v>
      </c>
      <c r="B65" s="3" t="s">
        <v>62</v>
      </c>
      <c r="C65" s="8" t="s">
        <v>65</v>
      </c>
      <c r="D65" t="str">
        <f t="shared" si="1"/>
        <v>Ok</v>
      </c>
      <c r="I65" s="16" t="str">
        <f t="shared" si="2"/>
        <v>modesg_inp_emss_vclsnome_regiao</v>
      </c>
      <c r="J65" s="7" t="s">
        <v>147</v>
      </c>
      <c r="K65" s="7" t="s">
        <v>62</v>
      </c>
      <c r="L65" t="s">
        <v>64</v>
      </c>
      <c r="M65" t="str">
        <f t="shared" si="3"/>
        <v>Ok</v>
      </c>
      <c r="N65" t="s">
        <v>193</v>
      </c>
    </row>
    <row r="66" spans="1:14" x14ac:dyDescent="0.3">
      <c r="A66" s="16" t="str">
        <f t="shared" si="0"/>
        <v>modesg_inp_emss_vclstipo_veiculo</v>
      </c>
      <c r="B66" s="3" t="s">
        <v>62</v>
      </c>
      <c r="C66" s="8" t="s">
        <v>66</v>
      </c>
      <c r="D66" t="str">
        <f t="shared" si="1"/>
        <v>Ok</v>
      </c>
      <c r="I66" s="16" t="str">
        <f t="shared" si="2"/>
        <v>modesg_inp_emss_vclsnome_unidade_funcional</v>
      </c>
      <c r="J66" s="7" t="s">
        <v>147</v>
      </c>
      <c r="K66" s="7" t="s">
        <v>62</v>
      </c>
      <c r="L66" t="s">
        <v>70</v>
      </c>
      <c r="M66" t="str">
        <f t="shared" si="3"/>
        <v>Ok</v>
      </c>
      <c r="N66" t="s">
        <v>193</v>
      </c>
    </row>
    <row r="67" spans="1:14" x14ac:dyDescent="0.3">
      <c r="A67" s="16" t="str">
        <f t="shared" ref="A67:A130" si="4">B67&amp;C67</f>
        <v>modesg_inp_emss_vclstipo_motor</v>
      </c>
      <c r="B67" s="3" t="s">
        <v>62</v>
      </c>
      <c r="C67" s="8" t="s">
        <v>67</v>
      </c>
      <c r="D67" t="str">
        <f t="shared" ref="D67:D130" si="5">IFERROR(IF(VLOOKUP(A67,$I$3:$I$234,1,0)=A67,"Ok","Nok"),"Nok")</f>
        <v>Ok</v>
      </c>
      <c r="I67" s="16" t="str">
        <f t="shared" si="2"/>
        <v>modesg_inp_emss_vclsref_date</v>
      </c>
      <c r="J67" s="7" t="s">
        <v>147</v>
      </c>
      <c r="K67" s="7" t="s">
        <v>62</v>
      </c>
      <c r="L67" t="s">
        <v>21</v>
      </c>
      <c r="M67" t="str">
        <f t="shared" si="3"/>
        <v>Ok</v>
      </c>
      <c r="N67" t="s">
        <v>193</v>
      </c>
    </row>
    <row r="68" spans="1:14" x14ac:dyDescent="0.3">
      <c r="A68" s="16" t="str">
        <f t="shared" si="4"/>
        <v>modesg_inp_emss_vclsmodelo</v>
      </c>
      <c r="B68" s="3" t="s">
        <v>62</v>
      </c>
      <c r="C68" s="8" t="s">
        <v>68</v>
      </c>
      <c r="D68" t="str">
        <f t="shared" si="5"/>
        <v>Ok</v>
      </c>
      <c r="I68" s="16" t="str">
        <f t="shared" ref="I68:I131" si="6">K68&amp;L68</f>
        <v>modesg_inp_emss_vclsscore_qualidade</v>
      </c>
      <c r="J68" s="7" t="s">
        <v>147</v>
      </c>
      <c r="K68" s="7" t="s">
        <v>62</v>
      </c>
      <c r="L68" t="s">
        <v>76</v>
      </c>
      <c r="M68" t="str">
        <f t="shared" ref="M68:M131" si="7">IFERROR(IF(VLOOKUP(I68,$A$3:$A$214,1,0)=I68,"Ok","Nok"),"Nok")</f>
        <v>Ok</v>
      </c>
      <c r="N68" t="s">
        <v>193</v>
      </c>
    </row>
    <row r="69" spans="1:14" x14ac:dyDescent="0.3">
      <c r="A69" s="16" t="str">
        <f t="shared" si="4"/>
        <v>modesg_inp_emss_vclsmarca</v>
      </c>
      <c r="B69" s="3" t="s">
        <v>62</v>
      </c>
      <c r="C69" s="8" t="s">
        <v>69</v>
      </c>
      <c r="D69" t="str">
        <f t="shared" si="5"/>
        <v>Ok</v>
      </c>
      <c r="I69" s="16" t="str">
        <f t="shared" si="6"/>
        <v>modesg_inp_emss_vclsscp1_ftr_emss</v>
      </c>
      <c r="J69" s="7" t="s">
        <v>147</v>
      </c>
      <c r="K69" s="7" t="s">
        <v>62</v>
      </c>
      <c r="L69" t="s">
        <v>73</v>
      </c>
      <c r="M69" t="str">
        <f t="shared" si="7"/>
        <v>Ok</v>
      </c>
      <c r="N69" t="s">
        <v>193</v>
      </c>
    </row>
    <row r="70" spans="1:14" x14ac:dyDescent="0.3">
      <c r="A70" s="16" t="str">
        <f t="shared" si="4"/>
        <v>modesg_inp_emss_vclsnome_unidade_funcional</v>
      </c>
      <c r="B70" s="3" t="s">
        <v>62</v>
      </c>
      <c r="C70" s="8" t="s">
        <v>70</v>
      </c>
      <c r="D70" t="str">
        <f t="shared" si="5"/>
        <v>Ok</v>
      </c>
      <c r="I70" s="16" t="str">
        <f t="shared" si="6"/>
        <v>modesg_inp_emss_vclsscp2_ftr_emss</v>
      </c>
      <c r="J70" s="7" t="s">
        <v>147</v>
      </c>
      <c r="K70" s="7" t="s">
        <v>62</v>
      </c>
      <c r="L70" t="s">
        <v>74</v>
      </c>
      <c r="M70" t="str">
        <f t="shared" si="7"/>
        <v>Ok</v>
      </c>
      <c r="N70" t="s">
        <v>193</v>
      </c>
    </row>
    <row r="71" spans="1:14" x14ac:dyDescent="0.3">
      <c r="A71" s="16" t="str">
        <f t="shared" si="4"/>
        <v>modesg_inp_emss_vclsunidade_funcional</v>
      </c>
      <c r="B71" s="3" t="s">
        <v>62</v>
      </c>
      <c r="C71" s="8" t="s">
        <v>71</v>
      </c>
      <c r="D71" t="str">
        <f t="shared" si="5"/>
        <v>Ok</v>
      </c>
      <c r="I71" s="16" t="str">
        <f t="shared" si="6"/>
        <v>modesg_inp_emss_vclsscp3_ftr_emss</v>
      </c>
      <c r="J71" s="7" t="s">
        <v>147</v>
      </c>
      <c r="K71" s="7" t="s">
        <v>62</v>
      </c>
      <c r="L71" t="s">
        <v>75</v>
      </c>
      <c r="M71" t="str">
        <f t="shared" si="7"/>
        <v>Ok</v>
      </c>
      <c r="N71" t="s">
        <v>193</v>
      </c>
    </row>
    <row r="72" spans="1:14" x14ac:dyDescent="0.3">
      <c r="A72" s="16" t="str">
        <f t="shared" si="4"/>
        <v>modesg_inp_emss_vclsnome_fator_emissao</v>
      </c>
      <c r="B72" s="3" t="s">
        <v>62</v>
      </c>
      <c r="C72" s="8" t="s">
        <v>72</v>
      </c>
      <c r="D72" t="str">
        <f t="shared" si="5"/>
        <v>Ok</v>
      </c>
      <c r="I72" s="16" t="str">
        <f t="shared" si="6"/>
        <v>modesg_inp_emss_vclstipo_motor</v>
      </c>
      <c r="J72" s="7" t="s">
        <v>147</v>
      </c>
      <c r="K72" s="7" t="s">
        <v>62</v>
      </c>
      <c r="L72" t="s">
        <v>67</v>
      </c>
      <c r="M72" t="str">
        <f t="shared" si="7"/>
        <v>Ok</v>
      </c>
      <c r="N72" t="s">
        <v>193</v>
      </c>
    </row>
    <row r="73" spans="1:14" x14ac:dyDescent="0.3">
      <c r="A73" s="16" t="str">
        <f t="shared" si="4"/>
        <v>modesg_inp_emss_vclsunidade_fator_emissao</v>
      </c>
      <c r="B73" s="3" t="s">
        <v>62</v>
      </c>
      <c r="C73" s="8" t="s">
        <v>150</v>
      </c>
      <c r="D73" t="str">
        <f t="shared" si="5"/>
        <v>Ok</v>
      </c>
      <c r="I73" s="16" t="str">
        <f t="shared" si="6"/>
        <v>modesg_inp_emss_vclstipo_veiculo</v>
      </c>
      <c r="J73" s="7" t="s">
        <v>147</v>
      </c>
      <c r="K73" s="7" t="s">
        <v>62</v>
      </c>
      <c r="L73" t="s">
        <v>66</v>
      </c>
      <c r="M73" t="str">
        <f t="shared" si="7"/>
        <v>Ok</v>
      </c>
      <c r="N73" t="s">
        <v>193</v>
      </c>
    </row>
    <row r="74" spans="1:14" x14ac:dyDescent="0.3">
      <c r="A74" s="16" t="str">
        <f t="shared" si="4"/>
        <v>modesg_inp_emss_vclsscp1_ftr_emss</v>
      </c>
      <c r="B74" s="3" t="s">
        <v>62</v>
      </c>
      <c r="C74" s="8" t="s">
        <v>73</v>
      </c>
      <c r="D74" t="str">
        <f t="shared" si="5"/>
        <v>Ok</v>
      </c>
      <c r="I74" s="16" t="str">
        <f t="shared" si="6"/>
        <v>modesg_inp_emss_vclsunidade_fator_emissao</v>
      </c>
      <c r="J74" s="7" t="s">
        <v>147</v>
      </c>
      <c r="K74" s="7" t="s">
        <v>62</v>
      </c>
      <c r="L74" t="s">
        <v>150</v>
      </c>
      <c r="M74" t="str">
        <f t="shared" si="7"/>
        <v>Ok</v>
      </c>
      <c r="N74" t="s">
        <v>193</v>
      </c>
    </row>
    <row r="75" spans="1:14" x14ac:dyDescent="0.3">
      <c r="A75" s="16" t="str">
        <f t="shared" si="4"/>
        <v>modesg_inp_emss_vclsscp2_ftr_emss</v>
      </c>
      <c r="B75" s="3" t="s">
        <v>62</v>
      </c>
      <c r="C75" s="8" t="s">
        <v>74</v>
      </c>
      <c r="D75" t="str">
        <f t="shared" si="5"/>
        <v>Ok</v>
      </c>
      <c r="I75" s="16" t="str">
        <f t="shared" si="6"/>
        <v>modesg_inp_emss_vclsunidade_funcional</v>
      </c>
      <c r="J75" s="7" t="s">
        <v>147</v>
      </c>
      <c r="K75" s="7" t="s">
        <v>62</v>
      </c>
      <c r="L75" t="s">
        <v>71</v>
      </c>
      <c r="M75" t="str">
        <f t="shared" si="7"/>
        <v>Ok</v>
      </c>
      <c r="N75" t="s">
        <v>193</v>
      </c>
    </row>
    <row r="76" spans="1:14" x14ac:dyDescent="0.3">
      <c r="A76" s="16" t="str">
        <f t="shared" si="4"/>
        <v>modesg_inp_emss_vclsscp3_ftr_emss</v>
      </c>
      <c r="B76" s="3" t="s">
        <v>62</v>
      </c>
      <c r="C76" s="8" t="s">
        <v>75</v>
      </c>
      <c r="D76" t="str">
        <f t="shared" si="5"/>
        <v>Ok</v>
      </c>
      <c r="I76" s="16" t="str">
        <f t="shared" si="6"/>
        <v>modesg_inp_km_medios_emss_vclsdata_level_5</v>
      </c>
      <c r="J76" s="17" t="s">
        <v>147</v>
      </c>
      <c r="K76" s="17" t="s">
        <v>77</v>
      </c>
      <c r="L76" s="18" t="s">
        <v>152</v>
      </c>
      <c r="M76" s="18" t="str">
        <f t="shared" si="7"/>
        <v>Nok</v>
      </c>
      <c r="N76" t="s">
        <v>183</v>
      </c>
    </row>
    <row r="77" spans="1:14" x14ac:dyDescent="0.3">
      <c r="A77" s="16" t="str">
        <f t="shared" si="4"/>
        <v>modesg_inp_emss_vclsscore_qualidade</v>
      </c>
      <c r="B77" s="3" t="s">
        <v>62</v>
      </c>
      <c r="C77" s="8" t="s">
        <v>76</v>
      </c>
      <c r="D77" t="str">
        <f t="shared" si="5"/>
        <v>Ok</v>
      </c>
      <c r="I77" s="16" t="str">
        <f t="shared" si="6"/>
        <v>modesg_inp_km_medios_emss_vclsmedia_km</v>
      </c>
      <c r="J77" s="7" t="s">
        <v>147</v>
      </c>
      <c r="K77" s="7" t="s">
        <v>77</v>
      </c>
      <c r="L77" t="s">
        <v>80</v>
      </c>
      <c r="M77" t="str">
        <f t="shared" si="7"/>
        <v>Ok</v>
      </c>
      <c r="N77" t="s">
        <v>193</v>
      </c>
    </row>
    <row r="78" spans="1:14" x14ac:dyDescent="0.3">
      <c r="A78" s="16" t="str">
        <f t="shared" si="4"/>
        <v>modesg_inp_km_medios_emss_vclsref_date</v>
      </c>
      <c r="B78" s="8" t="s">
        <v>77</v>
      </c>
      <c r="C78" s="8" t="s">
        <v>21</v>
      </c>
      <c r="D78" t="str">
        <f t="shared" si="5"/>
        <v>Ok</v>
      </c>
      <c r="I78" s="16" t="str">
        <f t="shared" si="6"/>
        <v>modesg_inp_km_medios_emss_vclsnome_pais</v>
      </c>
      <c r="J78" s="7" t="s">
        <v>147</v>
      </c>
      <c r="K78" s="7" t="s">
        <v>77</v>
      </c>
      <c r="L78" t="s">
        <v>63</v>
      </c>
      <c r="M78" t="str">
        <f t="shared" si="7"/>
        <v>Ok</v>
      </c>
      <c r="N78" t="s">
        <v>193</v>
      </c>
    </row>
    <row r="79" spans="1:14" x14ac:dyDescent="0.3">
      <c r="A79" s="16" t="str">
        <f t="shared" si="4"/>
        <v>modesg_inp_km_medios_emss_vclsnome_pais</v>
      </c>
      <c r="B79" s="8" t="s">
        <v>77</v>
      </c>
      <c r="C79" s="8" t="s">
        <v>63</v>
      </c>
      <c r="D79" t="str">
        <f t="shared" si="5"/>
        <v>Ok</v>
      </c>
      <c r="I79" s="16" t="str">
        <f t="shared" si="6"/>
        <v>modesg_inp_km_medios_emss_vclsref_date</v>
      </c>
      <c r="J79" s="7" t="s">
        <v>147</v>
      </c>
      <c r="K79" s="7" t="s">
        <v>77</v>
      </c>
      <c r="L79" t="s">
        <v>21</v>
      </c>
      <c r="M79" t="str">
        <f t="shared" si="7"/>
        <v>Ok</v>
      </c>
      <c r="N79" t="s">
        <v>193</v>
      </c>
    </row>
    <row r="80" spans="1:14" x14ac:dyDescent="0.3">
      <c r="A80" s="16" t="str">
        <f t="shared" si="4"/>
        <v>modesg_inp_km_medios_emss_vclstipo_vcl</v>
      </c>
      <c r="B80" s="8" t="s">
        <v>77</v>
      </c>
      <c r="C80" s="8" t="s">
        <v>79</v>
      </c>
      <c r="D80" t="str">
        <f t="shared" si="5"/>
        <v>Ok</v>
      </c>
      <c r="I80" s="16" t="str">
        <f t="shared" si="6"/>
        <v>modesg_inp_km_medios_emss_vclstipo_motor</v>
      </c>
      <c r="J80" s="7" t="s">
        <v>147</v>
      </c>
      <c r="K80" s="7" t="s">
        <v>77</v>
      </c>
      <c r="L80" t="s">
        <v>67</v>
      </c>
      <c r="M80" t="str">
        <f t="shared" si="7"/>
        <v>Ok</v>
      </c>
      <c r="N80" t="s">
        <v>193</v>
      </c>
    </row>
    <row r="81" spans="1:14" x14ac:dyDescent="0.3">
      <c r="A81" s="16" t="str">
        <f t="shared" si="4"/>
        <v>modesg_inp_km_medios_emss_vclstipo_motor</v>
      </c>
      <c r="B81" s="8" t="s">
        <v>77</v>
      </c>
      <c r="C81" s="8" t="s">
        <v>67</v>
      </c>
      <c r="D81" t="str">
        <f t="shared" si="5"/>
        <v>Ok</v>
      </c>
      <c r="I81" s="16" t="str">
        <f t="shared" si="6"/>
        <v>modesg_inp_km_medios_emss_vclstipo_vcl</v>
      </c>
      <c r="J81" s="7" t="s">
        <v>147</v>
      </c>
      <c r="K81" s="7" t="s">
        <v>77</v>
      </c>
      <c r="L81" t="s">
        <v>79</v>
      </c>
      <c r="M81" t="str">
        <f t="shared" si="7"/>
        <v>Ok</v>
      </c>
      <c r="N81" t="s">
        <v>193</v>
      </c>
    </row>
    <row r="82" spans="1:14" x14ac:dyDescent="0.3">
      <c r="A82" s="16" t="str">
        <f t="shared" si="4"/>
        <v>modesg_inp_km_medios_emss_vclsmedia_km</v>
      </c>
      <c r="B82" s="8" t="s">
        <v>77</v>
      </c>
      <c r="C82" s="8" t="s">
        <v>80</v>
      </c>
      <c r="D82" t="str">
        <f t="shared" si="5"/>
        <v>Ok</v>
      </c>
      <c r="I82" s="16" t="str">
        <f t="shared" si="6"/>
        <v>modesg_inp_nfrd_alinhamento_taxbio_capex_own_prfrmnce_algnd</v>
      </c>
      <c r="J82" s="17" t="s">
        <v>147</v>
      </c>
      <c r="K82" s="17" t="s">
        <v>114</v>
      </c>
      <c r="L82" s="18" t="s">
        <v>153</v>
      </c>
      <c r="M82" s="18" t="str">
        <f t="shared" si="7"/>
        <v>Nok</v>
      </c>
      <c r="N82" t="s">
        <v>183</v>
      </c>
    </row>
    <row r="83" spans="1:14" x14ac:dyDescent="0.3">
      <c r="A83" s="16" t="str">
        <f t="shared" si="4"/>
        <v>modesg_inp_km_medios_emss_vclsmedia_scp1_emss</v>
      </c>
      <c r="B83" s="23" t="s">
        <v>77</v>
      </c>
      <c r="C83" s="23" t="s">
        <v>81</v>
      </c>
      <c r="D83" s="24" t="str">
        <f t="shared" si="5"/>
        <v>Nok</v>
      </c>
      <c r="E83" t="s">
        <v>186</v>
      </c>
      <c r="I83" s="16" t="str">
        <f t="shared" si="6"/>
        <v>modesg_inp_nfrd_alinhamento_taxbio_capex_ttl_elgbl</v>
      </c>
      <c r="J83" s="17" t="s">
        <v>147</v>
      </c>
      <c r="K83" s="17" t="s">
        <v>114</v>
      </c>
      <c r="L83" s="18" t="s">
        <v>154</v>
      </c>
      <c r="M83" s="18" t="str">
        <f t="shared" si="7"/>
        <v>Nok</v>
      </c>
      <c r="N83" t="s">
        <v>183</v>
      </c>
    </row>
    <row r="84" spans="1:14" x14ac:dyDescent="0.3">
      <c r="A84" s="16" t="str">
        <f t="shared" si="4"/>
        <v>modesg_inp_km_medios_emss_vclsmedia_scp2_emss</v>
      </c>
      <c r="B84" s="23" t="s">
        <v>77</v>
      </c>
      <c r="C84" s="23" t="s">
        <v>82</v>
      </c>
      <c r="D84" s="24" t="str">
        <f t="shared" si="5"/>
        <v>Nok</v>
      </c>
      <c r="E84" t="s">
        <v>186</v>
      </c>
      <c r="I84" s="16" t="str">
        <f t="shared" si="6"/>
        <v>modesg_inp_nfrd_alinhamento_taxbio_trnvr_ttl_elgbl</v>
      </c>
      <c r="J84" s="17" t="s">
        <v>147</v>
      </c>
      <c r="K84" s="17" t="s">
        <v>114</v>
      </c>
      <c r="L84" s="18" t="s">
        <v>155</v>
      </c>
      <c r="M84" s="18" t="str">
        <f t="shared" si="7"/>
        <v>Nok</v>
      </c>
      <c r="N84" t="s">
        <v>183</v>
      </c>
    </row>
    <row r="85" spans="1:14" x14ac:dyDescent="0.3">
      <c r="A85" s="16" t="str">
        <f t="shared" si="4"/>
        <v>modesg_inp_km_medios_emss_vclsmedia_scp3_emss</v>
      </c>
      <c r="B85" s="23" t="s">
        <v>77</v>
      </c>
      <c r="C85" s="23" t="s">
        <v>83</v>
      </c>
      <c r="D85" s="24" t="str">
        <f t="shared" si="5"/>
        <v>Nok</v>
      </c>
      <c r="E85" t="s">
        <v>186</v>
      </c>
      <c r="I85" s="16" t="str">
        <f t="shared" si="6"/>
        <v>modesg_inp_nfrd_alinhamento_taxbio_turnover_own_prfrmnce_algnd</v>
      </c>
      <c r="J85" s="17" t="s">
        <v>147</v>
      </c>
      <c r="K85" s="17" t="s">
        <v>114</v>
      </c>
      <c r="L85" s="18" t="s">
        <v>156</v>
      </c>
      <c r="M85" s="18" t="str">
        <f t="shared" si="7"/>
        <v>Nok</v>
      </c>
      <c r="N85" t="s">
        <v>183</v>
      </c>
    </row>
    <row r="86" spans="1:14" x14ac:dyDescent="0.3">
      <c r="A86" s="16" t="str">
        <f t="shared" si="4"/>
        <v>modesg_inp_nfrd_alinhamento_taxref_date</v>
      </c>
      <c r="B86" s="3" t="s">
        <v>114</v>
      </c>
      <c r="C86" s="8" t="s">
        <v>21</v>
      </c>
      <c r="D86" t="str">
        <f t="shared" si="5"/>
        <v>Ok</v>
      </c>
      <c r="I86" s="16" t="str">
        <f t="shared" si="6"/>
        <v>modesg_inp_nfrd_alinhamento_taxcca_capex_enblng_algnd</v>
      </c>
      <c r="J86" s="7" t="s">
        <v>147</v>
      </c>
      <c r="K86" s="7" t="s">
        <v>114</v>
      </c>
      <c r="L86" t="s">
        <v>93</v>
      </c>
      <c r="M86" t="str">
        <f t="shared" si="7"/>
        <v>Ok</v>
      </c>
      <c r="N86" t="s">
        <v>193</v>
      </c>
    </row>
    <row r="87" spans="1:14" x14ac:dyDescent="0.3">
      <c r="A87" s="16" t="str">
        <f t="shared" si="4"/>
        <v>modesg_inp_nfrd_alinhamento_taxccli_kgl</v>
      </c>
      <c r="B87" s="3" t="s">
        <v>114</v>
      </c>
      <c r="C87" s="8" t="s">
        <v>148</v>
      </c>
      <c r="D87" t="str">
        <f t="shared" si="5"/>
        <v>Ok</v>
      </c>
      <c r="I87" s="16" t="str">
        <f t="shared" si="6"/>
        <v>modesg_inp_nfrd_alinhamento_taxcca_capex_own_prfrmnce_algnd</v>
      </c>
      <c r="J87" s="7" t="s">
        <v>147</v>
      </c>
      <c r="K87" s="7" t="s">
        <v>114</v>
      </c>
      <c r="L87" t="s">
        <v>94</v>
      </c>
      <c r="M87" t="str">
        <f t="shared" si="7"/>
        <v>Ok</v>
      </c>
      <c r="N87" t="s">
        <v>193</v>
      </c>
    </row>
    <row r="88" spans="1:14" x14ac:dyDescent="0.3">
      <c r="A88" s="16" t="str">
        <f t="shared" si="4"/>
        <v>modesg_inp_nfrd_alinhamento_taxclei</v>
      </c>
      <c r="B88" s="3" t="s">
        <v>114</v>
      </c>
      <c r="C88" s="8" t="s">
        <v>111</v>
      </c>
      <c r="D88" t="str">
        <f t="shared" si="5"/>
        <v>Ok</v>
      </c>
      <c r="I88" s="16" t="str">
        <f t="shared" si="6"/>
        <v>modesg_inp_nfrd_alinhamento_taxcca_capex_ttl_elgbl</v>
      </c>
      <c r="J88" s="7" t="s">
        <v>147</v>
      </c>
      <c r="K88" s="7" t="s">
        <v>114</v>
      </c>
      <c r="L88" t="s">
        <v>92</v>
      </c>
      <c r="M88" t="str">
        <f t="shared" si="7"/>
        <v>Ok</v>
      </c>
      <c r="N88" t="s">
        <v>193</v>
      </c>
    </row>
    <row r="89" spans="1:14" x14ac:dyDescent="0.3">
      <c r="A89" s="16" t="str">
        <f t="shared" si="4"/>
        <v>modesg_inp_nfrd_alinhamento_taxperm_id</v>
      </c>
      <c r="B89" s="3" t="s">
        <v>114</v>
      </c>
      <c r="C89" s="8" t="s">
        <v>115</v>
      </c>
      <c r="D89" t="str">
        <f t="shared" si="5"/>
        <v>Ok</v>
      </c>
      <c r="I89" s="16" t="str">
        <f t="shared" si="6"/>
        <v>modesg_inp_nfrd_alinhamento_taxcca_trnvr_enblng_alignd</v>
      </c>
      <c r="J89" s="7" t="s">
        <v>147</v>
      </c>
      <c r="K89" s="7" t="s">
        <v>114</v>
      </c>
      <c r="L89" t="s">
        <v>90</v>
      </c>
      <c r="M89" t="str">
        <f t="shared" si="7"/>
        <v>Ok</v>
      </c>
      <c r="N89" t="s">
        <v>193</v>
      </c>
    </row>
    <row r="90" spans="1:14" x14ac:dyDescent="0.3">
      <c r="A90" s="16" t="str">
        <f t="shared" si="4"/>
        <v>modesg_inp_nfrd_alinhamento_taxnome_entidade</v>
      </c>
      <c r="B90" s="3" t="s">
        <v>114</v>
      </c>
      <c r="C90" s="8" t="s">
        <v>112</v>
      </c>
      <c r="D90" t="str">
        <f t="shared" si="5"/>
        <v>Ok</v>
      </c>
      <c r="I90" s="16" t="str">
        <f t="shared" si="6"/>
        <v>modesg_inp_nfrd_alinhamento_taxcca_trnvr_ttl_elgbl</v>
      </c>
      <c r="J90" s="7" t="s">
        <v>147</v>
      </c>
      <c r="K90" s="7" t="s">
        <v>114</v>
      </c>
      <c r="L90" t="s">
        <v>89</v>
      </c>
      <c r="M90" t="str">
        <f t="shared" si="7"/>
        <v>Ok</v>
      </c>
      <c r="N90" t="s">
        <v>193</v>
      </c>
    </row>
    <row r="91" spans="1:14" x14ac:dyDescent="0.3">
      <c r="A91" s="16" t="str">
        <f t="shared" si="4"/>
        <v>modesg_inp_nfrd_alinhamento_taxflg_nfrd</v>
      </c>
      <c r="B91" s="3" t="s">
        <v>114</v>
      </c>
      <c r="C91" s="8" t="s">
        <v>85</v>
      </c>
      <c r="D91" t="str">
        <f t="shared" si="5"/>
        <v>Ok</v>
      </c>
      <c r="I91" s="16" t="str">
        <f t="shared" si="6"/>
        <v>modesg_inp_nfrd_alinhamento_taxcca_turnover_own_prfrmnce_algnd</v>
      </c>
      <c r="J91" s="7" t="s">
        <v>147</v>
      </c>
      <c r="K91" s="7" t="s">
        <v>114</v>
      </c>
      <c r="L91" t="s">
        <v>91</v>
      </c>
      <c r="M91" t="str">
        <f t="shared" si="7"/>
        <v>Ok</v>
      </c>
      <c r="N91" t="s">
        <v>193</v>
      </c>
    </row>
    <row r="92" spans="1:14" x14ac:dyDescent="0.3">
      <c r="A92" s="16" t="str">
        <f t="shared" si="4"/>
        <v>modesg_inp_nfrd_alinhamento_taxcca_trnvr_ttl_elgbl</v>
      </c>
      <c r="B92" s="3" t="s">
        <v>114</v>
      </c>
      <c r="C92" s="8" t="s">
        <v>89</v>
      </c>
      <c r="D92" t="str">
        <f t="shared" si="5"/>
        <v>Ok</v>
      </c>
      <c r="I92" s="16" t="str">
        <f t="shared" si="6"/>
        <v>modesg_inp_nfrd_alinhamento_taxccli_kgl</v>
      </c>
      <c r="J92" s="7" t="s">
        <v>147</v>
      </c>
      <c r="K92" s="7" t="s">
        <v>114</v>
      </c>
      <c r="L92" t="s">
        <v>148</v>
      </c>
      <c r="M92" t="str">
        <f t="shared" si="7"/>
        <v>Ok</v>
      </c>
      <c r="N92" t="s">
        <v>193</v>
      </c>
    </row>
    <row r="93" spans="1:14" x14ac:dyDescent="0.3">
      <c r="A93" s="16" t="str">
        <f t="shared" si="4"/>
        <v>modesg_inp_nfrd_alinhamento_taxcca_trnvr_enblng_alignd</v>
      </c>
      <c r="B93" s="3" t="s">
        <v>114</v>
      </c>
      <c r="C93" s="8" t="s">
        <v>90</v>
      </c>
      <c r="D93" t="str">
        <f t="shared" si="5"/>
        <v>Ok</v>
      </c>
      <c r="I93" s="16" t="str">
        <f t="shared" si="6"/>
        <v>modesg_inp_nfrd_alinhamento_taxccm_capex_enblng_algnd</v>
      </c>
      <c r="J93" s="7" t="s">
        <v>147</v>
      </c>
      <c r="K93" s="7" t="s">
        <v>114</v>
      </c>
      <c r="L93" t="s">
        <v>100</v>
      </c>
      <c r="M93" t="str">
        <f t="shared" si="7"/>
        <v>Ok</v>
      </c>
      <c r="N93" t="s">
        <v>193</v>
      </c>
    </row>
    <row r="94" spans="1:14" x14ac:dyDescent="0.3">
      <c r="A94" s="16" t="str">
        <f t="shared" si="4"/>
        <v>modesg_inp_nfrd_alinhamento_taxcca_turnover_own_prfrmnce_algnd</v>
      </c>
      <c r="B94" s="3" t="s">
        <v>114</v>
      </c>
      <c r="C94" s="8" t="s">
        <v>91</v>
      </c>
      <c r="D94" t="str">
        <f t="shared" si="5"/>
        <v>Ok</v>
      </c>
      <c r="I94" s="16" t="str">
        <f t="shared" si="6"/>
        <v>modesg_inp_nfrd_alinhamento_taxccm_capex_own_prfrmnce_algnd</v>
      </c>
      <c r="J94" s="7" t="s">
        <v>147</v>
      </c>
      <c r="K94" s="7" t="s">
        <v>114</v>
      </c>
      <c r="L94" t="s">
        <v>102</v>
      </c>
      <c r="M94" t="str">
        <f t="shared" si="7"/>
        <v>Ok</v>
      </c>
      <c r="N94" t="s">
        <v>193</v>
      </c>
    </row>
    <row r="95" spans="1:14" x14ac:dyDescent="0.3">
      <c r="A95" s="16" t="str">
        <f t="shared" si="4"/>
        <v>modesg_inp_nfrd_alinhamento_taxcca_capex_ttl_elgbl</v>
      </c>
      <c r="B95" s="3" t="s">
        <v>114</v>
      </c>
      <c r="C95" s="8" t="s">
        <v>92</v>
      </c>
      <c r="D95" t="str">
        <f t="shared" si="5"/>
        <v>Ok</v>
      </c>
      <c r="I95" s="16" t="str">
        <f t="shared" si="6"/>
        <v>modesg_inp_nfrd_alinhamento_taxccm_capex_trnstn_algnd</v>
      </c>
      <c r="J95" s="7" t="s">
        <v>147</v>
      </c>
      <c r="K95" s="7" t="s">
        <v>114</v>
      </c>
      <c r="L95" t="s">
        <v>101</v>
      </c>
      <c r="M95" t="str">
        <f t="shared" si="7"/>
        <v>Ok</v>
      </c>
      <c r="N95" t="s">
        <v>193</v>
      </c>
    </row>
    <row r="96" spans="1:14" x14ac:dyDescent="0.3">
      <c r="A96" s="16" t="str">
        <f t="shared" si="4"/>
        <v>modesg_inp_nfrd_alinhamento_taxcca_capex_enblng_algnd</v>
      </c>
      <c r="B96" s="3" t="s">
        <v>114</v>
      </c>
      <c r="C96" s="8" t="s">
        <v>93</v>
      </c>
      <c r="D96" t="str">
        <f t="shared" si="5"/>
        <v>Ok</v>
      </c>
      <c r="I96" s="16" t="str">
        <f t="shared" si="6"/>
        <v>modesg_inp_nfrd_alinhamento_taxccm_capex_ttl_elgbl</v>
      </c>
      <c r="J96" s="7" t="s">
        <v>147</v>
      </c>
      <c r="K96" s="7" t="s">
        <v>114</v>
      </c>
      <c r="L96" t="s">
        <v>99</v>
      </c>
      <c r="M96" t="str">
        <f t="shared" si="7"/>
        <v>Ok</v>
      </c>
      <c r="N96" t="s">
        <v>193</v>
      </c>
    </row>
    <row r="97" spans="1:14" x14ac:dyDescent="0.3">
      <c r="A97" s="16" t="str">
        <f t="shared" si="4"/>
        <v>modesg_inp_nfrd_alinhamento_taxcca_capex_own_prfrmnce_algnd</v>
      </c>
      <c r="B97" s="3" t="s">
        <v>114</v>
      </c>
      <c r="C97" s="8" t="s">
        <v>94</v>
      </c>
      <c r="D97" t="str">
        <f t="shared" si="5"/>
        <v>Ok</v>
      </c>
      <c r="I97" s="16" t="str">
        <f t="shared" si="6"/>
        <v>modesg_inp_nfrd_alinhamento_taxccm_trnvr_enblng_algnd</v>
      </c>
      <c r="J97" s="7" t="s">
        <v>147</v>
      </c>
      <c r="K97" s="7" t="s">
        <v>114</v>
      </c>
      <c r="L97" t="s">
        <v>96</v>
      </c>
      <c r="M97" t="str">
        <f t="shared" si="7"/>
        <v>Ok</v>
      </c>
      <c r="N97" t="s">
        <v>193</v>
      </c>
    </row>
    <row r="98" spans="1:14" x14ac:dyDescent="0.3">
      <c r="A98" s="16" t="str">
        <f t="shared" si="4"/>
        <v>modesg_inp_nfrd_alinhamento_taxccm_trnvr_ttl_elgbl</v>
      </c>
      <c r="B98" s="3" t="s">
        <v>114</v>
      </c>
      <c r="C98" s="8" t="s">
        <v>95</v>
      </c>
      <c r="D98" t="str">
        <f t="shared" si="5"/>
        <v>Ok</v>
      </c>
      <c r="I98" s="16" t="str">
        <f t="shared" si="6"/>
        <v>modesg_inp_nfrd_alinhamento_taxccm_trnvr_own_prfrmnce_algnd</v>
      </c>
      <c r="J98" s="7" t="s">
        <v>147</v>
      </c>
      <c r="K98" s="7" t="s">
        <v>114</v>
      </c>
      <c r="L98" t="s">
        <v>98</v>
      </c>
      <c r="M98" t="str">
        <f t="shared" si="7"/>
        <v>Ok</v>
      </c>
      <c r="N98" t="s">
        <v>193</v>
      </c>
    </row>
    <row r="99" spans="1:14" x14ac:dyDescent="0.3">
      <c r="A99" s="16" t="str">
        <f t="shared" si="4"/>
        <v>modesg_inp_nfrd_alinhamento_taxccm_trnvr_enblng_algnd</v>
      </c>
      <c r="B99" s="3" t="s">
        <v>114</v>
      </c>
      <c r="C99" s="8" t="s">
        <v>96</v>
      </c>
      <c r="D99" t="str">
        <f t="shared" si="5"/>
        <v>Ok</v>
      </c>
      <c r="I99" s="16" t="str">
        <f t="shared" si="6"/>
        <v>modesg_inp_nfrd_alinhamento_taxccm_trnvr_trnstn_alignd</v>
      </c>
      <c r="J99" s="7" t="s">
        <v>147</v>
      </c>
      <c r="K99" s="7" t="s">
        <v>114</v>
      </c>
      <c r="L99" t="s">
        <v>97</v>
      </c>
      <c r="M99" t="str">
        <f t="shared" si="7"/>
        <v>Ok</v>
      </c>
      <c r="N99" t="s">
        <v>193</v>
      </c>
    </row>
    <row r="100" spans="1:14" x14ac:dyDescent="0.3">
      <c r="A100" s="16" t="str">
        <f t="shared" si="4"/>
        <v>modesg_inp_nfrd_alinhamento_taxccm_trnvr_trnstn_alignd</v>
      </c>
      <c r="B100" s="3" t="s">
        <v>114</v>
      </c>
      <c r="C100" s="8" t="s">
        <v>97</v>
      </c>
      <c r="D100" t="str">
        <f t="shared" si="5"/>
        <v>Ok</v>
      </c>
      <c r="I100" s="16" t="str">
        <f t="shared" si="6"/>
        <v>modesg_inp_nfrd_alinhamento_taxccm_trnvr_ttl_elgbl</v>
      </c>
      <c r="J100" s="7" t="s">
        <v>147</v>
      </c>
      <c r="K100" s="7" t="s">
        <v>114</v>
      </c>
      <c r="L100" t="s">
        <v>95</v>
      </c>
      <c r="M100" t="str">
        <f t="shared" si="7"/>
        <v>Ok</v>
      </c>
      <c r="N100" t="s">
        <v>193</v>
      </c>
    </row>
    <row r="101" spans="1:14" x14ac:dyDescent="0.3">
      <c r="A101" s="16" t="str">
        <f t="shared" si="4"/>
        <v>modesg_inp_nfrd_alinhamento_taxccm_trnvr_own_prfrmnce_algnd</v>
      </c>
      <c r="B101" s="3" t="s">
        <v>114</v>
      </c>
      <c r="C101" s="8" t="s">
        <v>98</v>
      </c>
      <c r="D101" t="str">
        <f t="shared" si="5"/>
        <v>Ok</v>
      </c>
      <c r="I101" s="16" t="str">
        <f t="shared" si="6"/>
        <v>modesg_inp_nfrd_alinhamento_taxce_capex_enblng_algnd</v>
      </c>
      <c r="J101" s="17" t="s">
        <v>147</v>
      </c>
      <c r="K101" s="17" t="s">
        <v>114</v>
      </c>
      <c r="L101" s="18" t="s">
        <v>157</v>
      </c>
      <c r="M101" s="18" t="str">
        <f t="shared" si="7"/>
        <v>Nok</v>
      </c>
      <c r="N101" t="s">
        <v>183</v>
      </c>
    </row>
    <row r="102" spans="1:14" x14ac:dyDescent="0.3">
      <c r="A102" s="16" t="str">
        <f t="shared" si="4"/>
        <v>modesg_inp_nfrd_alinhamento_taxccm_capex_ttl_elgbl</v>
      </c>
      <c r="B102" s="3" t="s">
        <v>114</v>
      </c>
      <c r="C102" s="8" t="s">
        <v>99</v>
      </c>
      <c r="D102" t="str">
        <f t="shared" si="5"/>
        <v>Ok</v>
      </c>
      <c r="I102" s="16" t="str">
        <f t="shared" si="6"/>
        <v>modesg_inp_nfrd_alinhamento_taxce_capex_own_prfrmnce_algnd</v>
      </c>
      <c r="J102" s="17" t="s">
        <v>147</v>
      </c>
      <c r="K102" s="17" t="s">
        <v>114</v>
      </c>
      <c r="L102" s="18" t="s">
        <v>158</v>
      </c>
      <c r="M102" s="18" t="str">
        <f t="shared" si="7"/>
        <v>Nok</v>
      </c>
      <c r="N102" t="s">
        <v>183</v>
      </c>
    </row>
    <row r="103" spans="1:14" x14ac:dyDescent="0.3">
      <c r="A103" s="16" t="str">
        <f t="shared" si="4"/>
        <v>modesg_inp_nfrd_alinhamento_taxccm_capex_enblng_algnd</v>
      </c>
      <c r="B103" s="3" t="s">
        <v>114</v>
      </c>
      <c r="C103" s="8" t="s">
        <v>100</v>
      </c>
      <c r="D103" t="str">
        <f t="shared" si="5"/>
        <v>Ok</v>
      </c>
      <c r="I103" s="16" t="str">
        <f t="shared" si="6"/>
        <v>modesg_inp_nfrd_alinhamento_taxce_capex_ttl_elgbl</v>
      </c>
      <c r="J103" s="17" t="s">
        <v>147</v>
      </c>
      <c r="K103" s="17" t="s">
        <v>114</v>
      </c>
      <c r="L103" s="18" t="s">
        <v>159</v>
      </c>
      <c r="M103" s="18" t="str">
        <f t="shared" si="7"/>
        <v>Nok</v>
      </c>
      <c r="N103" t="s">
        <v>183</v>
      </c>
    </row>
    <row r="104" spans="1:14" x14ac:dyDescent="0.3">
      <c r="A104" s="16" t="str">
        <f t="shared" si="4"/>
        <v>modesg_inp_nfrd_alinhamento_taxccm_capex_trnstn_algnd</v>
      </c>
      <c r="B104" s="3" t="s">
        <v>114</v>
      </c>
      <c r="C104" s="8" t="s">
        <v>101</v>
      </c>
      <c r="D104" t="str">
        <f t="shared" si="5"/>
        <v>Ok</v>
      </c>
      <c r="I104" s="16" t="str">
        <f t="shared" si="6"/>
        <v>modesg_inp_nfrd_alinhamento_taxce_trnvr_enblng_alignd</v>
      </c>
      <c r="J104" s="17" t="s">
        <v>147</v>
      </c>
      <c r="K104" s="17" t="s">
        <v>114</v>
      </c>
      <c r="L104" s="18" t="s">
        <v>160</v>
      </c>
      <c r="M104" s="18" t="str">
        <f t="shared" si="7"/>
        <v>Nok</v>
      </c>
      <c r="N104" t="s">
        <v>183</v>
      </c>
    </row>
    <row r="105" spans="1:14" x14ac:dyDescent="0.3">
      <c r="A105" s="16" t="str">
        <f t="shared" si="4"/>
        <v>modesg_inp_nfrd_alinhamento_taxccm_capex_own_prfrmnce_algnd</v>
      </c>
      <c r="B105" s="3" t="s">
        <v>114</v>
      </c>
      <c r="C105" s="8" t="s">
        <v>102</v>
      </c>
      <c r="D105" t="str">
        <f t="shared" si="5"/>
        <v>Ok</v>
      </c>
      <c r="I105" s="16" t="str">
        <f t="shared" si="6"/>
        <v>modesg_inp_nfrd_alinhamento_taxce_trnvr_ttl_elgbl</v>
      </c>
      <c r="J105" s="17" t="s">
        <v>147</v>
      </c>
      <c r="K105" s="17" t="s">
        <v>114</v>
      </c>
      <c r="L105" s="18" t="s">
        <v>161</v>
      </c>
      <c r="M105" s="18" t="str">
        <f t="shared" si="7"/>
        <v>Nok</v>
      </c>
      <c r="N105" t="s">
        <v>183</v>
      </c>
    </row>
    <row r="106" spans="1:14" x14ac:dyDescent="0.3">
      <c r="A106" s="16" t="str">
        <f t="shared" si="4"/>
        <v>modesg_inp_risco_fisicoref_date</v>
      </c>
      <c r="B106" s="3" t="s">
        <v>116</v>
      </c>
      <c r="C106" s="8" t="s">
        <v>21</v>
      </c>
      <c r="D106" t="str">
        <f t="shared" si="5"/>
        <v>Ok</v>
      </c>
      <c r="I106" s="16" t="str">
        <f t="shared" si="6"/>
        <v>modesg_inp_nfrd_alinhamento_taxce_turnover_own_prfrmnce_algnd</v>
      </c>
      <c r="J106" s="17" t="s">
        <v>147</v>
      </c>
      <c r="K106" s="17" t="s">
        <v>114</v>
      </c>
      <c r="L106" s="18" t="s">
        <v>162</v>
      </c>
      <c r="M106" s="18" t="str">
        <f t="shared" si="7"/>
        <v>Nok</v>
      </c>
      <c r="N106" t="s">
        <v>183</v>
      </c>
    </row>
    <row r="107" spans="1:14" x14ac:dyDescent="0.3">
      <c r="A107" s="16" t="str">
        <f t="shared" si="4"/>
        <v>modesg_inp_risco_fisicocod_pais</v>
      </c>
      <c r="B107" s="3" t="s">
        <v>116</v>
      </c>
      <c r="C107" s="8" t="s">
        <v>78</v>
      </c>
      <c r="D107" t="str">
        <f t="shared" si="5"/>
        <v>Ok</v>
      </c>
      <c r="I107" s="16" t="str">
        <f t="shared" si="6"/>
        <v>modesg_inp_nfrd_alinhamento_taxclei</v>
      </c>
      <c r="J107" s="7" t="s">
        <v>147</v>
      </c>
      <c r="K107" s="7" t="s">
        <v>114</v>
      </c>
      <c r="L107" t="s">
        <v>111</v>
      </c>
      <c r="M107" t="str">
        <f t="shared" si="7"/>
        <v>Ok</v>
      </c>
      <c r="N107" t="s">
        <v>193</v>
      </c>
    </row>
    <row r="108" spans="1:14" x14ac:dyDescent="0.3">
      <c r="A108" s="16" t="str">
        <f t="shared" si="4"/>
        <v>modesg_inp_risco_fisicocod_nutiii</v>
      </c>
      <c r="B108" s="3" t="s">
        <v>116</v>
      </c>
      <c r="C108" s="8" t="s">
        <v>117</v>
      </c>
      <c r="D108" t="str">
        <f t="shared" si="5"/>
        <v>Ok</v>
      </c>
      <c r="I108" s="16" t="str">
        <f t="shared" si="6"/>
        <v>modesg_inp_nfrd_alinhamento_taxflg_nfrd</v>
      </c>
      <c r="J108" s="7" t="s">
        <v>147</v>
      </c>
      <c r="K108" s="7" t="s">
        <v>114</v>
      </c>
      <c r="L108" t="s">
        <v>85</v>
      </c>
      <c r="M108" t="str">
        <f t="shared" si="7"/>
        <v>Ok</v>
      </c>
      <c r="N108" t="s">
        <v>193</v>
      </c>
    </row>
    <row r="109" spans="1:14" x14ac:dyDescent="0.3">
      <c r="A109" s="16" t="str">
        <f t="shared" si="4"/>
        <v>modesg_inp_risco_fisicocod_nace_esg</v>
      </c>
      <c r="B109" s="3" t="s">
        <v>116</v>
      </c>
      <c r="C109" s="8" t="s">
        <v>108</v>
      </c>
      <c r="D109" t="str">
        <f t="shared" si="5"/>
        <v>Ok</v>
      </c>
      <c r="I109" s="16" t="str">
        <f t="shared" si="6"/>
        <v>modesg_inp_nfrd_alinhamento_taxnome_entidade</v>
      </c>
      <c r="J109" s="7" t="s">
        <v>147</v>
      </c>
      <c r="K109" s="7" t="s">
        <v>114</v>
      </c>
      <c r="L109" t="s">
        <v>112</v>
      </c>
      <c r="M109" t="str">
        <f t="shared" si="7"/>
        <v>Ok</v>
      </c>
      <c r="N109" t="s">
        <v>193</v>
      </c>
    </row>
    <row r="110" spans="1:14" x14ac:dyDescent="0.3">
      <c r="A110" s="16" t="str">
        <f t="shared" si="4"/>
        <v>modesg_inp_risco_fisicoflg_rsc_fsc_agd</v>
      </c>
      <c r="B110" s="3" t="s">
        <v>116</v>
      </c>
      <c r="C110" s="8" t="s">
        <v>104</v>
      </c>
      <c r="D110" t="str">
        <f t="shared" si="5"/>
        <v>Ok</v>
      </c>
      <c r="I110" s="16" t="str">
        <f t="shared" si="6"/>
        <v>modesg_inp_nfrd_alinhamento_taxperm_id</v>
      </c>
      <c r="J110" s="7" t="s">
        <v>147</v>
      </c>
      <c r="K110" s="7" t="s">
        <v>114</v>
      </c>
      <c r="L110" t="s">
        <v>115</v>
      </c>
      <c r="M110" t="str">
        <f t="shared" si="7"/>
        <v>Ok</v>
      </c>
      <c r="N110" t="s">
        <v>193</v>
      </c>
    </row>
    <row r="111" spans="1:14" x14ac:dyDescent="0.3">
      <c r="A111" s="16" t="str">
        <f t="shared" si="4"/>
        <v>modesg_inp_risco_fisicoflg_rsc_fsc_crnc</v>
      </c>
      <c r="B111" s="3" t="s">
        <v>116</v>
      </c>
      <c r="C111" s="8" t="s">
        <v>105</v>
      </c>
      <c r="D111" t="str">
        <f t="shared" si="5"/>
        <v>Ok</v>
      </c>
      <c r="I111" s="16" t="str">
        <f t="shared" si="6"/>
        <v>modesg_inp_nfrd_alinhamento_taxppc_capex_own_prfrmnce_algnd</v>
      </c>
      <c r="J111" s="17" t="s">
        <v>147</v>
      </c>
      <c r="K111" s="17" t="s">
        <v>114</v>
      </c>
      <c r="L111" s="18" t="s">
        <v>163</v>
      </c>
      <c r="M111" s="18" t="str">
        <f t="shared" si="7"/>
        <v>Nok</v>
      </c>
      <c r="N111" t="s">
        <v>183</v>
      </c>
    </row>
    <row r="112" spans="1:14" x14ac:dyDescent="0.3">
      <c r="A112" s="16" t="str">
        <f t="shared" si="4"/>
        <v>modesg_out_bens_imoveiscempbem</v>
      </c>
      <c r="B112" s="3" t="s">
        <v>137</v>
      </c>
      <c r="C112" s="11" t="s">
        <v>49</v>
      </c>
      <c r="D112" t="str">
        <f t="shared" si="5"/>
        <v>Ok</v>
      </c>
      <c r="I112" s="16" t="str">
        <f t="shared" si="6"/>
        <v>modesg_inp_nfrd_alinhamento_taxppc_capex_ttl_elgbl</v>
      </c>
      <c r="J112" s="17" t="s">
        <v>147</v>
      </c>
      <c r="K112" s="17" t="s">
        <v>114</v>
      </c>
      <c r="L112" s="18" t="s">
        <v>164</v>
      </c>
      <c r="M112" s="18" t="str">
        <f t="shared" si="7"/>
        <v>Nok</v>
      </c>
      <c r="N112" t="s">
        <v>183</v>
      </c>
    </row>
    <row r="113" spans="1:14" x14ac:dyDescent="0.3">
      <c r="A113" s="16" t="str">
        <f t="shared" si="4"/>
        <v>modesg_out_bens_imoveisckbalbem</v>
      </c>
      <c r="B113" s="3" t="s">
        <v>137</v>
      </c>
      <c r="C113" s="11" t="s">
        <v>50</v>
      </c>
      <c r="D113" t="str">
        <f t="shared" si="5"/>
        <v>Ok</v>
      </c>
      <c r="I113" s="16" t="str">
        <f t="shared" si="6"/>
        <v>modesg_inp_nfrd_alinhamento_taxppc_trnvr_ttl_elgbl</v>
      </c>
      <c r="J113" s="17" t="s">
        <v>147</v>
      </c>
      <c r="K113" s="17" t="s">
        <v>114</v>
      </c>
      <c r="L113" s="18" t="s">
        <v>165</v>
      </c>
      <c r="M113" s="18" t="str">
        <f t="shared" si="7"/>
        <v>Nok</v>
      </c>
      <c r="N113" t="s">
        <v>183</v>
      </c>
    </row>
    <row r="114" spans="1:14" x14ac:dyDescent="0.3">
      <c r="A114" s="16" t="str">
        <f t="shared" si="4"/>
        <v>modesg_out_bens_imoveisckctabem</v>
      </c>
      <c r="B114" s="3" t="s">
        <v>137</v>
      </c>
      <c r="C114" s="11" t="s">
        <v>51</v>
      </c>
      <c r="D114" t="str">
        <f t="shared" si="5"/>
        <v>Ok</v>
      </c>
      <c r="I114" s="16" t="str">
        <f t="shared" si="6"/>
        <v>modesg_inp_nfrd_alinhamento_taxppc_turnover_own_prfrmnce_algnd</v>
      </c>
      <c r="J114" s="17" t="s">
        <v>147</v>
      </c>
      <c r="K114" s="17" t="s">
        <v>114</v>
      </c>
      <c r="L114" s="18" t="s">
        <v>166</v>
      </c>
      <c r="M114" s="18" t="str">
        <f t="shared" si="7"/>
        <v>Nok</v>
      </c>
      <c r="N114" t="s">
        <v>183</v>
      </c>
    </row>
    <row r="115" spans="1:14" x14ac:dyDescent="0.3">
      <c r="A115" s="16" t="str">
        <f t="shared" si="4"/>
        <v>modesg_out_bens_imoveisckrefbem</v>
      </c>
      <c r="B115" s="3" t="s">
        <v>137</v>
      </c>
      <c r="C115" s="11" t="s">
        <v>52</v>
      </c>
      <c r="D115" t="str">
        <f t="shared" si="5"/>
        <v>Ok</v>
      </c>
      <c r="I115" s="16" t="str">
        <f t="shared" si="6"/>
        <v>modesg_inp_nfrd_alinhamento_taxref_date</v>
      </c>
      <c r="J115" s="7" t="s">
        <v>147</v>
      </c>
      <c r="K115" s="7" t="s">
        <v>114</v>
      </c>
      <c r="L115" t="s">
        <v>21</v>
      </c>
      <c r="M115" t="str">
        <f t="shared" si="7"/>
        <v>Ok</v>
      </c>
      <c r="N115" t="s">
        <v>193</v>
      </c>
    </row>
    <row r="116" spans="1:14" x14ac:dyDescent="0.3">
      <c r="A116" s="16" t="str">
        <f t="shared" si="4"/>
        <v>modesg_out_bens_imoveisref_date</v>
      </c>
      <c r="B116" s="3" t="s">
        <v>137</v>
      </c>
      <c r="C116" s="11" t="s">
        <v>21</v>
      </c>
      <c r="D116" t="str">
        <f t="shared" si="5"/>
        <v>Ok</v>
      </c>
      <c r="I116" s="16" t="str">
        <f t="shared" si="6"/>
        <v>modesg_inp_nfrd_alinhamento_taxwtr_capex_enblng_algnd</v>
      </c>
      <c r="J116" s="17" t="s">
        <v>147</v>
      </c>
      <c r="K116" s="17" t="s">
        <v>114</v>
      </c>
      <c r="L116" s="18" t="s">
        <v>167</v>
      </c>
      <c r="M116" s="18" t="str">
        <f t="shared" si="7"/>
        <v>Nok</v>
      </c>
      <c r="N116" t="s">
        <v>183</v>
      </c>
    </row>
    <row r="117" spans="1:14" x14ac:dyDescent="0.3">
      <c r="A117" s="16" t="str">
        <f t="shared" si="4"/>
        <v>modesg_out_bens_imoveisflg_rsc_fsc_agd</v>
      </c>
      <c r="B117" s="3" t="s">
        <v>137</v>
      </c>
      <c r="C117" s="11" t="s">
        <v>104</v>
      </c>
      <c r="D117" t="str">
        <f t="shared" si="5"/>
        <v>Ok</v>
      </c>
      <c r="I117" s="16" t="str">
        <f t="shared" si="6"/>
        <v>modesg_inp_nfrd_alinhamento_taxwtr_capex_own_prfrmnce_algnd</v>
      </c>
      <c r="J117" s="17" t="s">
        <v>147</v>
      </c>
      <c r="K117" s="17" t="s">
        <v>114</v>
      </c>
      <c r="L117" s="18" t="s">
        <v>168</v>
      </c>
      <c r="M117" s="18" t="str">
        <f t="shared" si="7"/>
        <v>Nok</v>
      </c>
      <c r="N117" t="s">
        <v>183</v>
      </c>
    </row>
    <row r="118" spans="1:14" x14ac:dyDescent="0.3">
      <c r="A118" s="16" t="str">
        <f t="shared" si="4"/>
        <v>modesg_out_bens_imoveisflg_rsc_fsc_crnc</v>
      </c>
      <c r="B118" s="3" t="s">
        <v>137</v>
      </c>
      <c r="C118" s="11" t="s">
        <v>105</v>
      </c>
      <c r="D118" t="str">
        <f t="shared" si="5"/>
        <v>Ok</v>
      </c>
      <c r="I118" s="16" t="str">
        <f t="shared" si="6"/>
        <v>modesg_inp_nfrd_alinhamento_taxwtr_capex_ttl_elgbl</v>
      </c>
      <c r="J118" s="17" t="s">
        <v>147</v>
      </c>
      <c r="K118" s="17" t="s">
        <v>114</v>
      </c>
      <c r="L118" s="18" t="s">
        <v>169</v>
      </c>
      <c r="M118" s="18" t="str">
        <f t="shared" si="7"/>
        <v>Nok</v>
      </c>
      <c r="N118" t="s">
        <v>183</v>
      </c>
    </row>
    <row r="119" spans="1:14" x14ac:dyDescent="0.3">
      <c r="A119" s="16" t="str">
        <f t="shared" si="4"/>
        <v>modesg_out_bens_imoveisorigem_flg_rsc_fsc_agd</v>
      </c>
      <c r="B119" s="3" t="s">
        <v>137</v>
      </c>
      <c r="C119" s="11" t="s">
        <v>106</v>
      </c>
      <c r="D119" t="str">
        <f t="shared" si="5"/>
        <v>Ok</v>
      </c>
      <c r="I119" s="16" t="str">
        <f t="shared" si="6"/>
        <v>modesg_inp_nfrd_alinhamento_taxwtr_trnvr_enblng_alignd</v>
      </c>
      <c r="J119" s="17" t="s">
        <v>147</v>
      </c>
      <c r="K119" s="17" t="s">
        <v>114</v>
      </c>
      <c r="L119" s="18" t="s">
        <v>170</v>
      </c>
      <c r="M119" s="18" t="str">
        <f t="shared" si="7"/>
        <v>Nok</v>
      </c>
      <c r="N119" t="s">
        <v>183</v>
      </c>
    </row>
    <row r="120" spans="1:14" x14ac:dyDescent="0.3">
      <c r="A120" s="16" t="str">
        <f t="shared" si="4"/>
        <v>modesg_out_bens_imoveisorigem_flg_rsc_fsc_crnc</v>
      </c>
      <c r="B120" s="3" t="s">
        <v>137</v>
      </c>
      <c r="C120" s="11" t="s">
        <v>107</v>
      </c>
      <c r="D120" t="str">
        <f t="shared" si="5"/>
        <v>Ok</v>
      </c>
      <c r="I120" s="16" t="str">
        <f t="shared" si="6"/>
        <v>modesg_inp_nfrd_alinhamento_taxwtr_trnvr_ttl_elgbl</v>
      </c>
      <c r="J120" s="17" t="s">
        <v>147</v>
      </c>
      <c r="K120" s="17" t="s">
        <v>114</v>
      </c>
      <c r="L120" s="18" t="s">
        <v>171</v>
      </c>
      <c r="M120" s="18" t="str">
        <f t="shared" si="7"/>
        <v>Nok</v>
      </c>
      <c r="N120" t="s">
        <v>183</v>
      </c>
    </row>
    <row r="121" spans="1:14" x14ac:dyDescent="0.3">
      <c r="A121" s="16" t="str">
        <f t="shared" si="4"/>
        <v>modesg_out_bens_imoveisscp1_emss</v>
      </c>
      <c r="B121" s="3" t="s">
        <v>137</v>
      </c>
      <c r="C121" s="11" t="s">
        <v>53</v>
      </c>
      <c r="D121" t="str">
        <f t="shared" si="5"/>
        <v>Ok</v>
      </c>
      <c r="I121" s="16" t="str">
        <f t="shared" si="6"/>
        <v>modesg_inp_nfrd_alinhamento_taxwtr_turnover_own_prfrmnce_algnd</v>
      </c>
      <c r="J121" s="17" t="s">
        <v>147</v>
      </c>
      <c r="K121" s="17" t="s">
        <v>114</v>
      </c>
      <c r="L121" s="18" t="s">
        <v>172</v>
      </c>
      <c r="M121" s="18" t="str">
        <f t="shared" si="7"/>
        <v>Nok</v>
      </c>
      <c r="N121" t="s">
        <v>183</v>
      </c>
    </row>
    <row r="122" spans="1:14" x14ac:dyDescent="0.3">
      <c r="A122" s="16" t="str">
        <f t="shared" si="4"/>
        <v>modesg_out_bens_imoveisscp2_emss</v>
      </c>
      <c r="B122" s="3" t="s">
        <v>137</v>
      </c>
      <c r="C122" s="11" t="s">
        <v>54</v>
      </c>
      <c r="D122" t="str">
        <f t="shared" si="5"/>
        <v>Ok</v>
      </c>
      <c r="I122" s="16" t="str">
        <f t="shared" si="6"/>
        <v>modesg_inp_risco_fisicocod_nace_esg</v>
      </c>
      <c r="J122" s="7" t="s">
        <v>147</v>
      </c>
      <c r="K122" s="7" t="s">
        <v>116</v>
      </c>
      <c r="L122" t="s">
        <v>108</v>
      </c>
      <c r="M122" t="str">
        <f t="shared" si="7"/>
        <v>Ok</v>
      </c>
      <c r="N122" t="s">
        <v>193</v>
      </c>
    </row>
    <row r="123" spans="1:14" x14ac:dyDescent="0.3">
      <c r="A123" s="16" t="str">
        <f t="shared" si="4"/>
        <v>modesg_out_bens_imoveisscp3_emss</v>
      </c>
      <c r="B123" s="3" t="s">
        <v>137</v>
      </c>
      <c r="C123" s="11" t="s">
        <v>55</v>
      </c>
      <c r="D123" t="str">
        <f t="shared" si="5"/>
        <v>Ok</v>
      </c>
      <c r="I123" s="16" t="str">
        <f t="shared" si="6"/>
        <v>modesg_inp_risco_fisicocod_nutiii</v>
      </c>
      <c r="J123" s="7" t="s">
        <v>147</v>
      </c>
      <c r="K123" s="7" t="s">
        <v>116</v>
      </c>
      <c r="L123" t="s">
        <v>117</v>
      </c>
      <c r="M123" t="str">
        <f t="shared" si="7"/>
        <v>Ok</v>
      </c>
      <c r="N123" t="s">
        <v>193</v>
      </c>
    </row>
    <row r="124" spans="1:14" x14ac:dyDescent="0.3">
      <c r="A124" s="16" t="str">
        <f t="shared" si="4"/>
        <v>modesg_out_bens_imoveisunidade_funcional_scp1_emss</v>
      </c>
      <c r="B124" s="3" t="s">
        <v>137</v>
      </c>
      <c r="C124" s="9" t="s">
        <v>56</v>
      </c>
      <c r="D124" t="str">
        <f t="shared" si="5"/>
        <v>Ok</v>
      </c>
      <c r="I124" s="16" t="str">
        <f t="shared" si="6"/>
        <v>modesg_inp_risco_fisicocod_pais</v>
      </c>
      <c r="J124" s="7" t="s">
        <v>147</v>
      </c>
      <c r="K124" s="7" t="s">
        <v>116</v>
      </c>
      <c r="L124" t="s">
        <v>78</v>
      </c>
      <c r="M124" t="str">
        <f t="shared" si="7"/>
        <v>Ok</v>
      </c>
      <c r="N124" t="s">
        <v>193</v>
      </c>
    </row>
    <row r="125" spans="1:14" x14ac:dyDescent="0.3">
      <c r="A125" s="16" t="str">
        <f t="shared" si="4"/>
        <v>modesg_out_bens_imoveisunidade_funcional_scp2_emss</v>
      </c>
      <c r="B125" s="3" t="s">
        <v>137</v>
      </c>
      <c r="C125" s="9" t="s">
        <v>57</v>
      </c>
      <c r="D125" t="str">
        <f t="shared" si="5"/>
        <v>Ok</v>
      </c>
      <c r="I125" s="16" t="str">
        <f t="shared" si="6"/>
        <v>modesg_inp_risco_fisicoflg_rsc_fsc_agd</v>
      </c>
      <c r="J125" s="7" t="s">
        <v>147</v>
      </c>
      <c r="K125" s="7" t="s">
        <v>116</v>
      </c>
      <c r="L125" t="s">
        <v>104</v>
      </c>
      <c r="M125" t="str">
        <f t="shared" si="7"/>
        <v>Ok</v>
      </c>
      <c r="N125" t="s">
        <v>193</v>
      </c>
    </row>
    <row r="126" spans="1:14" x14ac:dyDescent="0.3">
      <c r="A126" s="16" t="str">
        <f t="shared" si="4"/>
        <v>modesg_out_bens_imoveisunidade_funcional_scp3_emss</v>
      </c>
      <c r="B126" s="3" t="s">
        <v>137</v>
      </c>
      <c r="C126" s="9" t="s">
        <v>58</v>
      </c>
      <c r="D126" t="str">
        <f t="shared" si="5"/>
        <v>Ok</v>
      </c>
      <c r="I126" s="16" t="str">
        <f t="shared" si="6"/>
        <v>modesg_inp_risco_fisicoflg_rsc_fsc_crnc</v>
      </c>
      <c r="J126" s="7" t="s">
        <v>147</v>
      </c>
      <c r="K126" s="7" t="s">
        <v>116</v>
      </c>
      <c r="L126" t="s">
        <v>105</v>
      </c>
      <c r="M126" t="str">
        <f t="shared" si="7"/>
        <v>Ok</v>
      </c>
      <c r="N126" t="s">
        <v>193</v>
      </c>
    </row>
    <row r="127" spans="1:14" x14ac:dyDescent="0.3">
      <c r="A127" s="16" t="str">
        <f t="shared" si="4"/>
        <v>modesg_out_bens_imoveisorigem_scp1_emss</v>
      </c>
      <c r="B127" s="3" t="s">
        <v>137</v>
      </c>
      <c r="C127" s="11" t="s">
        <v>59</v>
      </c>
      <c r="D127" t="str">
        <f t="shared" si="5"/>
        <v>Ok</v>
      </c>
      <c r="I127" s="16" t="str">
        <f t="shared" si="6"/>
        <v>modesg_inp_risco_fisicoref_date</v>
      </c>
      <c r="J127" s="7" t="s">
        <v>147</v>
      </c>
      <c r="K127" s="7" t="s">
        <v>116</v>
      </c>
      <c r="L127" t="s">
        <v>21</v>
      </c>
      <c r="M127" t="str">
        <f t="shared" si="7"/>
        <v>Ok</v>
      </c>
      <c r="N127" t="s">
        <v>193</v>
      </c>
    </row>
    <row r="128" spans="1:14" x14ac:dyDescent="0.3">
      <c r="A128" s="16" t="str">
        <f t="shared" si="4"/>
        <v>modesg_out_bens_imoveisorigem_scp2_emss</v>
      </c>
      <c r="B128" s="3" t="s">
        <v>137</v>
      </c>
      <c r="C128" s="11" t="s">
        <v>60</v>
      </c>
      <c r="D128" t="str">
        <f t="shared" si="5"/>
        <v>Ok</v>
      </c>
      <c r="I128" s="16" t="str">
        <f t="shared" si="6"/>
        <v>modesg_param_sfcs_taxon_europeiacbalcao</v>
      </c>
      <c r="J128" s="7" t="s">
        <v>147</v>
      </c>
      <c r="K128" s="7" t="s">
        <v>34</v>
      </c>
      <c r="L128" t="s">
        <v>24</v>
      </c>
      <c r="M128" t="str">
        <f t="shared" si="7"/>
        <v>Ok</v>
      </c>
      <c r="N128" t="s">
        <v>193</v>
      </c>
    </row>
    <row r="129" spans="1:14" x14ac:dyDescent="0.3">
      <c r="A129" s="16" t="str">
        <f t="shared" si="4"/>
        <v>modesg_out_bens_imoveisorigem_scp3_emss</v>
      </c>
      <c r="B129" s="3" t="s">
        <v>137</v>
      </c>
      <c r="C129" s="11" t="s">
        <v>61</v>
      </c>
      <c r="D129" t="str">
        <f t="shared" si="5"/>
        <v>Ok</v>
      </c>
      <c r="I129" s="16" t="str">
        <f t="shared" si="6"/>
        <v>modesg_param_sfcs_taxon_europeiacempresa</v>
      </c>
      <c r="J129" s="7" t="s">
        <v>147</v>
      </c>
      <c r="K129" s="7" t="s">
        <v>34</v>
      </c>
      <c r="L129" t="s">
        <v>8</v>
      </c>
      <c r="M129" t="str">
        <f t="shared" si="7"/>
        <v>Ok</v>
      </c>
      <c r="N129" t="s">
        <v>193</v>
      </c>
    </row>
    <row r="130" spans="1:14" x14ac:dyDescent="0.3">
      <c r="A130" s="16" t="str">
        <f t="shared" si="4"/>
        <v>modesg_out_empr_info_nfinzcliente</v>
      </c>
      <c r="B130" s="3" t="s">
        <v>84</v>
      </c>
      <c r="C130" s="8" t="s">
        <v>41</v>
      </c>
      <c r="D130" t="str">
        <f t="shared" si="5"/>
        <v>Ok</v>
      </c>
      <c r="I130" s="16" t="str">
        <f t="shared" si="6"/>
        <v>modesg_param_sfcs_taxon_europeiacfinalidad</v>
      </c>
      <c r="J130" s="17" t="s">
        <v>147</v>
      </c>
      <c r="K130" s="17" t="s">
        <v>34</v>
      </c>
      <c r="L130" s="18" t="s">
        <v>173</v>
      </c>
      <c r="M130" s="18" t="str">
        <f t="shared" si="7"/>
        <v>Nok</v>
      </c>
      <c r="N130" t="s">
        <v>183</v>
      </c>
    </row>
    <row r="131" spans="1:14" x14ac:dyDescent="0.3">
      <c r="A131" s="16" t="str">
        <f t="shared" ref="A131:A194" si="8">B131&amp;C131</f>
        <v>modesg_out_empr_info_nfinref_date</v>
      </c>
      <c r="B131" s="3" t="s">
        <v>84</v>
      </c>
      <c r="C131" s="8" t="s">
        <v>21</v>
      </c>
      <c r="D131" t="str">
        <f t="shared" ref="D131:D194" si="9">IFERROR(IF(VLOOKUP(A131,$I$3:$I$234,1,0)=A131,"Ok","Nok"),"Nok")</f>
        <v>Ok</v>
      </c>
      <c r="I131" s="16" t="str">
        <f t="shared" si="6"/>
        <v>modesg_param_sfcs_taxon_europeiackmetamis</v>
      </c>
      <c r="J131" s="7" t="s">
        <v>147</v>
      </c>
      <c r="K131" s="7" t="s">
        <v>34</v>
      </c>
      <c r="L131" t="s">
        <v>42</v>
      </c>
      <c r="M131" t="str">
        <f t="shared" si="7"/>
        <v>Ok</v>
      </c>
      <c r="N131" t="s">
        <v>193</v>
      </c>
    </row>
    <row r="132" spans="1:14" x14ac:dyDescent="0.3">
      <c r="A132" s="16" t="str">
        <f t="shared" si="8"/>
        <v>modesg_out_empr_info_nfinflg_nfrd</v>
      </c>
      <c r="B132" s="3" t="s">
        <v>84</v>
      </c>
      <c r="C132" s="8" t="s">
        <v>85</v>
      </c>
      <c r="D132" t="str">
        <f t="shared" si="9"/>
        <v>Ok</v>
      </c>
      <c r="I132" s="16" t="str">
        <f t="shared" ref="I132:I194" si="10">K132&amp;L132</f>
        <v>modesg_param_sfcs_taxon_europeiackprodmi</v>
      </c>
      <c r="J132" s="7" t="s">
        <v>147</v>
      </c>
      <c r="K132" s="7" t="s">
        <v>34</v>
      </c>
      <c r="L132" t="s">
        <v>43</v>
      </c>
      <c r="M132" t="str">
        <f t="shared" ref="M132:M194" si="11">IFERROR(IF(VLOOKUP(I132,$A$3:$A$214,1,0)=I132,"Ok","Nok"),"Nok")</f>
        <v>Ok</v>
      </c>
      <c r="N132" t="s">
        <v>193</v>
      </c>
    </row>
    <row r="133" spans="1:14" x14ac:dyDescent="0.3">
      <c r="A133" s="16" t="str">
        <f t="shared" si="8"/>
        <v>modesg_out_empr_info_nfinorigem_flg_nfrd</v>
      </c>
      <c r="B133" s="3" t="s">
        <v>84</v>
      </c>
      <c r="C133" s="8" t="s">
        <v>86</v>
      </c>
      <c r="D133" t="str">
        <f t="shared" si="9"/>
        <v>Ok</v>
      </c>
      <c r="I133" s="16" t="str">
        <f t="shared" si="10"/>
        <v>modesg_param_sfcs_taxon_europeiacmetanseg</v>
      </c>
      <c r="J133" s="7" t="s">
        <v>147</v>
      </c>
      <c r="K133" s="7" t="s">
        <v>34</v>
      </c>
      <c r="L133" t="s">
        <v>44</v>
      </c>
      <c r="M133" t="str">
        <f t="shared" si="11"/>
        <v>Ok</v>
      </c>
      <c r="N133" t="s">
        <v>193</v>
      </c>
    </row>
    <row r="134" spans="1:14" x14ac:dyDescent="0.3">
      <c r="A134" s="16" t="str">
        <f t="shared" si="8"/>
        <v>modesg_out_empr_info_nfinflg_emprs_excl_paris</v>
      </c>
      <c r="B134" s="3" t="s">
        <v>84</v>
      </c>
      <c r="C134" s="8" t="s">
        <v>87</v>
      </c>
      <c r="D134" t="str">
        <f t="shared" si="9"/>
        <v>Ok</v>
      </c>
      <c r="I134" s="16" t="str">
        <f t="shared" si="10"/>
        <v>modesg_param_sfcs_taxon_europeiacnsm_co2</v>
      </c>
      <c r="J134" s="7" t="s">
        <v>147</v>
      </c>
      <c r="K134" s="7" t="s">
        <v>34</v>
      </c>
      <c r="L134" t="s">
        <v>47</v>
      </c>
      <c r="M134" t="str">
        <f t="shared" si="11"/>
        <v>Ok</v>
      </c>
      <c r="N134" t="s">
        <v>193</v>
      </c>
    </row>
    <row r="135" spans="1:14" x14ac:dyDescent="0.3">
      <c r="A135" s="16" t="str">
        <f t="shared" si="8"/>
        <v>modesg_out_empr_info_nfinorigem_flg_emprs_excl_paris</v>
      </c>
      <c r="B135" s="3" t="s">
        <v>84</v>
      </c>
      <c r="C135" s="8" t="s">
        <v>88</v>
      </c>
      <c r="D135" t="str">
        <f t="shared" si="9"/>
        <v>Ok</v>
      </c>
      <c r="I135" s="16" t="str">
        <f t="shared" si="10"/>
        <v>modesg_param_sfcs_taxon_europeiacnumecta</v>
      </c>
      <c r="J135" s="7" t="s">
        <v>147</v>
      </c>
      <c r="K135" s="7" t="s">
        <v>34</v>
      </c>
      <c r="L135" t="s">
        <v>25</v>
      </c>
      <c r="M135" t="str">
        <f t="shared" si="11"/>
        <v>Ok</v>
      </c>
      <c r="N135" t="s">
        <v>193</v>
      </c>
    </row>
    <row r="136" spans="1:14" x14ac:dyDescent="0.3">
      <c r="A136" s="16" t="str">
        <f t="shared" si="8"/>
        <v>modesg_out_empr_info_nfincca_trnvr_ttl_elgbl</v>
      </c>
      <c r="B136" s="3" t="s">
        <v>84</v>
      </c>
      <c r="C136" s="8" t="s">
        <v>89</v>
      </c>
      <c r="D136" t="str">
        <f t="shared" si="9"/>
        <v>Ok</v>
      </c>
      <c r="I136" s="16" t="str">
        <f t="shared" si="10"/>
        <v>modesg_param_sfcs_taxon_europeiacod_lease</v>
      </c>
      <c r="J136" s="7" t="s">
        <v>147</v>
      </c>
      <c r="K136" s="7" t="s">
        <v>34</v>
      </c>
      <c r="L136" t="s">
        <v>46</v>
      </c>
      <c r="M136" t="str">
        <f t="shared" si="11"/>
        <v>Ok</v>
      </c>
      <c r="N136" t="s">
        <v>193</v>
      </c>
    </row>
    <row r="137" spans="1:14" x14ac:dyDescent="0.3">
      <c r="A137" s="16" t="str">
        <f t="shared" si="8"/>
        <v>modesg_out_empr_info_nfincca_trnvr_enblng_alignd</v>
      </c>
      <c r="B137" s="3" t="s">
        <v>84</v>
      </c>
      <c r="C137" s="8" t="s">
        <v>90</v>
      </c>
      <c r="D137" t="str">
        <f t="shared" si="9"/>
        <v>Ok</v>
      </c>
      <c r="I137" s="16" t="str">
        <f t="shared" si="10"/>
        <v>modesg_param_sfcs_taxon_europeiacod_regra</v>
      </c>
      <c r="J137" s="7" t="s">
        <v>147</v>
      </c>
      <c r="K137" s="7" t="s">
        <v>34</v>
      </c>
      <c r="L137" t="s">
        <v>27</v>
      </c>
      <c r="M137" t="str">
        <f t="shared" si="11"/>
        <v>Ok</v>
      </c>
      <c r="N137" t="s">
        <v>193</v>
      </c>
    </row>
    <row r="138" spans="1:14" x14ac:dyDescent="0.3">
      <c r="A138" s="16" t="str">
        <f t="shared" si="8"/>
        <v>modesg_out_empr_info_nfincca_turnover_own_prfrmnce_algnd</v>
      </c>
      <c r="B138" s="3" t="s">
        <v>84</v>
      </c>
      <c r="C138" s="8" t="s">
        <v>91</v>
      </c>
      <c r="D138" t="str">
        <f t="shared" si="9"/>
        <v>Ok</v>
      </c>
      <c r="I138" s="16" t="str">
        <f t="shared" si="10"/>
        <v>modesg_param_sfcs_taxon_europeiacomite</v>
      </c>
      <c r="J138" s="7" t="s">
        <v>147</v>
      </c>
      <c r="K138" s="7" t="s">
        <v>34</v>
      </c>
      <c r="L138" t="s">
        <v>37</v>
      </c>
      <c r="M138" t="str">
        <f t="shared" si="11"/>
        <v>Ok</v>
      </c>
      <c r="N138" t="s">
        <v>193</v>
      </c>
    </row>
    <row r="139" spans="1:14" x14ac:dyDescent="0.3">
      <c r="A139" s="16" t="str">
        <f t="shared" si="8"/>
        <v>modesg_out_empr_info_nfincca_capex_ttl_elgbl</v>
      </c>
      <c r="B139" s="3" t="s">
        <v>84</v>
      </c>
      <c r="C139" s="8" t="s">
        <v>92</v>
      </c>
      <c r="D139" t="str">
        <f t="shared" si="9"/>
        <v>Ok</v>
      </c>
      <c r="I139" s="16" t="str">
        <f t="shared" si="10"/>
        <v>modesg_param_sfcs_taxon_europeiadata_aprvc</v>
      </c>
      <c r="J139" s="7" t="s">
        <v>147</v>
      </c>
      <c r="K139" s="7" t="s">
        <v>34</v>
      </c>
      <c r="L139" t="s">
        <v>38</v>
      </c>
      <c r="M139" t="str">
        <f t="shared" si="11"/>
        <v>Ok</v>
      </c>
      <c r="N139" t="s">
        <v>193</v>
      </c>
    </row>
    <row r="140" spans="1:14" x14ac:dyDescent="0.3">
      <c r="A140" s="16" t="str">
        <f t="shared" si="8"/>
        <v>modesg_out_empr_info_nfincca_capex_enblng_algnd</v>
      </c>
      <c r="B140" s="3" t="s">
        <v>84</v>
      </c>
      <c r="C140" s="8" t="s">
        <v>93</v>
      </c>
      <c r="D140" t="str">
        <f t="shared" si="9"/>
        <v>Ok</v>
      </c>
      <c r="I140" s="16" t="str">
        <f t="shared" si="10"/>
        <v>modesg_param_sfcs_taxon_europeiadata_final</v>
      </c>
      <c r="J140" s="7" t="s">
        <v>147</v>
      </c>
      <c r="K140" s="7" t="s">
        <v>34</v>
      </c>
      <c r="L140" t="s">
        <v>40</v>
      </c>
      <c r="M140" t="str">
        <f t="shared" si="11"/>
        <v>Ok</v>
      </c>
      <c r="N140" t="s">
        <v>193</v>
      </c>
    </row>
    <row r="141" spans="1:14" x14ac:dyDescent="0.3">
      <c r="A141" s="16" t="str">
        <f t="shared" si="8"/>
        <v>modesg_out_empr_info_nfincca_capex_own_prfrmnce_algnd</v>
      </c>
      <c r="B141" s="3" t="s">
        <v>84</v>
      </c>
      <c r="C141" s="8" t="s">
        <v>94</v>
      </c>
      <c r="D141" t="str">
        <f t="shared" si="9"/>
        <v>Ok</v>
      </c>
      <c r="I141" s="16" t="str">
        <f t="shared" si="10"/>
        <v>modesg_param_sfcs_taxon_europeiadata_inicial</v>
      </c>
      <c r="J141" s="7" t="s">
        <v>147</v>
      </c>
      <c r="K141" s="7" t="s">
        <v>34</v>
      </c>
      <c r="L141" t="s">
        <v>39</v>
      </c>
      <c r="M141" t="str">
        <f t="shared" si="11"/>
        <v>Ok</v>
      </c>
      <c r="N141" t="s">
        <v>193</v>
      </c>
    </row>
    <row r="142" spans="1:14" x14ac:dyDescent="0.3">
      <c r="A142" s="16" t="str">
        <f t="shared" si="8"/>
        <v>modesg_out_empr_info_nfinccm_trnvr_ttl_elgbl</v>
      </c>
      <c r="B142" s="3" t="s">
        <v>84</v>
      </c>
      <c r="C142" s="8" t="s">
        <v>95</v>
      </c>
      <c r="D142" t="str">
        <f t="shared" si="9"/>
        <v>Ok</v>
      </c>
      <c r="I142" s="16" t="str">
        <f t="shared" si="10"/>
        <v>modesg_param_sfcs_taxon_europeiadominio</v>
      </c>
      <c r="J142" s="7" t="s">
        <v>147</v>
      </c>
      <c r="K142" s="7" t="s">
        <v>34</v>
      </c>
      <c r="L142" t="s">
        <v>35</v>
      </c>
      <c r="M142" t="str">
        <f t="shared" si="11"/>
        <v>Ok</v>
      </c>
      <c r="N142" t="s">
        <v>193</v>
      </c>
    </row>
    <row r="143" spans="1:14" x14ac:dyDescent="0.3">
      <c r="A143" s="16" t="str">
        <f t="shared" si="8"/>
        <v>modesg_out_empr_info_nfinccm_trnvr_enblng_algnd</v>
      </c>
      <c r="B143" s="3" t="s">
        <v>84</v>
      </c>
      <c r="C143" s="8" t="s">
        <v>96</v>
      </c>
      <c r="D143" t="str">
        <f t="shared" si="9"/>
        <v>Ok</v>
      </c>
      <c r="I143" s="16" t="str">
        <f t="shared" si="10"/>
        <v>modesg_param_sfcs_taxon_europeiadscrc</v>
      </c>
      <c r="J143" s="7" t="s">
        <v>147</v>
      </c>
      <c r="K143" s="7" t="s">
        <v>34</v>
      </c>
      <c r="L143" t="s">
        <v>36</v>
      </c>
      <c r="M143" t="str">
        <f t="shared" si="11"/>
        <v>Ok</v>
      </c>
      <c r="N143" t="s">
        <v>193</v>
      </c>
    </row>
    <row r="144" spans="1:14" x14ac:dyDescent="0.3">
      <c r="A144" s="16" t="str">
        <f t="shared" si="8"/>
        <v>modesg_out_empr_info_nfinccm_trnvr_trnstn_alignd</v>
      </c>
      <c r="B144" s="3" t="s">
        <v>84</v>
      </c>
      <c r="C144" s="8" t="s">
        <v>97</v>
      </c>
      <c r="D144" t="str">
        <f t="shared" si="9"/>
        <v>Ok</v>
      </c>
      <c r="I144" s="16" t="str">
        <f t="shared" si="10"/>
        <v>modesg_param_sfcs_taxon_europeiaepc</v>
      </c>
      <c r="J144" s="7" t="s">
        <v>147</v>
      </c>
      <c r="K144" s="7" t="s">
        <v>34</v>
      </c>
      <c r="L144" t="s">
        <v>45</v>
      </c>
      <c r="M144" t="str">
        <f t="shared" si="11"/>
        <v>Ok</v>
      </c>
      <c r="N144" t="s">
        <v>193</v>
      </c>
    </row>
    <row r="145" spans="1:14" x14ac:dyDescent="0.3">
      <c r="A145" s="16" t="str">
        <f t="shared" si="8"/>
        <v>modesg_out_empr_info_nfinccm_trnvr_own_prfrmnce_algnd</v>
      </c>
      <c r="B145" s="3" t="s">
        <v>84</v>
      </c>
      <c r="C145" s="8" t="s">
        <v>98</v>
      </c>
      <c r="D145" t="str">
        <f t="shared" si="9"/>
        <v>Ok</v>
      </c>
      <c r="I145" s="16" t="str">
        <f t="shared" si="10"/>
        <v>modesg_param_sfcs_taxon_europeiaflag_project_finance</v>
      </c>
      <c r="J145" s="17" t="s">
        <v>147</v>
      </c>
      <c r="K145" s="17" t="s">
        <v>34</v>
      </c>
      <c r="L145" s="18" t="s">
        <v>174</v>
      </c>
      <c r="M145" s="18" t="str">
        <f t="shared" si="11"/>
        <v>Nok</v>
      </c>
      <c r="N145" t="s">
        <v>183</v>
      </c>
    </row>
    <row r="146" spans="1:14" x14ac:dyDescent="0.3">
      <c r="A146" s="16" t="str">
        <f t="shared" si="8"/>
        <v>modesg_out_empr_info_nfinccm_capex_ttl_elgbl</v>
      </c>
      <c r="B146" s="3" t="s">
        <v>84</v>
      </c>
      <c r="C146" s="8" t="s">
        <v>99</v>
      </c>
      <c r="D146" t="str">
        <f t="shared" si="9"/>
        <v>Ok</v>
      </c>
      <c r="I146" s="16" t="str">
        <f t="shared" si="10"/>
        <v>modesg_param_sfcs_taxon_europeiamontante_pndrc</v>
      </c>
      <c r="J146" s="7" t="s">
        <v>147</v>
      </c>
      <c r="K146" s="7" t="s">
        <v>34</v>
      </c>
      <c r="L146" t="s">
        <v>33</v>
      </c>
      <c r="M146" t="str">
        <f t="shared" si="11"/>
        <v>Ok</v>
      </c>
      <c r="N146" t="s">
        <v>193</v>
      </c>
    </row>
    <row r="147" spans="1:14" x14ac:dyDescent="0.3">
      <c r="A147" s="16" t="str">
        <f t="shared" si="8"/>
        <v>modesg_out_empr_info_nfinccm_capex_enblng_algnd</v>
      </c>
      <c r="B147" s="3" t="s">
        <v>84</v>
      </c>
      <c r="C147" s="8" t="s">
        <v>100</v>
      </c>
      <c r="D147" t="str">
        <f t="shared" si="9"/>
        <v>Ok</v>
      </c>
      <c r="I147" s="16" t="str">
        <f t="shared" si="10"/>
        <v>modesg_param_sfcs_taxon_europeianome_ctgr_sfcs</v>
      </c>
      <c r="J147" s="7" t="s">
        <v>147</v>
      </c>
      <c r="K147" s="7" t="s">
        <v>34</v>
      </c>
      <c r="L147" t="s">
        <v>28</v>
      </c>
      <c r="M147" t="str">
        <f t="shared" si="11"/>
        <v>Ok</v>
      </c>
      <c r="N147" t="s">
        <v>193</v>
      </c>
    </row>
    <row r="148" spans="1:14" x14ac:dyDescent="0.3">
      <c r="A148" s="16" t="str">
        <f t="shared" si="8"/>
        <v>modesg_out_empr_info_nfinccm_capex_trnstn_algnd</v>
      </c>
      <c r="B148" s="3" t="s">
        <v>84</v>
      </c>
      <c r="C148" s="8" t="s">
        <v>101</v>
      </c>
      <c r="D148" t="str">
        <f t="shared" si="9"/>
        <v>Ok</v>
      </c>
      <c r="I148" s="16" t="str">
        <f t="shared" si="10"/>
        <v>modesg_param_sfcs_taxon_europeianome_general_specific_purpose</v>
      </c>
      <c r="J148" s="7" t="s">
        <v>147</v>
      </c>
      <c r="K148" s="7" t="s">
        <v>34</v>
      </c>
      <c r="L148" t="s">
        <v>30</v>
      </c>
      <c r="M148" t="str">
        <f t="shared" si="11"/>
        <v>Ok</v>
      </c>
      <c r="N148" t="s">
        <v>193</v>
      </c>
    </row>
    <row r="149" spans="1:14" x14ac:dyDescent="0.3">
      <c r="A149" s="16" t="str">
        <f t="shared" si="8"/>
        <v>modesg_out_empr_info_nfinccm_capex_own_prfrmnce_algnd</v>
      </c>
      <c r="B149" s="3" t="s">
        <v>84</v>
      </c>
      <c r="C149" s="8" t="s">
        <v>102</v>
      </c>
      <c r="D149" t="str">
        <f t="shared" si="9"/>
        <v>Ok</v>
      </c>
      <c r="I149" s="16" t="str">
        <f t="shared" si="10"/>
        <v>modesg_param_sfcs_taxon_europeianome_purpose_esg</v>
      </c>
      <c r="J149" s="7" t="s">
        <v>147</v>
      </c>
      <c r="K149" s="7" t="s">
        <v>34</v>
      </c>
      <c r="L149" t="s">
        <v>29</v>
      </c>
      <c r="M149" t="str">
        <f t="shared" si="11"/>
        <v>Ok</v>
      </c>
      <c r="N149" t="s">
        <v>193</v>
      </c>
    </row>
    <row r="150" spans="1:14" x14ac:dyDescent="0.3">
      <c r="A150" s="16" t="str">
        <f t="shared" si="8"/>
        <v>modesg_out_empr_info_nfinorigem_alinhamentos</v>
      </c>
      <c r="B150" s="3" t="s">
        <v>84</v>
      </c>
      <c r="C150" s="8" t="s">
        <v>103</v>
      </c>
      <c r="D150" t="str">
        <f t="shared" si="9"/>
        <v>Ok</v>
      </c>
      <c r="I150" s="16" t="str">
        <f t="shared" si="10"/>
        <v>modesg_param_sfcs_taxon_europeianome_specific_eligible</v>
      </c>
      <c r="J150" s="7" t="s">
        <v>147</v>
      </c>
      <c r="K150" s="7" t="s">
        <v>34</v>
      </c>
      <c r="L150" t="s">
        <v>31</v>
      </c>
      <c r="M150" t="str">
        <f t="shared" si="11"/>
        <v>Ok</v>
      </c>
      <c r="N150" t="s">
        <v>193</v>
      </c>
    </row>
    <row r="151" spans="1:14" x14ac:dyDescent="0.3">
      <c r="A151" s="16" t="str">
        <f t="shared" si="8"/>
        <v>modesg_out_empr_info_nfinflg_rsc_fsc_agd</v>
      </c>
      <c r="B151" s="3" t="s">
        <v>84</v>
      </c>
      <c r="C151" s="11" t="s">
        <v>104</v>
      </c>
      <c r="D151" t="str">
        <f t="shared" si="9"/>
        <v>Ok</v>
      </c>
      <c r="I151" s="16" t="str">
        <f t="shared" si="10"/>
        <v>modesg_param_sfcs_taxon_europeianome_specific_sustainable</v>
      </c>
      <c r="J151" s="7" t="s">
        <v>147</v>
      </c>
      <c r="K151" s="7" t="s">
        <v>34</v>
      </c>
      <c r="L151" t="s">
        <v>32</v>
      </c>
      <c r="M151" t="str">
        <f t="shared" si="11"/>
        <v>Ok</v>
      </c>
      <c r="N151" t="s">
        <v>193</v>
      </c>
    </row>
    <row r="152" spans="1:14" x14ac:dyDescent="0.3">
      <c r="A152" s="16" t="str">
        <f t="shared" si="8"/>
        <v>modesg_out_empr_info_nfinflg_rsc_fsc_crnc</v>
      </c>
      <c r="B152" s="3" t="s">
        <v>84</v>
      </c>
      <c r="C152" s="11" t="s">
        <v>105</v>
      </c>
      <c r="D152" t="str">
        <f t="shared" si="9"/>
        <v>Ok</v>
      </c>
      <c r="I152" s="16" t="str">
        <f t="shared" si="10"/>
        <v>modesg_param_sfcs_taxon_europeiaref_date</v>
      </c>
      <c r="J152" s="7" t="s">
        <v>147</v>
      </c>
      <c r="K152" s="7" t="s">
        <v>34</v>
      </c>
      <c r="L152" t="s">
        <v>21</v>
      </c>
      <c r="M152" t="str">
        <f t="shared" si="11"/>
        <v>Ok</v>
      </c>
      <c r="N152" t="s">
        <v>193</v>
      </c>
    </row>
    <row r="153" spans="1:14" x14ac:dyDescent="0.3">
      <c r="A153" s="16" t="str">
        <f t="shared" si="8"/>
        <v>modesg_out_empr_info_nfinorigem_flg_rsc_fsc_agd</v>
      </c>
      <c r="B153" s="3" t="s">
        <v>84</v>
      </c>
      <c r="C153" s="11" t="s">
        <v>106</v>
      </c>
      <c r="D153" t="str">
        <f t="shared" si="9"/>
        <v>Ok</v>
      </c>
      <c r="I153" s="16" t="str">
        <f t="shared" si="10"/>
        <v>modesg_param_sfcs_taxon_europeiatipo_combust</v>
      </c>
      <c r="J153" s="17" t="s">
        <v>147</v>
      </c>
      <c r="K153" s="17" t="s">
        <v>34</v>
      </c>
      <c r="L153" s="18" t="s">
        <v>175</v>
      </c>
      <c r="M153" s="18" t="str">
        <f t="shared" si="11"/>
        <v>Nok</v>
      </c>
      <c r="N153" t="s">
        <v>183</v>
      </c>
    </row>
    <row r="154" spans="1:14" x14ac:dyDescent="0.3">
      <c r="A154" s="16" t="str">
        <f t="shared" si="8"/>
        <v>modesg_out_empr_info_nfinorigem_flg_rsc_fsc_crnc</v>
      </c>
      <c r="B154" s="3" t="s">
        <v>84</v>
      </c>
      <c r="C154" s="11" t="s">
        <v>107</v>
      </c>
      <c r="D154" t="str">
        <f t="shared" si="9"/>
        <v>Ok</v>
      </c>
      <c r="I154" s="16" t="str">
        <f t="shared" si="10"/>
        <v>modesg_param_sfcs_taxon_europeiazcliente</v>
      </c>
      <c r="J154" s="7" t="s">
        <v>147</v>
      </c>
      <c r="K154" s="7" t="s">
        <v>34</v>
      </c>
      <c r="L154" t="s">
        <v>41</v>
      </c>
      <c r="M154" t="str">
        <f t="shared" si="11"/>
        <v>Ok</v>
      </c>
      <c r="N154" t="s">
        <v>193</v>
      </c>
    </row>
    <row r="155" spans="1:14" x14ac:dyDescent="0.3">
      <c r="A155" s="16" t="str">
        <f t="shared" si="8"/>
        <v>modesg_out_empr_info_nfinscp1_emss</v>
      </c>
      <c r="B155" s="3" t="s">
        <v>84</v>
      </c>
      <c r="C155" s="8" t="s">
        <v>53</v>
      </c>
      <c r="D155" t="str">
        <f t="shared" si="9"/>
        <v>Ok</v>
      </c>
      <c r="I155" s="16" t="str">
        <f t="shared" si="10"/>
        <v>modesg_param_sfcs_taxon_europeiazdeposit</v>
      </c>
      <c r="J155" s="13" t="s">
        <v>147</v>
      </c>
      <c r="K155" s="7" t="s">
        <v>34</v>
      </c>
      <c r="L155" t="s">
        <v>26</v>
      </c>
      <c r="M155" t="str">
        <f t="shared" si="11"/>
        <v>Ok</v>
      </c>
      <c r="N155" t="s">
        <v>193</v>
      </c>
    </row>
    <row r="156" spans="1:14" x14ac:dyDescent="0.3">
      <c r="A156" s="16" t="str">
        <f t="shared" si="8"/>
        <v>modesg_out_empr_info_nfinscp2_emss</v>
      </c>
      <c r="B156" s="3" t="s">
        <v>84</v>
      </c>
      <c r="C156" s="8" t="s">
        <v>54</v>
      </c>
      <c r="D156" t="str">
        <f t="shared" si="9"/>
        <v>Ok</v>
      </c>
      <c r="I156" s="16" t="str">
        <f t="shared" si="10"/>
        <v>modesg_out_bens_imoveiscempbem</v>
      </c>
      <c r="J156" s="7" t="s">
        <v>176</v>
      </c>
      <c r="K156" s="7" t="s">
        <v>137</v>
      </c>
      <c r="L156" t="s">
        <v>49</v>
      </c>
      <c r="M156" t="str">
        <f t="shared" si="11"/>
        <v>Ok</v>
      </c>
      <c r="N156" t="s">
        <v>193</v>
      </c>
    </row>
    <row r="157" spans="1:14" x14ac:dyDescent="0.3">
      <c r="A157" s="16" t="str">
        <f t="shared" si="8"/>
        <v>modesg_out_empr_info_nfinscp3_emss</v>
      </c>
      <c r="B157" s="3" t="s">
        <v>84</v>
      </c>
      <c r="C157" s="8" t="s">
        <v>55</v>
      </c>
      <c r="D157" t="str">
        <f t="shared" si="9"/>
        <v>Ok</v>
      </c>
      <c r="I157" s="16" t="str">
        <f t="shared" si="10"/>
        <v>modesg_out_bens_imoveisckbalbem</v>
      </c>
      <c r="J157" s="7" t="s">
        <v>176</v>
      </c>
      <c r="K157" s="7" t="s">
        <v>137</v>
      </c>
      <c r="L157" t="s">
        <v>50</v>
      </c>
      <c r="M157" t="str">
        <f t="shared" si="11"/>
        <v>Ok</v>
      </c>
      <c r="N157" t="s">
        <v>193</v>
      </c>
    </row>
    <row r="158" spans="1:14" x14ac:dyDescent="0.3">
      <c r="A158" s="16" t="str">
        <f t="shared" si="8"/>
        <v>modesg_out_empr_info_nfinorigem_scp1_emss</v>
      </c>
      <c r="B158" s="3" t="s">
        <v>84</v>
      </c>
      <c r="C158" s="11" t="s">
        <v>59</v>
      </c>
      <c r="D158" t="str">
        <f t="shared" si="9"/>
        <v>Ok</v>
      </c>
      <c r="I158" s="16" t="str">
        <f t="shared" si="10"/>
        <v>modesg_out_bens_imoveisckctabem</v>
      </c>
      <c r="J158" s="7" t="s">
        <v>176</v>
      </c>
      <c r="K158" s="7" t="s">
        <v>137</v>
      </c>
      <c r="L158" t="s">
        <v>51</v>
      </c>
      <c r="M158" t="str">
        <f t="shared" si="11"/>
        <v>Ok</v>
      </c>
      <c r="N158" t="s">
        <v>193</v>
      </c>
    </row>
    <row r="159" spans="1:14" x14ac:dyDescent="0.3">
      <c r="A159" s="16" t="str">
        <f t="shared" si="8"/>
        <v>modesg_out_empr_info_nfinorigem_scp2_emss</v>
      </c>
      <c r="B159" s="3" t="s">
        <v>84</v>
      </c>
      <c r="C159" s="11" t="s">
        <v>60</v>
      </c>
      <c r="D159" t="str">
        <f t="shared" si="9"/>
        <v>Ok</v>
      </c>
      <c r="I159" s="16" t="str">
        <f t="shared" si="10"/>
        <v>modesg_out_bens_imoveisckrefbem</v>
      </c>
      <c r="J159" s="7" t="s">
        <v>176</v>
      </c>
      <c r="K159" s="7" t="s">
        <v>137</v>
      </c>
      <c r="L159" t="s">
        <v>52</v>
      </c>
      <c r="M159" t="str">
        <f t="shared" si="11"/>
        <v>Ok</v>
      </c>
      <c r="N159" t="s">
        <v>193</v>
      </c>
    </row>
    <row r="160" spans="1:14" x14ac:dyDescent="0.3">
      <c r="A160" s="16" t="str">
        <f t="shared" si="8"/>
        <v>modesg_out_empr_info_nfinorigem_scp3_emss</v>
      </c>
      <c r="B160" s="3" t="s">
        <v>84</v>
      </c>
      <c r="C160" s="11" t="s">
        <v>61</v>
      </c>
      <c r="D160" t="str">
        <f t="shared" si="9"/>
        <v>Ok</v>
      </c>
      <c r="I160" s="16" t="str">
        <f t="shared" si="10"/>
        <v>modesg_out_bens_imoveisflg_rsc_fsc_agd</v>
      </c>
      <c r="J160" s="7" t="s">
        <v>176</v>
      </c>
      <c r="K160" s="7" t="s">
        <v>137</v>
      </c>
      <c r="L160" t="s">
        <v>104</v>
      </c>
      <c r="M160" t="str">
        <f t="shared" si="11"/>
        <v>Ok</v>
      </c>
      <c r="N160" t="s">
        <v>193</v>
      </c>
    </row>
    <row r="161" spans="1:14" x14ac:dyDescent="0.3">
      <c r="A161" s="16" t="str">
        <f t="shared" si="8"/>
        <v>modesg_out_empr_info_nfincod_nace_esg</v>
      </c>
      <c r="B161" s="3" t="s">
        <v>84</v>
      </c>
      <c r="C161" s="11" t="s">
        <v>108</v>
      </c>
      <c r="D161" t="str">
        <f t="shared" si="9"/>
        <v>Ok</v>
      </c>
      <c r="I161" s="16" t="str">
        <f t="shared" si="10"/>
        <v>modesg_out_bens_imoveisflg_rsc_fsc_crnc</v>
      </c>
      <c r="J161" s="7" t="s">
        <v>176</v>
      </c>
      <c r="K161" s="7" t="s">
        <v>137</v>
      </c>
      <c r="L161" t="s">
        <v>105</v>
      </c>
      <c r="M161" t="str">
        <f t="shared" si="11"/>
        <v>Ok</v>
      </c>
      <c r="N161" t="s">
        <v>193</v>
      </c>
    </row>
    <row r="162" spans="1:14" x14ac:dyDescent="0.3">
      <c r="A162" s="16" t="str">
        <f t="shared" si="8"/>
        <v>modesg_out_emss_vclscempbem</v>
      </c>
      <c r="B162" s="10" t="s">
        <v>48</v>
      </c>
      <c r="C162" s="12" t="s">
        <v>49</v>
      </c>
      <c r="D162" t="str">
        <f t="shared" si="9"/>
        <v>Ok</v>
      </c>
      <c r="I162" s="16" t="str">
        <f t="shared" si="10"/>
        <v>modesg_out_bens_imoveisorigem_flg_rsc_fsc_agd</v>
      </c>
      <c r="J162" s="7" t="s">
        <v>176</v>
      </c>
      <c r="K162" s="7" t="s">
        <v>137</v>
      </c>
      <c r="L162" t="s">
        <v>106</v>
      </c>
      <c r="M162" t="str">
        <f t="shared" si="11"/>
        <v>Ok</v>
      </c>
      <c r="N162" t="s">
        <v>193</v>
      </c>
    </row>
    <row r="163" spans="1:14" x14ac:dyDescent="0.3">
      <c r="A163" s="16" t="str">
        <f t="shared" si="8"/>
        <v>modesg_out_emss_vclsckbalbem</v>
      </c>
      <c r="B163" s="10" t="s">
        <v>48</v>
      </c>
      <c r="C163" s="12" t="s">
        <v>50</v>
      </c>
      <c r="D163" t="str">
        <f t="shared" si="9"/>
        <v>Ok</v>
      </c>
      <c r="I163" s="16" t="str">
        <f t="shared" si="10"/>
        <v>modesg_out_bens_imoveisorigem_flg_rsc_fsc_crnc</v>
      </c>
      <c r="J163" s="7" t="s">
        <v>176</v>
      </c>
      <c r="K163" s="7" t="s">
        <v>137</v>
      </c>
      <c r="L163" t="s">
        <v>107</v>
      </c>
      <c r="M163" t="str">
        <f t="shared" si="11"/>
        <v>Ok</v>
      </c>
      <c r="N163" t="s">
        <v>193</v>
      </c>
    </row>
    <row r="164" spans="1:14" x14ac:dyDescent="0.3">
      <c r="A164" s="16" t="str">
        <f t="shared" si="8"/>
        <v>modesg_out_emss_vclsckctabem</v>
      </c>
      <c r="B164" s="10" t="s">
        <v>48</v>
      </c>
      <c r="C164" s="12" t="s">
        <v>51</v>
      </c>
      <c r="D164" t="str">
        <f t="shared" si="9"/>
        <v>Ok</v>
      </c>
      <c r="I164" s="16" t="str">
        <f t="shared" si="10"/>
        <v>modesg_out_bens_imoveisorigem_scp1_emss</v>
      </c>
      <c r="J164" s="7" t="s">
        <v>176</v>
      </c>
      <c r="K164" s="7" t="s">
        <v>137</v>
      </c>
      <c r="L164" t="s">
        <v>59</v>
      </c>
      <c r="M164" t="str">
        <f t="shared" si="11"/>
        <v>Ok</v>
      </c>
      <c r="N164" t="s">
        <v>193</v>
      </c>
    </row>
    <row r="165" spans="1:14" x14ac:dyDescent="0.3">
      <c r="A165" s="16" t="str">
        <f t="shared" si="8"/>
        <v>modesg_out_emss_vclsckrefbem</v>
      </c>
      <c r="B165" s="10" t="s">
        <v>48</v>
      </c>
      <c r="C165" s="12" t="s">
        <v>52</v>
      </c>
      <c r="D165" t="str">
        <f t="shared" si="9"/>
        <v>Ok</v>
      </c>
      <c r="I165" s="16" t="str">
        <f t="shared" si="10"/>
        <v>modesg_out_bens_imoveisorigem_scp2_emss</v>
      </c>
      <c r="J165" s="7" t="s">
        <v>176</v>
      </c>
      <c r="K165" s="7" t="s">
        <v>137</v>
      </c>
      <c r="L165" t="s">
        <v>60</v>
      </c>
      <c r="M165" t="str">
        <f t="shared" si="11"/>
        <v>Ok</v>
      </c>
      <c r="N165" t="s">
        <v>193</v>
      </c>
    </row>
    <row r="166" spans="1:14" x14ac:dyDescent="0.3">
      <c r="A166" s="16" t="str">
        <f t="shared" si="8"/>
        <v>modesg_out_emss_vclsref_date</v>
      </c>
      <c r="B166" s="10" t="s">
        <v>48</v>
      </c>
      <c r="C166" s="12" t="s">
        <v>21</v>
      </c>
      <c r="D166" t="str">
        <f t="shared" si="9"/>
        <v>Ok</v>
      </c>
      <c r="I166" s="16" t="str">
        <f t="shared" si="10"/>
        <v>modesg_out_bens_imoveisorigem_scp3_emss</v>
      </c>
      <c r="J166" s="7" t="s">
        <v>176</v>
      </c>
      <c r="K166" s="7" t="s">
        <v>137</v>
      </c>
      <c r="L166" t="s">
        <v>61</v>
      </c>
      <c r="M166" t="str">
        <f t="shared" si="11"/>
        <v>Ok</v>
      </c>
      <c r="N166" t="s">
        <v>193</v>
      </c>
    </row>
    <row r="167" spans="1:14" x14ac:dyDescent="0.3">
      <c r="A167" s="16" t="str">
        <f t="shared" si="8"/>
        <v>modesg_out_emss_vclscnsm_co2</v>
      </c>
      <c r="B167" s="10" t="s">
        <v>48</v>
      </c>
      <c r="C167" s="9" t="s">
        <v>47</v>
      </c>
      <c r="D167" t="str">
        <f t="shared" si="9"/>
        <v>Ok</v>
      </c>
      <c r="I167" s="16" t="str">
        <f t="shared" si="10"/>
        <v>modesg_out_bens_imoveisref_date</v>
      </c>
      <c r="J167" s="7" t="s">
        <v>176</v>
      </c>
      <c r="K167" s="7" t="s">
        <v>137</v>
      </c>
      <c r="L167" t="s">
        <v>21</v>
      </c>
      <c r="M167" t="str">
        <f t="shared" si="11"/>
        <v>Ok</v>
      </c>
      <c r="N167" t="s">
        <v>193</v>
      </c>
    </row>
    <row r="168" spans="1:14" x14ac:dyDescent="0.3">
      <c r="A168" s="16" t="str">
        <f t="shared" si="8"/>
        <v>modesg_out_emss_vclsscp1_emss</v>
      </c>
      <c r="B168" s="10" t="s">
        <v>48</v>
      </c>
      <c r="C168" s="9" t="s">
        <v>53</v>
      </c>
      <c r="D168" t="str">
        <f t="shared" si="9"/>
        <v>Ok</v>
      </c>
      <c r="I168" s="16" t="str">
        <f t="shared" si="10"/>
        <v>modesg_out_bens_imoveisscp1_emss</v>
      </c>
      <c r="J168" s="7" t="s">
        <v>176</v>
      </c>
      <c r="K168" s="7" t="s">
        <v>137</v>
      </c>
      <c r="L168" t="s">
        <v>53</v>
      </c>
      <c r="M168" t="str">
        <f t="shared" si="11"/>
        <v>Ok</v>
      </c>
      <c r="N168" t="s">
        <v>193</v>
      </c>
    </row>
    <row r="169" spans="1:14" x14ac:dyDescent="0.3">
      <c r="A169" s="16" t="str">
        <f t="shared" si="8"/>
        <v>modesg_out_emss_vclsscp2_emss</v>
      </c>
      <c r="B169" s="10" t="s">
        <v>48</v>
      </c>
      <c r="C169" s="9" t="s">
        <v>54</v>
      </c>
      <c r="D169" t="str">
        <f t="shared" si="9"/>
        <v>Ok</v>
      </c>
      <c r="I169" s="16" t="str">
        <f t="shared" si="10"/>
        <v>modesg_out_bens_imoveisscp2_emss</v>
      </c>
      <c r="J169" s="7" t="s">
        <v>176</v>
      </c>
      <c r="K169" s="7" t="s">
        <v>137</v>
      </c>
      <c r="L169" t="s">
        <v>54</v>
      </c>
      <c r="M169" t="str">
        <f t="shared" si="11"/>
        <v>Ok</v>
      </c>
      <c r="N169" t="s">
        <v>193</v>
      </c>
    </row>
    <row r="170" spans="1:14" x14ac:dyDescent="0.3">
      <c r="A170" s="16" t="str">
        <f t="shared" si="8"/>
        <v>modesg_out_emss_vclsscp3_emss</v>
      </c>
      <c r="B170" s="10" t="s">
        <v>48</v>
      </c>
      <c r="C170" s="9" t="s">
        <v>55</v>
      </c>
      <c r="D170" t="str">
        <f t="shared" si="9"/>
        <v>Ok</v>
      </c>
      <c r="I170" s="16" t="str">
        <f t="shared" si="10"/>
        <v>modesg_out_bens_imoveisscp3_emss</v>
      </c>
      <c r="J170" s="7" t="s">
        <v>176</v>
      </c>
      <c r="K170" s="7" t="s">
        <v>137</v>
      </c>
      <c r="L170" t="s">
        <v>55</v>
      </c>
      <c r="M170" t="str">
        <f t="shared" si="11"/>
        <v>Ok</v>
      </c>
      <c r="N170" t="s">
        <v>193</v>
      </c>
    </row>
    <row r="171" spans="1:14" x14ac:dyDescent="0.3">
      <c r="A171" s="16" t="str">
        <f t="shared" si="8"/>
        <v>modesg_out_emss_vclsunidade_funcional_scp1_emss</v>
      </c>
      <c r="B171" s="10" t="s">
        <v>48</v>
      </c>
      <c r="C171" s="9" t="s">
        <v>56</v>
      </c>
      <c r="D171" t="str">
        <f t="shared" si="9"/>
        <v>Ok</v>
      </c>
      <c r="I171" s="16" t="str">
        <f t="shared" si="10"/>
        <v>modesg_out_bens_imoveisunidade_funcional_scp1_emss</v>
      </c>
      <c r="J171" s="7" t="s">
        <v>176</v>
      </c>
      <c r="K171" s="7" t="s">
        <v>137</v>
      </c>
      <c r="L171" t="s">
        <v>56</v>
      </c>
      <c r="M171" t="str">
        <f t="shared" si="11"/>
        <v>Ok</v>
      </c>
      <c r="N171" t="s">
        <v>193</v>
      </c>
    </row>
    <row r="172" spans="1:14" x14ac:dyDescent="0.3">
      <c r="A172" s="16" t="str">
        <f t="shared" si="8"/>
        <v>modesg_out_emss_vclsunidade_funcional_scp2_emss</v>
      </c>
      <c r="B172" s="10" t="s">
        <v>48</v>
      </c>
      <c r="C172" s="9" t="s">
        <v>57</v>
      </c>
      <c r="D172" t="str">
        <f t="shared" si="9"/>
        <v>Ok</v>
      </c>
      <c r="I172" s="16" t="str">
        <f t="shared" si="10"/>
        <v>modesg_out_bens_imoveisunidade_funcional_scp2_emss</v>
      </c>
      <c r="J172" s="7" t="s">
        <v>176</v>
      </c>
      <c r="K172" s="7" t="s">
        <v>137</v>
      </c>
      <c r="L172" t="s">
        <v>57</v>
      </c>
      <c r="M172" t="str">
        <f t="shared" si="11"/>
        <v>Ok</v>
      </c>
      <c r="N172" t="s">
        <v>193</v>
      </c>
    </row>
    <row r="173" spans="1:14" x14ac:dyDescent="0.3">
      <c r="A173" s="16" t="str">
        <f t="shared" si="8"/>
        <v>modesg_out_emss_vclsunidade_funcional_scp3_emss</v>
      </c>
      <c r="B173" s="10" t="s">
        <v>48</v>
      </c>
      <c r="C173" s="9" t="s">
        <v>58</v>
      </c>
      <c r="D173" t="str">
        <f t="shared" si="9"/>
        <v>Ok</v>
      </c>
      <c r="I173" s="16" t="str">
        <f t="shared" si="10"/>
        <v>modesg_out_bens_imoveisunidade_funcional_scp3_emss</v>
      </c>
      <c r="J173" s="7" t="s">
        <v>176</v>
      </c>
      <c r="K173" s="7" t="s">
        <v>137</v>
      </c>
      <c r="L173" t="s">
        <v>58</v>
      </c>
      <c r="M173" t="str">
        <f t="shared" si="11"/>
        <v>Ok</v>
      </c>
      <c r="N173" t="s">
        <v>193</v>
      </c>
    </row>
    <row r="174" spans="1:14" x14ac:dyDescent="0.3">
      <c r="A174" s="16" t="str">
        <f t="shared" si="8"/>
        <v>modesg_out_emss_vclsorigem_scp1_emss</v>
      </c>
      <c r="B174" s="10" t="s">
        <v>48</v>
      </c>
      <c r="C174" s="11" t="s">
        <v>59</v>
      </c>
      <c r="D174" t="str">
        <f t="shared" si="9"/>
        <v>Ok</v>
      </c>
      <c r="I174" s="16" t="str">
        <f t="shared" si="10"/>
        <v>modesg_out_empr_info_nfincca_capex_enblng_algnd</v>
      </c>
      <c r="J174" s="7" t="s">
        <v>176</v>
      </c>
      <c r="K174" s="7" t="s">
        <v>84</v>
      </c>
      <c r="L174" t="s">
        <v>93</v>
      </c>
      <c r="M174" t="str">
        <f t="shared" si="11"/>
        <v>Ok</v>
      </c>
      <c r="N174" t="s">
        <v>193</v>
      </c>
    </row>
    <row r="175" spans="1:14" x14ac:dyDescent="0.3">
      <c r="A175" s="16" t="str">
        <f t="shared" si="8"/>
        <v>modesg_out_emss_vclsorigem_scp2_emss</v>
      </c>
      <c r="B175" s="10" t="s">
        <v>48</v>
      </c>
      <c r="C175" s="11" t="s">
        <v>60</v>
      </c>
      <c r="D175" t="str">
        <f t="shared" si="9"/>
        <v>Ok</v>
      </c>
      <c r="I175" s="16" t="str">
        <f t="shared" si="10"/>
        <v>modesg_out_empr_info_nfincca_capex_own_prfrmnce_algnd</v>
      </c>
      <c r="J175" s="7" t="s">
        <v>176</v>
      </c>
      <c r="K175" s="7" t="s">
        <v>84</v>
      </c>
      <c r="L175" t="s">
        <v>94</v>
      </c>
      <c r="M175" t="str">
        <f t="shared" si="11"/>
        <v>Ok</v>
      </c>
      <c r="N175" t="s">
        <v>193</v>
      </c>
    </row>
    <row r="176" spans="1:14" x14ac:dyDescent="0.3">
      <c r="A176" s="16" t="str">
        <f t="shared" si="8"/>
        <v>modesg_out_emss_vclsorigem_scp3_emss</v>
      </c>
      <c r="B176" s="10" t="s">
        <v>48</v>
      </c>
      <c r="C176" s="11" t="s">
        <v>61</v>
      </c>
      <c r="D176" t="str">
        <f t="shared" si="9"/>
        <v>Ok</v>
      </c>
      <c r="I176" s="16" t="str">
        <f t="shared" si="10"/>
        <v>modesg_out_empr_info_nfincca_capex_ttl_elgbl</v>
      </c>
      <c r="J176" s="7" t="s">
        <v>176</v>
      </c>
      <c r="K176" s="7" t="s">
        <v>84</v>
      </c>
      <c r="L176" t="s">
        <v>92</v>
      </c>
      <c r="M176" t="str">
        <f t="shared" si="11"/>
        <v>Ok</v>
      </c>
      <c r="N176" t="s">
        <v>193</v>
      </c>
    </row>
    <row r="177" spans="1:14" x14ac:dyDescent="0.3">
      <c r="A177" s="16" t="str">
        <f t="shared" si="8"/>
        <v>modesg_out_sfcs_taxon_europeiacempresa</v>
      </c>
      <c r="B177" s="3" t="s">
        <v>23</v>
      </c>
      <c r="C177" s="8" t="s">
        <v>8</v>
      </c>
      <c r="D177" t="str">
        <f t="shared" si="9"/>
        <v>Ok</v>
      </c>
      <c r="I177" s="16" t="str">
        <f t="shared" si="10"/>
        <v>modesg_out_empr_info_nfincca_trnvr_enblng_alignd</v>
      </c>
      <c r="J177" s="7" t="s">
        <v>176</v>
      </c>
      <c r="K177" s="7" t="s">
        <v>84</v>
      </c>
      <c r="L177" t="s">
        <v>90</v>
      </c>
      <c r="M177" t="str">
        <f t="shared" si="11"/>
        <v>Ok</v>
      </c>
      <c r="N177" t="s">
        <v>193</v>
      </c>
    </row>
    <row r="178" spans="1:14" x14ac:dyDescent="0.3">
      <c r="A178" s="16" t="str">
        <f t="shared" si="8"/>
        <v>modesg_out_sfcs_taxon_europeiacbalcao</v>
      </c>
      <c r="B178" s="3" t="s">
        <v>23</v>
      </c>
      <c r="C178" s="8" t="s">
        <v>24</v>
      </c>
      <c r="D178" t="str">
        <f t="shared" si="9"/>
        <v>Ok</v>
      </c>
      <c r="I178" s="16" t="str">
        <f t="shared" si="10"/>
        <v>modesg_out_empr_info_nfincca_trnvr_ttl_elgbl</v>
      </c>
      <c r="J178" s="7" t="s">
        <v>176</v>
      </c>
      <c r="K178" s="7" t="s">
        <v>84</v>
      </c>
      <c r="L178" t="s">
        <v>89</v>
      </c>
      <c r="M178" t="str">
        <f t="shared" si="11"/>
        <v>Ok</v>
      </c>
      <c r="N178" t="s">
        <v>193</v>
      </c>
    </row>
    <row r="179" spans="1:14" x14ac:dyDescent="0.3">
      <c r="A179" s="16" t="str">
        <f t="shared" si="8"/>
        <v>modesg_out_sfcs_taxon_europeiacnumecta</v>
      </c>
      <c r="B179" s="3" t="s">
        <v>23</v>
      </c>
      <c r="C179" s="8" t="s">
        <v>25</v>
      </c>
      <c r="D179" t="str">
        <f t="shared" si="9"/>
        <v>Ok</v>
      </c>
      <c r="I179" s="16" t="str">
        <f t="shared" si="10"/>
        <v>modesg_out_empr_info_nfincca_turnover_own_prfrmnce_algnd</v>
      </c>
      <c r="J179" s="7" t="s">
        <v>176</v>
      </c>
      <c r="K179" s="7" t="s">
        <v>84</v>
      </c>
      <c r="L179" t="s">
        <v>91</v>
      </c>
      <c r="M179" t="str">
        <f t="shared" si="11"/>
        <v>Ok</v>
      </c>
      <c r="N179" t="s">
        <v>193</v>
      </c>
    </row>
    <row r="180" spans="1:14" x14ac:dyDescent="0.3">
      <c r="A180" s="16" t="str">
        <f t="shared" si="8"/>
        <v>modesg_out_sfcs_taxon_europeiazdeposit</v>
      </c>
      <c r="B180" s="3" t="s">
        <v>23</v>
      </c>
      <c r="C180" s="8" t="s">
        <v>26</v>
      </c>
      <c r="D180" t="str">
        <f t="shared" si="9"/>
        <v>Ok</v>
      </c>
      <c r="I180" s="16" t="str">
        <f t="shared" si="10"/>
        <v>modesg_out_empr_info_nfinccm_capex_enblng_algnd</v>
      </c>
      <c r="J180" s="7" t="s">
        <v>176</v>
      </c>
      <c r="K180" s="7" t="s">
        <v>84</v>
      </c>
      <c r="L180" t="s">
        <v>100</v>
      </c>
      <c r="M180" t="str">
        <f t="shared" si="11"/>
        <v>Ok</v>
      </c>
      <c r="N180" t="s">
        <v>193</v>
      </c>
    </row>
    <row r="181" spans="1:14" x14ac:dyDescent="0.3">
      <c r="A181" s="16" t="str">
        <f t="shared" si="8"/>
        <v>modesg_out_sfcs_taxon_europeiaref_date</v>
      </c>
      <c r="B181" s="3" t="s">
        <v>23</v>
      </c>
      <c r="C181" s="8" t="s">
        <v>21</v>
      </c>
      <c r="D181" t="str">
        <f t="shared" si="9"/>
        <v>Ok</v>
      </c>
      <c r="I181" s="16" t="str">
        <f t="shared" si="10"/>
        <v>modesg_out_empr_info_nfinccm_capex_own_prfrmnce_algnd</v>
      </c>
      <c r="J181" s="7" t="s">
        <v>176</v>
      </c>
      <c r="K181" s="7" t="s">
        <v>84</v>
      </c>
      <c r="L181" t="s">
        <v>102</v>
      </c>
      <c r="M181" t="str">
        <f t="shared" si="11"/>
        <v>Ok</v>
      </c>
      <c r="N181" t="s">
        <v>193</v>
      </c>
    </row>
    <row r="182" spans="1:14" x14ac:dyDescent="0.3">
      <c r="A182" s="16" t="str">
        <f t="shared" si="8"/>
        <v>modesg_out_sfcs_taxon_europeiacod_regra</v>
      </c>
      <c r="B182" s="3" t="s">
        <v>23</v>
      </c>
      <c r="C182" s="8" t="s">
        <v>27</v>
      </c>
      <c r="D182" t="str">
        <f t="shared" si="9"/>
        <v>Ok</v>
      </c>
      <c r="I182" s="16" t="str">
        <f t="shared" si="10"/>
        <v>modesg_out_empr_info_nfinccm_capex_trnstn_algnd</v>
      </c>
      <c r="J182" s="7" t="s">
        <v>176</v>
      </c>
      <c r="K182" s="7" t="s">
        <v>84</v>
      </c>
      <c r="L182" t="s">
        <v>101</v>
      </c>
      <c r="M182" t="str">
        <f t="shared" si="11"/>
        <v>Ok</v>
      </c>
      <c r="N182" t="s">
        <v>193</v>
      </c>
    </row>
    <row r="183" spans="1:14" x14ac:dyDescent="0.3">
      <c r="A183" s="16" t="str">
        <f t="shared" si="8"/>
        <v>modesg_out_sfcs_taxon_europeianome_ctgr_sfcs</v>
      </c>
      <c r="B183" s="3" t="s">
        <v>23</v>
      </c>
      <c r="C183" s="8" t="s">
        <v>28</v>
      </c>
      <c r="D183" t="str">
        <f t="shared" si="9"/>
        <v>Ok</v>
      </c>
      <c r="I183" s="16" t="str">
        <f t="shared" si="10"/>
        <v>modesg_out_empr_info_nfinccm_capex_ttl_elgbl</v>
      </c>
      <c r="J183" s="7" t="s">
        <v>176</v>
      </c>
      <c r="K183" s="7" t="s">
        <v>84</v>
      </c>
      <c r="L183" t="s">
        <v>99</v>
      </c>
      <c r="M183" t="str">
        <f t="shared" si="11"/>
        <v>Ok</v>
      </c>
      <c r="N183" t="s">
        <v>193</v>
      </c>
    </row>
    <row r="184" spans="1:14" x14ac:dyDescent="0.3">
      <c r="A184" s="16" t="str">
        <f t="shared" si="8"/>
        <v>modesg_out_sfcs_taxon_europeianome_purpose_esg</v>
      </c>
      <c r="B184" s="3" t="s">
        <v>23</v>
      </c>
      <c r="C184" s="8" t="s">
        <v>29</v>
      </c>
      <c r="D184" t="str">
        <f t="shared" si="9"/>
        <v>Ok</v>
      </c>
      <c r="I184" s="16" t="str">
        <f t="shared" si="10"/>
        <v>modesg_out_empr_info_nfinccm_trnvr_enblng_algnd</v>
      </c>
      <c r="J184" s="7" t="s">
        <v>176</v>
      </c>
      <c r="K184" s="7" t="s">
        <v>84</v>
      </c>
      <c r="L184" t="s">
        <v>96</v>
      </c>
      <c r="M184" t="str">
        <f t="shared" si="11"/>
        <v>Ok</v>
      </c>
      <c r="N184" t="s">
        <v>193</v>
      </c>
    </row>
    <row r="185" spans="1:14" x14ac:dyDescent="0.3">
      <c r="A185" s="16" t="str">
        <f t="shared" si="8"/>
        <v>modesg_out_sfcs_taxon_europeianome_general_specific_purpose</v>
      </c>
      <c r="B185" s="3" t="s">
        <v>23</v>
      </c>
      <c r="C185" s="8" t="s">
        <v>30</v>
      </c>
      <c r="D185" t="str">
        <f t="shared" si="9"/>
        <v>Ok</v>
      </c>
      <c r="I185" s="16" t="str">
        <f t="shared" si="10"/>
        <v>modesg_out_empr_info_nfinccm_trnvr_own_prfrmnce_algnd</v>
      </c>
      <c r="J185" s="7" t="s">
        <v>176</v>
      </c>
      <c r="K185" s="7" t="s">
        <v>84</v>
      </c>
      <c r="L185" t="s">
        <v>98</v>
      </c>
      <c r="M185" t="str">
        <f t="shared" si="11"/>
        <v>Ok</v>
      </c>
      <c r="N185" t="s">
        <v>193</v>
      </c>
    </row>
    <row r="186" spans="1:14" x14ac:dyDescent="0.3">
      <c r="A186" s="16" t="str">
        <f t="shared" si="8"/>
        <v>modesg_out_sfcs_taxon_europeianome_specific_eligible</v>
      </c>
      <c r="B186" s="3" t="s">
        <v>23</v>
      </c>
      <c r="C186" s="8" t="s">
        <v>31</v>
      </c>
      <c r="D186" t="str">
        <f t="shared" si="9"/>
        <v>Ok</v>
      </c>
      <c r="I186" s="16" t="str">
        <f t="shared" si="10"/>
        <v>modesg_out_empr_info_nfinccm_trnvr_trnstn_alignd</v>
      </c>
      <c r="J186" s="7" t="s">
        <v>176</v>
      </c>
      <c r="K186" s="7" t="s">
        <v>84</v>
      </c>
      <c r="L186" t="s">
        <v>97</v>
      </c>
      <c r="M186" t="str">
        <f t="shared" si="11"/>
        <v>Ok</v>
      </c>
      <c r="N186" t="s">
        <v>193</v>
      </c>
    </row>
    <row r="187" spans="1:14" x14ac:dyDescent="0.3">
      <c r="A187" s="16" t="str">
        <f t="shared" si="8"/>
        <v>modesg_out_sfcs_taxon_europeianome_specific_sustainable</v>
      </c>
      <c r="B187" s="3" t="s">
        <v>23</v>
      </c>
      <c r="C187" s="8" t="s">
        <v>32</v>
      </c>
      <c r="D187" t="str">
        <f t="shared" si="9"/>
        <v>Ok</v>
      </c>
      <c r="I187" s="16" t="str">
        <f t="shared" si="10"/>
        <v>modesg_out_empr_info_nfinccm_trnvr_ttl_elgbl</v>
      </c>
      <c r="J187" s="7" t="s">
        <v>176</v>
      </c>
      <c r="K187" s="7" t="s">
        <v>84</v>
      </c>
      <c r="L187" t="s">
        <v>95</v>
      </c>
      <c r="M187" t="str">
        <f t="shared" si="11"/>
        <v>Ok</v>
      </c>
      <c r="N187" t="s">
        <v>193</v>
      </c>
    </row>
    <row r="188" spans="1:14" x14ac:dyDescent="0.3">
      <c r="A188" s="16" t="str">
        <f t="shared" si="8"/>
        <v>modesg_out_sfcs_taxon_europeiamontante_pndrc</v>
      </c>
      <c r="B188" s="3" t="s">
        <v>23</v>
      </c>
      <c r="C188" s="8" t="s">
        <v>33</v>
      </c>
      <c r="D188" t="str">
        <f t="shared" si="9"/>
        <v>Ok</v>
      </c>
      <c r="I188" s="16" t="str">
        <f t="shared" si="10"/>
        <v>modesg_out_empr_info_nfincod_nace_esg</v>
      </c>
      <c r="J188" s="7" t="s">
        <v>176</v>
      </c>
      <c r="K188" s="7" t="s">
        <v>84</v>
      </c>
      <c r="L188" t="s">
        <v>108</v>
      </c>
      <c r="M188" t="str">
        <f t="shared" si="11"/>
        <v>Ok</v>
      </c>
      <c r="N188" t="s">
        <v>193</v>
      </c>
    </row>
    <row r="189" spans="1:14" x14ac:dyDescent="0.3">
      <c r="A189" s="16" t="str">
        <f t="shared" si="8"/>
        <v>modesg_out_sfcs_taxon_europeiaorigem</v>
      </c>
      <c r="B189" s="3" t="s">
        <v>23</v>
      </c>
      <c r="C189" s="8" t="s">
        <v>20</v>
      </c>
      <c r="D189" t="str">
        <f t="shared" si="9"/>
        <v>Ok</v>
      </c>
      <c r="I189" s="16" t="str">
        <f t="shared" si="10"/>
        <v>modesg_out_empr_info_nfinflg_emprs_excl_paris</v>
      </c>
      <c r="J189" s="7" t="s">
        <v>176</v>
      </c>
      <c r="K189" s="7" t="s">
        <v>84</v>
      </c>
      <c r="L189" t="s">
        <v>87</v>
      </c>
      <c r="M189" t="str">
        <f t="shared" si="11"/>
        <v>Ok</v>
      </c>
      <c r="N189" t="s">
        <v>193</v>
      </c>
    </row>
    <row r="190" spans="1:14" ht="20.399999999999999" x14ac:dyDescent="0.3">
      <c r="A190" s="16" t="str">
        <f t="shared" si="8"/>
        <v>modesg_param_sfcs_taxon_europeiaref_date</v>
      </c>
      <c r="B190" s="3" t="s">
        <v>34</v>
      </c>
      <c r="C190" s="8" t="s">
        <v>21</v>
      </c>
      <c r="D190" t="str">
        <f t="shared" si="9"/>
        <v>Ok</v>
      </c>
      <c r="I190" s="16" t="str">
        <f t="shared" si="10"/>
        <v>modesg_out_empr_info_nfinflg_nfrd</v>
      </c>
      <c r="J190" s="7" t="s">
        <v>176</v>
      </c>
      <c r="K190" s="7" t="s">
        <v>84</v>
      </c>
      <c r="L190" t="s">
        <v>85</v>
      </c>
      <c r="M190" t="str">
        <f t="shared" si="11"/>
        <v>Ok</v>
      </c>
      <c r="N190" t="s">
        <v>193</v>
      </c>
    </row>
    <row r="191" spans="1:14" ht="20.399999999999999" x14ac:dyDescent="0.3">
      <c r="A191" s="16" t="str">
        <f t="shared" si="8"/>
        <v>modesg_param_sfcs_taxon_europeiadominio</v>
      </c>
      <c r="B191" s="3" t="s">
        <v>34</v>
      </c>
      <c r="C191" s="8" t="s">
        <v>35</v>
      </c>
      <c r="D191" t="str">
        <f t="shared" si="9"/>
        <v>Ok</v>
      </c>
      <c r="I191" s="16" t="str">
        <f t="shared" si="10"/>
        <v>modesg_out_empr_info_nfinflg_rsc_fsc_agd</v>
      </c>
      <c r="J191" s="7" t="s">
        <v>176</v>
      </c>
      <c r="K191" s="7" t="s">
        <v>84</v>
      </c>
      <c r="L191" t="s">
        <v>104</v>
      </c>
      <c r="M191" t="str">
        <f t="shared" si="11"/>
        <v>Ok</v>
      </c>
      <c r="N191" t="s">
        <v>193</v>
      </c>
    </row>
    <row r="192" spans="1:14" ht="20.399999999999999" x14ac:dyDescent="0.3">
      <c r="A192" s="16" t="str">
        <f t="shared" si="8"/>
        <v>modesg_param_sfcs_taxon_europeiacod_regra</v>
      </c>
      <c r="B192" s="3" t="s">
        <v>34</v>
      </c>
      <c r="C192" s="8" t="s">
        <v>27</v>
      </c>
      <c r="D192" t="str">
        <f t="shared" si="9"/>
        <v>Ok</v>
      </c>
      <c r="I192" s="16" t="str">
        <f t="shared" si="10"/>
        <v>modesg_out_empr_info_nfinflg_rsc_fsc_crnc</v>
      </c>
      <c r="J192" s="7" t="s">
        <v>176</v>
      </c>
      <c r="K192" s="7" t="s">
        <v>84</v>
      </c>
      <c r="L192" t="s">
        <v>105</v>
      </c>
      <c r="M192" t="str">
        <f t="shared" si="11"/>
        <v>Ok</v>
      </c>
      <c r="N192" t="s">
        <v>193</v>
      </c>
    </row>
    <row r="193" spans="1:14" ht="20.399999999999999" x14ac:dyDescent="0.3">
      <c r="A193" s="16" t="str">
        <f t="shared" si="8"/>
        <v>modesg_param_sfcs_taxon_europeiadscrc</v>
      </c>
      <c r="B193" s="3" t="s">
        <v>34</v>
      </c>
      <c r="C193" s="8" t="s">
        <v>36</v>
      </c>
      <c r="D193" t="str">
        <f t="shared" si="9"/>
        <v>Ok</v>
      </c>
      <c r="I193" s="16" t="str">
        <f t="shared" si="10"/>
        <v>modesg_out_empr_info_nfinorigem_alinhamentos</v>
      </c>
      <c r="J193" s="7" t="s">
        <v>176</v>
      </c>
      <c r="K193" s="7" t="s">
        <v>84</v>
      </c>
      <c r="L193" t="s">
        <v>103</v>
      </c>
      <c r="M193" t="str">
        <f t="shared" si="11"/>
        <v>Ok</v>
      </c>
      <c r="N193" t="s">
        <v>193</v>
      </c>
    </row>
    <row r="194" spans="1:14" ht="20.399999999999999" x14ac:dyDescent="0.3">
      <c r="A194" s="16" t="str">
        <f t="shared" si="8"/>
        <v>modesg_param_sfcs_taxon_europeiacomite</v>
      </c>
      <c r="B194" s="3" t="s">
        <v>34</v>
      </c>
      <c r="C194" s="8" t="s">
        <v>37</v>
      </c>
      <c r="D194" t="str">
        <f t="shared" si="9"/>
        <v>Ok</v>
      </c>
      <c r="I194" s="16" t="str">
        <f t="shared" si="10"/>
        <v>modesg_out_empr_info_nfinorigem_flg_emprs_excl_paris</v>
      </c>
      <c r="J194" s="7" t="s">
        <v>176</v>
      </c>
      <c r="K194" s="7" t="s">
        <v>84</v>
      </c>
      <c r="L194" t="s">
        <v>88</v>
      </c>
      <c r="M194" t="str">
        <f t="shared" si="11"/>
        <v>Ok</v>
      </c>
      <c r="N194" t="s">
        <v>193</v>
      </c>
    </row>
    <row r="195" spans="1:14" ht="20.399999999999999" x14ac:dyDescent="0.3">
      <c r="A195" s="16" t="str">
        <f t="shared" ref="A195:A214" si="12">B195&amp;C195</f>
        <v>modesg_param_sfcs_taxon_europeiadata_aprvc</v>
      </c>
      <c r="B195" s="3" t="s">
        <v>34</v>
      </c>
      <c r="C195" s="8" t="s">
        <v>38</v>
      </c>
      <c r="D195" t="str">
        <f t="shared" ref="D195:D214" si="13">IFERROR(IF(VLOOKUP(A195,$I$3:$I$234,1,0)=A195,"Ok","Nok"),"Nok")</f>
        <v>Ok</v>
      </c>
      <c r="I195" s="16" t="str">
        <f t="shared" ref="I195:I234" si="14">K195&amp;L195</f>
        <v>modesg_out_empr_info_nfinorigem_flg_nfrd</v>
      </c>
      <c r="J195" s="7" t="s">
        <v>176</v>
      </c>
      <c r="K195" s="7" t="s">
        <v>84</v>
      </c>
      <c r="L195" t="s">
        <v>86</v>
      </c>
      <c r="M195" t="str">
        <f t="shared" ref="M195:M234" si="15">IFERROR(IF(VLOOKUP(I195,$A$3:$A$214,1,0)=I195,"Ok","Nok"),"Nok")</f>
        <v>Ok</v>
      </c>
      <c r="N195" t="s">
        <v>193</v>
      </c>
    </row>
    <row r="196" spans="1:14" ht="20.399999999999999" x14ac:dyDescent="0.3">
      <c r="A196" s="16" t="str">
        <f t="shared" si="12"/>
        <v>modesg_param_sfcs_taxon_europeiadata_inicial</v>
      </c>
      <c r="B196" s="3" t="s">
        <v>34</v>
      </c>
      <c r="C196" s="8" t="s">
        <v>39</v>
      </c>
      <c r="D196" t="str">
        <f t="shared" si="13"/>
        <v>Ok</v>
      </c>
      <c r="I196" s="16" t="str">
        <f t="shared" si="14"/>
        <v>modesg_out_empr_info_nfinorigem_flg_rsc_fsc_agd</v>
      </c>
      <c r="J196" s="7" t="s">
        <v>176</v>
      </c>
      <c r="K196" s="7" t="s">
        <v>84</v>
      </c>
      <c r="L196" t="s">
        <v>106</v>
      </c>
      <c r="M196" t="str">
        <f t="shared" si="15"/>
        <v>Ok</v>
      </c>
      <c r="N196" t="s">
        <v>193</v>
      </c>
    </row>
    <row r="197" spans="1:14" ht="20.399999999999999" x14ac:dyDescent="0.3">
      <c r="A197" s="16" t="str">
        <f t="shared" si="12"/>
        <v>modesg_param_sfcs_taxon_europeiadata_final</v>
      </c>
      <c r="B197" s="3" t="s">
        <v>34</v>
      </c>
      <c r="C197" s="8" t="s">
        <v>40</v>
      </c>
      <c r="D197" t="str">
        <f t="shared" si="13"/>
        <v>Ok</v>
      </c>
      <c r="I197" s="16" t="str">
        <f t="shared" si="14"/>
        <v>modesg_out_empr_info_nfinorigem_flg_rsc_fsc_crnc</v>
      </c>
      <c r="J197" s="7" t="s">
        <v>176</v>
      </c>
      <c r="K197" s="7" t="s">
        <v>84</v>
      </c>
      <c r="L197" t="s">
        <v>107</v>
      </c>
      <c r="M197" t="str">
        <f t="shared" si="15"/>
        <v>Ok</v>
      </c>
      <c r="N197" t="s">
        <v>193</v>
      </c>
    </row>
    <row r="198" spans="1:14" ht="20.399999999999999" x14ac:dyDescent="0.3">
      <c r="A198" s="16" t="str">
        <f t="shared" si="12"/>
        <v>modesg_param_sfcs_taxon_europeiazcliente</v>
      </c>
      <c r="B198" s="3" t="s">
        <v>34</v>
      </c>
      <c r="C198" s="8" t="s">
        <v>41</v>
      </c>
      <c r="D198" t="str">
        <f t="shared" si="13"/>
        <v>Ok</v>
      </c>
      <c r="I198" s="16" t="str">
        <f t="shared" si="14"/>
        <v>modesg_out_empr_info_nfinorigem_scp1_emss</v>
      </c>
      <c r="J198" s="7" t="s">
        <v>176</v>
      </c>
      <c r="K198" s="7" t="s">
        <v>84</v>
      </c>
      <c r="L198" t="s">
        <v>59</v>
      </c>
      <c r="M198" t="str">
        <f t="shared" si="15"/>
        <v>Ok</v>
      </c>
      <c r="N198" t="s">
        <v>193</v>
      </c>
    </row>
    <row r="199" spans="1:14" ht="20.399999999999999" x14ac:dyDescent="0.3">
      <c r="A199" s="16" t="str">
        <f t="shared" si="12"/>
        <v>modesg_param_sfcs_taxon_europeiacempresa</v>
      </c>
      <c r="B199" s="3" t="s">
        <v>34</v>
      </c>
      <c r="C199" s="8" t="s">
        <v>8</v>
      </c>
      <c r="D199" t="str">
        <f t="shared" si="13"/>
        <v>Ok</v>
      </c>
      <c r="I199" s="16" t="str">
        <f t="shared" si="14"/>
        <v>modesg_out_empr_info_nfinorigem_scp2_emss</v>
      </c>
      <c r="J199" s="7" t="s">
        <v>176</v>
      </c>
      <c r="K199" s="7" t="s">
        <v>84</v>
      </c>
      <c r="L199" t="s">
        <v>60</v>
      </c>
      <c r="M199" t="str">
        <f t="shared" si="15"/>
        <v>Ok</v>
      </c>
      <c r="N199" t="s">
        <v>193</v>
      </c>
    </row>
    <row r="200" spans="1:14" ht="20.399999999999999" x14ac:dyDescent="0.3">
      <c r="A200" s="16" t="str">
        <f t="shared" si="12"/>
        <v>modesg_param_sfcs_taxon_europeiacbalcao</v>
      </c>
      <c r="B200" s="3" t="s">
        <v>34</v>
      </c>
      <c r="C200" s="8" t="s">
        <v>24</v>
      </c>
      <c r="D200" t="str">
        <f t="shared" si="13"/>
        <v>Ok</v>
      </c>
      <c r="I200" s="16" t="str">
        <f t="shared" si="14"/>
        <v>modesg_out_empr_info_nfinorigem_scp3_emss</v>
      </c>
      <c r="J200" s="7" t="s">
        <v>176</v>
      </c>
      <c r="K200" s="7" t="s">
        <v>84</v>
      </c>
      <c r="L200" t="s">
        <v>61</v>
      </c>
      <c r="M200" t="str">
        <f t="shared" si="15"/>
        <v>Ok</v>
      </c>
      <c r="N200" t="s">
        <v>193</v>
      </c>
    </row>
    <row r="201" spans="1:14" ht="20.399999999999999" x14ac:dyDescent="0.3">
      <c r="A201" s="16" t="str">
        <f t="shared" si="12"/>
        <v>modesg_param_sfcs_taxon_europeiacnumecta</v>
      </c>
      <c r="B201" s="3" t="s">
        <v>34</v>
      </c>
      <c r="C201" s="8" t="s">
        <v>25</v>
      </c>
      <c r="D201" t="str">
        <f t="shared" si="13"/>
        <v>Ok</v>
      </c>
      <c r="I201" s="16" t="str">
        <f t="shared" si="14"/>
        <v>modesg_out_empr_info_nfinref_date</v>
      </c>
      <c r="J201" s="7" t="s">
        <v>176</v>
      </c>
      <c r="K201" s="7" t="s">
        <v>84</v>
      </c>
      <c r="L201" t="s">
        <v>21</v>
      </c>
      <c r="M201" t="str">
        <f t="shared" si="15"/>
        <v>Ok</v>
      </c>
      <c r="N201" t="s">
        <v>193</v>
      </c>
    </row>
    <row r="202" spans="1:14" ht="20.399999999999999" x14ac:dyDescent="0.3">
      <c r="A202" s="16" t="str">
        <f t="shared" si="12"/>
        <v>modesg_param_sfcs_taxon_europeiazdeposit</v>
      </c>
      <c r="B202" s="3" t="s">
        <v>34</v>
      </c>
      <c r="C202" s="8" t="s">
        <v>26</v>
      </c>
      <c r="D202" t="str">
        <f t="shared" si="13"/>
        <v>Ok</v>
      </c>
      <c r="I202" s="16" t="str">
        <f t="shared" si="14"/>
        <v>modesg_out_empr_info_nfinscp1_emss</v>
      </c>
      <c r="J202" s="7" t="s">
        <v>176</v>
      </c>
      <c r="K202" s="7" t="s">
        <v>84</v>
      </c>
      <c r="L202" t="s">
        <v>53</v>
      </c>
      <c r="M202" t="str">
        <f t="shared" si="15"/>
        <v>Ok</v>
      </c>
      <c r="N202" t="s">
        <v>193</v>
      </c>
    </row>
    <row r="203" spans="1:14" ht="20.399999999999999" x14ac:dyDescent="0.3">
      <c r="A203" s="16" t="str">
        <f t="shared" si="12"/>
        <v>modesg_param_sfcs_taxon_europeiackmetamis</v>
      </c>
      <c r="B203" s="3" t="s">
        <v>34</v>
      </c>
      <c r="C203" s="8" t="s">
        <v>42</v>
      </c>
      <c r="D203" t="str">
        <f t="shared" si="13"/>
        <v>Ok</v>
      </c>
      <c r="I203" s="16" t="str">
        <f t="shared" si="14"/>
        <v>modesg_out_empr_info_nfinscp2_emss</v>
      </c>
      <c r="J203" s="7" t="s">
        <v>176</v>
      </c>
      <c r="K203" s="7" t="s">
        <v>84</v>
      </c>
      <c r="L203" t="s">
        <v>54</v>
      </c>
      <c r="M203" t="str">
        <f t="shared" si="15"/>
        <v>Ok</v>
      </c>
      <c r="N203" t="s">
        <v>193</v>
      </c>
    </row>
    <row r="204" spans="1:14" ht="20.399999999999999" x14ac:dyDescent="0.3">
      <c r="A204" s="16" t="str">
        <f t="shared" si="12"/>
        <v>modesg_param_sfcs_taxon_europeiackprodmi</v>
      </c>
      <c r="B204" s="3" t="s">
        <v>34</v>
      </c>
      <c r="C204" s="8" t="s">
        <v>43</v>
      </c>
      <c r="D204" t="str">
        <f t="shared" si="13"/>
        <v>Ok</v>
      </c>
      <c r="I204" s="16" t="str">
        <f t="shared" si="14"/>
        <v>modesg_out_empr_info_nfinscp3_emss</v>
      </c>
      <c r="J204" s="7" t="s">
        <v>176</v>
      </c>
      <c r="K204" s="7" t="s">
        <v>84</v>
      </c>
      <c r="L204" t="s">
        <v>55</v>
      </c>
      <c r="M204" t="str">
        <f t="shared" si="15"/>
        <v>Ok</v>
      </c>
      <c r="N204" t="s">
        <v>193</v>
      </c>
    </row>
    <row r="205" spans="1:14" ht="20.399999999999999" x14ac:dyDescent="0.3">
      <c r="A205" s="16" t="str">
        <f t="shared" si="12"/>
        <v>modesg_param_sfcs_taxon_europeiacmetanseg</v>
      </c>
      <c r="B205" s="3" t="s">
        <v>34</v>
      </c>
      <c r="C205" s="8" t="s">
        <v>44</v>
      </c>
      <c r="D205" t="str">
        <f t="shared" si="13"/>
        <v>Ok</v>
      </c>
      <c r="I205" s="16" t="str">
        <f t="shared" si="14"/>
        <v>modesg_out_empr_info_nfinzcliente</v>
      </c>
      <c r="J205" s="7" t="s">
        <v>176</v>
      </c>
      <c r="K205" s="7" t="s">
        <v>84</v>
      </c>
      <c r="L205" t="s">
        <v>41</v>
      </c>
      <c r="M205" t="str">
        <f t="shared" si="15"/>
        <v>Ok</v>
      </c>
      <c r="N205" t="s">
        <v>193</v>
      </c>
    </row>
    <row r="206" spans="1:14" ht="20.399999999999999" x14ac:dyDescent="0.3">
      <c r="A206" s="16" t="str">
        <f t="shared" si="12"/>
        <v>modesg_param_sfcs_taxon_europeiaepc</v>
      </c>
      <c r="B206" s="3" t="s">
        <v>34</v>
      </c>
      <c r="C206" s="8" t="s">
        <v>45</v>
      </c>
      <c r="D206" t="str">
        <f t="shared" si="13"/>
        <v>Ok</v>
      </c>
      <c r="I206" s="16" t="str">
        <f t="shared" si="14"/>
        <v>modesg_out_emss_vclscempbem</v>
      </c>
      <c r="J206" s="7" t="s">
        <v>176</v>
      </c>
      <c r="K206" s="7" t="s">
        <v>48</v>
      </c>
      <c r="L206" t="s">
        <v>49</v>
      </c>
      <c r="M206" t="str">
        <f t="shared" si="15"/>
        <v>Ok</v>
      </c>
      <c r="N206" t="s">
        <v>193</v>
      </c>
    </row>
    <row r="207" spans="1:14" ht="20.399999999999999" x14ac:dyDescent="0.3">
      <c r="A207" s="16" t="str">
        <f t="shared" si="12"/>
        <v>modesg_param_sfcs_taxon_europeiacod_lease</v>
      </c>
      <c r="B207" s="3" t="s">
        <v>34</v>
      </c>
      <c r="C207" s="8" t="s">
        <v>46</v>
      </c>
      <c r="D207" t="str">
        <f t="shared" si="13"/>
        <v>Ok</v>
      </c>
      <c r="I207" s="16" t="str">
        <f t="shared" si="14"/>
        <v>modesg_out_emss_vclsckbalbem</v>
      </c>
      <c r="J207" s="7" t="s">
        <v>176</v>
      </c>
      <c r="K207" s="7" t="s">
        <v>48</v>
      </c>
      <c r="L207" t="s">
        <v>50</v>
      </c>
      <c r="M207" t="str">
        <f t="shared" si="15"/>
        <v>Ok</v>
      </c>
      <c r="N207" t="s">
        <v>193</v>
      </c>
    </row>
    <row r="208" spans="1:14" ht="20.399999999999999" x14ac:dyDescent="0.3">
      <c r="A208" s="16" t="str">
        <f t="shared" si="12"/>
        <v>modesg_param_sfcs_taxon_europeiacnsm_co2</v>
      </c>
      <c r="B208" s="3" t="s">
        <v>34</v>
      </c>
      <c r="C208" s="8" t="s">
        <v>47</v>
      </c>
      <c r="D208" t="str">
        <f t="shared" si="13"/>
        <v>Ok</v>
      </c>
      <c r="I208" s="16" t="str">
        <f t="shared" si="14"/>
        <v>modesg_out_emss_vclsckctabem</v>
      </c>
      <c r="J208" s="7" t="s">
        <v>176</v>
      </c>
      <c r="K208" s="7" t="s">
        <v>48</v>
      </c>
      <c r="L208" t="s">
        <v>51</v>
      </c>
      <c r="M208" t="str">
        <f t="shared" si="15"/>
        <v>Ok</v>
      </c>
      <c r="N208" t="s">
        <v>193</v>
      </c>
    </row>
    <row r="209" spans="1:14" ht="20.399999999999999" x14ac:dyDescent="0.3">
      <c r="A209" s="16" t="str">
        <f t="shared" si="12"/>
        <v>modesg_param_sfcs_taxon_europeianome_ctgr_sfcs</v>
      </c>
      <c r="B209" s="3" t="s">
        <v>34</v>
      </c>
      <c r="C209" s="8" t="s">
        <v>28</v>
      </c>
      <c r="D209" t="str">
        <f t="shared" si="13"/>
        <v>Ok</v>
      </c>
      <c r="I209" s="16" t="str">
        <f t="shared" si="14"/>
        <v>modesg_out_emss_vclsckrefbem</v>
      </c>
      <c r="J209" s="7" t="s">
        <v>176</v>
      </c>
      <c r="K209" s="7" t="s">
        <v>48</v>
      </c>
      <c r="L209" t="s">
        <v>52</v>
      </c>
      <c r="M209" t="str">
        <f t="shared" si="15"/>
        <v>Ok</v>
      </c>
      <c r="N209" t="s">
        <v>193</v>
      </c>
    </row>
    <row r="210" spans="1:14" ht="20.399999999999999" x14ac:dyDescent="0.3">
      <c r="A210" s="16" t="str">
        <f t="shared" si="12"/>
        <v>modesg_param_sfcs_taxon_europeianome_purpose_esg</v>
      </c>
      <c r="B210" s="3" t="s">
        <v>34</v>
      </c>
      <c r="C210" s="8" t="s">
        <v>29</v>
      </c>
      <c r="D210" t="str">
        <f t="shared" si="13"/>
        <v>Ok</v>
      </c>
      <c r="I210" s="16" t="str">
        <f t="shared" si="14"/>
        <v>modesg_out_emss_vclscnsm_co2</v>
      </c>
      <c r="J210" s="7" t="s">
        <v>176</v>
      </c>
      <c r="K210" s="7" t="s">
        <v>48</v>
      </c>
      <c r="L210" t="s">
        <v>47</v>
      </c>
      <c r="M210" t="str">
        <f t="shared" si="15"/>
        <v>Ok</v>
      </c>
      <c r="N210" t="s">
        <v>193</v>
      </c>
    </row>
    <row r="211" spans="1:14" ht="20.399999999999999" x14ac:dyDescent="0.3">
      <c r="A211" s="16" t="str">
        <f t="shared" si="12"/>
        <v>modesg_param_sfcs_taxon_europeianome_general_specific_purpose</v>
      </c>
      <c r="B211" s="3" t="s">
        <v>34</v>
      </c>
      <c r="C211" s="8" t="s">
        <v>30</v>
      </c>
      <c r="D211" t="str">
        <f t="shared" si="13"/>
        <v>Ok</v>
      </c>
      <c r="I211" s="16" t="str">
        <f t="shared" si="14"/>
        <v>modesg_out_emss_vclsorigem_scp1_emss</v>
      </c>
      <c r="J211" s="7" t="s">
        <v>176</v>
      </c>
      <c r="K211" s="7" t="s">
        <v>48</v>
      </c>
      <c r="L211" t="s">
        <v>59</v>
      </c>
      <c r="M211" t="str">
        <f t="shared" si="15"/>
        <v>Ok</v>
      </c>
      <c r="N211" t="s">
        <v>193</v>
      </c>
    </row>
    <row r="212" spans="1:14" ht="20.399999999999999" x14ac:dyDescent="0.3">
      <c r="A212" s="16" t="str">
        <f t="shared" si="12"/>
        <v>modesg_param_sfcs_taxon_europeianome_specific_eligible</v>
      </c>
      <c r="B212" s="3" t="s">
        <v>34</v>
      </c>
      <c r="C212" s="8" t="s">
        <v>31</v>
      </c>
      <c r="D212" t="str">
        <f t="shared" si="13"/>
        <v>Ok</v>
      </c>
      <c r="I212" s="16" t="str">
        <f t="shared" si="14"/>
        <v>modesg_out_emss_vclsorigem_scp2_emss</v>
      </c>
      <c r="J212" s="7" t="s">
        <v>176</v>
      </c>
      <c r="K212" s="7" t="s">
        <v>48</v>
      </c>
      <c r="L212" t="s">
        <v>60</v>
      </c>
      <c r="M212" t="str">
        <f t="shared" si="15"/>
        <v>Ok</v>
      </c>
      <c r="N212" t="s">
        <v>193</v>
      </c>
    </row>
    <row r="213" spans="1:14" ht="20.399999999999999" x14ac:dyDescent="0.3">
      <c r="A213" s="16" t="str">
        <f t="shared" si="12"/>
        <v>modesg_param_sfcs_taxon_europeianome_specific_sustainable</v>
      </c>
      <c r="B213" s="3" t="s">
        <v>34</v>
      </c>
      <c r="C213" s="8" t="s">
        <v>32</v>
      </c>
      <c r="D213" t="str">
        <f t="shared" si="13"/>
        <v>Ok</v>
      </c>
      <c r="I213" s="16" t="str">
        <f t="shared" si="14"/>
        <v>modesg_out_emss_vclsorigem_scp3_emss</v>
      </c>
      <c r="J213" s="7" t="s">
        <v>176</v>
      </c>
      <c r="K213" s="7" t="s">
        <v>48</v>
      </c>
      <c r="L213" t="s">
        <v>61</v>
      </c>
      <c r="M213" t="str">
        <f t="shared" si="15"/>
        <v>Ok</v>
      </c>
      <c r="N213" t="s">
        <v>193</v>
      </c>
    </row>
    <row r="214" spans="1:14" ht="20.399999999999999" x14ac:dyDescent="0.3">
      <c r="A214" s="16" t="str">
        <f t="shared" si="12"/>
        <v>modesg_param_sfcs_taxon_europeiamontante_pndrc</v>
      </c>
      <c r="B214" s="3" t="s">
        <v>34</v>
      </c>
      <c r="C214" s="8" t="s">
        <v>33</v>
      </c>
      <c r="D214" t="str">
        <f t="shared" si="13"/>
        <v>Ok</v>
      </c>
      <c r="I214" s="16" t="str">
        <f t="shared" si="14"/>
        <v>modesg_out_emss_vclsref_date</v>
      </c>
      <c r="J214" s="7" t="s">
        <v>176</v>
      </c>
      <c r="K214" s="7" t="s">
        <v>48</v>
      </c>
      <c r="L214" t="s">
        <v>21</v>
      </c>
      <c r="M214" t="str">
        <f t="shared" si="15"/>
        <v>Ok</v>
      </c>
      <c r="N214" t="s">
        <v>193</v>
      </c>
    </row>
    <row r="215" spans="1:14" x14ac:dyDescent="0.3">
      <c r="I215" s="16" t="str">
        <f t="shared" si="14"/>
        <v>modesg_out_emss_vclsscp1_emss</v>
      </c>
      <c r="J215" s="7" t="s">
        <v>176</v>
      </c>
      <c r="K215" s="7" t="s">
        <v>48</v>
      </c>
      <c r="L215" t="s">
        <v>53</v>
      </c>
      <c r="M215" t="str">
        <f t="shared" si="15"/>
        <v>Ok</v>
      </c>
      <c r="N215" t="s">
        <v>193</v>
      </c>
    </row>
    <row r="216" spans="1:14" x14ac:dyDescent="0.3">
      <c r="I216" s="16" t="str">
        <f t="shared" si="14"/>
        <v>modesg_out_emss_vclsscp2_emss</v>
      </c>
      <c r="J216" s="7" t="s">
        <v>176</v>
      </c>
      <c r="K216" s="7" t="s">
        <v>48</v>
      </c>
      <c r="L216" t="s">
        <v>54</v>
      </c>
      <c r="M216" t="str">
        <f t="shared" si="15"/>
        <v>Ok</v>
      </c>
      <c r="N216" t="s">
        <v>193</v>
      </c>
    </row>
    <row r="217" spans="1:14" x14ac:dyDescent="0.3">
      <c r="I217" s="16" t="str">
        <f t="shared" si="14"/>
        <v>modesg_out_emss_vclsscp3_emss</v>
      </c>
      <c r="J217" s="7" t="s">
        <v>176</v>
      </c>
      <c r="K217" s="7" t="s">
        <v>48</v>
      </c>
      <c r="L217" t="s">
        <v>55</v>
      </c>
      <c r="M217" t="str">
        <f t="shared" si="15"/>
        <v>Ok</v>
      </c>
      <c r="N217" t="s">
        <v>193</v>
      </c>
    </row>
    <row r="218" spans="1:14" x14ac:dyDescent="0.3">
      <c r="I218" s="16" t="str">
        <f t="shared" si="14"/>
        <v>modesg_out_emss_vclsunidade_funcional_scp1_emss</v>
      </c>
      <c r="J218" s="7" t="s">
        <v>176</v>
      </c>
      <c r="K218" s="7" t="s">
        <v>48</v>
      </c>
      <c r="L218" t="s">
        <v>56</v>
      </c>
      <c r="M218" t="str">
        <f t="shared" si="15"/>
        <v>Ok</v>
      </c>
      <c r="N218" t="s">
        <v>193</v>
      </c>
    </row>
    <row r="219" spans="1:14" x14ac:dyDescent="0.3">
      <c r="I219" s="16" t="str">
        <f t="shared" si="14"/>
        <v>modesg_out_emss_vclsunidade_funcional_scp2_emss</v>
      </c>
      <c r="J219" s="7" t="s">
        <v>176</v>
      </c>
      <c r="K219" s="7" t="s">
        <v>48</v>
      </c>
      <c r="L219" t="s">
        <v>57</v>
      </c>
      <c r="M219" t="str">
        <f t="shared" si="15"/>
        <v>Ok</v>
      </c>
      <c r="N219" t="s">
        <v>193</v>
      </c>
    </row>
    <row r="220" spans="1:14" x14ac:dyDescent="0.3">
      <c r="I220" s="16" t="str">
        <f t="shared" si="14"/>
        <v>modesg_out_emss_vclsunidade_funcional_scp3_emss</v>
      </c>
      <c r="J220" s="7" t="s">
        <v>176</v>
      </c>
      <c r="K220" s="7" t="s">
        <v>48</v>
      </c>
      <c r="L220" t="s">
        <v>58</v>
      </c>
      <c r="M220" t="str">
        <f t="shared" si="15"/>
        <v>Ok</v>
      </c>
      <c r="N220" t="s">
        <v>193</v>
      </c>
    </row>
    <row r="221" spans="1:14" x14ac:dyDescent="0.3">
      <c r="I221" s="16" t="str">
        <f t="shared" si="14"/>
        <v>modesg_out_sfcs_taxon_europeiacbalcao</v>
      </c>
      <c r="J221" s="7" t="s">
        <v>176</v>
      </c>
      <c r="K221" s="7" t="s">
        <v>23</v>
      </c>
      <c r="L221" t="s">
        <v>24</v>
      </c>
      <c r="M221" t="str">
        <f t="shared" si="15"/>
        <v>Ok</v>
      </c>
      <c r="N221" t="s">
        <v>193</v>
      </c>
    </row>
    <row r="222" spans="1:14" x14ac:dyDescent="0.3">
      <c r="I222" s="16" t="str">
        <f t="shared" si="14"/>
        <v>modesg_out_sfcs_taxon_europeiacempresa</v>
      </c>
      <c r="J222" s="7" t="s">
        <v>176</v>
      </c>
      <c r="K222" s="7" t="s">
        <v>23</v>
      </c>
      <c r="L222" t="s">
        <v>8</v>
      </c>
      <c r="M222" t="str">
        <f t="shared" si="15"/>
        <v>Ok</v>
      </c>
      <c r="N222" t="s">
        <v>193</v>
      </c>
    </row>
    <row r="223" spans="1:14" x14ac:dyDescent="0.3">
      <c r="I223" s="16" t="str">
        <f t="shared" si="14"/>
        <v>modesg_out_sfcs_taxon_europeiacnumecta</v>
      </c>
      <c r="J223" s="7" t="s">
        <v>176</v>
      </c>
      <c r="K223" s="7" t="s">
        <v>23</v>
      </c>
      <c r="L223" t="s">
        <v>25</v>
      </c>
      <c r="M223" t="str">
        <f t="shared" si="15"/>
        <v>Ok</v>
      </c>
      <c r="N223" t="s">
        <v>193</v>
      </c>
    </row>
    <row r="224" spans="1:14" x14ac:dyDescent="0.3">
      <c r="I224" s="16" t="str">
        <f t="shared" si="14"/>
        <v>modesg_out_sfcs_taxon_europeiacod_regra</v>
      </c>
      <c r="J224" s="7" t="s">
        <v>176</v>
      </c>
      <c r="K224" s="7" t="s">
        <v>23</v>
      </c>
      <c r="L224" t="s">
        <v>27</v>
      </c>
      <c r="M224" t="str">
        <f t="shared" si="15"/>
        <v>Ok</v>
      </c>
      <c r="N224" t="s">
        <v>193</v>
      </c>
    </row>
    <row r="225" spans="9:14" x14ac:dyDescent="0.3">
      <c r="I225" s="16" t="str">
        <f t="shared" si="14"/>
        <v>modesg_out_sfcs_taxon_europeiamontante_pndrc</v>
      </c>
      <c r="J225" s="7" t="s">
        <v>176</v>
      </c>
      <c r="K225" s="7" t="s">
        <v>23</v>
      </c>
      <c r="L225" t="s">
        <v>33</v>
      </c>
      <c r="M225" t="str">
        <f t="shared" si="15"/>
        <v>Ok</v>
      </c>
      <c r="N225" t="s">
        <v>193</v>
      </c>
    </row>
    <row r="226" spans="9:14" x14ac:dyDescent="0.3">
      <c r="I226" s="16" t="str">
        <f t="shared" si="14"/>
        <v>modesg_out_sfcs_taxon_europeianome_ctgr_sfcs</v>
      </c>
      <c r="J226" s="7" t="s">
        <v>176</v>
      </c>
      <c r="K226" s="7" t="s">
        <v>23</v>
      </c>
      <c r="L226" t="s">
        <v>28</v>
      </c>
      <c r="M226" t="str">
        <f t="shared" si="15"/>
        <v>Ok</v>
      </c>
      <c r="N226" t="s">
        <v>193</v>
      </c>
    </row>
    <row r="227" spans="9:14" x14ac:dyDescent="0.3">
      <c r="I227" s="16" t="str">
        <f t="shared" si="14"/>
        <v>modesg_out_sfcs_taxon_europeianome_general_specific_purpose</v>
      </c>
      <c r="J227" s="7" t="s">
        <v>176</v>
      </c>
      <c r="K227" s="7" t="s">
        <v>23</v>
      </c>
      <c r="L227" t="s">
        <v>30</v>
      </c>
      <c r="M227" t="str">
        <f t="shared" si="15"/>
        <v>Ok</v>
      </c>
      <c r="N227" t="s">
        <v>193</v>
      </c>
    </row>
    <row r="228" spans="9:14" x14ac:dyDescent="0.3">
      <c r="I228" s="16" t="str">
        <f t="shared" si="14"/>
        <v>modesg_out_sfcs_taxon_europeianome_purpose_esg</v>
      </c>
      <c r="J228" s="7" t="s">
        <v>176</v>
      </c>
      <c r="K228" s="7" t="s">
        <v>23</v>
      </c>
      <c r="L228" t="s">
        <v>29</v>
      </c>
      <c r="M228" t="str">
        <f t="shared" si="15"/>
        <v>Ok</v>
      </c>
      <c r="N228" t="s">
        <v>193</v>
      </c>
    </row>
    <row r="229" spans="9:14" x14ac:dyDescent="0.3">
      <c r="I229" s="16" t="str">
        <f t="shared" si="14"/>
        <v>modesg_out_sfcs_taxon_europeianome_specific_eligible</v>
      </c>
      <c r="J229" s="7" t="s">
        <v>176</v>
      </c>
      <c r="K229" s="7" t="s">
        <v>23</v>
      </c>
      <c r="L229" t="s">
        <v>31</v>
      </c>
      <c r="M229" t="str">
        <f t="shared" si="15"/>
        <v>Ok</v>
      </c>
      <c r="N229" t="s">
        <v>193</v>
      </c>
    </row>
    <row r="230" spans="9:14" x14ac:dyDescent="0.3">
      <c r="I230" s="16" t="str">
        <f t="shared" si="14"/>
        <v>modesg_out_sfcs_taxon_europeianome_specific_sustainable</v>
      </c>
      <c r="J230" s="7" t="s">
        <v>176</v>
      </c>
      <c r="K230" s="7" t="s">
        <v>23</v>
      </c>
      <c r="L230" t="s">
        <v>32</v>
      </c>
      <c r="M230" t="str">
        <f t="shared" si="15"/>
        <v>Ok</v>
      </c>
      <c r="N230" t="s">
        <v>193</v>
      </c>
    </row>
    <row r="231" spans="9:14" x14ac:dyDescent="0.3">
      <c r="I231" s="16" t="str">
        <f t="shared" si="14"/>
        <v>modesg_out_sfcs_taxon_europeiaordem</v>
      </c>
      <c r="J231" s="17" t="s">
        <v>176</v>
      </c>
      <c r="K231" s="17" t="s">
        <v>23</v>
      </c>
      <c r="L231" s="18" t="s">
        <v>177</v>
      </c>
      <c r="M231" s="18" t="str">
        <f t="shared" si="15"/>
        <v>Nok</v>
      </c>
      <c r="N231" t="s">
        <v>183</v>
      </c>
    </row>
    <row r="232" spans="9:14" x14ac:dyDescent="0.3">
      <c r="I232" s="16" t="str">
        <f t="shared" si="14"/>
        <v>modesg_out_sfcs_taxon_europeiaorigem</v>
      </c>
      <c r="J232" s="7" t="s">
        <v>176</v>
      </c>
      <c r="K232" s="7" t="s">
        <v>23</v>
      </c>
      <c r="L232" t="s">
        <v>20</v>
      </c>
      <c r="M232" t="str">
        <f t="shared" si="15"/>
        <v>Ok</v>
      </c>
      <c r="N232" t="s">
        <v>193</v>
      </c>
    </row>
    <row r="233" spans="9:14" x14ac:dyDescent="0.3">
      <c r="I233" s="16" t="str">
        <f t="shared" si="14"/>
        <v>modesg_out_sfcs_taxon_europeiaref_date</v>
      </c>
      <c r="J233" s="7" t="s">
        <v>176</v>
      </c>
      <c r="K233" s="7" t="s">
        <v>23</v>
      </c>
      <c r="L233" t="s">
        <v>21</v>
      </c>
      <c r="M233" t="str">
        <f t="shared" si="15"/>
        <v>Ok</v>
      </c>
      <c r="N233" t="s">
        <v>193</v>
      </c>
    </row>
    <row r="234" spans="9:14" x14ac:dyDescent="0.3">
      <c r="I234" s="16" t="str">
        <f t="shared" si="14"/>
        <v>modesg_out_sfcs_taxon_europeiazdeposit</v>
      </c>
      <c r="J234" s="13" t="s">
        <v>176</v>
      </c>
      <c r="K234" s="7" t="s">
        <v>23</v>
      </c>
      <c r="L234" t="s">
        <v>26</v>
      </c>
      <c r="M234" t="str">
        <f t="shared" si="15"/>
        <v>Ok</v>
      </c>
      <c r="N234" t="s">
        <v>193</v>
      </c>
    </row>
  </sheetData>
  <autoFilter ref="J2:N234" xr:uid="{5A032498-B42B-4E2C-8DC2-D2DB2A6DC38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E894-A0E2-42E9-A38C-3476DEF9F9B4}">
  <dimension ref="A1:AE128"/>
  <sheetViews>
    <sheetView topLeftCell="L1" workbookViewId="0">
      <selection activeCell="AB127" sqref="AB2:AB127"/>
    </sheetView>
  </sheetViews>
  <sheetFormatPr defaultRowHeight="14.4" x14ac:dyDescent="0.3"/>
  <cols>
    <col min="2" max="2" width="14.33203125" bestFit="1" customWidth="1"/>
    <col min="3" max="3" width="14.33203125" customWidth="1"/>
    <col min="4" max="4" width="28.109375" bestFit="1" customWidth="1"/>
    <col min="10" max="10" width="25.88671875" bestFit="1" customWidth="1"/>
    <col min="11" max="11" width="31.6640625" bestFit="1" customWidth="1"/>
  </cols>
  <sheetData>
    <row r="1" spans="1:31" x14ac:dyDescent="0.3">
      <c r="O1">
        <v>107</v>
      </c>
    </row>
    <row r="2" spans="1:31" ht="57.6" x14ac:dyDescent="0.3">
      <c r="B2" s="27" t="s">
        <v>194</v>
      </c>
      <c r="C2" s="27"/>
      <c r="D2" s="27" t="s">
        <v>195</v>
      </c>
      <c r="E2" s="7" t="s">
        <v>181</v>
      </c>
      <c r="J2" s="31" t="s">
        <v>179</v>
      </c>
      <c r="K2" s="31" t="s">
        <v>180</v>
      </c>
      <c r="L2" s="15" t="s">
        <v>182</v>
      </c>
      <c r="M2" s="15" t="s">
        <v>189</v>
      </c>
      <c r="O2">
        <v>19</v>
      </c>
      <c r="Q2" s="33" t="s">
        <v>194</v>
      </c>
      <c r="R2" s="35" t="s">
        <v>195</v>
      </c>
      <c r="U2" s="40" t="s">
        <v>406</v>
      </c>
      <c r="V2" s="40" t="s">
        <v>409</v>
      </c>
      <c r="AB2" s="29" t="s">
        <v>294</v>
      </c>
      <c r="AC2" s="30" t="s">
        <v>295</v>
      </c>
      <c r="AD2" t="str">
        <f>AB2&amp;AC2</f>
        <v>lt003_entitynace_esg</v>
      </c>
      <c r="AE2" t="str">
        <f>VLOOKUP(AD2,$A$3:$A$128,1,0)</f>
        <v>lt003_entitynace_esg</v>
      </c>
    </row>
    <row r="3" spans="1:31" ht="17.399999999999999" x14ac:dyDescent="0.3">
      <c r="A3" s="16" t="str">
        <f t="shared" ref="A3:A34" si="0">C3&amp;D3</f>
        <v>lt002_instrumentdt_rfrnc</v>
      </c>
      <c r="B3" s="32" t="s">
        <v>196</v>
      </c>
      <c r="C3" s="32" t="s">
        <v>341</v>
      </c>
      <c r="D3" s="32" t="s">
        <v>362</v>
      </c>
      <c r="E3" s="18" t="str">
        <f>IFERROR(IF(VLOOKUP(A3,$I$3:$I$234,1,0)=A3,"Ok","Nok"),"Nok")</f>
        <v>Nok</v>
      </c>
      <c r="F3" s="28" t="s">
        <v>513</v>
      </c>
      <c r="G3" t="str">
        <f>B3&amp;D3</f>
        <v>INSTRUMENTdt_rfrnc</v>
      </c>
      <c r="I3" s="16" t="str">
        <f t="shared" ref="I3:I34" si="1">J3&amp;K3</f>
        <v>lt002_instrumentrsk_mtgtd_cct</v>
      </c>
      <c r="J3" s="29" t="s">
        <v>341</v>
      </c>
      <c r="K3" s="30" t="s">
        <v>342</v>
      </c>
      <c r="L3" t="str">
        <f>IFERROR(IF(VLOOKUP(I3,$A$3:$A$214,1,0)=I3,"Ok","Nok"),"Nok")</f>
        <v>Ok</v>
      </c>
      <c r="M3" t="s">
        <v>193</v>
      </c>
      <c r="Q3" s="34" t="s">
        <v>215</v>
      </c>
      <c r="R3" s="36" t="s">
        <v>214</v>
      </c>
      <c r="S3" t="str">
        <f>LOWER(R3)</f>
        <v>cod_soc</v>
      </c>
      <c r="T3" t="str">
        <f>VLOOKUP(Q3&amp;S3,$G:$G,1,0)</f>
        <v>ENTITYcod_soc</v>
      </c>
      <c r="U3" s="41" t="s">
        <v>407</v>
      </c>
      <c r="V3" s="41" t="s">
        <v>408</v>
      </c>
      <c r="W3" t="s">
        <v>404</v>
      </c>
      <c r="AB3" s="29" t="s">
        <v>294</v>
      </c>
      <c r="AC3" s="30" t="s">
        <v>296</v>
      </c>
      <c r="AD3" t="str">
        <f t="shared" ref="AD3:AD62" si="2">AB3&amp;AC3</f>
        <v>lt003_entitytxnmy_elgbl_capex_ccm</v>
      </c>
      <c r="AE3" t="str">
        <f t="shared" ref="AE3:AE62" si="3">VLOOKUP(AD3,$A$3:$A$128,1,0)</f>
        <v>lt003_entitytxnmy_elgbl_capex_ccm</v>
      </c>
    </row>
    <row r="4" spans="1:31" ht="17.399999999999999" x14ac:dyDescent="0.3">
      <c r="A4" s="16" t="str">
        <f t="shared" si="0"/>
        <v>lt002_instrumentinstrmnt_id</v>
      </c>
      <c r="B4" s="32" t="s">
        <v>196</v>
      </c>
      <c r="C4" s="32" t="s">
        <v>341</v>
      </c>
      <c r="D4" s="32" t="s">
        <v>363</v>
      </c>
      <c r="E4" s="18" t="str">
        <f t="shared" ref="E4:E67" si="4">IFERROR(IF(VLOOKUP(A4,$I$3:$I$234,1,0)=A4,"Ok","Nok"),"Nok")</f>
        <v>Nok</v>
      </c>
      <c r="F4" s="28" t="s">
        <v>513</v>
      </c>
      <c r="G4" t="str">
        <f t="shared" ref="G4:G67" si="5">B4&amp;D4</f>
        <v>INSTRUMENTinstrmnt_id</v>
      </c>
      <c r="I4" s="16" t="str">
        <f t="shared" si="1"/>
        <v>lt002_instrumentrsk_mtgtd_ccp</v>
      </c>
      <c r="J4" s="29" t="s">
        <v>341</v>
      </c>
      <c r="K4" s="30" t="s">
        <v>343</v>
      </c>
      <c r="L4" t="str">
        <f t="shared" ref="L4:L67" si="6">IFERROR(IF(VLOOKUP(I4,$A$3:$A$214,1,0)=I4,"Ok","Nok"),"Nok")</f>
        <v>Ok</v>
      </c>
      <c r="Q4" s="34" t="s">
        <v>215</v>
      </c>
      <c r="R4" s="36" t="s">
        <v>216</v>
      </c>
      <c r="S4" t="str">
        <f t="shared" ref="S4:S67" si="7">LOWER(R4)</f>
        <v>cntry</v>
      </c>
      <c r="T4" t="str">
        <f t="shared" ref="T4:T67" si="8">VLOOKUP(Q4&amp;S4,$G:$G,1,0)</f>
        <v>ENTITYcntry</v>
      </c>
      <c r="U4" s="41" t="s">
        <v>407</v>
      </c>
      <c r="V4" s="41" t="s">
        <v>408</v>
      </c>
      <c r="W4" t="s">
        <v>404</v>
      </c>
      <c r="AB4" s="29" t="s">
        <v>294</v>
      </c>
      <c r="AC4" s="30" t="s">
        <v>297</v>
      </c>
      <c r="AD4" t="str">
        <f t="shared" si="2"/>
        <v>lt003_entitytxnmy_elgbl_trnvr_ccm</v>
      </c>
      <c r="AE4" t="str">
        <f t="shared" si="3"/>
        <v>lt003_entitytxnmy_elgbl_trnvr_ccm</v>
      </c>
    </row>
    <row r="5" spans="1:31" ht="17.399999999999999" x14ac:dyDescent="0.3">
      <c r="A5" s="16" t="str">
        <f t="shared" si="0"/>
        <v>lt002_instrumentdt_incptn</v>
      </c>
      <c r="B5" s="32" t="s">
        <v>196</v>
      </c>
      <c r="C5" s="32" t="s">
        <v>341</v>
      </c>
      <c r="D5" s="32" t="s">
        <v>364</v>
      </c>
      <c r="E5" s="18" t="str">
        <f t="shared" si="4"/>
        <v>Nok</v>
      </c>
      <c r="F5" s="28" t="s">
        <v>513</v>
      </c>
      <c r="G5" t="str">
        <f t="shared" si="5"/>
        <v>INSTRUMENTdt_incptn</v>
      </c>
      <c r="I5" s="16" t="str">
        <f t="shared" si="1"/>
        <v>lt002_instrumentenvrnmntl_objctv</v>
      </c>
      <c r="J5" s="29" t="s">
        <v>341</v>
      </c>
      <c r="K5" s="30" t="s">
        <v>344</v>
      </c>
      <c r="L5" t="str">
        <f t="shared" si="6"/>
        <v>Ok</v>
      </c>
      <c r="Q5" s="34" t="s">
        <v>215</v>
      </c>
      <c r="R5" s="36" t="s">
        <v>197</v>
      </c>
      <c r="S5" t="str">
        <f t="shared" si="7"/>
        <v>dt_rfrnc</v>
      </c>
      <c r="T5" t="str">
        <f t="shared" si="8"/>
        <v>ENTITYdt_rfrnc</v>
      </c>
      <c r="U5" s="41" t="s">
        <v>407</v>
      </c>
      <c r="V5" s="41" t="s">
        <v>408</v>
      </c>
      <c r="W5" t="s">
        <v>404</v>
      </c>
      <c r="AB5" s="29" t="s">
        <v>294</v>
      </c>
      <c r="AC5" s="30" t="s">
        <v>298</v>
      </c>
      <c r="AD5" t="str">
        <f t="shared" si="2"/>
        <v>lt003_entitytxnmy_elgbl_capex_cca</v>
      </c>
      <c r="AE5" t="str">
        <f t="shared" si="3"/>
        <v>lt003_entitytxnmy_elgbl_capex_cca</v>
      </c>
    </row>
    <row r="6" spans="1:31" ht="17.399999999999999" x14ac:dyDescent="0.3">
      <c r="A6" s="16" t="str">
        <f t="shared" si="0"/>
        <v>lt002_instrumentdflt_stts_instrmnt</v>
      </c>
      <c r="B6" s="32" t="s">
        <v>196</v>
      </c>
      <c r="C6" s="32" t="s">
        <v>341</v>
      </c>
      <c r="D6" s="32" t="s">
        <v>365</v>
      </c>
      <c r="E6" s="18" t="str">
        <f t="shared" si="4"/>
        <v>Nok</v>
      </c>
      <c r="F6" s="28" t="s">
        <v>513</v>
      </c>
      <c r="G6" t="str">
        <f t="shared" si="5"/>
        <v>INSTRUMENTdflt_stts_instrmnt</v>
      </c>
      <c r="I6" s="16" t="str">
        <f t="shared" si="1"/>
        <v>lt002_instrumenttyp_actvty</v>
      </c>
      <c r="J6" s="29" t="s">
        <v>341</v>
      </c>
      <c r="K6" s="30" t="s">
        <v>345</v>
      </c>
      <c r="L6" t="str">
        <f t="shared" si="6"/>
        <v>Ok</v>
      </c>
      <c r="Q6" s="34" t="s">
        <v>215</v>
      </c>
      <c r="R6" s="36" t="s">
        <v>217</v>
      </c>
      <c r="S6" t="str">
        <f t="shared" si="7"/>
        <v>entty_id</v>
      </c>
      <c r="T6" t="str">
        <f t="shared" si="8"/>
        <v>ENTITYentty_id</v>
      </c>
      <c r="U6" s="41" t="s">
        <v>407</v>
      </c>
      <c r="V6" s="41" t="s">
        <v>408</v>
      </c>
      <c r="W6" t="s">
        <v>404</v>
      </c>
      <c r="AB6" s="29" t="s">
        <v>294</v>
      </c>
      <c r="AC6" s="30" t="s">
        <v>299</v>
      </c>
      <c r="AD6" t="str">
        <f t="shared" si="2"/>
        <v>lt003_entitytxnmy_elgbl_trnvr_cca</v>
      </c>
      <c r="AE6" t="str">
        <f t="shared" si="3"/>
        <v>lt003_entitytxnmy_elgbl_trnvr_cca</v>
      </c>
    </row>
    <row r="7" spans="1:31" ht="17.399999999999999" x14ac:dyDescent="0.3">
      <c r="A7" s="16" t="str">
        <f t="shared" si="0"/>
        <v>lt002_instrumentimprmnt_stts</v>
      </c>
      <c r="B7" s="32" t="s">
        <v>196</v>
      </c>
      <c r="C7" s="32" t="s">
        <v>341</v>
      </c>
      <c r="D7" s="32" t="s">
        <v>366</v>
      </c>
      <c r="E7" s="18" t="str">
        <f t="shared" si="4"/>
        <v>Nok</v>
      </c>
      <c r="F7" s="28" t="s">
        <v>513</v>
      </c>
      <c r="G7" t="str">
        <f t="shared" si="5"/>
        <v>INSTRUMENTimprmnt_stts</v>
      </c>
      <c r="I7" s="16" t="str">
        <f t="shared" si="1"/>
        <v>lt002_instrumentlns_clltrlzd_clssfctn</v>
      </c>
      <c r="J7" s="29" t="s">
        <v>341</v>
      </c>
      <c r="K7" s="30" t="s">
        <v>346</v>
      </c>
      <c r="L7" t="str">
        <f t="shared" si="6"/>
        <v>Ok</v>
      </c>
      <c r="Q7" s="34" t="s">
        <v>215</v>
      </c>
      <c r="R7" s="36" t="s">
        <v>218</v>
      </c>
      <c r="S7" t="str">
        <f t="shared" si="7"/>
        <v>lei</v>
      </c>
      <c r="T7" t="str">
        <f t="shared" si="8"/>
        <v>ENTITYlei</v>
      </c>
      <c r="U7" s="41" t="s">
        <v>407</v>
      </c>
      <c r="V7" s="41" t="s">
        <v>408</v>
      </c>
      <c r="W7" t="s">
        <v>404</v>
      </c>
      <c r="AB7" s="29" t="s">
        <v>294</v>
      </c>
      <c r="AC7" s="30" t="s">
        <v>300</v>
      </c>
      <c r="AD7" t="str">
        <f t="shared" si="2"/>
        <v>lt003_entityenblng_capex_ccm</v>
      </c>
      <c r="AE7" t="str">
        <f t="shared" si="3"/>
        <v>lt003_entityenblng_capex_ccm</v>
      </c>
    </row>
    <row r="8" spans="1:31" ht="17.399999999999999" x14ac:dyDescent="0.3">
      <c r="A8" s="16" t="str">
        <f t="shared" si="0"/>
        <v>lt002_instrumentprfrmng_stts</v>
      </c>
      <c r="B8" s="32" t="s">
        <v>196</v>
      </c>
      <c r="C8" s="32" t="s">
        <v>341</v>
      </c>
      <c r="D8" s="32" t="s">
        <v>367</v>
      </c>
      <c r="E8" s="18" t="str">
        <f t="shared" si="4"/>
        <v>Nok</v>
      </c>
      <c r="F8" s="28" t="s">
        <v>513</v>
      </c>
      <c r="G8" t="str">
        <f t="shared" si="5"/>
        <v>INSTRUMENTprfrmng_stts</v>
      </c>
      <c r="I8" s="16" t="str">
        <f t="shared" si="1"/>
        <v>lt002_instrumentmthd_usd_instrmnt_scp_1</v>
      </c>
      <c r="J8" s="29" t="s">
        <v>341</v>
      </c>
      <c r="K8" s="30" t="s">
        <v>347</v>
      </c>
      <c r="L8" t="str">
        <f t="shared" si="6"/>
        <v>Ok</v>
      </c>
      <c r="Q8" s="34" t="s">
        <v>215</v>
      </c>
      <c r="R8" s="36" t="s">
        <v>219</v>
      </c>
      <c r="S8" t="str">
        <f t="shared" si="7"/>
        <v>ecnmc_actvty</v>
      </c>
      <c r="T8" t="str">
        <f t="shared" si="8"/>
        <v>ENTITYecnmc_actvty</v>
      </c>
      <c r="U8" s="41" t="s">
        <v>407</v>
      </c>
      <c r="V8" s="41" t="s">
        <v>408</v>
      </c>
      <c r="W8" t="s">
        <v>404</v>
      </c>
      <c r="AB8" s="29" t="s">
        <v>294</v>
      </c>
      <c r="AC8" s="30" t="s">
        <v>301</v>
      </c>
      <c r="AD8" t="str">
        <f t="shared" si="2"/>
        <v>lt003_entityenblng_capex_cca</v>
      </c>
      <c r="AE8" t="str">
        <f t="shared" si="3"/>
        <v>lt003_entityenblng_capex_cca</v>
      </c>
    </row>
    <row r="9" spans="1:31" ht="17.399999999999999" x14ac:dyDescent="0.3">
      <c r="A9" s="16" t="str">
        <f t="shared" si="0"/>
        <v>lt002_instrumentprjct_fnnc_ln</v>
      </c>
      <c r="B9" s="32" t="s">
        <v>196</v>
      </c>
      <c r="C9" s="32" t="s">
        <v>341</v>
      </c>
      <c r="D9" s="32" t="s">
        <v>368</v>
      </c>
      <c r="E9" s="18" t="str">
        <f t="shared" si="4"/>
        <v>Nok</v>
      </c>
      <c r="F9" s="28" t="s">
        <v>513</v>
      </c>
      <c r="G9" t="str">
        <f t="shared" si="5"/>
        <v>INSTRUMENTprjct_fnnc_ln</v>
      </c>
      <c r="I9" s="16" t="str">
        <f t="shared" si="1"/>
        <v>lt002_instrumentmthd_usd_instrmnt_scp_2</v>
      </c>
      <c r="J9" s="29" t="s">
        <v>341</v>
      </c>
      <c r="K9" s="30" t="s">
        <v>348</v>
      </c>
      <c r="L9" t="str">
        <f t="shared" si="6"/>
        <v>Ok</v>
      </c>
      <c r="Q9" s="34" t="s">
        <v>215</v>
      </c>
      <c r="R9" s="36" t="s">
        <v>220</v>
      </c>
      <c r="S9" t="str">
        <f t="shared" si="7"/>
        <v>grp_eqty</v>
      </c>
      <c r="T9" t="str">
        <f t="shared" si="8"/>
        <v>ENTITYgrp_eqty</v>
      </c>
      <c r="U9" s="41" t="s">
        <v>407</v>
      </c>
      <c r="V9" s="41" t="s">
        <v>408</v>
      </c>
      <c r="W9" t="s">
        <v>404</v>
      </c>
      <c r="AB9" s="29" t="s">
        <v>294</v>
      </c>
      <c r="AC9" s="30" t="s">
        <v>302</v>
      </c>
      <c r="AD9" t="str">
        <f t="shared" si="2"/>
        <v>lt003_entitytrnstnl_capex</v>
      </c>
      <c r="AE9" t="str">
        <f t="shared" si="3"/>
        <v>lt003_entitytrnstnl_capex</v>
      </c>
    </row>
    <row r="10" spans="1:31" ht="17.399999999999999" x14ac:dyDescent="0.3">
      <c r="A10" s="16" t="str">
        <f t="shared" si="0"/>
        <v>lt002_instrumenttyp_instrmnt</v>
      </c>
      <c r="B10" s="32" t="s">
        <v>196</v>
      </c>
      <c r="C10" s="32" t="s">
        <v>341</v>
      </c>
      <c r="D10" s="32" t="s">
        <v>369</v>
      </c>
      <c r="E10" s="18" t="str">
        <f t="shared" si="4"/>
        <v>Nok</v>
      </c>
      <c r="F10" s="28" t="s">
        <v>513</v>
      </c>
      <c r="G10" t="str">
        <f t="shared" si="5"/>
        <v>INSTRUMENTtyp_instrmnt</v>
      </c>
      <c r="I10" s="16" t="str">
        <f t="shared" si="1"/>
        <v>lt002_instrumentmthd_usd_instrmnt_scp_3</v>
      </c>
      <c r="J10" s="29" t="s">
        <v>341</v>
      </c>
      <c r="K10" s="30" t="s">
        <v>349</v>
      </c>
      <c r="L10" t="str">
        <f t="shared" si="6"/>
        <v>Ok</v>
      </c>
      <c r="Q10" s="34" t="s">
        <v>215</v>
      </c>
      <c r="R10" s="36" t="s">
        <v>221</v>
      </c>
      <c r="S10" t="str">
        <f t="shared" si="7"/>
        <v>annl_trnvr_le</v>
      </c>
      <c r="T10" t="str">
        <f t="shared" si="8"/>
        <v>ENTITYannl_trnvr_le</v>
      </c>
      <c r="U10" s="41" t="s">
        <v>407</v>
      </c>
      <c r="V10" s="41" t="s">
        <v>408</v>
      </c>
      <c r="W10" t="s">
        <v>404</v>
      </c>
      <c r="AB10" s="29" t="s">
        <v>294</v>
      </c>
      <c r="AC10" s="30" t="s">
        <v>303</v>
      </c>
      <c r="AD10" t="str">
        <f t="shared" si="2"/>
        <v>lt003_entitypure_capex_ccm</v>
      </c>
      <c r="AE10" t="str">
        <f t="shared" si="3"/>
        <v>lt003_entitypure_capex_ccm</v>
      </c>
    </row>
    <row r="11" spans="1:31" ht="17.399999999999999" x14ac:dyDescent="0.3">
      <c r="A11" s="16" t="str">
        <f t="shared" si="0"/>
        <v>lt002_instrumentgrss_crryng_amnt_instrmnt</v>
      </c>
      <c r="B11" s="32" t="s">
        <v>196</v>
      </c>
      <c r="C11" s="32" t="s">
        <v>341</v>
      </c>
      <c r="D11" s="32" t="s">
        <v>370</v>
      </c>
      <c r="E11" s="18" t="str">
        <f t="shared" si="4"/>
        <v>Nok</v>
      </c>
      <c r="F11" s="28" t="s">
        <v>513</v>
      </c>
      <c r="G11" t="str">
        <f t="shared" si="5"/>
        <v>INSTRUMENTgrss_crryng_amnt_instrmnt</v>
      </c>
      <c r="I11" s="16" t="str">
        <f t="shared" si="1"/>
        <v>lt002_instrumentsstnbl_ctgry_txnmy</v>
      </c>
      <c r="J11" s="29" t="s">
        <v>341</v>
      </c>
      <c r="K11" s="30" t="s">
        <v>350</v>
      </c>
      <c r="L11" t="str">
        <f t="shared" si="6"/>
        <v>Ok</v>
      </c>
      <c r="Q11" s="34" t="s">
        <v>215</v>
      </c>
      <c r="R11" s="36" t="s">
        <v>222</v>
      </c>
      <c r="S11" t="str">
        <f t="shared" si="7"/>
        <v>eqty</v>
      </c>
      <c r="T11" t="str">
        <f t="shared" si="8"/>
        <v>ENTITYeqty</v>
      </c>
      <c r="U11" s="41" t="s">
        <v>407</v>
      </c>
      <c r="V11" s="41" t="s">
        <v>408</v>
      </c>
      <c r="W11" t="s">
        <v>404</v>
      </c>
      <c r="AB11" s="29" t="s">
        <v>294</v>
      </c>
      <c r="AC11" s="30" t="s">
        <v>304</v>
      </c>
      <c r="AD11" t="str">
        <f t="shared" si="2"/>
        <v>lt003_entitypure_capex_cca</v>
      </c>
      <c r="AE11" t="str">
        <f t="shared" si="3"/>
        <v>lt003_entitypure_capex_cca</v>
      </c>
    </row>
    <row r="12" spans="1:31" ht="17.399999999999999" x14ac:dyDescent="0.3">
      <c r="A12" s="16" t="str">
        <f t="shared" si="0"/>
        <v>lt002_instrumentaccmltd_chngs_fv_cr_instrmnt</v>
      </c>
      <c r="B12" s="32" t="s">
        <v>196</v>
      </c>
      <c r="C12" s="32" t="s">
        <v>341</v>
      </c>
      <c r="D12" s="32" t="s">
        <v>371</v>
      </c>
      <c r="E12" s="18" t="str">
        <f t="shared" si="4"/>
        <v>Nok</v>
      </c>
      <c r="F12" s="28" t="s">
        <v>513</v>
      </c>
      <c r="G12" t="str">
        <f t="shared" si="5"/>
        <v>INSTRUMENTaccmltd_chngs_fv_cr_instrmnt</v>
      </c>
      <c r="I12" s="16" t="str">
        <f t="shared" si="1"/>
        <v>lt003_entitynace_esg</v>
      </c>
      <c r="J12" s="29" t="s">
        <v>294</v>
      </c>
      <c r="K12" s="30" t="s">
        <v>295</v>
      </c>
      <c r="L12" t="str">
        <f t="shared" si="6"/>
        <v>Ok</v>
      </c>
      <c r="Q12" s="34" t="s">
        <v>215</v>
      </c>
      <c r="R12" s="36" t="s">
        <v>223</v>
      </c>
      <c r="S12" t="str">
        <f t="shared" si="7"/>
        <v>grp_ttl_dbt</v>
      </c>
      <c r="T12" t="str">
        <f t="shared" si="8"/>
        <v>ENTITYgrp_ttl_dbt</v>
      </c>
      <c r="U12" s="41" t="s">
        <v>407</v>
      </c>
      <c r="V12" s="41" t="s">
        <v>408</v>
      </c>
      <c r="W12" t="s">
        <v>404</v>
      </c>
      <c r="AB12" s="29" t="s">
        <v>294</v>
      </c>
      <c r="AC12" s="30" t="s">
        <v>305</v>
      </c>
      <c r="AD12" t="str">
        <f t="shared" si="2"/>
        <v>lt003_entityenblng_trnvr_ccm</v>
      </c>
      <c r="AE12" t="str">
        <f t="shared" si="3"/>
        <v>lt003_entityenblng_trnvr_ccm</v>
      </c>
    </row>
    <row r="13" spans="1:31" ht="17.399999999999999" x14ac:dyDescent="0.3">
      <c r="A13" s="16" t="str">
        <f t="shared" si="0"/>
        <v>lt002_instrumentaccntng_clssfctn</v>
      </c>
      <c r="B13" s="32" t="s">
        <v>196</v>
      </c>
      <c r="C13" s="32" t="s">
        <v>341</v>
      </c>
      <c r="D13" s="32" t="s">
        <v>372</v>
      </c>
      <c r="E13" s="18" t="str">
        <f t="shared" si="4"/>
        <v>Nok</v>
      </c>
      <c r="F13" s="28" t="s">
        <v>513</v>
      </c>
      <c r="G13" t="str">
        <f t="shared" si="5"/>
        <v>INSTRUMENTaccntng_clssfctn</v>
      </c>
      <c r="I13" s="16" t="str">
        <f t="shared" si="1"/>
        <v>lt003_entitytxnmy_elgbl_capex_ccm</v>
      </c>
      <c r="J13" s="29" t="s">
        <v>294</v>
      </c>
      <c r="K13" s="30" t="s">
        <v>296</v>
      </c>
      <c r="L13" t="str">
        <f t="shared" si="6"/>
        <v>Ok</v>
      </c>
      <c r="Q13" s="34" t="s">
        <v>215</v>
      </c>
      <c r="R13" s="36" t="s">
        <v>224</v>
      </c>
      <c r="S13" t="str">
        <f t="shared" si="7"/>
        <v>ttl_dbt</v>
      </c>
      <c r="T13" t="str">
        <f t="shared" si="8"/>
        <v>ENTITYttl_dbt</v>
      </c>
      <c r="U13" s="41" t="s">
        <v>407</v>
      </c>
      <c r="V13" s="41" t="s">
        <v>408</v>
      </c>
      <c r="W13" t="s">
        <v>404</v>
      </c>
      <c r="AB13" s="29" t="s">
        <v>294</v>
      </c>
      <c r="AC13" s="30" t="s">
        <v>306</v>
      </c>
      <c r="AD13" t="str">
        <f t="shared" si="2"/>
        <v>lt003_entityenblng_trnvr_cca</v>
      </c>
      <c r="AE13" t="str">
        <f t="shared" si="3"/>
        <v>lt003_entityenblng_trnvr_cca</v>
      </c>
    </row>
    <row r="14" spans="1:31" ht="17.399999999999999" x14ac:dyDescent="0.3">
      <c r="A14" s="16" t="str">
        <f t="shared" si="0"/>
        <v>lt002_instrumentdt_lgl_fnl_mtrty</v>
      </c>
      <c r="B14" s="32" t="s">
        <v>196</v>
      </c>
      <c r="C14" s="32" t="s">
        <v>341</v>
      </c>
      <c r="D14" s="32" t="s">
        <v>373</v>
      </c>
      <c r="E14" s="18" t="str">
        <f t="shared" si="4"/>
        <v>Nok</v>
      </c>
      <c r="F14" s="28" t="s">
        <v>513</v>
      </c>
      <c r="G14" t="str">
        <f t="shared" si="5"/>
        <v>INSTRUMENTdt_lgl_fnl_mtrty</v>
      </c>
      <c r="I14" s="16" t="str">
        <f t="shared" si="1"/>
        <v>lt003_entitytxnmy_elgbl_trnvr_ccm</v>
      </c>
      <c r="J14" s="29" t="s">
        <v>294</v>
      </c>
      <c r="K14" s="30" t="s">
        <v>297</v>
      </c>
      <c r="L14" t="str">
        <f t="shared" si="6"/>
        <v>Ok</v>
      </c>
      <c r="Q14" s="34" t="s">
        <v>215</v>
      </c>
      <c r="R14" s="36" t="s">
        <v>259</v>
      </c>
      <c r="S14" t="str">
        <f t="shared" si="7"/>
        <v>pst_cd</v>
      </c>
      <c r="T14" t="str">
        <f t="shared" si="8"/>
        <v>ENTITYpst_cd</v>
      </c>
      <c r="U14" s="41" t="s">
        <v>408</v>
      </c>
      <c r="V14" s="41" t="s">
        <v>408</v>
      </c>
      <c r="W14" t="s">
        <v>410</v>
      </c>
      <c r="AB14" s="29" t="s">
        <v>294</v>
      </c>
      <c r="AC14" s="30" t="s">
        <v>307</v>
      </c>
      <c r="AD14" t="str">
        <f t="shared" si="2"/>
        <v>lt003_entitytrnstnl_trnvr</v>
      </c>
      <c r="AE14" t="str">
        <f t="shared" si="3"/>
        <v>lt003_entitytrnstnl_trnvr</v>
      </c>
    </row>
    <row r="15" spans="1:31" ht="17.399999999999999" x14ac:dyDescent="0.3">
      <c r="A15" s="16" t="str">
        <f t="shared" si="0"/>
        <v>lt002_instrumentaccmltd_imprmnt_instrmnt</v>
      </c>
      <c r="B15" s="32" t="s">
        <v>196</v>
      </c>
      <c r="C15" s="32" t="s">
        <v>341</v>
      </c>
      <c r="D15" s="32" t="s">
        <v>374</v>
      </c>
      <c r="E15" s="18" t="str">
        <f t="shared" si="4"/>
        <v>Nok</v>
      </c>
      <c r="F15" s="28" t="s">
        <v>513</v>
      </c>
      <c r="G15" t="str">
        <f t="shared" si="5"/>
        <v>INSTRUMENTaccmltd_imprmnt_instrmnt</v>
      </c>
      <c r="I15" s="16" t="str">
        <f t="shared" si="1"/>
        <v>lt003_entitytxnmy_elgbl_capex_cca</v>
      </c>
      <c r="J15" s="29" t="s">
        <v>294</v>
      </c>
      <c r="K15" s="30" t="s">
        <v>298</v>
      </c>
      <c r="L15" t="str">
        <f t="shared" si="6"/>
        <v>Ok</v>
      </c>
      <c r="Q15" s="34" t="s">
        <v>215</v>
      </c>
      <c r="R15" s="36" t="s">
        <v>260</v>
      </c>
      <c r="S15" t="str">
        <f t="shared" si="7"/>
        <v>esg_sbsctr</v>
      </c>
      <c r="T15" t="str">
        <f t="shared" si="8"/>
        <v>ENTITYesg_sbsctr</v>
      </c>
      <c r="U15" s="41" t="s">
        <v>408</v>
      </c>
      <c r="V15" s="41" t="s">
        <v>408</v>
      </c>
      <c r="W15" t="s">
        <v>410</v>
      </c>
      <c r="AB15" s="29" t="s">
        <v>294</v>
      </c>
      <c r="AC15" s="30" t="s">
        <v>308</v>
      </c>
      <c r="AD15" t="str">
        <f t="shared" si="2"/>
        <v>lt003_entitypure_trnvr_ccm</v>
      </c>
      <c r="AE15" t="str">
        <f t="shared" si="3"/>
        <v>lt003_entitypure_trnvr_ccm</v>
      </c>
    </row>
    <row r="16" spans="1:31" ht="17.399999999999999" x14ac:dyDescent="0.3">
      <c r="A16" s="16" t="str">
        <f t="shared" si="0"/>
        <v>lt002_instrumentissr_cntry</v>
      </c>
      <c r="B16" s="32" t="s">
        <v>196</v>
      </c>
      <c r="C16" s="32" t="s">
        <v>341</v>
      </c>
      <c r="D16" s="32" t="s">
        <v>375</v>
      </c>
      <c r="E16" s="18" t="str">
        <f t="shared" si="4"/>
        <v>Nok</v>
      </c>
      <c r="F16" s="28" t="s">
        <v>513</v>
      </c>
      <c r="G16" t="str">
        <f t="shared" si="5"/>
        <v>INSTRUMENTissr_cntry</v>
      </c>
      <c r="I16" s="16" t="str">
        <f t="shared" si="1"/>
        <v>lt003_entitytxnmy_elgbl_trnvr_cca</v>
      </c>
      <c r="J16" s="29" t="s">
        <v>294</v>
      </c>
      <c r="K16" s="30" t="s">
        <v>299</v>
      </c>
      <c r="L16" t="str">
        <f t="shared" si="6"/>
        <v>Ok</v>
      </c>
      <c r="Q16" s="34" t="s">
        <v>215</v>
      </c>
      <c r="R16" s="36" t="s">
        <v>237</v>
      </c>
      <c r="S16" t="str">
        <f t="shared" si="7"/>
        <v>nace_esg</v>
      </c>
      <c r="T16" t="str">
        <f t="shared" si="8"/>
        <v>ENTITYnace_esg</v>
      </c>
      <c r="U16" s="41" t="s">
        <v>408</v>
      </c>
      <c r="V16" s="41" t="s">
        <v>408</v>
      </c>
      <c r="W16" t="s">
        <v>410</v>
      </c>
      <c r="AB16" s="29" t="s">
        <v>294</v>
      </c>
      <c r="AC16" s="30" t="s">
        <v>309</v>
      </c>
      <c r="AD16" t="str">
        <f t="shared" si="2"/>
        <v>lt003_entitypure_trnvr_cca</v>
      </c>
      <c r="AE16" t="str">
        <f t="shared" si="3"/>
        <v>lt003_entitypure_trnvr_cca</v>
      </c>
    </row>
    <row r="17" spans="1:31" ht="17.399999999999999" x14ac:dyDescent="0.3">
      <c r="A17" s="16" t="str">
        <f t="shared" si="0"/>
        <v>lt002_instrumentissr_nace_sctr</v>
      </c>
      <c r="B17" s="32" t="s">
        <v>196</v>
      </c>
      <c r="C17" s="32" t="s">
        <v>341</v>
      </c>
      <c r="D17" s="32" t="s">
        <v>376</v>
      </c>
      <c r="E17" s="18" t="str">
        <f t="shared" si="4"/>
        <v>Nok</v>
      </c>
      <c r="F17" s="28" t="s">
        <v>513</v>
      </c>
      <c r="G17" t="str">
        <f t="shared" si="5"/>
        <v>INSTRUMENTissr_nace_sctr</v>
      </c>
      <c r="I17" s="16" t="str">
        <f t="shared" si="1"/>
        <v>lt003_entityenblng_capex_ccm</v>
      </c>
      <c r="J17" s="29" t="s">
        <v>294</v>
      </c>
      <c r="K17" s="30" t="s">
        <v>300</v>
      </c>
      <c r="L17" t="str">
        <f t="shared" si="6"/>
        <v>Ok</v>
      </c>
      <c r="Q17" s="34" t="s">
        <v>215</v>
      </c>
      <c r="R17" s="36" t="s">
        <v>261</v>
      </c>
      <c r="S17" t="str">
        <f t="shared" si="7"/>
        <v>ttl_lblty</v>
      </c>
      <c r="T17" t="str">
        <f t="shared" si="8"/>
        <v>ENTITYttl_lblty</v>
      </c>
      <c r="U17" s="41" t="s">
        <v>408</v>
      </c>
      <c r="V17" s="41" t="s">
        <v>408</v>
      </c>
      <c r="W17" t="s">
        <v>410</v>
      </c>
      <c r="AB17" s="29" t="s">
        <v>294</v>
      </c>
      <c r="AC17" s="30" t="s">
        <v>310</v>
      </c>
      <c r="AD17" t="str">
        <f t="shared" si="2"/>
        <v>lt003_entityflg_nfrd_applcblty</v>
      </c>
      <c r="AE17" t="str">
        <f t="shared" si="3"/>
        <v>lt003_entityflg_nfrd_applcblty</v>
      </c>
    </row>
    <row r="18" spans="1:31" ht="17.399999999999999" x14ac:dyDescent="0.3">
      <c r="A18" s="16" t="str">
        <f t="shared" si="0"/>
        <v>lt002_instrumentprmry_asst_clssf</v>
      </c>
      <c r="B18" s="32" t="s">
        <v>196</v>
      </c>
      <c r="C18" s="32" t="s">
        <v>341</v>
      </c>
      <c r="D18" s="32" t="s">
        <v>377</v>
      </c>
      <c r="E18" s="18" t="str">
        <f t="shared" si="4"/>
        <v>Nok</v>
      </c>
      <c r="F18" s="28" t="s">
        <v>513</v>
      </c>
      <c r="G18" t="str">
        <f t="shared" si="5"/>
        <v>INSTRUMENTprmry_asst_clssf</v>
      </c>
      <c r="I18" s="16" t="str">
        <f t="shared" si="1"/>
        <v>lt003_entityenblng_capex_cca</v>
      </c>
      <c r="J18" s="29" t="s">
        <v>294</v>
      </c>
      <c r="K18" s="30" t="s">
        <v>301</v>
      </c>
      <c r="L18" t="str">
        <f t="shared" si="6"/>
        <v>Ok</v>
      </c>
      <c r="Q18" s="34" t="s">
        <v>215</v>
      </c>
      <c r="R18" s="36" t="s">
        <v>238</v>
      </c>
      <c r="S18" t="str">
        <f t="shared" si="7"/>
        <v>txnmy_elgbl_capex_ccm</v>
      </c>
      <c r="T18" t="str">
        <f t="shared" si="8"/>
        <v>ENTITYtxnmy_elgbl_capex_ccm</v>
      </c>
      <c r="U18" s="41" t="s">
        <v>408</v>
      </c>
      <c r="V18" s="41" t="s">
        <v>408</v>
      </c>
      <c r="W18" t="s">
        <v>410</v>
      </c>
      <c r="AB18" s="29" t="s">
        <v>294</v>
      </c>
      <c r="AC18" s="30" t="s">
        <v>311</v>
      </c>
      <c r="AD18" t="str">
        <f t="shared" si="2"/>
        <v>lt003_entitycntrprty_emssns_scp1</v>
      </c>
      <c r="AE18" t="str">
        <f t="shared" si="3"/>
        <v>lt003_entitycntrprty_emssns_scp1</v>
      </c>
    </row>
    <row r="19" spans="1:31" ht="17.399999999999999" x14ac:dyDescent="0.3">
      <c r="A19" s="16" t="str">
        <f t="shared" si="0"/>
        <v>lt002_instrumentsubportfolio_id</v>
      </c>
      <c r="B19" s="32" t="s">
        <v>196</v>
      </c>
      <c r="C19" s="32" t="s">
        <v>341</v>
      </c>
      <c r="D19" s="32" t="s">
        <v>378</v>
      </c>
      <c r="E19" s="18" t="str">
        <f t="shared" si="4"/>
        <v>Nok</v>
      </c>
      <c r="F19" s="28" t="s">
        <v>513</v>
      </c>
      <c r="G19" t="str">
        <f t="shared" si="5"/>
        <v>INSTRUMENTsubportfolio_id</v>
      </c>
      <c r="I19" s="16" t="str">
        <f t="shared" si="1"/>
        <v>lt003_entitytrnstnl_capex</v>
      </c>
      <c r="J19" s="29" t="s">
        <v>294</v>
      </c>
      <c r="K19" s="30" t="s">
        <v>302</v>
      </c>
      <c r="L19" t="str">
        <f t="shared" si="6"/>
        <v>Ok</v>
      </c>
      <c r="Q19" s="34" t="s">
        <v>215</v>
      </c>
      <c r="R19" s="36" t="s">
        <v>239</v>
      </c>
      <c r="S19" t="str">
        <f t="shared" si="7"/>
        <v>txnmy_elgbl_trnvr_ccm</v>
      </c>
      <c r="T19" t="str">
        <f t="shared" si="8"/>
        <v>ENTITYtxnmy_elgbl_trnvr_ccm</v>
      </c>
      <c r="U19" s="41" t="s">
        <v>408</v>
      </c>
      <c r="V19" s="41" t="s">
        <v>408</v>
      </c>
      <c r="W19" t="s">
        <v>410</v>
      </c>
      <c r="AB19" s="29" t="s">
        <v>294</v>
      </c>
      <c r="AC19" s="30" t="s">
        <v>312</v>
      </c>
      <c r="AD19" t="str">
        <f t="shared" si="2"/>
        <v>lt003_entitycntrprty_emssns_scp2</v>
      </c>
      <c r="AE19" t="str">
        <f t="shared" si="3"/>
        <v>lt003_entitycntrprty_emssns_scp2</v>
      </c>
    </row>
    <row r="20" spans="1:31" ht="17.399999999999999" x14ac:dyDescent="0.3">
      <c r="A20" s="16" t="str">
        <f t="shared" si="0"/>
        <v>lt002_instrumentcod_soc</v>
      </c>
      <c r="B20" s="32" t="s">
        <v>196</v>
      </c>
      <c r="C20" s="32" t="s">
        <v>341</v>
      </c>
      <c r="D20" s="32" t="s">
        <v>379</v>
      </c>
      <c r="E20" s="18" t="str">
        <f t="shared" si="4"/>
        <v>Nok</v>
      </c>
      <c r="F20" s="28" t="s">
        <v>513</v>
      </c>
      <c r="G20" t="str">
        <f t="shared" si="5"/>
        <v>INSTRUMENTcod_soc</v>
      </c>
      <c r="I20" s="16" t="str">
        <f t="shared" si="1"/>
        <v>lt003_entitypure_capex_ccm</v>
      </c>
      <c r="J20" s="29" t="s">
        <v>294</v>
      </c>
      <c r="K20" s="30" t="s">
        <v>303</v>
      </c>
      <c r="L20" t="str">
        <f t="shared" si="6"/>
        <v>Ok</v>
      </c>
      <c r="Q20" s="34" t="s">
        <v>215</v>
      </c>
      <c r="R20" s="36" t="s">
        <v>240</v>
      </c>
      <c r="S20" t="str">
        <f t="shared" si="7"/>
        <v>txnmy_elgbl_capex_cca</v>
      </c>
      <c r="T20" t="str">
        <f t="shared" si="8"/>
        <v>ENTITYtxnmy_elgbl_capex_cca</v>
      </c>
      <c r="U20" s="41" t="s">
        <v>408</v>
      </c>
      <c r="V20" s="41" t="s">
        <v>408</v>
      </c>
      <c r="W20" t="s">
        <v>410</v>
      </c>
      <c r="AB20" s="29" t="s">
        <v>294</v>
      </c>
      <c r="AC20" s="30" t="s">
        <v>313</v>
      </c>
      <c r="AD20" t="str">
        <f t="shared" si="2"/>
        <v>lt003_entitycntrprty_emssns_scp3</v>
      </c>
      <c r="AE20" t="str">
        <f t="shared" si="3"/>
        <v>lt003_entitycntrprty_emssns_scp3</v>
      </c>
    </row>
    <row r="21" spans="1:31" ht="17.399999999999999" x14ac:dyDescent="0.3">
      <c r="A21" s="16" t="str">
        <f t="shared" si="0"/>
        <v>lt002_instrumentlcl_instmrnt_id</v>
      </c>
      <c r="B21" s="32" t="s">
        <v>196</v>
      </c>
      <c r="C21" s="32" t="s">
        <v>341</v>
      </c>
      <c r="D21" s="32" t="s">
        <v>380</v>
      </c>
      <c r="E21" s="18" t="str">
        <f t="shared" si="4"/>
        <v>Nok</v>
      </c>
      <c r="F21" s="28" t="s">
        <v>513</v>
      </c>
      <c r="G21" t="str">
        <f t="shared" si="5"/>
        <v>INSTRUMENTlcl_instmrnt_id</v>
      </c>
      <c r="I21" s="16" t="str">
        <f t="shared" si="1"/>
        <v>lt003_entitypure_capex_cca</v>
      </c>
      <c r="J21" s="29" t="s">
        <v>294</v>
      </c>
      <c r="K21" s="30" t="s">
        <v>304</v>
      </c>
      <c r="L21" t="str">
        <f t="shared" si="6"/>
        <v>Ok</v>
      </c>
      <c r="Q21" s="34" t="s">
        <v>215</v>
      </c>
      <c r="R21" s="36" t="s">
        <v>241</v>
      </c>
      <c r="S21" t="str">
        <f t="shared" si="7"/>
        <v>txnmy_elgbl_trnvr_cca</v>
      </c>
      <c r="T21" t="str">
        <f t="shared" si="8"/>
        <v>ENTITYtxnmy_elgbl_trnvr_cca</v>
      </c>
      <c r="U21" s="41" t="s">
        <v>408</v>
      </c>
      <c r="V21" s="41" t="s">
        <v>408</v>
      </c>
      <c r="W21" t="s">
        <v>410</v>
      </c>
      <c r="AB21" s="29" t="s">
        <v>294</v>
      </c>
      <c r="AC21" s="30" t="s">
        <v>314</v>
      </c>
      <c r="AD21" t="str">
        <f t="shared" si="2"/>
        <v>lt003_entityflg_excldd_eu_prs_algnd_bnchmrk</v>
      </c>
      <c r="AE21" t="str">
        <f t="shared" si="3"/>
        <v>lt003_entityflg_excldd_eu_prs_algnd_bnchmrk</v>
      </c>
    </row>
    <row r="22" spans="1:31" ht="17.399999999999999" x14ac:dyDescent="0.3">
      <c r="A22" s="16" t="str">
        <f t="shared" si="0"/>
        <v>lt002_instrumentrsk_mtgtd_cct</v>
      </c>
      <c r="B22" s="28" t="s">
        <v>196</v>
      </c>
      <c r="C22" s="28" t="s">
        <v>341</v>
      </c>
      <c r="D22" s="28" t="s">
        <v>342</v>
      </c>
      <c r="E22" t="str">
        <f t="shared" si="4"/>
        <v>Ok</v>
      </c>
      <c r="G22" t="str">
        <f t="shared" si="5"/>
        <v>INSTRUMENTrsk_mtgtd_cct</v>
      </c>
      <c r="I22" s="16" t="str">
        <f t="shared" si="1"/>
        <v>lt003_entityenblng_trnvr_ccm</v>
      </c>
      <c r="J22" s="29" t="s">
        <v>294</v>
      </c>
      <c r="K22" s="30" t="s">
        <v>305</v>
      </c>
      <c r="L22" t="str">
        <f t="shared" si="6"/>
        <v>Ok</v>
      </c>
      <c r="Q22" s="34" t="s">
        <v>215</v>
      </c>
      <c r="R22" s="36" t="s">
        <v>242</v>
      </c>
      <c r="S22" t="str">
        <f t="shared" si="7"/>
        <v>enblng_capex_ccm</v>
      </c>
      <c r="T22" t="str">
        <f t="shared" si="8"/>
        <v>ENTITYenblng_capex_ccm</v>
      </c>
      <c r="U22" s="41" t="s">
        <v>408</v>
      </c>
      <c r="V22" s="41" t="s">
        <v>408</v>
      </c>
      <c r="W22" t="s">
        <v>410</v>
      </c>
      <c r="AB22" s="29" t="s">
        <v>294</v>
      </c>
      <c r="AC22" s="30" t="s">
        <v>315</v>
      </c>
      <c r="AD22" t="str">
        <f t="shared" si="2"/>
        <v>lt003_entityflg_act_physcl_rsk</v>
      </c>
      <c r="AE22" t="str">
        <f t="shared" si="3"/>
        <v>lt003_entityflg_act_physcl_rsk</v>
      </c>
    </row>
    <row r="23" spans="1:31" ht="17.399999999999999" x14ac:dyDescent="0.3">
      <c r="A23" s="16" t="str">
        <f t="shared" si="0"/>
        <v>lt002_instrumentrsk_mtgtd_ccp</v>
      </c>
      <c r="B23" s="28" t="s">
        <v>196</v>
      </c>
      <c r="C23" s="28" t="s">
        <v>341</v>
      </c>
      <c r="D23" s="28" t="s">
        <v>343</v>
      </c>
      <c r="E23" t="str">
        <f t="shared" si="4"/>
        <v>Ok</v>
      </c>
      <c r="G23" t="str">
        <f t="shared" si="5"/>
        <v>INSTRUMENTrsk_mtgtd_ccp</v>
      </c>
      <c r="I23" s="16" t="str">
        <f t="shared" si="1"/>
        <v>lt003_entityenblng_trnvr_cca</v>
      </c>
      <c r="J23" s="29" t="s">
        <v>294</v>
      </c>
      <c r="K23" s="30" t="s">
        <v>306</v>
      </c>
      <c r="L23" t="str">
        <f t="shared" si="6"/>
        <v>Ok</v>
      </c>
      <c r="Q23" s="34" t="s">
        <v>215</v>
      </c>
      <c r="R23" s="36" t="s">
        <v>243</v>
      </c>
      <c r="S23" t="str">
        <f t="shared" si="7"/>
        <v>enblng_capex_cca</v>
      </c>
      <c r="T23" t="str">
        <f t="shared" si="8"/>
        <v>ENTITYenblng_capex_cca</v>
      </c>
      <c r="U23" s="41" t="s">
        <v>408</v>
      </c>
      <c r="V23" s="41" t="s">
        <v>408</v>
      </c>
      <c r="W23" t="s">
        <v>410</v>
      </c>
      <c r="AB23" s="29" t="s">
        <v>294</v>
      </c>
      <c r="AC23" s="30" t="s">
        <v>316</v>
      </c>
      <c r="AD23" t="str">
        <f t="shared" si="2"/>
        <v>lt003_entityflg_chrnc_physcl_rsk</v>
      </c>
      <c r="AE23" t="str">
        <f t="shared" si="3"/>
        <v>lt003_entityflg_chrnc_physcl_rsk</v>
      </c>
    </row>
    <row r="24" spans="1:31" ht="17.399999999999999" x14ac:dyDescent="0.3">
      <c r="A24" s="16" t="str">
        <f t="shared" si="0"/>
        <v>lt002_instrumentenvrnmntl_objctv</v>
      </c>
      <c r="B24" s="28" t="s">
        <v>196</v>
      </c>
      <c r="C24" s="28" t="s">
        <v>341</v>
      </c>
      <c r="D24" s="28" t="s">
        <v>344</v>
      </c>
      <c r="E24" t="str">
        <f t="shared" si="4"/>
        <v>Ok</v>
      </c>
      <c r="G24" t="str">
        <f t="shared" si="5"/>
        <v>INSTRUMENTenvrnmntl_objctv</v>
      </c>
      <c r="I24" s="16" t="str">
        <f t="shared" si="1"/>
        <v>lt003_entitytrnstnl_trnvr</v>
      </c>
      <c r="J24" s="29" t="s">
        <v>294</v>
      </c>
      <c r="K24" s="30" t="s">
        <v>307</v>
      </c>
      <c r="L24" t="str">
        <f t="shared" si="6"/>
        <v>Ok</v>
      </c>
      <c r="Q24" s="34" t="s">
        <v>215</v>
      </c>
      <c r="R24" s="36" t="s">
        <v>244</v>
      </c>
      <c r="S24" t="str">
        <f t="shared" si="7"/>
        <v>trnstnl_capex</v>
      </c>
      <c r="T24" t="str">
        <f t="shared" si="8"/>
        <v>ENTITYtrnstnl_capex</v>
      </c>
      <c r="U24" s="41" t="s">
        <v>408</v>
      </c>
      <c r="V24" s="41" t="s">
        <v>408</v>
      </c>
      <c r="W24" t="s">
        <v>410</v>
      </c>
      <c r="AB24" s="29" t="s">
        <v>294</v>
      </c>
      <c r="AC24" s="30" t="s">
        <v>317</v>
      </c>
      <c r="AD24" t="str">
        <f t="shared" si="2"/>
        <v>lt003_entitypst_cd</v>
      </c>
      <c r="AE24" t="str">
        <f t="shared" si="3"/>
        <v>lt003_entitypst_cd</v>
      </c>
    </row>
    <row r="25" spans="1:31" ht="17.399999999999999" x14ac:dyDescent="0.3">
      <c r="A25" s="16" t="str">
        <f t="shared" si="0"/>
        <v>lt002_instrumenttyp_actvty</v>
      </c>
      <c r="B25" s="28" t="s">
        <v>196</v>
      </c>
      <c r="C25" s="28" t="s">
        <v>341</v>
      </c>
      <c r="D25" s="28" t="s">
        <v>345</v>
      </c>
      <c r="E25" t="str">
        <f t="shared" si="4"/>
        <v>Ok</v>
      </c>
      <c r="G25" t="str">
        <f t="shared" si="5"/>
        <v>INSTRUMENTtyp_actvty</v>
      </c>
      <c r="I25" s="16" t="str">
        <f t="shared" si="1"/>
        <v>lt003_entitypure_trnvr_ccm</v>
      </c>
      <c r="J25" s="29" t="s">
        <v>294</v>
      </c>
      <c r="K25" s="30" t="s">
        <v>308</v>
      </c>
      <c r="L25" t="str">
        <f t="shared" si="6"/>
        <v>Ok</v>
      </c>
      <c r="Q25" s="34" t="s">
        <v>215</v>
      </c>
      <c r="R25" s="37" t="s">
        <v>245</v>
      </c>
      <c r="S25" t="str">
        <f t="shared" si="7"/>
        <v>pure_capex_ccm</v>
      </c>
      <c r="T25" t="str">
        <f t="shared" si="8"/>
        <v>ENTITYpure_capex_ccm</v>
      </c>
      <c r="U25" s="41" t="s">
        <v>408</v>
      </c>
      <c r="V25" s="41" t="s">
        <v>408</v>
      </c>
      <c r="W25" t="s">
        <v>410</v>
      </c>
      <c r="AB25" s="29" t="s">
        <v>294</v>
      </c>
      <c r="AC25" s="30" t="s">
        <v>318</v>
      </c>
      <c r="AD25" t="str">
        <f t="shared" si="2"/>
        <v>lt003_entityesg_sbsctr</v>
      </c>
      <c r="AE25" t="str">
        <f t="shared" si="3"/>
        <v>lt003_entityesg_sbsctr</v>
      </c>
    </row>
    <row r="26" spans="1:31" ht="17.399999999999999" x14ac:dyDescent="0.3">
      <c r="A26" s="16" t="str">
        <f t="shared" si="0"/>
        <v>lt002_instrumentlns_clltrlzd_clssfctn</v>
      </c>
      <c r="B26" s="28" t="s">
        <v>196</v>
      </c>
      <c r="C26" s="28" t="s">
        <v>341</v>
      </c>
      <c r="D26" s="28" t="s">
        <v>346</v>
      </c>
      <c r="E26" t="str">
        <f t="shared" si="4"/>
        <v>Ok</v>
      </c>
      <c r="G26" t="str">
        <f t="shared" si="5"/>
        <v>INSTRUMENTlns_clltrlzd_clssfctn</v>
      </c>
      <c r="I26" s="16" t="str">
        <f t="shared" si="1"/>
        <v>lt003_entitypure_trnvr_cca</v>
      </c>
      <c r="J26" s="29" t="s">
        <v>294</v>
      </c>
      <c r="K26" s="30" t="s">
        <v>309</v>
      </c>
      <c r="L26" t="str">
        <f t="shared" si="6"/>
        <v>Ok</v>
      </c>
      <c r="Q26" s="34" t="s">
        <v>215</v>
      </c>
      <c r="R26" s="37" t="s">
        <v>246</v>
      </c>
      <c r="S26" t="str">
        <f t="shared" si="7"/>
        <v>pure_capex_cca</v>
      </c>
      <c r="T26" t="str">
        <f t="shared" si="8"/>
        <v>ENTITYpure_capex_cca</v>
      </c>
      <c r="U26" s="41" t="s">
        <v>408</v>
      </c>
      <c r="V26" s="41" t="s">
        <v>408</v>
      </c>
      <c r="W26" t="s">
        <v>410</v>
      </c>
      <c r="AB26" s="29" t="s">
        <v>294</v>
      </c>
      <c r="AC26" s="30" t="s">
        <v>319</v>
      </c>
      <c r="AD26" t="str">
        <f t="shared" si="2"/>
        <v>lt003_entityttl_lblty</v>
      </c>
      <c r="AE26" t="str">
        <f t="shared" si="3"/>
        <v>lt003_entityttl_lblty</v>
      </c>
    </row>
    <row r="27" spans="1:31" ht="17.399999999999999" x14ac:dyDescent="0.3">
      <c r="A27" s="16" t="str">
        <f t="shared" si="0"/>
        <v>lt002_instrumentmthd_usd_instrmnt_scp_1</v>
      </c>
      <c r="B27" s="28" t="s">
        <v>196</v>
      </c>
      <c r="C27" s="28" t="s">
        <v>341</v>
      </c>
      <c r="D27" s="28" t="s">
        <v>347</v>
      </c>
      <c r="E27" t="str">
        <f t="shared" si="4"/>
        <v>Ok</v>
      </c>
      <c r="G27" t="str">
        <f t="shared" si="5"/>
        <v>INSTRUMENTmthd_usd_instrmnt_scp_1</v>
      </c>
      <c r="I27" s="16" t="str">
        <f t="shared" si="1"/>
        <v>lt003_entityflg_nfrd_applcblty</v>
      </c>
      <c r="J27" s="29" t="s">
        <v>294</v>
      </c>
      <c r="K27" s="30" t="s">
        <v>310</v>
      </c>
      <c r="L27" t="str">
        <f t="shared" si="6"/>
        <v>Ok</v>
      </c>
      <c r="Q27" s="34" t="s">
        <v>215</v>
      </c>
      <c r="R27" s="36" t="s">
        <v>247</v>
      </c>
      <c r="S27" t="str">
        <f t="shared" si="7"/>
        <v>enblng_trnvr_ccm</v>
      </c>
      <c r="T27" t="str">
        <f t="shared" si="8"/>
        <v>ENTITYenblng_trnvr_ccm</v>
      </c>
      <c r="U27" s="41" t="s">
        <v>408</v>
      </c>
      <c r="V27" s="41" t="s">
        <v>408</v>
      </c>
      <c r="W27" t="s">
        <v>410</v>
      </c>
      <c r="AB27" s="29" t="s">
        <v>294</v>
      </c>
      <c r="AC27" s="30" t="s">
        <v>110</v>
      </c>
      <c r="AD27" t="str">
        <f t="shared" si="2"/>
        <v>lt003_entityisin</v>
      </c>
      <c r="AE27" t="str">
        <f t="shared" si="3"/>
        <v>lt003_entityisin</v>
      </c>
    </row>
    <row r="28" spans="1:31" ht="17.399999999999999" x14ac:dyDescent="0.3">
      <c r="A28" s="16" t="str">
        <f t="shared" si="0"/>
        <v>lt002_instrumentmthd_usd_instrmnt_scp_2</v>
      </c>
      <c r="B28" s="28" t="s">
        <v>196</v>
      </c>
      <c r="C28" s="28" t="s">
        <v>341</v>
      </c>
      <c r="D28" s="28" t="s">
        <v>348</v>
      </c>
      <c r="E28" t="str">
        <f t="shared" si="4"/>
        <v>Ok</v>
      </c>
      <c r="G28" t="str">
        <f t="shared" si="5"/>
        <v>INSTRUMENTmthd_usd_instrmnt_scp_2</v>
      </c>
      <c r="I28" s="16" t="str">
        <f t="shared" si="1"/>
        <v>lt003_entitycntrprty_emssns_scp1</v>
      </c>
      <c r="J28" s="29" t="s">
        <v>294</v>
      </c>
      <c r="K28" s="30" t="s">
        <v>311</v>
      </c>
      <c r="L28" t="str">
        <f t="shared" si="6"/>
        <v>Ok</v>
      </c>
      <c r="Q28" s="34" t="s">
        <v>215</v>
      </c>
      <c r="R28" s="36" t="s">
        <v>248</v>
      </c>
      <c r="S28" t="str">
        <f t="shared" si="7"/>
        <v>enblng_trnvr_cca</v>
      </c>
      <c r="T28" t="str">
        <f t="shared" si="8"/>
        <v>ENTITYenblng_trnvr_cca</v>
      </c>
      <c r="U28" s="41" t="s">
        <v>408</v>
      </c>
      <c r="V28" s="41" t="s">
        <v>408</v>
      </c>
      <c r="W28" t="s">
        <v>410</v>
      </c>
      <c r="AB28" s="29" t="s">
        <v>294</v>
      </c>
      <c r="AC28" s="30" t="s">
        <v>320</v>
      </c>
      <c r="AD28" t="str">
        <f t="shared" si="2"/>
        <v>lt003_entitygrp_annl_trnvr_le</v>
      </c>
      <c r="AE28" t="str">
        <f t="shared" si="3"/>
        <v>lt003_entitygrp_annl_trnvr_le</v>
      </c>
    </row>
    <row r="29" spans="1:31" ht="17.399999999999999" x14ac:dyDescent="0.3">
      <c r="A29" s="16" t="str">
        <f t="shared" si="0"/>
        <v>lt002_instrumentmthd_usd_instrmnt_scp_3</v>
      </c>
      <c r="B29" s="28" t="s">
        <v>196</v>
      </c>
      <c r="C29" s="28" t="s">
        <v>341</v>
      </c>
      <c r="D29" s="28" t="s">
        <v>349</v>
      </c>
      <c r="E29" t="str">
        <f t="shared" si="4"/>
        <v>Ok</v>
      </c>
      <c r="G29" t="str">
        <f t="shared" si="5"/>
        <v>INSTRUMENTmthd_usd_instrmnt_scp_3</v>
      </c>
      <c r="I29" s="16" t="str">
        <f t="shared" si="1"/>
        <v>lt003_entitycntrprty_emssns_scp2</v>
      </c>
      <c r="J29" s="29" t="s">
        <v>294</v>
      </c>
      <c r="K29" s="30" t="s">
        <v>312</v>
      </c>
      <c r="L29" t="str">
        <f t="shared" si="6"/>
        <v>Ok</v>
      </c>
      <c r="Q29" s="34" t="s">
        <v>215</v>
      </c>
      <c r="R29" s="36" t="s">
        <v>249</v>
      </c>
      <c r="S29" t="str">
        <f t="shared" si="7"/>
        <v>trnstnl_trnvr</v>
      </c>
      <c r="T29" t="str">
        <f t="shared" si="8"/>
        <v>ENTITYtrnstnl_trnvr</v>
      </c>
      <c r="U29" s="41" t="s">
        <v>408</v>
      </c>
      <c r="V29" s="41" t="s">
        <v>408</v>
      </c>
      <c r="W29" t="s">
        <v>410</v>
      </c>
      <c r="AB29" s="29" t="s">
        <v>294</v>
      </c>
      <c r="AC29" s="30" t="s">
        <v>321</v>
      </c>
      <c r="AD29" t="str">
        <f t="shared" si="2"/>
        <v>lt003_entitygrp_ttl_lblty</v>
      </c>
      <c r="AE29" t="str">
        <f t="shared" si="3"/>
        <v>lt003_entitygrp_ttl_lblty</v>
      </c>
    </row>
    <row r="30" spans="1:31" ht="17.399999999999999" x14ac:dyDescent="0.3">
      <c r="A30" s="16" t="str">
        <f t="shared" si="0"/>
        <v>lt002_instrumentsstnbl_ctgry_txnmy</v>
      </c>
      <c r="B30" s="28" t="s">
        <v>196</v>
      </c>
      <c r="C30" s="28" t="s">
        <v>341</v>
      </c>
      <c r="D30" s="28" t="s">
        <v>350</v>
      </c>
      <c r="E30" t="str">
        <f t="shared" si="4"/>
        <v>Ok</v>
      </c>
      <c r="G30" t="str">
        <f t="shared" si="5"/>
        <v>INSTRUMENTsstnbl_ctgry_txnmy</v>
      </c>
      <c r="I30" s="16" t="str">
        <f t="shared" si="1"/>
        <v>lt003_entitycntrprty_emssns_scp3</v>
      </c>
      <c r="J30" s="29" t="s">
        <v>294</v>
      </c>
      <c r="K30" s="30" t="s">
        <v>313</v>
      </c>
      <c r="L30" t="str">
        <f t="shared" si="6"/>
        <v>Ok</v>
      </c>
      <c r="Q30" s="34" t="s">
        <v>215</v>
      </c>
      <c r="R30" s="37" t="s">
        <v>250</v>
      </c>
      <c r="S30" t="str">
        <f t="shared" si="7"/>
        <v>pure_trnvr_ccm</v>
      </c>
      <c r="T30" t="str">
        <f t="shared" si="8"/>
        <v>ENTITYpure_trnvr_ccm</v>
      </c>
      <c r="U30" s="41" t="s">
        <v>408</v>
      </c>
      <c r="V30" s="41" t="s">
        <v>408</v>
      </c>
      <c r="W30" t="s">
        <v>410</v>
      </c>
      <c r="AB30" s="29" t="s">
        <v>294</v>
      </c>
      <c r="AC30" s="30" t="s">
        <v>322</v>
      </c>
      <c r="AD30" t="str">
        <f t="shared" si="2"/>
        <v>lt003_entityflg_grp_nfrd_applcblty</v>
      </c>
      <c r="AE30" t="str">
        <f t="shared" si="3"/>
        <v>lt003_entityflg_grp_nfrd_applcblty</v>
      </c>
    </row>
    <row r="31" spans="1:31" ht="17.399999999999999" x14ac:dyDescent="0.3">
      <c r="A31" s="16" t="str">
        <f t="shared" si="0"/>
        <v>lt002_instrumentsstnbl_indctr</v>
      </c>
      <c r="B31" s="32" t="s">
        <v>196</v>
      </c>
      <c r="C31" s="32" t="s">
        <v>341</v>
      </c>
      <c r="D31" s="32" t="s">
        <v>381</v>
      </c>
      <c r="E31" s="18" t="str">
        <f t="shared" si="4"/>
        <v>Nok</v>
      </c>
      <c r="F31" s="32" t="s">
        <v>405</v>
      </c>
      <c r="G31" t="str">
        <f t="shared" si="5"/>
        <v>INSTRUMENTsstnbl_indctr</v>
      </c>
      <c r="I31" s="16" t="str">
        <f t="shared" si="1"/>
        <v>lt003_entityflg_excldd_eu_prs_algnd_bnchmrk</v>
      </c>
      <c r="J31" s="29" t="s">
        <v>294</v>
      </c>
      <c r="K31" s="30" t="s">
        <v>314</v>
      </c>
      <c r="L31" t="str">
        <f t="shared" si="6"/>
        <v>Ok</v>
      </c>
      <c r="Q31" s="34" t="s">
        <v>215</v>
      </c>
      <c r="R31" s="37" t="s">
        <v>251</v>
      </c>
      <c r="S31" t="str">
        <f t="shared" si="7"/>
        <v>pure_trnvr_cca</v>
      </c>
      <c r="T31" t="str">
        <f t="shared" si="8"/>
        <v>ENTITYpure_trnvr_cca</v>
      </c>
      <c r="U31" s="41" t="s">
        <v>408</v>
      </c>
      <c r="V31" s="41" t="s">
        <v>408</v>
      </c>
      <c r="W31" t="s">
        <v>410</v>
      </c>
      <c r="AB31" s="29" t="s">
        <v>294</v>
      </c>
      <c r="AC31" s="30" t="s">
        <v>323</v>
      </c>
      <c r="AD31" t="str">
        <f t="shared" si="2"/>
        <v>lt003_entitygrp_emssns_scp1</v>
      </c>
      <c r="AE31" t="str">
        <f t="shared" si="3"/>
        <v>lt003_entitygrp_emssns_scp1</v>
      </c>
    </row>
    <row r="32" spans="1:31" ht="17.399999999999999" x14ac:dyDescent="0.3">
      <c r="A32" s="16" t="str">
        <f t="shared" si="0"/>
        <v>lt002_instrumentsstnbl_ctgry</v>
      </c>
      <c r="B32" s="32" t="s">
        <v>196</v>
      </c>
      <c r="C32" s="32" t="s">
        <v>341</v>
      </c>
      <c r="D32" s="32" t="s">
        <v>382</v>
      </c>
      <c r="E32" s="18" t="str">
        <f t="shared" si="4"/>
        <v>Nok</v>
      </c>
      <c r="F32" s="32" t="s">
        <v>405</v>
      </c>
      <c r="G32" t="str">
        <f t="shared" si="5"/>
        <v>INSTRUMENTsstnbl_ctgry</v>
      </c>
      <c r="I32" s="16" t="str">
        <f t="shared" si="1"/>
        <v>lt003_entityflg_act_physcl_rsk</v>
      </c>
      <c r="J32" s="29" t="s">
        <v>294</v>
      </c>
      <c r="K32" s="30" t="s">
        <v>315</v>
      </c>
      <c r="L32" t="str">
        <f t="shared" si="6"/>
        <v>Ok</v>
      </c>
      <c r="Q32" s="34" t="s">
        <v>215</v>
      </c>
      <c r="R32" s="36" t="s">
        <v>252</v>
      </c>
      <c r="S32" t="str">
        <f t="shared" si="7"/>
        <v>flg_nfrd_applcblty</v>
      </c>
      <c r="T32" t="str">
        <f t="shared" si="8"/>
        <v>ENTITYflg_nfrd_applcblty</v>
      </c>
      <c r="U32" s="41" t="s">
        <v>408</v>
      </c>
      <c r="V32" s="41" t="s">
        <v>408</v>
      </c>
      <c r="W32" t="s">
        <v>410</v>
      </c>
      <c r="AB32" s="29" t="s">
        <v>294</v>
      </c>
      <c r="AC32" s="30" t="s">
        <v>324</v>
      </c>
      <c r="AD32" t="str">
        <f t="shared" si="2"/>
        <v>lt003_entitygrp_emssns_scp2</v>
      </c>
      <c r="AE32" t="str">
        <f t="shared" si="3"/>
        <v>lt003_entitygrp_emssns_scp2</v>
      </c>
    </row>
    <row r="33" spans="1:31" ht="17.399999999999999" x14ac:dyDescent="0.3">
      <c r="A33" s="16" t="str">
        <f t="shared" si="0"/>
        <v>lt002_instrumentgrss_intrst_incm</v>
      </c>
      <c r="B33" s="32" t="s">
        <v>196</v>
      </c>
      <c r="C33" s="32" t="s">
        <v>341</v>
      </c>
      <c r="D33" s="32" t="s">
        <v>383</v>
      </c>
      <c r="E33" s="18" t="str">
        <f t="shared" si="4"/>
        <v>Nok</v>
      </c>
      <c r="F33" s="32" t="s">
        <v>405</v>
      </c>
      <c r="G33" t="str">
        <f t="shared" si="5"/>
        <v>INSTRUMENTgrss_intrst_incm</v>
      </c>
      <c r="I33" s="16" t="str">
        <f t="shared" si="1"/>
        <v>lt003_entityflg_chrnc_physcl_rsk</v>
      </c>
      <c r="J33" s="29" t="s">
        <v>294</v>
      </c>
      <c r="K33" s="30" t="s">
        <v>316</v>
      </c>
      <c r="L33" t="str">
        <f t="shared" si="6"/>
        <v>Ok</v>
      </c>
      <c r="Q33" s="34" t="s">
        <v>215</v>
      </c>
      <c r="R33" s="36" t="s">
        <v>265</v>
      </c>
      <c r="S33" t="str">
        <f t="shared" si="7"/>
        <v>flg_grp_nfrd_applcblty</v>
      </c>
      <c r="T33" t="str">
        <f t="shared" si="8"/>
        <v>ENTITYflg_grp_nfrd_applcblty</v>
      </c>
      <c r="U33" s="41" t="s">
        <v>408</v>
      </c>
      <c r="V33" s="41" t="s">
        <v>408</v>
      </c>
      <c r="W33" t="s">
        <v>410</v>
      </c>
      <c r="AB33" s="29" t="s">
        <v>294</v>
      </c>
      <c r="AC33" s="30" t="s">
        <v>325</v>
      </c>
      <c r="AD33" t="str">
        <f t="shared" si="2"/>
        <v>lt003_entitygrp_emssns_scp3</v>
      </c>
      <c r="AE33" t="str">
        <f t="shared" si="3"/>
        <v>lt003_entitygrp_emssns_scp3</v>
      </c>
    </row>
    <row r="34" spans="1:31" ht="17.399999999999999" x14ac:dyDescent="0.3">
      <c r="A34" s="16" t="str">
        <f t="shared" si="0"/>
        <v>lt002_instrumentgrss_cmmssn_incm</v>
      </c>
      <c r="B34" s="32" t="s">
        <v>196</v>
      </c>
      <c r="C34" s="32" t="s">
        <v>341</v>
      </c>
      <c r="D34" s="32" t="s">
        <v>384</v>
      </c>
      <c r="E34" s="18" t="str">
        <f t="shared" si="4"/>
        <v>Nok</v>
      </c>
      <c r="F34" s="32" t="s">
        <v>405</v>
      </c>
      <c r="G34" t="str">
        <f t="shared" si="5"/>
        <v>INSTRUMENTgrss_cmmssn_incm</v>
      </c>
      <c r="I34" s="16" t="str">
        <f t="shared" si="1"/>
        <v>lt003_entitypst_cd</v>
      </c>
      <c r="J34" s="29" t="s">
        <v>294</v>
      </c>
      <c r="K34" s="30" t="s">
        <v>317</v>
      </c>
      <c r="L34" t="str">
        <f t="shared" si="6"/>
        <v>Ok</v>
      </c>
      <c r="Q34" s="34" t="s">
        <v>215</v>
      </c>
      <c r="R34" s="36" t="s">
        <v>262</v>
      </c>
      <c r="S34" t="str">
        <f t="shared" si="7"/>
        <v>isin</v>
      </c>
      <c r="T34" t="str">
        <f t="shared" si="8"/>
        <v>ENTITYisin</v>
      </c>
      <c r="U34" s="41" t="s">
        <v>408</v>
      </c>
      <c r="V34" s="41" t="s">
        <v>408</v>
      </c>
      <c r="W34" t="s">
        <v>410</v>
      </c>
      <c r="AB34" s="29" t="s">
        <v>326</v>
      </c>
      <c r="AC34" s="30" t="s">
        <v>327</v>
      </c>
      <c r="AD34" t="str">
        <f t="shared" si="2"/>
        <v>lt004_protectiontyp_ep_scr</v>
      </c>
      <c r="AE34" t="str">
        <f t="shared" si="3"/>
        <v>lt004_protectiontyp_ep_scr</v>
      </c>
    </row>
    <row r="35" spans="1:31" ht="17.399999999999999" x14ac:dyDescent="0.3">
      <c r="A35" s="16" t="str">
        <f t="shared" ref="A35:A66" si="9">C35&amp;D35</f>
        <v>lt002_instrumentgrss_cmmssn_incm_off_blnc</v>
      </c>
      <c r="B35" s="32" t="s">
        <v>196</v>
      </c>
      <c r="C35" s="32" t="s">
        <v>341</v>
      </c>
      <c r="D35" s="32" t="s">
        <v>385</v>
      </c>
      <c r="E35" s="18" t="str">
        <f t="shared" si="4"/>
        <v>Nok</v>
      </c>
      <c r="F35" s="32" t="s">
        <v>405</v>
      </c>
      <c r="G35" t="str">
        <f t="shared" si="5"/>
        <v>INSTRUMENTgrss_cmmssn_incm_off_blnc</v>
      </c>
      <c r="I35" s="16" t="str">
        <f t="shared" ref="I35:I66" si="10">J35&amp;K35</f>
        <v>lt003_entityesg_sbsctr</v>
      </c>
      <c r="J35" s="29" t="s">
        <v>294</v>
      </c>
      <c r="K35" s="30" t="s">
        <v>318</v>
      </c>
      <c r="L35" t="str">
        <f t="shared" si="6"/>
        <v>Ok</v>
      </c>
      <c r="Q35" s="34" t="s">
        <v>215</v>
      </c>
      <c r="R35" s="36" t="s">
        <v>263</v>
      </c>
      <c r="S35" t="str">
        <f t="shared" si="7"/>
        <v>grp_annl_trnvr_le</v>
      </c>
      <c r="T35" t="str">
        <f t="shared" si="8"/>
        <v>ENTITYgrp_annl_trnvr_le</v>
      </c>
      <c r="U35" s="41" t="s">
        <v>408</v>
      </c>
      <c r="V35" s="41" t="s">
        <v>408</v>
      </c>
      <c r="W35" t="s">
        <v>410</v>
      </c>
      <c r="AB35" s="29" t="s">
        <v>326</v>
      </c>
      <c r="AC35" s="30" t="s">
        <v>328</v>
      </c>
      <c r="AD35" t="str">
        <f t="shared" si="2"/>
        <v>lt004_protectionep_scr</v>
      </c>
      <c r="AE35" t="str">
        <f t="shared" si="3"/>
        <v>lt004_protectionep_scr</v>
      </c>
    </row>
    <row r="36" spans="1:31" ht="17.399999999999999" x14ac:dyDescent="0.3">
      <c r="A36" s="16" t="str">
        <f t="shared" si="9"/>
        <v>lt002_instrumentidcmb</v>
      </c>
      <c r="B36" s="32" t="s">
        <v>196</v>
      </c>
      <c r="C36" s="32" t="s">
        <v>341</v>
      </c>
      <c r="D36" s="32" t="s">
        <v>386</v>
      </c>
      <c r="E36" s="18" t="str">
        <f t="shared" si="4"/>
        <v>Nok</v>
      </c>
      <c r="F36" s="28" t="s">
        <v>513</v>
      </c>
      <c r="G36" t="str">
        <f t="shared" si="5"/>
        <v>INSTRUMENTidcmb</v>
      </c>
      <c r="I36" s="16" t="str">
        <f t="shared" si="10"/>
        <v>lt003_entityttl_lblty</v>
      </c>
      <c r="J36" s="29" t="s">
        <v>294</v>
      </c>
      <c r="K36" s="30" t="s">
        <v>319</v>
      </c>
      <c r="L36" t="str">
        <f t="shared" si="6"/>
        <v>Ok</v>
      </c>
      <c r="Q36" s="34" t="s">
        <v>215</v>
      </c>
      <c r="R36" s="36" t="s">
        <v>264</v>
      </c>
      <c r="S36" t="str">
        <f t="shared" si="7"/>
        <v>grp_ttl_lblty</v>
      </c>
      <c r="T36" t="str">
        <f t="shared" si="8"/>
        <v>ENTITYgrp_ttl_lblty</v>
      </c>
      <c r="U36" s="41" t="s">
        <v>408</v>
      </c>
      <c r="V36" s="41" t="s">
        <v>408</v>
      </c>
      <c r="W36" t="s">
        <v>410</v>
      </c>
      <c r="AB36" s="29" t="s">
        <v>326</v>
      </c>
      <c r="AC36" s="30" t="s">
        <v>329</v>
      </c>
      <c r="AD36" t="str">
        <f t="shared" si="2"/>
        <v>lt004_protectiontyp_epc_lbl</v>
      </c>
      <c r="AE36" t="str">
        <f t="shared" si="3"/>
        <v>lt004_protectiontyp_epc_lbl</v>
      </c>
    </row>
    <row r="37" spans="1:31" ht="17.399999999999999" x14ac:dyDescent="0.3">
      <c r="A37" s="16" t="str">
        <f t="shared" si="9"/>
        <v>lt003_entitycntry</v>
      </c>
      <c r="B37" s="32" t="s">
        <v>215</v>
      </c>
      <c r="C37" s="32" t="s">
        <v>294</v>
      </c>
      <c r="D37" s="32" t="s">
        <v>387</v>
      </c>
      <c r="E37" s="18" t="str">
        <f t="shared" si="4"/>
        <v>Nok</v>
      </c>
      <c r="F37" s="28" t="s">
        <v>513</v>
      </c>
      <c r="G37" t="str">
        <f t="shared" si="5"/>
        <v>ENTITYcntry</v>
      </c>
      <c r="I37" s="16" t="str">
        <f t="shared" si="10"/>
        <v>lt003_entityisin</v>
      </c>
      <c r="J37" s="29" t="s">
        <v>294</v>
      </c>
      <c r="K37" s="30" t="s">
        <v>110</v>
      </c>
      <c r="L37" t="str">
        <f t="shared" si="6"/>
        <v>Ok</v>
      </c>
      <c r="Q37" s="34" t="s">
        <v>215</v>
      </c>
      <c r="R37" s="36" t="s">
        <v>253</v>
      </c>
      <c r="S37" t="str">
        <f t="shared" si="7"/>
        <v>cntrprty_emssns_scp1</v>
      </c>
      <c r="T37" t="str">
        <f t="shared" si="8"/>
        <v>ENTITYcntrprty_emssns_scp1</v>
      </c>
      <c r="U37" s="41" t="s">
        <v>408</v>
      </c>
      <c r="V37" s="41" t="s">
        <v>408</v>
      </c>
      <c r="W37" t="s">
        <v>410</v>
      </c>
      <c r="AB37" s="29" t="s">
        <v>326</v>
      </c>
      <c r="AC37" s="30" t="s">
        <v>330</v>
      </c>
      <c r="AD37" t="str">
        <f t="shared" si="2"/>
        <v>lt004_protectionepc_lbl</v>
      </c>
      <c r="AE37" t="str">
        <f t="shared" si="3"/>
        <v>lt004_protectionepc_lbl</v>
      </c>
    </row>
    <row r="38" spans="1:31" ht="17.399999999999999" x14ac:dyDescent="0.3">
      <c r="A38" s="16" t="str">
        <f t="shared" si="9"/>
        <v>lt003_entitydt_rfrnc</v>
      </c>
      <c r="B38" s="32" t="s">
        <v>215</v>
      </c>
      <c r="C38" s="32" t="s">
        <v>294</v>
      </c>
      <c r="D38" s="32" t="s">
        <v>362</v>
      </c>
      <c r="E38" s="18" t="str">
        <f t="shared" si="4"/>
        <v>Nok</v>
      </c>
      <c r="F38" s="28" t="s">
        <v>513</v>
      </c>
      <c r="G38" t="str">
        <f t="shared" si="5"/>
        <v>ENTITYdt_rfrnc</v>
      </c>
      <c r="I38" s="16" t="str">
        <f t="shared" si="10"/>
        <v>lt003_entitygrp_annl_trnvr_le</v>
      </c>
      <c r="J38" s="29" t="s">
        <v>294</v>
      </c>
      <c r="K38" s="30" t="s">
        <v>320</v>
      </c>
      <c r="L38" t="str">
        <f t="shared" si="6"/>
        <v>Ok</v>
      </c>
      <c r="Q38" s="34" t="s">
        <v>215</v>
      </c>
      <c r="R38" s="36" t="s">
        <v>254</v>
      </c>
      <c r="S38" t="str">
        <f t="shared" si="7"/>
        <v>cntrprty_emssns_scp2</v>
      </c>
      <c r="T38" t="str">
        <f t="shared" si="8"/>
        <v>ENTITYcntrprty_emssns_scp2</v>
      </c>
      <c r="U38" s="41" t="s">
        <v>408</v>
      </c>
      <c r="V38" s="41" t="s">
        <v>408</v>
      </c>
      <c r="W38" t="s">
        <v>410</v>
      </c>
      <c r="AB38" s="29" t="s">
        <v>326</v>
      </c>
      <c r="AC38" s="30" t="s">
        <v>331</v>
      </c>
      <c r="AD38" t="str">
        <f t="shared" si="2"/>
        <v>lt004_protectionemssns_scp1_prtctn</v>
      </c>
      <c r="AE38" t="str">
        <f t="shared" si="3"/>
        <v>lt004_protectionemssns_scp1_prtctn</v>
      </c>
    </row>
    <row r="39" spans="1:31" ht="17.399999999999999" x14ac:dyDescent="0.3">
      <c r="A39" s="16" t="str">
        <f t="shared" si="9"/>
        <v>lt003_entityentty_id</v>
      </c>
      <c r="B39" s="32" t="s">
        <v>215</v>
      </c>
      <c r="C39" s="32" t="s">
        <v>294</v>
      </c>
      <c r="D39" s="32" t="s">
        <v>388</v>
      </c>
      <c r="E39" s="18" t="str">
        <f t="shared" si="4"/>
        <v>Nok</v>
      </c>
      <c r="F39" s="28" t="s">
        <v>513</v>
      </c>
      <c r="G39" t="str">
        <f t="shared" si="5"/>
        <v>ENTITYentty_id</v>
      </c>
      <c r="I39" s="16" t="str">
        <f t="shared" si="10"/>
        <v>lt003_entitygrp_ttl_lblty</v>
      </c>
      <c r="J39" s="29" t="s">
        <v>294</v>
      </c>
      <c r="K39" s="30" t="s">
        <v>321</v>
      </c>
      <c r="L39" t="str">
        <f t="shared" si="6"/>
        <v>Ok</v>
      </c>
      <c r="Q39" s="34" t="s">
        <v>215</v>
      </c>
      <c r="R39" s="36" t="s">
        <v>255</v>
      </c>
      <c r="S39" t="str">
        <f t="shared" si="7"/>
        <v>cntrprty_emssns_scp3</v>
      </c>
      <c r="T39" t="str">
        <f t="shared" si="8"/>
        <v>ENTITYcntrprty_emssns_scp3</v>
      </c>
      <c r="U39" s="41" t="s">
        <v>408</v>
      </c>
      <c r="V39" s="41" t="s">
        <v>408</v>
      </c>
      <c r="W39" t="s">
        <v>410</v>
      </c>
      <c r="AB39" s="29" t="s">
        <v>326</v>
      </c>
      <c r="AC39" s="30" t="s">
        <v>332</v>
      </c>
      <c r="AD39" t="str">
        <f t="shared" si="2"/>
        <v>lt004_protectionemssns_scp2_prtctn</v>
      </c>
      <c r="AE39" t="str">
        <f t="shared" si="3"/>
        <v>lt004_protectionemssns_scp2_prtctn</v>
      </c>
    </row>
    <row r="40" spans="1:31" ht="17.399999999999999" x14ac:dyDescent="0.3">
      <c r="A40" s="16" t="str">
        <f t="shared" si="9"/>
        <v>lt003_entitylei</v>
      </c>
      <c r="B40" s="32" t="s">
        <v>215</v>
      </c>
      <c r="C40" s="32" t="s">
        <v>294</v>
      </c>
      <c r="D40" s="32" t="s">
        <v>389</v>
      </c>
      <c r="E40" s="18" t="str">
        <f t="shared" si="4"/>
        <v>Nok</v>
      </c>
      <c r="F40" s="28" t="s">
        <v>513</v>
      </c>
      <c r="G40" t="str">
        <f t="shared" si="5"/>
        <v>ENTITYlei</v>
      </c>
      <c r="I40" s="16" t="str">
        <f t="shared" si="10"/>
        <v>lt003_entityflg_grp_nfrd_applcblty</v>
      </c>
      <c r="J40" s="29" t="s">
        <v>294</v>
      </c>
      <c r="K40" s="30" t="s">
        <v>322</v>
      </c>
      <c r="L40" t="str">
        <f t="shared" si="6"/>
        <v>Ok</v>
      </c>
      <c r="Q40" s="34" t="s">
        <v>215</v>
      </c>
      <c r="R40" s="36" t="s">
        <v>256</v>
      </c>
      <c r="S40" t="str">
        <f t="shared" si="7"/>
        <v>flg_excldd_eu_prs_algnd_bnchmrk</v>
      </c>
      <c r="T40" t="str">
        <f t="shared" si="8"/>
        <v>ENTITYflg_excldd_eu_prs_algnd_bnchmrk</v>
      </c>
      <c r="U40" s="41" t="s">
        <v>408</v>
      </c>
      <c r="V40" s="41" t="s">
        <v>408</v>
      </c>
      <c r="W40" t="s">
        <v>410</v>
      </c>
      <c r="AB40" s="29" t="s">
        <v>326</v>
      </c>
      <c r="AC40" s="30" t="s">
        <v>333</v>
      </c>
      <c r="AD40" t="str">
        <f t="shared" si="2"/>
        <v>lt004_protectionemssns_scp3_prtctn</v>
      </c>
      <c r="AE40" t="str">
        <f t="shared" si="3"/>
        <v>lt004_protectionemssns_scp3_prtctn</v>
      </c>
    </row>
    <row r="41" spans="1:31" ht="17.399999999999999" x14ac:dyDescent="0.3">
      <c r="A41" s="16" t="str">
        <f t="shared" si="9"/>
        <v>lt003_entityecnmc_actvty</v>
      </c>
      <c r="B41" s="32" t="s">
        <v>215</v>
      </c>
      <c r="C41" s="32" t="s">
        <v>294</v>
      </c>
      <c r="D41" s="32" t="s">
        <v>390</v>
      </c>
      <c r="E41" s="18" t="str">
        <f t="shared" si="4"/>
        <v>Nok</v>
      </c>
      <c r="F41" s="28" t="s">
        <v>513</v>
      </c>
      <c r="G41" t="str">
        <f t="shared" si="5"/>
        <v>ENTITYecnmc_actvty</v>
      </c>
      <c r="I41" s="16" t="str">
        <f t="shared" si="10"/>
        <v>lt003_entitygrp_emssns_scp1</v>
      </c>
      <c r="J41" s="29" t="s">
        <v>294</v>
      </c>
      <c r="K41" s="30" t="s">
        <v>323</v>
      </c>
      <c r="L41" t="str">
        <f t="shared" si="6"/>
        <v>Ok</v>
      </c>
      <c r="Q41" s="34" t="s">
        <v>215</v>
      </c>
      <c r="R41" s="36" t="s">
        <v>266</v>
      </c>
      <c r="S41" t="str">
        <f t="shared" si="7"/>
        <v>grp_emssns_scp1</v>
      </c>
      <c r="T41" t="str">
        <f t="shared" si="8"/>
        <v>ENTITYgrp_emssns_scp1</v>
      </c>
      <c r="U41" s="41" t="s">
        <v>408</v>
      </c>
      <c r="V41" s="41" t="s">
        <v>408</v>
      </c>
      <c r="W41" t="s">
        <v>410</v>
      </c>
      <c r="AB41" s="29" t="s">
        <v>326</v>
      </c>
      <c r="AC41" s="30" t="s">
        <v>334</v>
      </c>
      <c r="AD41" t="str">
        <f t="shared" si="2"/>
        <v>lt004_protectionmthd_usd_prtctn_scp_1</v>
      </c>
      <c r="AE41" t="str">
        <f t="shared" si="3"/>
        <v>lt004_protectionmthd_usd_prtctn_scp_1</v>
      </c>
    </row>
    <row r="42" spans="1:31" ht="17.399999999999999" x14ac:dyDescent="0.3">
      <c r="A42" s="16" t="str">
        <f t="shared" si="9"/>
        <v>lt003_entitygrp_eqty</v>
      </c>
      <c r="B42" s="32" t="s">
        <v>215</v>
      </c>
      <c r="C42" s="32" t="s">
        <v>294</v>
      </c>
      <c r="D42" s="32" t="s">
        <v>391</v>
      </c>
      <c r="E42" s="18" t="str">
        <f t="shared" si="4"/>
        <v>Nok</v>
      </c>
      <c r="F42" s="28" t="s">
        <v>513</v>
      </c>
      <c r="G42" t="str">
        <f t="shared" si="5"/>
        <v>ENTITYgrp_eqty</v>
      </c>
      <c r="I42" s="16" t="str">
        <f t="shared" si="10"/>
        <v>lt003_entitygrp_emssns_scp2</v>
      </c>
      <c r="J42" s="29" t="s">
        <v>294</v>
      </c>
      <c r="K42" s="30" t="s">
        <v>324</v>
      </c>
      <c r="L42" t="str">
        <f t="shared" si="6"/>
        <v>Ok</v>
      </c>
      <c r="Q42" s="34" t="s">
        <v>215</v>
      </c>
      <c r="R42" s="36" t="s">
        <v>267</v>
      </c>
      <c r="S42" t="str">
        <f t="shared" si="7"/>
        <v>grp_emssns_scp2</v>
      </c>
      <c r="T42" t="str">
        <f t="shared" si="8"/>
        <v>ENTITYgrp_emssns_scp2</v>
      </c>
      <c r="U42" s="41" t="s">
        <v>408</v>
      </c>
      <c r="V42" s="41" t="s">
        <v>408</v>
      </c>
      <c r="W42" t="s">
        <v>410</v>
      </c>
      <c r="AB42" s="29" t="s">
        <v>326</v>
      </c>
      <c r="AC42" s="30" t="s">
        <v>335</v>
      </c>
      <c r="AD42" t="str">
        <f t="shared" si="2"/>
        <v>lt004_protectionmthd_usd_prtctn_scp_2</v>
      </c>
      <c r="AE42" t="str">
        <f t="shared" si="3"/>
        <v>lt004_protectionmthd_usd_prtctn_scp_2</v>
      </c>
    </row>
    <row r="43" spans="1:31" ht="17.399999999999999" x14ac:dyDescent="0.3">
      <c r="A43" s="16" t="str">
        <f t="shared" si="9"/>
        <v>lt003_entityannl_trnvr_le</v>
      </c>
      <c r="B43" s="32" t="s">
        <v>215</v>
      </c>
      <c r="C43" s="32" t="s">
        <v>294</v>
      </c>
      <c r="D43" s="32" t="s">
        <v>392</v>
      </c>
      <c r="E43" s="18" t="str">
        <f t="shared" si="4"/>
        <v>Nok</v>
      </c>
      <c r="F43" s="28" t="s">
        <v>513</v>
      </c>
      <c r="G43" t="str">
        <f t="shared" si="5"/>
        <v>ENTITYannl_trnvr_le</v>
      </c>
      <c r="I43" s="16" t="str">
        <f t="shared" si="10"/>
        <v>lt003_entitygrp_emssns_scp3</v>
      </c>
      <c r="J43" s="29" t="s">
        <v>294</v>
      </c>
      <c r="K43" s="30" t="s">
        <v>325</v>
      </c>
      <c r="L43" t="str">
        <f t="shared" si="6"/>
        <v>Ok</v>
      </c>
      <c r="Q43" s="34" t="s">
        <v>215</v>
      </c>
      <c r="R43" s="36" t="s">
        <v>268</v>
      </c>
      <c r="S43" t="str">
        <f t="shared" si="7"/>
        <v>grp_emssns_scp3</v>
      </c>
      <c r="T43" t="str">
        <f t="shared" si="8"/>
        <v>ENTITYgrp_emssns_scp3</v>
      </c>
      <c r="U43" s="41" t="s">
        <v>408</v>
      </c>
      <c r="V43" s="41" t="s">
        <v>408</v>
      </c>
      <c r="W43" t="s">
        <v>410</v>
      </c>
      <c r="AB43" s="29" t="s">
        <v>326</v>
      </c>
      <c r="AC43" s="30" t="s">
        <v>336</v>
      </c>
      <c r="AD43" t="str">
        <f t="shared" si="2"/>
        <v>lt004_protectionmthd_usd_prtctn_scp_3</v>
      </c>
      <c r="AE43" t="str">
        <f t="shared" si="3"/>
        <v>lt004_protectionmthd_usd_prtctn_scp_3</v>
      </c>
    </row>
    <row r="44" spans="1:31" ht="17.399999999999999" x14ac:dyDescent="0.3">
      <c r="A44" s="16" t="str">
        <f t="shared" si="9"/>
        <v>lt003_entityeqty</v>
      </c>
      <c r="B44" s="32" t="s">
        <v>215</v>
      </c>
      <c r="C44" s="32" t="s">
        <v>294</v>
      </c>
      <c r="D44" s="32" t="s">
        <v>393</v>
      </c>
      <c r="E44" s="18" t="str">
        <f t="shared" si="4"/>
        <v>Nok</v>
      </c>
      <c r="F44" s="28" t="s">
        <v>513</v>
      </c>
      <c r="G44" t="str">
        <f t="shared" si="5"/>
        <v>ENTITYeqty</v>
      </c>
      <c r="I44" s="16" t="str">
        <f t="shared" si="10"/>
        <v>lt004_protectiontyp_ep_scr</v>
      </c>
      <c r="J44" s="29" t="s">
        <v>326</v>
      </c>
      <c r="K44" s="30" t="s">
        <v>327</v>
      </c>
      <c r="L44" t="str">
        <f t="shared" si="6"/>
        <v>Ok</v>
      </c>
      <c r="Q44" s="34" t="s">
        <v>215</v>
      </c>
      <c r="R44" s="36" t="s">
        <v>257</v>
      </c>
      <c r="S44" t="str">
        <f t="shared" si="7"/>
        <v>flg_act_physcl_rsk</v>
      </c>
      <c r="T44" t="str">
        <f t="shared" si="8"/>
        <v>ENTITYflg_act_physcl_rsk</v>
      </c>
      <c r="U44" s="41" t="s">
        <v>408</v>
      </c>
      <c r="V44" s="41" t="s">
        <v>408</v>
      </c>
      <c r="W44" t="s">
        <v>410</v>
      </c>
      <c r="AB44" s="29" t="s">
        <v>326</v>
      </c>
      <c r="AC44" s="30" t="s">
        <v>315</v>
      </c>
      <c r="AD44" t="str">
        <f t="shared" si="2"/>
        <v>lt004_protectionflg_act_physcl_rsk</v>
      </c>
      <c r="AE44" t="str">
        <f t="shared" si="3"/>
        <v>lt004_protectionflg_act_physcl_rsk</v>
      </c>
    </row>
    <row r="45" spans="1:31" ht="17.399999999999999" x14ac:dyDescent="0.3">
      <c r="A45" s="16" t="str">
        <f t="shared" si="9"/>
        <v>lt003_entitygrp_ttl_dbt</v>
      </c>
      <c r="B45" s="32" t="s">
        <v>215</v>
      </c>
      <c r="C45" s="32" t="s">
        <v>294</v>
      </c>
      <c r="D45" s="32" t="s">
        <v>394</v>
      </c>
      <c r="E45" s="18" t="str">
        <f t="shared" si="4"/>
        <v>Nok</v>
      </c>
      <c r="F45" s="28" t="s">
        <v>513</v>
      </c>
      <c r="G45" t="str">
        <f t="shared" si="5"/>
        <v>ENTITYgrp_ttl_dbt</v>
      </c>
      <c r="I45" s="16" t="str">
        <f t="shared" si="10"/>
        <v>lt004_protectionep_scr</v>
      </c>
      <c r="J45" s="29" t="s">
        <v>326</v>
      </c>
      <c r="K45" s="30" t="s">
        <v>328</v>
      </c>
      <c r="L45" t="str">
        <f t="shared" si="6"/>
        <v>Ok</v>
      </c>
      <c r="Q45" s="34" t="s">
        <v>215</v>
      </c>
      <c r="R45" s="36" t="s">
        <v>258</v>
      </c>
      <c r="S45" t="str">
        <f t="shared" si="7"/>
        <v>flg_chrnc_physcl_rsk</v>
      </c>
      <c r="T45" t="str">
        <f t="shared" si="8"/>
        <v>ENTITYflg_chrnc_physcl_rsk</v>
      </c>
      <c r="U45" s="41" t="s">
        <v>408</v>
      </c>
      <c r="V45" s="41" t="s">
        <v>408</v>
      </c>
      <c r="W45" t="s">
        <v>410</v>
      </c>
      <c r="AB45" s="29" t="s">
        <v>326</v>
      </c>
      <c r="AC45" s="30" t="s">
        <v>316</v>
      </c>
      <c r="AD45" t="str">
        <f t="shared" si="2"/>
        <v>lt004_protectionflg_chrnc_physcl_rsk</v>
      </c>
      <c r="AE45" t="str">
        <f t="shared" si="3"/>
        <v>lt004_protectionflg_chrnc_physcl_rsk</v>
      </c>
    </row>
    <row r="46" spans="1:31" ht="17.399999999999999" x14ac:dyDescent="0.3">
      <c r="A46" s="16" t="str">
        <f t="shared" si="9"/>
        <v>lt003_entityttl_dbt</v>
      </c>
      <c r="B46" s="32" t="s">
        <v>215</v>
      </c>
      <c r="C46" s="32" t="s">
        <v>294</v>
      </c>
      <c r="D46" s="32" t="s">
        <v>395</v>
      </c>
      <c r="E46" s="18" t="str">
        <f t="shared" si="4"/>
        <v>Nok</v>
      </c>
      <c r="F46" s="28" t="s">
        <v>513</v>
      </c>
      <c r="G46" t="str">
        <f t="shared" si="5"/>
        <v>ENTITYttl_dbt</v>
      </c>
      <c r="I46" s="16" t="str">
        <f t="shared" si="10"/>
        <v>lt004_protectiontyp_epc_lbl</v>
      </c>
      <c r="J46" s="29" t="s">
        <v>326</v>
      </c>
      <c r="K46" s="30" t="s">
        <v>329</v>
      </c>
      <c r="L46" t="str">
        <f t="shared" si="6"/>
        <v>Ok</v>
      </c>
      <c r="Q46" s="34" t="s">
        <v>225</v>
      </c>
      <c r="R46" s="36" t="s">
        <v>214</v>
      </c>
      <c r="S46" t="str">
        <f t="shared" si="7"/>
        <v>cod_soc</v>
      </c>
      <c r="T46" t="str">
        <f t="shared" si="8"/>
        <v>INSTR_ENTITYcod_soc</v>
      </c>
      <c r="U46" s="41" t="s">
        <v>407</v>
      </c>
      <c r="V46" s="41" t="s">
        <v>408</v>
      </c>
      <c r="W46" t="s">
        <v>404</v>
      </c>
      <c r="AB46" s="29" t="s">
        <v>341</v>
      </c>
      <c r="AC46" s="30" t="s">
        <v>342</v>
      </c>
      <c r="AD46" t="str">
        <f t="shared" si="2"/>
        <v>lt002_instrumentrsk_mtgtd_cct</v>
      </c>
      <c r="AE46" t="str">
        <f t="shared" si="3"/>
        <v>lt002_instrumentrsk_mtgtd_cct</v>
      </c>
    </row>
    <row r="47" spans="1:31" ht="17.399999999999999" x14ac:dyDescent="0.3">
      <c r="A47" s="16" t="str">
        <f t="shared" si="9"/>
        <v>lt003_entitycod_soc</v>
      </c>
      <c r="B47" s="32" t="s">
        <v>215</v>
      </c>
      <c r="C47" s="32" t="s">
        <v>294</v>
      </c>
      <c r="D47" s="32" t="s">
        <v>379</v>
      </c>
      <c r="E47" s="18" t="str">
        <f t="shared" si="4"/>
        <v>Nok</v>
      </c>
      <c r="F47" s="28" t="s">
        <v>513</v>
      </c>
      <c r="G47" t="str">
        <f t="shared" si="5"/>
        <v>ENTITYcod_soc</v>
      </c>
      <c r="I47" s="16" t="str">
        <f t="shared" si="10"/>
        <v>lt004_protectionepc_lbl</v>
      </c>
      <c r="J47" s="29" t="s">
        <v>326</v>
      </c>
      <c r="K47" s="30" t="s">
        <v>330</v>
      </c>
      <c r="L47" t="str">
        <f t="shared" si="6"/>
        <v>Ok</v>
      </c>
      <c r="Q47" s="34" t="s">
        <v>225</v>
      </c>
      <c r="R47" s="36" t="s">
        <v>197</v>
      </c>
      <c r="S47" t="str">
        <f t="shared" si="7"/>
        <v>dt_rfrnc</v>
      </c>
      <c r="T47" t="str">
        <f t="shared" si="8"/>
        <v>INSTR_ENTITYdt_rfrnc</v>
      </c>
      <c r="U47" s="41" t="s">
        <v>407</v>
      </c>
      <c r="V47" s="41" t="s">
        <v>408</v>
      </c>
      <c r="W47" t="s">
        <v>404</v>
      </c>
      <c r="AB47" s="29" t="s">
        <v>341</v>
      </c>
      <c r="AC47" s="30" t="s">
        <v>343</v>
      </c>
      <c r="AD47" t="str">
        <f t="shared" si="2"/>
        <v>lt002_instrumentrsk_mtgtd_ccp</v>
      </c>
      <c r="AE47" t="str">
        <f t="shared" si="3"/>
        <v>lt002_instrumentrsk_mtgtd_ccp</v>
      </c>
    </row>
    <row r="48" spans="1:31" ht="17.399999999999999" x14ac:dyDescent="0.3">
      <c r="A48" s="16" t="str">
        <f t="shared" si="9"/>
        <v>lt003_entitynace_esg</v>
      </c>
      <c r="B48" s="28" t="s">
        <v>215</v>
      </c>
      <c r="C48" s="28" t="s">
        <v>294</v>
      </c>
      <c r="D48" s="28" t="s">
        <v>295</v>
      </c>
      <c r="E48" t="str">
        <f t="shared" si="4"/>
        <v>Ok</v>
      </c>
      <c r="G48" t="str">
        <f t="shared" si="5"/>
        <v>ENTITYnace_esg</v>
      </c>
      <c r="I48" s="16" t="str">
        <f t="shared" si="10"/>
        <v>lt004_protectionemssns_scp1_prtctn</v>
      </c>
      <c r="J48" s="29" t="s">
        <v>326</v>
      </c>
      <c r="K48" s="30" t="s">
        <v>331</v>
      </c>
      <c r="L48" t="str">
        <f t="shared" si="6"/>
        <v>Ok</v>
      </c>
      <c r="Q48" s="34" t="s">
        <v>225</v>
      </c>
      <c r="R48" s="36" t="s">
        <v>217</v>
      </c>
      <c r="S48" t="str">
        <f t="shared" si="7"/>
        <v>entty_id</v>
      </c>
      <c r="T48" t="str">
        <f t="shared" si="8"/>
        <v>INSTR_ENTITYentty_id</v>
      </c>
      <c r="U48" s="41" t="s">
        <v>407</v>
      </c>
      <c r="V48" s="41" t="s">
        <v>408</v>
      </c>
      <c r="W48" t="s">
        <v>404</v>
      </c>
      <c r="AB48" s="29" t="s">
        <v>341</v>
      </c>
      <c r="AC48" s="30" t="s">
        <v>344</v>
      </c>
      <c r="AD48" t="str">
        <f t="shared" si="2"/>
        <v>lt002_instrumentenvrnmntl_objctv</v>
      </c>
      <c r="AE48" t="str">
        <f t="shared" si="3"/>
        <v>lt002_instrumentenvrnmntl_objctv</v>
      </c>
    </row>
    <row r="49" spans="1:31" ht="17.399999999999999" x14ac:dyDescent="0.3">
      <c r="A49" s="16" t="str">
        <f t="shared" si="9"/>
        <v>lt003_entitytxnmy_elgbl_capex_ccm</v>
      </c>
      <c r="B49" s="28" t="s">
        <v>215</v>
      </c>
      <c r="C49" s="28" t="s">
        <v>294</v>
      </c>
      <c r="D49" s="28" t="s">
        <v>296</v>
      </c>
      <c r="E49" t="str">
        <f t="shared" si="4"/>
        <v>Ok</v>
      </c>
      <c r="G49" t="str">
        <f t="shared" si="5"/>
        <v>ENTITYtxnmy_elgbl_capex_ccm</v>
      </c>
      <c r="I49" s="16" t="str">
        <f t="shared" si="10"/>
        <v>lt004_protectionemssns_scp2_prtctn</v>
      </c>
      <c r="J49" s="29" t="s">
        <v>326</v>
      </c>
      <c r="K49" s="30" t="s">
        <v>332</v>
      </c>
      <c r="L49" t="str">
        <f t="shared" si="6"/>
        <v>Ok</v>
      </c>
      <c r="Q49" s="34" t="s">
        <v>225</v>
      </c>
      <c r="R49" s="36" t="s">
        <v>198</v>
      </c>
      <c r="S49" t="str">
        <f t="shared" si="7"/>
        <v>instrmnt_id</v>
      </c>
      <c r="T49" t="str">
        <f t="shared" si="8"/>
        <v>INSTR_ENTITYinstrmnt_id</v>
      </c>
      <c r="U49" s="41" t="s">
        <v>407</v>
      </c>
      <c r="V49" s="41" t="s">
        <v>408</v>
      </c>
      <c r="W49" t="s">
        <v>404</v>
      </c>
      <c r="AB49" s="29" t="s">
        <v>341</v>
      </c>
      <c r="AC49" s="30" t="s">
        <v>345</v>
      </c>
      <c r="AD49" t="str">
        <f t="shared" si="2"/>
        <v>lt002_instrumenttyp_actvty</v>
      </c>
      <c r="AE49" t="str">
        <f t="shared" si="3"/>
        <v>lt002_instrumenttyp_actvty</v>
      </c>
    </row>
    <row r="50" spans="1:31" ht="17.399999999999999" x14ac:dyDescent="0.3">
      <c r="A50" s="16" t="str">
        <f t="shared" si="9"/>
        <v>lt003_entitytxnmy_elgbl_trnvr_ccm</v>
      </c>
      <c r="B50" s="28" t="s">
        <v>215</v>
      </c>
      <c r="C50" s="28" t="s">
        <v>294</v>
      </c>
      <c r="D50" s="28" t="s">
        <v>297</v>
      </c>
      <c r="E50" t="str">
        <f t="shared" si="4"/>
        <v>Ok</v>
      </c>
      <c r="G50" t="str">
        <f t="shared" si="5"/>
        <v>ENTITYtxnmy_elgbl_trnvr_ccm</v>
      </c>
      <c r="I50" s="16" t="str">
        <f t="shared" si="10"/>
        <v>lt004_protectionemssns_scp3_prtctn</v>
      </c>
      <c r="J50" s="29" t="s">
        <v>326</v>
      </c>
      <c r="K50" s="30" t="s">
        <v>333</v>
      </c>
      <c r="L50" t="str">
        <f t="shared" si="6"/>
        <v>Ok</v>
      </c>
      <c r="Q50" s="34" t="s">
        <v>225</v>
      </c>
      <c r="R50" s="36" t="s">
        <v>235</v>
      </c>
      <c r="S50" t="str">
        <f t="shared" si="7"/>
        <v>mn_entty_id</v>
      </c>
      <c r="T50" t="str">
        <f t="shared" si="8"/>
        <v>INSTR_ENTITYmn_entty_id</v>
      </c>
      <c r="U50" s="41" t="s">
        <v>407</v>
      </c>
      <c r="V50" s="41" t="s">
        <v>408</v>
      </c>
      <c r="W50" t="s">
        <v>404</v>
      </c>
      <c r="AB50" s="29" t="s">
        <v>341</v>
      </c>
      <c r="AC50" s="30" t="s">
        <v>346</v>
      </c>
      <c r="AD50" t="str">
        <f t="shared" si="2"/>
        <v>lt002_instrumentlns_clltrlzd_clssfctn</v>
      </c>
      <c r="AE50" t="str">
        <f t="shared" si="3"/>
        <v>lt002_instrumentlns_clltrlzd_clssfctn</v>
      </c>
    </row>
    <row r="51" spans="1:31" ht="17.399999999999999" x14ac:dyDescent="0.3">
      <c r="A51" s="16" t="str">
        <f t="shared" si="9"/>
        <v>lt003_entitytxnmy_elgbl_capex_cca</v>
      </c>
      <c r="B51" s="28" t="s">
        <v>215</v>
      </c>
      <c r="C51" s="28" t="s">
        <v>294</v>
      </c>
      <c r="D51" s="28" t="s">
        <v>298</v>
      </c>
      <c r="E51" t="str">
        <f t="shared" si="4"/>
        <v>Ok</v>
      </c>
      <c r="G51" t="str">
        <f t="shared" si="5"/>
        <v>ENTITYtxnmy_elgbl_capex_cca</v>
      </c>
      <c r="I51" s="16" t="str">
        <f t="shared" si="10"/>
        <v>lt004_protectionmthd_usd_prtctn_scp_1</v>
      </c>
      <c r="J51" s="29" t="s">
        <v>326</v>
      </c>
      <c r="K51" s="30" t="s">
        <v>334</v>
      </c>
      <c r="L51" t="str">
        <f t="shared" si="6"/>
        <v>Ok</v>
      </c>
      <c r="Q51" s="34" t="s">
        <v>196</v>
      </c>
      <c r="R51" s="36" t="s">
        <v>214</v>
      </c>
      <c r="S51" t="str">
        <f t="shared" si="7"/>
        <v>cod_soc</v>
      </c>
      <c r="T51" t="str">
        <f t="shared" si="8"/>
        <v>INSTRUMENTcod_soc</v>
      </c>
      <c r="U51" s="41" t="s">
        <v>407</v>
      </c>
      <c r="V51" s="41" t="s">
        <v>407</v>
      </c>
      <c r="W51" t="s">
        <v>404</v>
      </c>
      <c r="AB51" s="29" t="s">
        <v>341</v>
      </c>
      <c r="AC51" s="30" t="s">
        <v>347</v>
      </c>
      <c r="AD51" t="str">
        <f t="shared" si="2"/>
        <v>lt002_instrumentmthd_usd_instrmnt_scp_1</v>
      </c>
      <c r="AE51" t="str">
        <f t="shared" si="3"/>
        <v>lt002_instrumentmthd_usd_instrmnt_scp_1</v>
      </c>
    </row>
    <row r="52" spans="1:31" ht="17.399999999999999" x14ac:dyDescent="0.3">
      <c r="A52" s="16" t="str">
        <f t="shared" si="9"/>
        <v>lt003_entitytxnmy_elgbl_trnvr_cca</v>
      </c>
      <c r="B52" s="28" t="s">
        <v>215</v>
      </c>
      <c r="C52" s="28" t="s">
        <v>294</v>
      </c>
      <c r="D52" s="28" t="s">
        <v>299</v>
      </c>
      <c r="E52" t="str">
        <f t="shared" si="4"/>
        <v>Ok</v>
      </c>
      <c r="G52" t="str">
        <f t="shared" si="5"/>
        <v>ENTITYtxnmy_elgbl_trnvr_cca</v>
      </c>
      <c r="I52" s="16" t="str">
        <f t="shared" si="10"/>
        <v>lt004_protectionmthd_usd_prtctn_scp_2</v>
      </c>
      <c r="J52" s="29" t="s">
        <v>326</v>
      </c>
      <c r="K52" s="30" t="s">
        <v>335</v>
      </c>
      <c r="L52" t="str">
        <f t="shared" si="6"/>
        <v>Ok</v>
      </c>
      <c r="Q52" s="34" t="s">
        <v>196</v>
      </c>
      <c r="R52" s="36" t="s">
        <v>213</v>
      </c>
      <c r="S52" t="str">
        <f t="shared" si="7"/>
        <v>subportfolio_id</v>
      </c>
      <c r="T52" t="str">
        <f t="shared" si="8"/>
        <v>INSTRUMENTsubportfolio_id</v>
      </c>
      <c r="U52" s="41" t="s">
        <v>407</v>
      </c>
      <c r="V52" s="41" t="s">
        <v>407</v>
      </c>
      <c r="W52" t="s">
        <v>404</v>
      </c>
      <c r="AB52" s="29" t="s">
        <v>341</v>
      </c>
      <c r="AC52" s="30" t="s">
        <v>348</v>
      </c>
      <c r="AD52" t="str">
        <f t="shared" si="2"/>
        <v>lt002_instrumentmthd_usd_instrmnt_scp_2</v>
      </c>
      <c r="AE52" t="str">
        <f t="shared" si="3"/>
        <v>lt002_instrumentmthd_usd_instrmnt_scp_2</v>
      </c>
    </row>
    <row r="53" spans="1:31" ht="17.399999999999999" x14ac:dyDescent="0.3">
      <c r="A53" s="16" t="str">
        <f t="shared" si="9"/>
        <v>lt003_entityenblng_capex_ccm</v>
      </c>
      <c r="B53" s="28" t="s">
        <v>215</v>
      </c>
      <c r="C53" s="28" t="s">
        <v>294</v>
      </c>
      <c r="D53" s="28" t="s">
        <v>300</v>
      </c>
      <c r="E53" t="str">
        <f t="shared" si="4"/>
        <v>Ok</v>
      </c>
      <c r="G53" t="str">
        <f t="shared" si="5"/>
        <v>ENTITYenblng_capex_ccm</v>
      </c>
      <c r="I53" s="16" t="str">
        <f t="shared" si="10"/>
        <v>lt004_protectionmthd_usd_prtctn_scp_3</v>
      </c>
      <c r="J53" s="29" t="s">
        <v>326</v>
      </c>
      <c r="K53" s="30" t="s">
        <v>336</v>
      </c>
      <c r="L53" t="str">
        <f t="shared" si="6"/>
        <v>Ok</v>
      </c>
      <c r="Q53" s="34" t="s">
        <v>196</v>
      </c>
      <c r="R53" s="36" t="s">
        <v>197</v>
      </c>
      <c r="S53" t="str">
        <f t="shared" si="7"/>
        <v>dt_rfrnc</v>
      </c>
      <c r="T53" t="str">
        <f t="shared" si="8"/>
        <v>INSTRUMENTdt_rfrnc</v>
      </c>
      <c r="U53" s="41" t="s">
        <v>407</v>
      </c>
      <c r="V53" s="41" t="s">
        <v>407</v>
      </c>
      <c r="W53" t="s">
        <v>404</v>
      </c>
      <c r="AB53" s="29" t="s">
        <v>341</v>
      </c>
      <c r="AC53" s="30" t="s">
        <v>349</v>
      </c>
      <c r="AD53" t="str">
        <f t="shared" si="2"/>
        <v>lt002_instrumentmthd_usd_instrmnt_scp_3</v>
      </c>
      <c r="AE53" t="str">
        <f t="shared" si="3"/>
        <v>lt002_instrumentmthd_usd_instrmnt_scp_3</v>
      </c>
    </row>
    <row r="54" spans="1:31" ht="17.399999999999999" x14ac:dyDescent="0.3">
      <c r="A54" s="16" t="str">
        <f t="shared" si="9"/>
        <v>lt003_entityenblng_capex_cca</v>
      </c>
      <c r="B54" s="28" t="s">
        <v>215</v>
      </c>
      <c r="C54" s="28" t="s">
        <v>294</v>
      </c>
      <c r="D54" s="28" t="s">
        <v>301</v>
      </c>
      <c r="E54" t="str">
        <f t="shared" si="4"/>
        <v>Ok</v>
      </c>
      <c r="G54" t="str">
        <f t="shared" si="5"/>
        <v>ENTITYenblng_capex_cca</v>
      </c>
      <c r="I54" s="16" t="str">
        <f t="shared" si="10"/>
        <v>lt004_protectionflg_act_physcl_rsk</v>
      </c>
      <c r="J54" s="29" t="s">
        <v>326</v>
      </c>
      <c r="K54" s="30" t="s">
        <v>315</v>
      </c>
      <c r="L54" t="str">
        <f t="shared" si="6"/>
        <v>Ok</v>
      </c>
      <c r="Q54" s="34" t="s">
        <v>196</v>
      </c>
      <c r="R54" s="36" t="s">
        <v>198</v>
      </c>
      <c r="S54" t="str">
        <f t="shared" si="7"/>
        <v>instrmnt_id</v>
      </c>
      <c r="T54" t="str">
        <f t="shared" si="8"/>
        <v>INSTRUMENTinstrmnt_id</v>
      </c>
      <c r="U54" s="41" t="s">
        <v>407</v>
      </c>
      <c r="V54" s="41" t="s">
        <v>407</v>
      </c>
      <c r="W54" t="s">
        <v>404</v>
      </c>
      <c r="AB54" s="29" t="s">
        <v>341</v>
      </c>
      <c r="AC54" s="30" t="s">
        <v>350</v>
      </c>
      <c r="AD54" t="str">
        <f t="shared" si="2"/>
        <v>lt002_instrumentsstnbl_ctgry_txnmy</v>
      </c>
      <c r="AE54" t="str">
        <f t="shared" si="3"/>
        <v>lt002_instrumentsstnbl_ctgry_txnmy</v>
      </c>
    </row>
    <row r="55" spans="1:31" ht="17.399999999999999" x14ac:dyDescent="0.3">
      <c r="A55" s="16" t="str">
        <f t="shared" si="9"/>
        <v>lt003_entitytrnstnl_capex</v>
      </c>
      <c r="B55" s="28" t="s">
        <v>215</v>
      </c>
      <c r="C55" s="28" t="s">
        <v>294</v>
      </c>
      <c r="D55" s="28" t="s">
        <v>302</v>
      </c>
      <c r="E55" t="str">
        <f t="shared" si="4"/>
        <v>Ok</v>
      </c>
      <c r="G55" t="str">
        <f t="shared" si="5"/>
        <v>ENTITYtrnstnl_capex</v>
      </c>
      <c r="I55" s="16" t="str">
        <f t="shared" si="10"/>
        <v>lt004_protectionflg_chrnc_physcl_rsk</v>
      </c>
      <c r="J55" s="29" t="s">
        <v>326</v>
      </c>
      <c r="K55" s="30" t="s">
        <v>316</v>
      </c>
      <c r="L55" t="str">
        <f t="shared" si="6"/>
        <v>Ok</v>
      </c>
      <c r="Q55" s="34" t="s">
        <v>196</v>
      </c>
      <c r="R55" s="36" t="s">
        <v>199</v>
      </c>
      <c r="S55" t="str">
        <f t="shared" si="7"/>
        <v>dt_incptn</v>
      </c>
      <c r="T55" t="str">
        <f t="shared" si="8"/>
        <v>INSTRUMENTdt_incptn</v>
      </c>
      <c r="U55" s="41" t="s">
        <v>407</v>
      </c>
      <c r="V55" s="41" t="s">
        <v>408</v>
      </c>
      <c r="W55" t="s">
        <v>404</v>
      </c>
      <c r="AB55" s="29" t="s">
        <v>351</v>
      </c>
      <c r="AC55" s="30" t="s">
        <v>352</v>
      </c>
      <c r="AD55" t="str">
        <f t="shared" si="2"/>
        <v>lt825_mthd_usd_instrmntambito</v>
      </c>
      <c r="AE55" t="str">
        <f t="shared" si="3"/>
        <v>lt825_mthd_usd_instrmntambito</v>
      </c>
    </row>
    <row r="56" spans="1:31" ht="17.399999999999999" x14ac:dyDescent="0.3">
      <c r="A56" s="16" t="str">
        <f t="shared" si="9"/>
        <v>lt003_entitypure_capex_ccm</v>
      </c>
      <c r="B56" s="28" t="s">
        <v>215</v>
      </c>
      <c r="C56" s="28" t="s">
        <v>294</v>
      </c>
      <c r="D56" s="28" t="s">
        <v>303</v>
      </c>
      <c r="E56" t="str">
        <f t="shared" si="4"/>
        <v>Ok</v>
      </c>
      <c r="G56" t="str">
        <f t="shared" si="5"/>
        <v>ENTITYpure_capex_ccm</v>
      </c>
      <c r="I56" s="16" t="str">
        <f t="shared" si="10"/>
        <v>lt004_protectionflg_fin</v>
      </c>
      <c r="J56" s="29" t="s">
        <v>326</v>
      </c>
      <c r="K56" s="30" t="s">
        <v>337</v>
      </c>
      <c r="L56" t="str">
        <f t="shared" si="6"/>
        <v>Nok</v>
      </c>
      <c r="Q56" s="34" t="s">
        <v>196</v>
      </c>
      <c r="R56" s="38" t="s">
        <v>200</v>
      </c>
      <c r="S56" t="str">
        <f t="shared" si="7"/>
        <v>dflt_stts_instrmnt</v>
      </c>
      <c r="T56" t="str">
        <f t="shared" si="8"/>
        <v>INSTRUMENTdflt_stts_instrmnt</v>
      </c>
      <c r="U56" s="41" t="s">
        <v>407</v>
      </c>
      <c r="V56" s="41" t="s">
        <v>407</v>
      </c>
      <c r="W56" t="s">
        <v>404</v>
      </c>
      <c r="AB56" s="29" t="s">
        <v>351</v>
      </c>
      <c r="AC56" s="30" t="s">
        <v>21</v>
      </c>
      <c r="AD56" t="str">
        <f t="shared" si="2"/>
        <v>lt825_mthd_usd_instrmntref_date</v>
      </c>
      <c r="AE56" t="str">
        <f t="shared" si="3"/>
        <v>lt825_mthd_usd_instrmntref_date</v>
      </c>
    </row>
    <row r="57" spans="1:31" ht="17.399999999999999" x14ac:dyDescent="0.3">
      <c r="A57" s="16" t="str">
        <f t="shared" si="9"/>
        <v>lt003_entitypure_capex_cca</v>
      </c>
      <c r="B57" s="28" t="s">
        <v>215</v>
      </c>
      <c r="C57" s="28" t="s">
        <v>294</v>
      </c>
      <c r="D57" s="28" t="s">
        <v>304</v>
      </c>
      <c r="E57" t="str">
        <f t="shared" si="4"/>
        <v>Ok</v>
      </c>
      <c r="G57" t="str">
        <f t="shared" si="5"/>
        <v>ENTITYpure_capex_cca</v>
      </c>
      <c r="I57" s="16" t="str">
        <f t="shared" si="10"/>
        <v>lt004_protectionflg_exec</v>
      </c>
      <c r="J57" s="29" t="s">
        <v>326</v>
      </c>
      <c r="K57" s="30" t="s">
        <v>338</v>
      </c>
      <c r="L57" t="str">
        <f t="shared" si="6"/>
        <v>Nok</v>
      </c>
      <c r="Q57" s="34" t="s">
        <v>196</v>
      </c>
      <c r="R57" s="36" t="s">
        <v>201</v>
      </c>
      <c r="S57" t="str">
        <f t="shared" si="7"/>
        <v>imprmnt_stts</v>
      </c>
      <c r="T57" t="str">
        <f t="shared" si="8"/>
        <v>INSTRUMENTimprmnt_stts</v>
      </c>
      <c r="U57" s="41" t="s">
        <v>407</v>
      </c>
      <c r="V57" s="41" t="s">
        <v>407</v>
      </c>
      <c r="W57" t="s">
        <v>404</v>
      </c>
      <c r="AB57" s="29" t="s">
        <v>351</v>
      </c>
      <c r="AC57" s="30" t="s">
        <v>177</v>
      </c>
      <c r="AD57" t="str">
        <f t="shared" si="2"/>
        <v>lt825_mthd_usd_instrmntordem</v>
      </c>
      <c r="AE57" t="str">
        <f t="shared" si="3"/>
        <v>lt825_mthd_usd_instrmntordem</v>
      </c>
    </row>
    <row r="58" spans="1:31" ht="17.399999999999999" x14ac:dyDescent="0.3">
      <c r="A58" s="16" t="str">
        <f t="shared" si="9"/>
        <v>lt003_entityenblng_trnvr_ccm</v>
      </c>
      <c r="B58" s="28" t="s">
        <v>215</v>
      </c>
      <c r="C58" s="28" t="s">
        <v>294</v>
      </c>
      <c r="D58" s="28" t="s">
        <v>305</v>
      </c>
      <c r="E58" t="str">
        <f t="shared" si="4"/>
        <v>Ok</v>
      </c>
      <c r="G58" t="str">
        <f t="shared" si="5"/>
        <v>ENTITYenblng_trnvr_ccm</v>
      </c>
      <c r="I58" s="16" t="str">
        <f t="shared" si="10"/>
        <v>lt004_protectionflg_col</v>
      </c>
      <c r="J58" s="29" t="s">
        <v>326</v>
      </c>
      <c r="K58" s="30" t="s">
        <v>339</v>
      </c>
      <c r="L58" t="str">
        <f t="shared" si="6"/>
        <v>Nok</v>
      </c>
      <c r="Q58" s="34" t="s">
        <v>196</v>
      </c>
      <c r="R58" s="36" t="s">
        <v>202</v>
      </c>
      <c r="S58" t="str">
        <f t="shared" si="7"/>
        <v>prfrmng_stts</v>
      </c>
      <c r="T58" t="str">
        <f t="shared" si="8"/>
        <v>INSTRUMENTprfrmng_stts</v>
      </c>
      <c r="U58" s="41" t="s">
        <v>407</v>
      </c>
      <c r="V58" s="41" t="s">
        <v>407</v>
      </c>
      <c r="W58" t="s">
        <v>404</v>
      </c>
      <c r="AB58" s="29" t="s">
        <v>351</v>
      </c>
      <c r="AC58" s="30" t="s">
        <v>353</v>
      </c>
      <c r="AD58" t="str">
        <f t="shared" si="2"/>
        <v>lt825_mthd_usd_instrmnttabela</v>
      </c>
      <c r="AE58" t="str">
        <f t="shared" si="3"/>
        <v>lt825_mthd_usd_instrmnttabela</v>
      </c>
    </row>
    <row r="59" spans="1:31" ht="17.399999999999999" x14ac:dyDescent="0.3">
      <c r="A59" s="16" t="str">
        <f t="shared" si="9"/>
        <v>lt003_entityenblng_trnvr_cca</v>
      </c>
      <c r="B59" s="28" t="s">
        <v>215</v>
      </c>
      <c r="C59" s="28" t="s">
        <v>294</v>
      </c>
      <c r="D59" s="28" t="s">
        <v>306</v>
      </c>
      <c r="E59" t="str">
        <f t="shared" si="4"/>
        <v>Ok</v>
      </c>
      <c r="G59" t="str">
        <f t="shared" si="5"/>
        <v>ENTITYenblng_trnvr_cca</v>
      </c>
      <c r="I59" s="16" t="str">
        <f t="shared" si="10"/>
        <v>lt004_protectionflg_pro</v>
      </c>
      <c r="J59" s="29" t="s">
        <v>326</v>
      </c>
      <c r="K59" s="30" t="s">
        <v>340</v>
      </c>
      <c r="L59" t="str">
        <f t="shared" si="6"/>
        <v>Nok</v>
      </c>
      <c r="Q59" s="34" t="s">
        <v>196</v>
      </c>
      <c r="R59" s="36" t="s">
        <v>203</v>
      </c>
      <c r="S59" t="str">
        <f t="shared" si="7"/>
        <v>prjct_fnnc_ln</v>
      </c>
      <c r="T59" t="str">
        <f t="shared" si="8"/>
        <v>INSTRUMENTprjct_fnnc_ln</v>
      </c>
      <c r="U59" s="41" t="s">
        <v>407</v>
      </c>
      <c r="V59" s="41" t="s">
        <v>408</v>
      </c>
      <c r="W59" t="s">
        <v>404</v>
      </c>
      <c r="AB59" s="29" t="s">
        <v>351</v>
      </c>
      <c r="AC59" s="30" t="s">
        <v>59</v>
      </c>
      <c r="AD59" t="str">
        <f t="shared" si="2"/>
        <v>lt825_mthd_usd_instrmntorigem_scp1_emss</v>
      </c>
      <c r="AE59" t="str">
        <f t="shared" si="3"/>
        <v>lt825_mthd_usd_instrmntorigem_scp1_emss</v>
      </c>
    </row>
    <row r="60" spans="1:31" ht="17.399999999999999" x14ac:dyDescent="0.3">
      <c r="A60" s="16" t="str">
        <f t="shared" si="9"/>
        <v>lt003_entitytrnstnl_trnvr</v>
      </c>
      <c r="B60" s="28" t="s">
        <v>215</v>
      </c>
      <c r="C60" s="28" t="s">
        <v>294</v>
      </c>
      <c r="D60" s="28" t="s">
        <v>307</v>
      </c>
      <c r="E60" t="str">
        <f t="shared" si="4"/>
        <v>Ok</v>
      </c>
      <c r="G60" t="str">
        <f t="shared" si="5"/>
        <v>ENTITYtrnstnl_trnvr</v>
      </c>
      <c r="I60" s="16" t="str">
        <f t="shared" si="10"/>
        <v>lt825_mthd_usd_instrmntambito</v>
      </c>
      <c r="J60" s="29" t="s">
        <v>351</v>
      </c>
      <c r="K60" s="30" t="s">
        <v>352</v>
      </c>
      <c r="L60" t="str">
        <f t="shared" si="6"/>
        <v>Ok</v>
      </c>
      <c r="Q60" s="34" t="s">
        <v>196</v>
      </c>
      <c r="R60" s="38" t="s">
        <v>204</v>
      </c>
      <c r="S60" t="str">
        <f t="shared" si="7"/>
        <v>typ_instrmnt</v>
      </c>
      <c r="T60" t="str">
        <f t="shared" si="8"/>
        <v>INSTRUMENTtyp_instrmnt</v>
      </c>
      <c r="U60" s="41" t="s">
        <v>407</v>
      </c>
      <c r="V60" s="41" t="s">
        <v>407</v>
      </c>
      <c r="W60" t="s">
        <v>404</v>
      </c>
      <c r="AB60" s="29" t="s">
        <v>351</v>
      </c>
      <c r="AC60" s="30" t="s">
        <v>60</v>
      </c>
      <c r="AD60" t="str">
        <f t="shared" si="2"/>
        <v>lt825_mthd_usd_instrmntorigem_scp2_emss</v>
      </c>
      <c r="AE60" t="str">
        <f t="shared" si="3"/>
        <v>lt825_mthd_usd_instrmntorigem_scp2_emss</v>
      </c>
    </row>
    <row r="61" spans="1:31" ht="17.399999999999999" x14ac:dyDescent="0.3">
      <c r="A61" s="16" t="str">
        <f t="shared" si="9"/>
        <v>lt003_entitypure_trnvr_ccm</v>
      </c>
      <c r="B61" s="28" t="s">
        <v>215</v>
      </c>
      <c r="C61" s="28" t="s">
        <v>294</v>
      </c>
      <c r="D61" s="28" t="s">
        <v>308</v>
      </c>
      <c r="E61" t="str">
        <f t="shared" si="4"/>
        <v>Ok</v>
      </c>
      <c r="G61" t="str">
        <f t="shared" si="5"/>
        <v>ENTITYpure_trnvr_ccm</v>
      </c>
      <c r="I61" s="16" t="str">
        <f t="shared" si="10"/>
        <v>lt825_mthd_usd_instrmntref_date</v>
      </c>
      <c r="J61" s="29" t="s">
        <v>351</v>
      </c>
      <c r="K61" s="30" t="s">
        <v>21</v>
      </c>
      <c r="L61" t="str">
        <f t="shared" si="6"/>
        <v>Ok</v>
      </c>
      <c r="Q61" s="34" t="s">
        <v>196</v>
      </c>
      <c r="R61" s="36" t="s">
        <v>205</v>
      </c>
      <c r="S61" t="str">
        <f t="shared" si="7"/>
        <v>grss_crryng_amnt_instrmnt</v>
      </c>
      <c r="T61" t="str">
        <f t="shared" si="8"/>
        <v>INSTRUMENTgrss_crryng_amnt_instrmnt</v>
      </c>
      <c r="U61" s="41" t="s">
        <v>407</v>
      </c>
      <c r="V61" s="41" t="s">
        <v>407</v>
      </c>
      <c r="W61" t="s">
        <v>404</v>
      </c>
      <c r="AB61" s="29" t="s">
        <v>351</v>
      </c>
      <c r="AC61" s="30" t="s">
        <v>61</v>
      </c>
      <c r="AD61" t="str">
        <f t="shared" si="2"/>
        <v>lt825_mthd_usd_instrmntorigem_scp3_emss</v>
      </c>
      <c r="AE61" t="str">
        <f t="shared" si="3"/>
        <v>lt825_mthd_usd_instrmntorigem_scp3_emss</v>
      </c>
    </row>
    <row r="62" spans="1:31" ht="17.399999999999999" x14ac:dyDescent="0.3">
      <c r="A62" s="16" t="str">
        <f t="shared" si="9"/>
        <v>lt003_entitypure_trnvr_cca</v>
      </c>
      <c r="B62" s="28" t="s">
        <v>215</v>
      </c>
      <c r="C62" s="28" t="s">
        <v>294</v>
      </c>
      <c r="D62" s="28" t="s">
        <v>309</v>
      </c>
      <c r="E62" t="str">
        <f t="shared" si="4"/>
        <v>Ok</v>
      </c>
      <c r="G62" t="str">
        <f t="shared" si="5"/>
        <v>ENTITYpure_trnvr_cca</v>
      </c>
      <c r="I62" s="16" t="str">
        <f t="shared" si="10"/>
        <v>lt825_mthd_usd_instrmntordem</v>
      </c>
      <c r="J62" s="29" t="s">
        <v>351</v>
      </c>
      <c r="K62" s="30" t="s">
        <v>177</v>
      </c>
      <c r="L62" t="str">
        <f t="shared" si="6"/>
        <v>Ok</v>
      </c>
      <c r="Q62" s="34" t="s">
        <v>196</v>
      </c>
      <c r="R62" s="36" t="s">
        <v>206</v>
      </c>
      <c r="S62" t="str">
        <f t="shared" si="7"/>
        <v>accmltd_chngs_fv_cr_instrmnt</v>
      </c>
      <c r="T62" t="str">
        <f t="shared" si="8"/>
        <v>INSTRUMENTaccmltd_chngs_fv_cr_instrmnt</v>
      </c>
      <c r="U62" s="41" t="s">
        <v>407</v>
      </c>
      <c r="V62" s="41" t="s">
        <v>407</v>
      </c>
      <c r="W62" t="s">
        <v>404</v>
      </c>
      <c r="AB62" s="29" t="s">
        <v>351</v>
      </c>
      <c r="AC62" s="30" t="s">
        <v>347</v>
      </c>
      <c r="AD62" t="str">
        <f t="shared" si="2"/>
        <v>lt825_mthd_usd_instrmntmthd_usd_instrmnt_scp_1</v>
      </c>
      <c r="AE62" t="str">
        <f t="shared" si="3"/>
        <v>lt825_mthd_usd_instrmntmthd_usd_instrmnt_scp_1</v>
      </c>
    </row>
    <row r="63" spans="1:31" ht="17.399999999999999" x14ac:dyDescent="0.3">
      <c r="A63" s="16" t="str">
        <f t="shared" si="9"/>
        <v>lt003_entityflg_nfrd_applcblty</v>
      </c>
      <c r="B63" s="28" t="s">
        <v>215</v>
      </c>
      <c r="C63" s="28" t="s">
        <v>294</v>
      </c>
      <c r="D63" s="28" t="s">
        <v>310</v>
      </c>
      <c r="E63" t="str">
        <f t="shared" si="4"/>
        <v>Ok</v>
      </c>
      <c r="G63" t="str">
        <f t="shared" si="5"/>
        <v>ENTITYflg_nfrd_applcblty</v>
      </c>
      <c r="I63" s="16" t="str">
        <f t="shared" si="10"/>
        <v>lt825_mthd_usd_instrmnttabela</v>
      </c>
      <c r="J63" s="29" t="s">
        <v>351</v>
      </c>
      <c r="K63" s="30" t="s">
        <v>353</v>
      </c>
      <c r="L63" t="str">
        <f t="shared" si="6"/>
        <v>Ok</v>
      </c>
      <c r="Q63" s="34" t="s">
        <v>196</v>
      </c>
      <c r="R63" s="38" t="s">
        <v>207</v>
      </c>
      <c r="S63" t="str">
        <f t="shared" si="7"/>
        <v>accntng_clssfctn</v>
      </c>
      <c r="T63" t="str">
        <f t="shared" si="8"/>
        <v>INSTRUMENTaccntng_clssfctn</v>
      </c>
      <c r="U63" s="41" t="s">
        <v>407</v>
      </c>
      <c r="V63" s="41" t="s">
        <v>407</v>
      </c>
      <c r="W63" t="s">
        <v>404</v>
      </c>
      <c r="AB63" s="29" t="s">
        <v>351</v>
      </c>
      <c r="AC63" s="30" t="s">
        <v>348</v>
      </c>
      <c r="AD63" t="str">
        <f t="shared" ref="AD63:AD126" si="11">AB63&amp;AC63</f>
        <v>lt825_mthd_usd_instrmntmthd_usd_instrmnt_scp_2</v>
      </c>
      <c r="AE63" t="str">
        <f t="shared" ref="AE63:AE126" si="12">VLOOKUP(AD63,$A$3:$A$128,1,0)</f>
        <v>lt825_mthd_usd_instrmntmthd_usd_instrmnt_scp_2</v>
      </c>
    </row>
    <row r="64" spans="1:31" ht="17.399999999999999" x14ac:dyDescent="0.3">
      <c r="A64" s="16" t="str">
        <f t="shared" si="9"/>
        <v>lt003_entitycntrprty_emssns_scp1</v>
      </c>
      <c r="B64" s="28" t="s">
        <v>215</v>
      </c>
      <c r="C64" s="28" t="s">
        <v>294</v>
      </c>
      <c r="D64" s="28" t="s">
        <v>311</v>
      </c>
      <c r="E64" t="str">
        <f t="shared" si="4"/>
        <v>Ok</v>
      </c>
      <c r="G64" t="str">
        <f t="shared" si="5"/>
        <v>ENTITYcntrprty_emssns_scp1</v>
      </c>
      <c r="I64" s="16" t="str">
        <f t="shared" si="10"/>
        <v>lt825_mthd_usd_instrmntorigem_scp1_emss</v>
      </c>
      <c r="J64" s="29" t="s">
        <v>351</v>
      </c>
      <c r="K64" s="30" t="s">
        <v>59</v>
      </c>
      <c r="L64" t="str">
        <f t="shared" si="6"/>
        <v>Ok</v>
      </c>
      <c r="Q64" s="34" t="s">
        <v>196</v>
      </c>
      <c r="R64" s="36" t="s">
        <v>208</v>
      </c>
      <c r="S64" t="str">
        <f t="shared" si="7"/>
        <v>dt_lgl_fnl_mtrty</v>
      </c>
      <c r="T64" t="str">
        <f t="shared" si="8"/>
        <v>INSTRUMENTdt_lgl_fnl_mtrty</v>
      </c>
      <c r="U64" s="41" t="s">
        <v>407</v>
      </c>
      <c r="V64" s="41" t="s">
        <v>408</v>
      </c>
      <c r="W64" t="s">
        <v>404</v>
      </c>
      <c r="AB64" s="29" t="s">
        <v>351</v>
      </c>
      <c r="AC64" s="30" t="s">
        <v>349</v>
      </c>
      <c r="AD64" t="str">
        <f t="shared" si="11"/>
        <v>lt825_mthd_usd_instrmntmthd_usd_instrmnt_scp_3</v>
      </c>
      <c r="AE64" t="str">
        <f t="shared" si="12"/>
        <v>lt825_mthd_usd_instrmntmthd_usd_instrmnt_scp_3</v>
      </c>
    </row>
    <row r="65" spans="1:31" ht="17.399999999999999" x14ac:dyDescent="0.3">
      <c r="A65" s="16" t="str">
        <f t="shared" si="9"/>
        <v>lt003_entitycntrprty_emssns_scp2</v>
      </c>
      <c r="B65" s="28" t="s">
        <v>215</v>
      </c>
      <c r="C65" s="28" t="s">
        <v>294</v>
      </c>
      <c r="D65" s="28" t="s">
        <v>312</v>
      </c>
      <c r="E65" t="str">
        <f t="shared" si="4"/>
        <v>Ok</v>
      </c>
      <c r="G65" t="str">
        <f t="shared" si="5"/>
        <v>ENTITYcntrprty_emssns_scp2</v>
      </c>
      <c r="I65" s="16" t="str">
        <f t="shared" si="10"/>
        <v>lt825_mthd_usd_instrmntorigem_scp2_emss</v>
      </c>
      <c r="J65" s="29" t="s">
        <v>351</v>
      </c>
      <c r="K65" s="30" t="s">
        <v>60</v>
      </c>
      <c r="L65" t="str">
        <f t="shared" si="6"/>
        <v>Ok</v>
      </c>
      <c r="Q65" s="34" t="s">
        <v>196</v>
      </c>
      <c r="R65" s="36" t="s">
        <v>209</v>
      </c>
      <c r="S65" t="str">
        <f t="shared" si="7"/>
        <v>accmltd_imprmnt_instrmnt</v>
      </c>
      <c r="T65" t="str">
        <f t="shared" si="8"/>
        <v>INSTRUMENTaccmltd_imprmnt_instrmnt</v>
      </c>
      <c r="U65" s="41" t="s">
        <v>407</v>
      </c>
      <c r="V65" s="41" t="s">
        <v>407</v>
      </c>
      <c r="W65" t="s">
        <v>404</v>
      </c>
      <c r="AB65" s="29" t="s">
        <v>354</v>
      </c>
      <c r="AC65" s="30" t="s">
        <v>352</v>
      </c>
      <c r="AD65" t="str">
        <f t="shared" si="11"/>
        <v>lt826_esg_sbsctrambito</v>
      </c>
      <c r="AE65" t="str">
        <f t="shared" si="12"/>
        <v>lt826_esg_sbsctrambito</v>
      </c>
    </row>
    <row r="66" spans="1:31" ht="17.399999999999999" x14ac:dyDescent="0.3">
      <c r="A66" s="16" t="str">
        <f t="shared" si="9"/>
        <v>lt003_entitycntrprty_emssns_scp3</v>
      </c>
      <c r="B66" s="28" t="s">
        <v>215</v>
      </c>
      <c r="C66" s="28" t="s">
        <v>294</v>
      </c>
      <c r="D66" s="28" t="s">
        <v>313</v>
      </c>
      <c r="E66" t="str">
        <f t="shared" si="4"/>
        <v>Ok</v>
      </c>
      <c r="G66" t="str">
        <f t="shared" si="5"/>
        <v>ENTITYcntrprty_emssns_scp3</v>
      </c>
      <c r="I66" s="16" t="str">
        <f t="shared" si="10"/>
        <v>lt825_mthd_usd_instrmntorigem_scp3_emss</v>
      </c>
      <c r="J66" s="29" t="s">
        <v>351</v>
      </c>
      <c r="K66" s="30" t="s">
        <v>61</v>
      </c>
      <c r="L66" t="str">
        <f t="shared" si="6"/>
        <v>Ok</v>
      </c>
      <c r="Q66" s="34" t="s">
        <v>196</v>
      </c>
      <c r="R66" s="36" t="s">
        <v>210</v>
      </c>
      <c r="S66" t="str">
        <f t="shared" si="7"/>
        <v>issr_cntry</v>
      </c>
      <c r="T66" t="str">
        <f t="shared" si="8"/>
        <v>INSTRUMENTissr_cntry</v>
      </c>
      <c r="U66" s="41" t="s">
        <v>407</v>
      </c>
      <c r="V66" s="41" t="s">
        <v>408</v>
      </c>
      <c r="W66" t="s">
        <v>404</v>
      </c>
      <c r="AB66" s="29" t="s">
        <v>354</v>
      </c>
      <c r="AC66" s="30" t="s">
        <v>21</v>
      </c>
      <c r="AD66" t="str">
        <f t="shared" si="11"/>
        <v>lt826_esg_sbsctrref_date</v>
      </c>
      <c r="AE66" t="str">
        <f t="shared" si="12"/>
        <v>lt826_esg_sbsctrref_date</v>
      </c>
    </row>
    <row r="67" spans="1:31" ht="17.399999999999999" x14ac:dyDescent="0.3">
      <c r="A67" s="16" t="str">
        <f t="shared" ref="A67:A98" si="13">C67&amp;D67</f>
        <v>lt003_entityflg_excldd_eu_prs_algnd_bnchmrk</v>
      </c>
      <c r="B67" s="28" t="s">
        <v>215</v>
      </c>
      <c r="C67" s="28" t="s">
        <v>294</v>
      </c>
      <c r="D67" s="28" t="s">
        <v>314</v>
      </c>
      <c r="E67" t="str">
        <f t="shared" si="4"/>
        <v>Ok</v>
      </c>
      <c r="G67" t="str">
        <f t="shared" si="5"/>
        <v>ENTITYflg_excldd_eu_prs_algnd_bnchmrk</v>
      </c>
      <c r="I67" s="16" t="str">
        <f t="shared" ref="I67:I78" si="14">J67&amp;K67</f>
        <v>lt825_mthd_usd_instrmntmthd_usd_instrmnt_scp_1</v>
      </c>
      <c r="J67" s="29" t="s">
        <v>351</v>
      </c>
      <c r="K67" s="30" t="s">
        <v>347</v>
      </c>
      <c r="L67" t="str">
        <f t="shared" si="6"/>
        <v>Ok</v>
      </c>
      <c r="Q67" s="34" t="s">
        <v>196</v>
      </c>
      <c r="R67" s="36" t="s">
        <v>211</v>
      </c>
      <c r="S67" t="str">
        <f t="shared" si="7"/>
        <v>issr_nace_sctr</v>
      </c>
      <c r="T67" t="str">
        <f t="shared" si="8"/>
        <v>INSTRUMENTissr_nace_sctr</v>
      </c>
      <c r="U67" s="41" t="s">
        <v>407</v>
      </c>
      <c r="V67" s="41" t="s">
        <v>408</v>
      </c>
      <c r="W67" t="s">
        <v>404</v>
      </c>
      <c r="AB67" s="29" t="s">
        <v>354</v>
      </c>
      <c r="AC67" s="30" t="s">
        <v>177</v>
      </c>
      <c r="AD67" t="str">
        <f t="shared" si="11"/>
        <v>lt826_esg_sbsctrordem</v>
      </c>
      <c r="AE67" t="str">
        <f t="shared" si="12"/>
        <v>lt826_esg_sbsctrordem</v>
      </c>
    </row>
    <row r="68" spans="1:31" ht="17.399999999999999" x14ac:dyDescent="0.3">
      <c r="A68" s="16" t="str">
        <f t="shared" si="13"/>
        <v>lt003_entityflg_act_physcl_rsk</v>
      </c>
      <c r="B68" s="28" t="s">
        <v>215</v>
      </c>
      <c r="C68" s="28" t="s">
        <v>294</v>
      </c>
      <c r="D68" s="28" t="s">
        <v>315</v>
      </c>
      <c r="E68" t="str">
        <f t="shared" ref="E68:E109" si="15">IFERROR(IF(VLOOKUP(A68,$I$3:$I$234,1,0)=A68,"Ok","Nok"),"Nok")</f>
        <v>Ok</v>
      </c>
      <c r="G68" t="str">
        <f t="shared" ref="G68:G109" si="16">B68&amp;D68</f>
        <v>ENTITYflg_act_physcl_rsk</v>
      </c>
      <c r="I68" s="16" t="str">
        <f t="shared" si="14"/>
        <v>lt825_mthd_usd_instrmntmthd_usd_instrmnt_scp_2</v>
      </c>
      <c r="J68" s="29" t="s">
        <v>351</v>
      </c>
      <c r="K68" s="30" t="s">
        <v>348</v>
      </c>
      <c r="L68" t="str">
        <f t="shared" ref="L68:L78" si="17">IFERROR(IF(VLOOKUP(I68,$A$3:$A$214,1,0)=I68,"Ok","Nok"),"Nok")</f>
        <v>Ok</v>
      </c>
      <c r="Q68" s="34" t="s">
        <v>196</v>
      </c>
      <c r="R68" s="36" t="s">
        <v>212</v>
      </c>
      <c r="S68" t="str">
        <f t="shared" ref="S68:S109" si="18">LOWER(R68)</f>
        <v>prmry_asst_clssf</v>
      </c>
      <c r="T68" t="str">
        <f t="shared" ref="T68:T109" si="19">VLOOKUP(Q68&amp;S68,$G:$G,1,0)</f>
        <v>INSTRUMENTprmry_asst_clssf</v>
      </c>
      <c r="U68" s="41" t="s">
        <v>407</v>
      </c>
      <c r="V68" s="41" t="s">
        <v>408</v>
      </c>
      <c r="W68" t="s">
        <v>404</v>
      </c>
      <c r="AB68" s="29" t="s">
        <v>354</v>
      </c>
      <c r="AC68" s="30" t="s">
        <v>355</v>
      </c>
      <c r="AD68" t="str">
        <f t="shared" si="11"/>
        <v>lt826_esg_sbsctrnace_code</v>
      </c>
      <c r="AE68" t="str">
        <f t="shared" si="12"/>
        <v>lt826_esg_sbsctrnace_code</v>
      </c>
    </row>
    <row r="69" spans="1:31" ht="17.399999999999999" x14ac:dyDescent="0.3">
      <c r="A69" s="16" t="str">
        <f t="shared" si="13"/>
        <v>lt003_entityflg_chrnc_physcl_rsk</v>
      </c>
      <c r="B69" s="28" t="s">
        <v>215</v>
      </c>
      <c r="C69" s="28" t="s">
        <v>294</v>
      </c>
      <c r="D69" s="28" t="s">
        <v>316</v>
      </c>
      <c r="E69" t="str">
        <f t="shared" si="15"/>
        <v>Ok</v>
      </c>
      <c r="G69" t="str">
        <f t="shared" si="16"/>
        <v>ENTITYflg_chrnc_physcl_rsk</v>
      </c>
      <c r="I69" s="16" t="str">
        <f t="shared" si="14"/>
        <v>lt825_mthd_usd_instrmntmthd_usd_instrmnt_scp_3</v>
      </c>
      <c r="J69" s="29" t="s">
        <v>351</v>
      </c>
      <c r="K69" s="30" t="s">
        <v>349</v>
      </c>
      <c r="L69" t="str">
        <f t="shared" si="17"/>
        <v>Ok</v>
      </c>
      <c r="Q69" s="34" t="s">
        <v>196</v>
      </c>
      <c r="R69" s="36" t="s">
        <v>236</v>
      </c>
      <c r="S69" t="str">
        <f t="shared" si="18"/>
        <v>lcl_instmrnt_id</v>
      </c>
      <c r="T69" t="str">
        <f t="shared" si="19"/>
        <v>INSTRUMENTlcl_instmrnt_id</v>
      </c>
      <c r="U69" s="41" t="s">
        <v>407</v>
      </c>
      <c r="V69" s="41" t="s">
        <v>407</v>
      </c>
      <c r="W69" t="s">
        <v>404</v>
      </c>
      <c r="AB69" s="29" t="s">
        <v>354</v>
      </c>
      <c r="AC69" s="30" t="s">
        <v>356</v>
      </c>
      <c r="AD69" t="str">
        <f t="shared" si="11"/>
        <v>lt826_esg_sbsctrcontraparte</v>
      </c>
      <c r="AE69" t="str">
        <f t="shared" si="12"/>
        <v>lt826_esg_sbsctrcontraparte</v>
      </c>
    </row>
    <row r="70" spans="1:31" ht="17.399999999999999" x14ac:dyDescent="0.3">
      <c r="A70" s="16" t="str">
        <f t="shared" si="13"/>
        <v>lt003_entitypst_cd</v>
      </c>
      <c r="B70" s="28" t="s">
        <v>215</v>
      </c>
      <c r="C70" s="28" t="s">
        <v>294</v>
      </c>
      <c r="D70" s="28" t="s">
        <v>317</v>
      </c>
      <c r="E70" t="str">
        <f t="shared" si="15"/>
        <v>Ok</v>
      </c>
      <c r="G70" t="str">
        <f t="shared" si="16"/>
        <v>ENTITYpst_cd</v>
      </c>
      <c r="I70" s="16" t="str">
        <f t="shared" si="14"/>
        <v>lt826_esg_sbsctrambito</v>
      </c>
      <c r="J70" s="29" t="s">
        <v>354</v>
      </c>
      <c r="K70" s="30" t="s">
        <v>352</v>
      </c>
      <c r="L70" t="str">
        <f t="shared" si="17"/>
        <v>Ok</v>
      </c>
      <c r="Q70" s="34" t="s">
        <v>196</v>
      </c>
      <c r="R70" s="36" t="s">
        <v>288</v>
      </c>
      <c r="S70" t="str">
        <f t="shared" si="18"/>
        <v>sstnbl_indctr</v>
      </c>
      <c r="T70" t="str">
        <f t="shared" si="19"/>
        <v>INSTRUMENTsstnbl_indctr</v>
      </c>
      <c r="U70" s="41" t="s">
        <v>408</v>
      </c>
      <c r="V70" s="41" t="s">
        <v>407</v>
      </c>
      <c r="W70" t="s">
        <v>405</v>
      </c>
      <c r="AB70" s="29" t="s">
        <v>354</v>
      </c>
      <c r="AC70" s="30" t="s">
        <v>357</v>
      </c>
      <c r="AD70" t="str">
        <f t="shared" si="11"/>
        <v>lt826_esg_sbsctrcnatureza_juri</v>
      </c>
      <c r="AE70" t="str">
        <f t="shared" si="12"/>
        <v>lt826_esg_sbsctrcnatureza_juri</v>
      </c>
    </row>
    <row r="71" spans="1:31" ht="17.399999999999999" x14ac:dyDescent="0.3">
      <c r="A71" s="16" t="str">
        <f t="shared" si="13"/>
        <v>lt003_entityesg_sbsctr</v>
      </c>
      <c r="B71" s="28" t="s">
        <v>215</v>
      </c>
      <c r="C71" s="28" t="s">
        <v>294</v>
      </c>
      <c r="D71" s="28" t="s">
        <v>318</v>
      </c>
      <c r="E71" t="str">
        <f t="shared" si="15"/>
        <v>Ok</v>
      </c>
      <c r="G71" t="str">
        <f t="shared" si="16"/>
        <v>ENTITYesg_sbsctr</v>
      </c>
      <c r="I71" s="16" t="str">
        <f t="shared" si="14"/>
        <v>lt826_esg_sbsctrref_date</v>
      </c>
      <c r="J71" s="29" t="s">
        <v>354</v>
      </c>
      <c r="K71" s="30" t="s">
        <v>21</v>
      </c>
      <c r="L71" t="str">
        <f t="shared" si="17"/>
        <v>Ok</v>
      </c>
      <c r="Q71" s="34" t="s">
        <v>196</v>
      </c>
      <c r="R71" s="36" t="s">
        <v>289</v>
      </c>
      <c r="S71" t="str">
        <f t="shared" si="18"/>
        <v>sstnbl_ctgry</v>
      </c>
      <c r="T71" t="str">
        <f t="shared" si="19"/>
        <v>INSTRUMENTsstnbl_ctgry</v>
      </c>
      <c r="U71" s="41" t="s">
        <v>408</v>
      </c>
      <c r="V71" s="41" t="s">
        <v>407</v>
      </c>
      <c r="W71" t="s">
        <v>405</v>
      </c>
      <c r="AB71" s="29" t="s">
        <v>354</v>
      </c>
      <c r="AC71" s="30" t="s">
        <v>358</v>
      </c>
      <c r="AD71" t="str">
        <f t="shared" si="11"/>
        <v>lt826_esg_sbsctridcomb</v>
      </c>
      <c r="AE71" t="str">
        <f t="shared" si="12"/>
        <v>lt826_esg_sbsctridcomb</v>
      </c>
    </row>
    <row r="72" spans="1:31" ht="17.399999999999999" x14ac:dyDescent="0.3">
      <c r="A72" s="16" t="str">
        <f t="shared" si="13"/>
        <v>lt003_entityttl_lblty</v>
      </c>
      <c r="B72" s="28" t="s">
        <v>215</v>
      </c>
      <c r="C72" s="28" t="s">
        <v>294</v>
      </c>
      <c r="D72" s="28" t="s">
        <v>319</v>
      </c>
      <c r="E72" t="str">
        <f t="shared" si="15"/>
        <v>Ok</v>
      </c>
      <c r="G72" t="str">
        <f t="shared" si="16"/>
        <v>ENTITYttl_lblty</v>
      </c>
      <c r="I72" s="16" t="str">
        <f t="shared" si="14"/>
        <v>lt826_esg_sbsctrordem</v>
      </c>
      <c r="J72" s="29" t="s">
        <v>354</v>
      </c>
      <c r="K72" s="30" t="s">
        <v>177</v>
      </c>
      <c r="L72" t="str">
        <f t="shared" si="17"/>
        <v>Ok</v>
      </c>
      <c r="Q72" s="34" t="s">
        <v>196</v>
      </c>
      <c r="R72" s="36" t="s">
        <v>290</v>
      </c>
      <c r="S72" t="str">
        <f t="shared" si="18"/>
        <v>grss_intrst_incm</v>
      </c>
      <c r="T72" t="str">
        <f t="shared" si="19"/>
        <v>INSTRUMENTgrss_intrst_incm</v>
      </c>
      <c r="U72" s="41" t="s">
        <v>408</v>
      </c>
      <c r="V72" s="41" t="s">
        <v>407</v>
      </c>
      <c r="W72" t="s">
        <v>405</v>
      </c>
      <c r="AB72" s="29" t="s">
        <v>354</v>
      </c>
      <c r="AC72" s="30" t="s">
        <v>318</v>
      </c>
      <c r="AD72" t="str">
        <f t="shared" si="11"/>
        <v>lt826_esg_sbsctresg_sbsctr</v>
      </c>
      <c r="AE72" t="str">
        <f t="shared" si="12"/>
        <v>lt826_esg_sbsctresg_sbsctr</v>
      </c>
    </row>
    <row r="73" spans="1:31" ht="17.399999999999999" x14ac:dyDescent="0.3">
      <c r="A73" s="16" t="str">
        <f t="shared" si="13"/>
        <v>lt003_entityisin</v>
      </c>
      <c r="B73" s="28" t="s">
        <v>215</v>
      </c>
      <c r="C73" s="28" t="s">
        <v>294</v>
      </c>
      <c r="D73" s="28" t="s">
        <v>110</v>
      </c>
      <c r="E73" t="str">
        <f t="shared" si="15"/>
        <v>Ok</v>
      </c>
      <c r="G73" t="str">
        <f t="shared" si="16"/>
        <v>ENTITYisin</v>
      </c>
      <c r="I73" s="16" t="str">
        <f t="shared" si="14"/>
        <v>lt826_esg_sbsctrnace_code</v>
      </c>
      <c r="J73" s="29" t="s">
        <v>354</v>
      </c>
      <c r="K73" s="30" t="s">
        <v>355</v>
      </c>
      <c r="L73" t="str">
        <f t="shared" si="17"/>
        <v>Ok</v>
      </c>
      <c r="Q73" s="34" t="s">
        <v>196</v>
      </c>
      <c r="R73" s="37" t="s">
        <v>291</v>
      </c>
      <c r="S73" t="str">
        <f t="shared" si="18"/>
        <v>grss_cmmssn_incm</v>
      </c>
      <c r="T73" t="str">
        <f t="shared" si="19"/>
        <v>INSTRUMENTgrss_cmmssn_incm</v>
      </c>
      <c r="U73" s="41" t="s">
        <v>408</v>
      </c>
      <c r="V73" s="41" t="s">
        <v>407</v>
      </c>
      <c r="W73" t="s">
        <v>405</v>
      </c>
      <c r="AB73" s="29" t="s">
        <v>354</v>
      </c>
      <c r="AC73" s="30" t="s">
        <v>359</v>
      </c>
      <c r="AD73" t="str">
        <f t="shared" si="11"/>
        <v>lt826_esg_sbsctrdescrição</v>
      </c>
      <c r="AE73" t="str">
        <f t="shared" si="12"/>
        <v>lt826_esg_sbsctrdescrição</v>
      </c>
    </row>
    <row r="74" spans="1:31" ht="17.399999999999999" x14ac:dyDescent="0.3">
      <c r="A74" s="16" t="str">
        <f t="shared" si="13"/>
        <v>lt003_entitygrp_annl_trnvr_le</v>
      </c>
      <c r="B74" s="28" t="s">
        <v>215</v>
      </c>
      <c r="C74" s="28" t="s">
        <v>294</v>
      </c>
      <c r="D74" s="28" t="s">
        <v>320</v>
      </c>
      <c r="E74" t="str">
        <f t="shared" si="15"/>
        <v>Ok</v>
      </c>
      <c r="G74" t="str">
        <f t="shared" si="16"/>
        <v>ENTITYgrp_annl_trnvr_le</v>
      </c>
      <c r="I74" s="16" t="str">
        <f t="shared" si="14"/>
        <v>lt826_esg_sbsctrcontraparte</v>
      </c>
      <c r="J74" s="29" t="s">
        <v>354</v>
      </c>
      <c r="K74" s="30" t="s">
        <v>356</v>
      </c>
      <c r="L74" t="str">
        <f t="shared" si="17"/>
        <v>Ok</v>
      </c>
      <c r="Q74" s="34" t="s">
        <v>196</v>
      </c>
      <c r="R74" s="37" t="s">
        <v>292</v>
      </c>
      <c r="S74" t="str">
        <f t="shared" si="18"/>
        <v>grss_cmmssn_incm_off_blnc</v>
      </c>
      <c r="T74" t="str">
        <f t="shared" si="19"/>
        <v>INSTRUMENTgrss_cmmssn_incm_off_blnc</v>
      </c>
      <c r="U74" s="41" t="s">
        <v>408</v>
      </c>
      <c r="V74" s="41" t="s">
        <v>407</v>
      </c>
      <c r="W74" t="s">
        <v>405</v>
      </c>
      <c r="AB74" s="29" t="s">
        <v>341</v>
      </c>
      <c r="AC74" s="30" t="s">
        <v>362</v>
      </c>
      <c r="AD74" t="str">
        <f t="shared" si="11"/>
        <v>lt002_instrumentdt_rfrnc</v>
      </c>
      <c r="AE74" t="str">
        <f t="shared" si="12"/>
        <v>lt002_instrumentdt_rfrnc</v>
      </c>
    </row>
    <row r="75" spans="1:31" ht="17.399999999999999" x14ac:dyDescent="0.3">
      <c r="A75" s="16" t="str">
        <f t="shared" si="13"/>
        <v>lt003_entitygrp_ttl_lblty</v>
      </c>
      <c r="B75" s="28" t="s">
        <v>215</v>
      </c>
      <c r="C75" s="28" t="s">
        <v>294</v>
      </c>
      <c r="D75" s="28" t="s">
        <v>321</v>
      </c>
      <c r="E75" t="str">
        <f t="shared" si="15"/>
        <v>Ok</v>
      </c>
      <c r="G75" t="str">
        <f t="shared" si="16"/>
        <v>ENTITYgrp_ttl_lblty</v>
      </c>
      <c r="I75" s="16" t="str">
        <f t="shared" si="14"/>
        <v>lt826_esg_sbsctrcnatureza_juri</v>
      </c>
      <c r="J75" s="29" t="s">
        <v>354</v>
      </c>
      <c r="K75" s="30" t="s">
        <v>357</v>
      </c>
      <c r="L75" t="str">
        <f t="shared" si="17"/>
        <v>Ok</v>
      </c>
      <c r="Q75" s="34" t="s">
        <v>196</v>
      </c>
      <c r="R75" s="36" t="s">
        <v>281</v>
      </c>
      <c r="S75" t="str">
        <f t="shared" si="18"/>
        <v>envrnmntl_objctv</v>
      </c>
      <c r="T75" t="str">
        <f t="shared" si="19"/>
        <v>INSTRUMENTenvrnmntl_objctv</v>
      </c>
      <c r="U75" s="41" t="s">
        <v>408</v>
      </c>
      <c r="V75" s="41" t="s">
        <v>408</v>
      </c>
      <c r="W75" t="s">
        <v>410</v>
      </c>
      <c r="AB75" s="29" t="s">
        <v>341</v>
      </c>
      <c r="AC75" s="30" t="s">
        <v>363</v>
      </c>
      <c r="AD75" t="str">
        <f t="shared" si="11"/>
        <v>lt002_instrumentinstrmnt_id</v>
      </c>
      <c r="AE75" t="str">
        <f t="shared" si="12"/>
        <v>lt002_instrumentinstrmnt_id</v>
      </c>
    </row>
    <row r="76" spans="1:31" ht="17.399999999999999" x14ac:dyDescent="0.3">
      <c r="A76" s="16" t="str">
        <f t="shared" si="13"/>
        <v>lt003_entityflg_grp_nfrd_applcblty</v>
      </c>
      <c r="B76" s="28" t="s">
        <v>215</v>
      </c>
      <c r="C76" s="28" t="s">
        <v>294</v>
      </c>
      <c r="D76" s="28" t="s">
        <v>322</v>
      </c>
      <c r="E76" t="str">
        <f t="shared" si="15"/>
        <v>Ok</v>
      </c>
      <c r="G76" t="str">
        <f t="shared" si="16"/>
        <v>ENTITYflg_grp_nfrd_applcblty</v>
      </c>
      <c r="I76" s="16" t="str">
        <f t="shared" si="14"/>
        <v>lt826_esg_sbsctridcomb</v>
      </c>
      <c r="J76" s="29" t="s">
        <v>354</v>
      </c>
      <c r="K76" s="30" t="s">
        <v>358</v>
      </c>
      <c r="L76" t="str">
        <f t="shared" si="17"/>
        <v>Ok</v>
      </c>
      <c r="Q76" s="34" t="s">
        <v>196</v>
      </c>
      <c r="R76" s="36" t="s">
        <v>279</v>
      </c>
      <c r="S76" t="str">
        <f t="shared" si="18"/>
        <v>rsk_mtgtd_cct</v>
      </c>
      <c r="T76" t="str">
        <f t="shared" si="19"/>
        <v>INSTRUMENTrsk_mtgtd_cct</v>
      </c>
      <c r="U76" s="41" t="s">
        <v>408</v>
      </c>
      <c r="V76" s="41" t="s">
        <v>408</v>
      </c>
      <c r="W76" t="s">
        <v>410</v>
      </c>
      <c r="AB76" s="29" t="s">
        <v>341</v>
      </c>
      <c r="AC76" s="30" t="s">
        <v>364</v>
      </c>
      <c r="AD76" t="str">
        <f t="shared" si="11"/>
        <v>lt002_instrumentdt_incptn</v>
      </c>
      <c r="AE76" t="str">
        <f t="shared" si="12"/>
        <v>lt002_instrumentdt_incptn</v>
      </c>
    </row>
    <row r="77" spans="1:31" ht="17.399999999999999" x14ac:dyDescent="0.3">
      <c r="A77" s="16" t="str">
        <f t="shared" si="13"/>
        <v>lt003_entitygrp_emssns_scp1</v>
      </c>
      <c r="B77" s="28" t="s">
        <v>215</v>
      </c>
      <c r="C77" s="28" t="s">
        <v>294</v>
      </c>
      <c r="D77" s="28" t="s">
        <v>323</v>
      </c>
      <c r="E77" t="str">
        <f t="shared" si="15"/>
        <v>Ok</v>
      </c>
      <c r="G77" t="str">
        <f t="shared" si="16"/>
        <v>ENTITYgrp_emssns_scp1</v>
      </c>
      <c r="I77" s="16" t="str">
        <f t="shared" si="14"/>
        <v>lt826_esg_sbsctresg_sbsctr</v>
      </c>
      <c r="J77" s="29" t="s">
        <v>354</v>
      </c>
      <c r="K77" s="30" t="s">
        <v>318</v>
      </c>
      <c r="L77" t="str">
        <f t="shared" si="17"/>
        <v>Ok</v>
      </c>
      <c r="Q77" s="34" t="s">
        <v>196</v>
      </c>
      <c r="R77" s="36" t="s">
        <v>280</v>
      </c>
      <c r="S77" t="str">
        <f t="shared" si="18"/>
        <v>rsk_mtgtd_ccp</v>
      </c>
      <c r="T77" t="str">
        <f t="shared" si="19"/>
        <v>INSTRUMENTrsk_mtgtd_ccp</v>
      </c>
      <c r="U77" s="41" t="s">
        <v>408</v>
      </c>
      <c r="V77" s="41" t="s">
        <v>408</v>
      </c>
      <c r="W77" t="s">
        <v>410</v>
      </c>
      <c r="AB77" s="29" t="s">
        <v>341</v>
      </c>
      <c r="AC77" s="30" t="s">
        <v>365</v>
      </c>
      <c r="AD77" t="str">
        <f t="shared" si="11"/>
        <v>lt002_instrumentdflt_stts_instrmnt</v>
      </c>
      <c r="AE77" t="str">
        <f t="shared" si="12"/>
        <v>lt002_instrumentdflt_stts_instrmnt</v>
      </c>
    </row>
    <row r="78" spans="1:31" ht="17.399999999999999" x14ac:dyDescent="0.3">
      <c r="A78" s="16" t="str">
        <f t="shared" si="13"/>
        <v>lt003_entitygrp_emssns_scp2</v>
      </c>
      <c r="B78" s="28" t="s">
        <v>215</v>
      </c>
      <c r="C78" s="28" t="s">
        <v>294</v>
      </c>
      <c r="D78" s="28" t="s">
        <v>324</v>
      </c>
      <c r="E78" t="str">
        <f t="shared" si="15"/>
        <v>Ok</v>
      </c>
      <c r="G78" t="str">
        <f t="shared" si="16"/>
        <v>ENTITYgrp_emssns_scp2</v>
      </c>
      <c r="I78" s="16" t="str">
        <f t="shared" si="14"/>
        <v>lt826_esg_sbsctrdescrição</v>
      </c>
      <c r="J78" s="29" t="s">
        <v>354</v>
      </c>
      <c r="K78" s="30" t="s">
        <v>359</v>
      </c>
      <c r="L78" t="str">
        <f t="shared" si="17"/>
        <v>Ok</v>
      </c>
      <c r="Q78" s="34" t="s">
        <v>196</v>
      </c>
      <c r="R78" s="36" t="s">
        <v>282</v>
      </c>
      <c r="S78" t="str">
        <f t="shared" si="18"/>
        <v>typ_actvty</v>
      </c>
      <c r="T78" t="str">
        <f t="shared" si="19"/>
        <v>INSTRUMENTtyp_actvty</v>
      </c>
      <c r="U78" s="41" t="s">
        <v>408</v>
      </c>
      <c r="V78" s="41" t="s">
        <v>408</v>
      </c>
      <c r="W78" t="s">
        <v>410</v>
      </c>
      <c r="AB78" s="29" t="s">
        <v>341</v>
      </c>
      <c r="AC78" s="30" t="s">
        <v>366</v>
      </c>
      <c r="AD78" t="str">
        <f t="shared" si="11"/>
        <v>lt002_instrumentimprmnt_stts</v>
      </c>
      <c r="AE78" t="str">
        <f t="shared" si="12"/>
        <v>lt002_instrumentimprmnt_stts</v>
      </c>
    </row>
    <row r="79" spans="1:31" ht="17.399999999999999" x14ac:dyDescent="0.3">
      <c r="A79" s="16" t="str">
        <f t="shared" si="13"/>
        <v>lt003_entitygrp_emssns_scp3</v>
      </c>
      <c r="B79" s="28" t="s">
        <v>215</v>
      </c>
      <c r="C79" s="28" t="s">
        <v>294</v>
      </c>
      <c r="D79" s="28" t="s">
        <v>325</v>
      </c>
      <c r="E79" t="str">
        <f t="shared" si="15"/>
        <v>Ok</v>
      </c>
      <c r="G79" t="str">
        <f t="shared" si="16"/>
        <v>ENTITYgrp_emssns_scp3</v>
      </c>
      <c r="Q79" s="34" t="s">
        <v>196</v>
      </c>
      <c r="R79" s="36" t="s">
        <v>283</v>
      </c>
      <c r="S79" t="str">
        <f t="shared" si="18"/>
        <v>lns_clltrlzd_clssfctn</v>
      </c>
      <c r="T79" t="str">
        <f t="shared" si="19"/>
        <v>INSTRUMENTlns_clltrlzd_clssfctn</v>
      </c>
      <c r="U79" s="41" t="s">
        <v>408</v>
      </c>
      <c r="V79" s="41" t="s">
        <v>408</v>
      </c>
      <c r="W79" t="s">
        <v>410</v>
      </c>
      <c r="AB79" s="29" t="s">
        <v>341</v>
      </c>
      <c r="AC79" s="30" t="s">
        <v>367</v>
      </c>
      <c r="AD79" t="str">
        <f t="shared" si="11"/>
        <v>lt002_instrumentprfrmng_stts</v>
      </c>
      <c r="AE79" t="str">
        <f t="shared" si="12"/>
        <v>lt002_instrumentprfrmng_stts</v>
      </c>
    </row>
    <row r="80" spans="1:31" ht="17.399999999999999" x14ac:dyDescent="0.3">
      <c r="A80" s="16" t="str">
        <f t="shared" si="13"/>
        <v>lt004_protectiondt_rfrnc</v>
      </c>
      <c r="B80" s="32" t="s">
        <v>226</v>
      </c>
      <c r="C80" s="32" t="s">
        <v>326</v>
      </c>
      <c r="D80" s="32" t="s">
        <v>362</v>
      </c>
      <c r="E80" s="18" t="str">
        <f t="shared" si="15"/>
        <v>Nok</v>
      </c>
      <c r="F80" s="28" t="s">
        <v>513</v>
      </c>
      <c r="G80" t="str">
        <f t="shared" si="16"/>
        <v>PROTECTIONdt_rfrnc</v>
      </c>
      <c r="Q80" s="34" t="s">
        <v>196</v>
      </c>
      <c r="R80" s="36" t="s">
        <v>284</v>
      </c>
      <c r="S80" t="str">
        <f t="shared" si="18"/>
        <v>mthd_usd_instrmnt_scp_1</v>
      </c>
      <c r="T80" t="str">
        <f t="shared" si="19"/>
        <v>INSTRUMENTmthd_usd_instrmnt_scp_1</v>
      </c>
      <c r="U80" s="41" t="s">
        <v>408</v>
      </c>
      <c r="V80" s="41" t="s">
        <v>408</v>
      </c>
      <c r="W80" t="s">
        <v>410</v>
      </c>
      <c r="AB80" s="29" t="s">
        <v>341</v>
      </c>
      <c r="AC80" s="30" t="s">
        <v>368</v>
      </c>
      <c r="AD80" t="str">
        <f t="shared" si="11"/>
        <v>lt002_instrumentprjct_fnnc_ln</v>
      </c>
      <c r="AE80" t="str">
        <f t="shared" si="12"/>
        <v>lt002_instrumentprjct_fnnc_ln</v>
      </c>
    </row>
    <row r="81" spans="1:31" ht="17.399999999999999" x14ac:dyDescent="0.3">
      <c r="A81" s="16" t="str">
        <f t="shared" si="13"/>
        <v>lt004_protectionprtctn_id</v>
      </c>
      <c r="B81" s="32" t="s">
        <v>226</v>
      </c>
      <c r="C81" s="32" t="s">
        <v>326</v>
      </c>
      <c r="D81" s="32" t="s">
        <v>396</v>
      </c>
      <c r="E81" s="18" t="str">
        <f t="shared" si="15"/>
        <v>Nok</v>
      </c>
      <c r="F81" s="28" t="s">
        <v>513</v>
      </c>
      <c r="G81" t="str">
        <f t="shared" si="16"/>
        <v>PROTECTIONprtctn_id</v>
      </c>
      <c r="Q81" s="34" t="s">
        <v>196</v>
      </c>
      <c r="R81" s="36" t="s">
        <v>285</v>
      </c>
      <c r="S81" t="str">
        <f t="shared" si="18"/>
        <v>mthd_usd_instrmnt_scp_2</v>
      </c>
      <c r="T81" t="str">
        <f t="shared" si="19"/>
        <v>INSTRUMENTmthd_usd_instrmnt_scp_2</v>
      </c>
      <c r="U81" s="41" t="s">
        <v>408</v>
      </c>
      <c r="V81" s="41" t="s">
        <v>408</v>
      </c>
      <c r="W81" t="s">
        <v>410</v>
      </c>
      <c r="AB81" s="29" t="s">
        <v>341</v>
      </c>
      <c r="AC81" s="30" t="s">
        <v>369</v>
      </c>
      <c r="AD81" t="str">
        <f t="shared" si="11"/>
        <v>lt002_instrumenttyp_instrmnt</v>
      </c>
      <c r="AE81" t="str">
        <f t="shared" si="12"/>
        <v>lt002_instrumenttyp_instrmnt</v>
      </c>
    </row>
    <row r="82" spans="1:31" ht="17.399999999999999" x14ac:dyDescent="0.3">
      <c r="A82" s="16" t="str">
        <f t="shared" si="13"/>
        <v>lt004_protectionrl_estt_clltrl_lctn</v>
      </c>
      <c r="B82" s="32" t="s">
        <v>226</v>
      </c>
      <c r="C82" s="32" t="s">
        <v>326</v>
      </c>
      <c r="D82" s="32" t="s">
        <v>397</v>
      </c>
      <c r="E82" s="18" t="str">
        <f t="shared" si="15"/>
        <v>Nok</v>
      </c>
      <c r="F82" s="28" t="s">
        <v>513</v>
      </c>
      <c r="G82" t="str">
        <f t="shared" si="16"/>
        <v>PROTECTIONrl_estt_clltrl_lctn</v>
      </c>
      <c r="Q82" s="34" t="s">
        <v>196</v>
      </c>
      <c r="R82" s="36" t="s">
        <v>286</v>
      </c>
      <c r="S82" t="str">
        <f t="shared" si="18"/>
        <v>mthd_usd_instrmnt_scp_3</v>
      </c>
      <c r="T82" t="str">
        <f t="shared" si="19"/>
        <v>INSTRUMENTmthd_usd_instrmnt_scp_3</v>
      </c>
      <c r="U82" s="41" t="s">
        <v>408</v>
      </c>
      <c r="V82" s="41" t="s">
        <v>408</v>
      </c>
      <c r="W82" t="s">
        <v>410</v>
      </c>
      <c r="AB82" s="29" t="s">
        <v>341</v>
      </c>
      <c r="AC82" s="30" t="s">
        <v>370</v>
      </c>
      <c r="AD82" t="str">
        <f t="shared" si="11"/>
        <v>lt002_instrumentgrss_crryng_amnt_instrmnt</v>
      </c>
      <c r="AE82" t="str">
        <f t="shared" si="12"/>
        <v>lt002_instrumentgrss_crryng_amnt_instrmnt</v>
      </c>
    </row>
    <row r="83" spans="1:31" ht="17.399999999999999" x14ac:dyDescent="0.3">
      <c r="A83" s="16" t="str">
        <f t="shared" si="13"/>
        <v>lt004_protectionrl_estt_pst_cd</v>
      </c>
      <c r="B83" s="32" t="s">
        <v>226</v>
      </c>
      <c r="C83" s="32" t="s">
        <v>326</v>
      </c>
      <c r="D83" s="32" t="s">
        <v>398</v>
      </c>
      <c r="E83" s="18" t="str">
        <f t="shared" si="15"/>
        <v>Nok</v>
      </c>
      <c r="F83" s="28" t="s">
        <v>513</v>
      </c>
      <c r="G83" t="str">
        <f t="shared" si="16"/>
        <v>PROTECTIONrl_estt_pst_cd</v>
      </c>
      <c r="Q83" s="34" t="s">
        <v>196</v>
      </c>
      <c r="R83" s="36" t="s">
        <v>293</v>
      </c>
      <c r="S83" t="str">
        <f t="shared" si="18"/>
        <v>idcmb</v>
      </c>
      <c r="T83" t="str">
        <f t="shared" si="19"/>
        <v>INSTRUMENTidcmb</v>
      </c>
      <c r="U83" s="41" t="s">
        <v>407</v>
      </c>
      <c r="V83" s="41" t="s">
        <v>407</v>
      </c>
      <c r="W83" t="s">
        <v>404</v>
      </c>
      <c r="AB83" s="29" t="s">
        <v>341</v>
      </c>
      <c r="AC83" s="30" t="s">
        <v>371</v>
      </c>
      <c r="AD83" t="str">
        <f t="shared" si="11"/>
        <v>lt002_instrumentaccmltd_chngs_fv_cr_instrmnt</v>
      </c>
      <c r="AE83" t="str">
        <f t="shared" si="12"/>
        <v>lt002_instrumentaccmltd_chngs_fv_cr_instrmnt</v>
      </c>
    </row>
    <row r="84" spans="1:31" ht="17.399999999999999" x14ac:dyDescent="0.3">
      <c r="A84" s="16" t="str">
        <f t="shared" si="13"/>
        <v>lt004_protectiontyp_prtctn</v>
      </c>
      <c r="B84" s="32" t="s">
        <v>226</v>
      </c>
      <c r="C84" s="32" t="s">
        <v>326</v>
      </c>
      <c r="D84" s="32" t="s">
        <v>399</v>
      </c>
      <c r="E84" s="18" t="str">
        <f t="shared" si="15"/>
        <v>Nok</v>
      </c>
      <c r="F84" s="28" t="s">
        <v>513</v>
      </c>
      <c r="G84" t="str">
        <f t="shared" si="16"/>
        <v>PROTECTIONtyp_prtctn</v>
      </c>
      <c r="Q84" s="34" t="s">
        <v>196</v>
      </c>
      <c r="R84" s="37" t="s">
        <v>287</v>
      </c>
      <c r="S84" t="str">
        <f t="shared" si="18"/>
        <v>sstnbl_ctgry_txnmy</v>
      </c>
      <c r="T84" t="str">
        <f t="shared" si="19"/>
        <v>INSTRUMENTsstnbl_ctgry_txnmy</v>
      </c>
      <c r="U84" s="41" t="s">
        <v>408</v>
      </c>
      <c r="V84" s="41" t="s">
        <v>408</v>
      </c>
      <c r="W84" t="s">
        <v>410</v>
      </c>
      <c r="AB84" s="29" t="s">
        <v>341</v>
      </c>
      <c r="AC84" s="30" t="s">
        <v>372</v>
      </c>
      <c r="AD84" t="str">
        <f t="shared" si="11"/>
        <v>lt002_instrumentaccntng_clssfctn</v>
      </c>
      <c r="AE84" t="str">
        <f t="shared" si="12"/>
        <v>lt002_instrumentaccntng_clssfctn</v>
      </c>
    </row>
    <row r="85" spans="1:31" ht="17.399999999999999" x14ac:dyDescent="0.3">
      <c r="A85" s="16" t="str">
        <f t="shared" si="13"/>
        <v>lt004_protectionorgnl_prtctn_vl</v>
      </c>
      <c r="B85" s="32" t="s">
        <v>226</v>
      </c>
      <c r="C85" s="32" t="s">
        <v>326</v>
      </c>
      <c r="D85" s="32" t="s">
        <v>400</v>
      </c>
      <c r="E85" s="18" t="str">
        <f t="shared" si="15"/>
        <v>Nok</v>
      </c>
      <c r="F85" s="28" t="s">
        <v>513</v>
      </c>
      <c r="G85" t="str">
        <f t="shared" si="16"/>
        <v>PROTECTIONorgnl_prtctn_vl</v>
      </c>
      <c r="Q85" s="34" t="s">
        <v>233</v>
      </c>
      <c r="R85" s="36" t="s">
        <v>214</v>
      </c>
      <c r="S85" t="str">
        <f t="shared" si="18"/>
        <v>cod_soc</v>
      </c>
      <c r="T85" t="str">
        <f t="shared" si="19"/>
        <v>INSTR_PROTECTIONcod_soc</v>
      </c>
      <c r="U85" s="41" t="s">
        <v>407</v>
      </c>
      <c r="V85" s="41" t="s">
        <v>408</v>
      </c>
      <c r="W85" t="s">
        <v>404</v>
      </c>
      <c r="AB85" s="29" t="s">
        <v>341</v>
      </c>
      <c r="AC85" s="30" t="s">
        <v>373</v>
      </c>
      <c r="AD85" t="str">
        <f t="shared" si="11"/>
        <v>lt002_instrumentdt_lgl_fnl_mtrty</v>
      </c>
      <c r="AE85" t="str">
        <f t="shared" si="12"/>
        <v>lt002_instrumentdt_lgl_fnl_mtrty</v>
      </c>
    </row>
    <row r="86" spans="1:31" ht="17.399999999999999" x14ac:dyDescent="0.3">
      <c r="A86" s="16" t="str">
        <f t="shared" si="13"/>
        <v>lt004_protectionprtctn_vl</v>
      </c>
      <c r="B86" s="32" t="s">
        <v>226</v>
      </c>
      <c r="C86" s="32" t="s">
        <v>326</v>
      </c>
      <c r="D86" s="32" t="s">
        <v>401</v>
      </c>
      <c r="E86" s="18" t="str">
        <f t="shared" si="15"/>
        <v>Nok</v>
      </c>
      <c r="F86" s="28" t="s">
        <v>513</v>
      </c>
      <c r="G86" t="str">
        <f t="shared" si="16"/>
        <v>PROTECTIONprtctn_vl</v>
      </c>
      <c r="Q86" s="34" t="s">
        <v>233</v>
      </c>
      <c r="R86" s="36" t="s">
        <v>197</v>
      </c>
      <c r="S86" t="str">
        <f t="shared" si="18"/>
        <v>dt_rfrnc</v>
      </c>
      <c r="T86" t="str">
        <f t="shared" si="19"/>
        <v>INSTR_PROTECTIONdt_rfrnc</v>
      </c>
      <c r="U86" s="41" t="s">
        <v>407</v>
      </c>
      <c r="V86" s="41" t="s">
        <v>408</v>
      </c>
      <c r="W86" t="s">
        <v>404</v>
      </c>
      <c r="AB86" s="29" t="s">
        <v>341</v>
      </c>
      <c r="AC86" s="30" t="s">
        <v>374</v>
      </c>
      <c r="AD86" t="str">
        <f t="shared" si="11"/>
        <v>lt002_instrumentaccmltd_imprmnt_instrmnt</v>
      </c>
      <c r="AE86" t="str">
        <f t="shared" si="12"/>
        <v>lt002_instrumentaccmltd_imprmnt_instrmnt</v>
      </c>
    </row>
    <row r="87" spans="1:31" ht="17.399999999999999" x14ac:dyDescent="0.3">
      <c r="A87" s="16" t="str">
        <f t="shared" si="13"/>
        <v>lt004_protectioncod_soc</v>
      </c>
      <c r="B87" s="32" t="s">
        <v>226</v>
      </c>
      <c r="C87" s="32" t="s">
        <v>326</v>
      </c>
      <c r="D87" s="32" t="s">
        <v>379</v>
      </c>
      <c r="E87" s="18" t="str">
        <f t="shared" si="15"/>
        <v>Nok</v>
      </c>
      <c r="F87" s="28" t="s">
        <v>513</v>
      </c>
      <c r="G87" t="str">
        <f t="shared" si="16"/>
        <v>PROTECTIONcod_soc</v>
      </c>
      <c r="Q87" s="34" t="s">
        <v>233</v>
      </c>
      <c r="R87" s="36" t="s">
        <v>198</v>
      </c>
      <c r="S87" t="str">
        <f t="shared" si="18"/>
        <v>instrmnt_id</v>
      </c>
      <c r="T87" t="str">
        <f t="shared" si="19"/>
        <v>INSTR_PROTECTIONinstrmnt_id</v>
      </c>
      <c r="U87" s="41" t="s">
        <v>407</v>
      </c>
      <c r="V87" s="41" t="s">
        <v>408</v>
      </c>
      <c r="W87" t="s">
        <v>404</v>
      </c>
      <c r="AB87" s="29" t="s">
        <v>341</v>
      </c>
      <c r="AC87" s="30" t="s">
        <v>375</v>
      </c>
      <c r="AD87" t="str">
        <f t="shared" si="11"/>
        <v>lt002_instrumentissr_cntry</v>
      </c>
      <c r="AE87" t="str">
        <f t="shared" si="12"/>
        <v>lt002_instrumentissr_cntry</v>
      </c>
    </row>
    <row r="88" spans="1:31" ht="17.399999999999999" x14ac:dyDescent="0.3">
      <c r="A88" s="16" t="str">
        <f t="shared" si="13"/>
        <v>lt004_protectiontyp_ep_scr</v>
      </c>
      <c r="B88" s="28" t="s">
        <v>226</v>
      </c>
      <c r="C88" s="28" t="s">
        <v>326</v>
      </c>
      <c r="D88" s="28" t="s">
        <v>327</v>
      </c>
      <c r="E88" t="str">
        <f t="shared" si="15"/>
        <v>Ok</v>
      </c>
      <c r="G88" t="str">
        <f t="shared" si="16"/>
        <v>PROTECTIONtyp_ep_scr</v>
      </c>
      <c r="Q88" s="34" t="s">
        <v>233</v>
      </c>
      <c r="R88" s="36" t="s">
        <v>227</v>
      </c>
      <c r="S88" t="str">
        <f t="shared" si="18"/>
        <v>prtctn_id</v>
      </c>
      <c r="T88" t="str">
        <f t="shared" si="19"/>
        <v>INSTR_PROTECTIONprtctn_id</v>
      </c>
      <c r="U88" s="41" t="s">
        <v>407</v>
      </c>
      <c r="V88" s="41" t="s">
        <v>408</v>
      </c>
      <c r="W88" t="s">
        <v>404</v>
      </c>
      <c r="AB88" s="29" t="s">
        <v>341</v>
      </c>
      <c r="AC88" s="30" t="s">
        <v>376</v>
      </c>
      <c r="AD88" t="str">
        <f t="shared" si="11"/>
        <v>lt002_instrumentissr_nace_sctr</v>
      </c>
      <c r="AE88" t="str">
        <f t="shared" si="12"/>
        <v>lt002_instrumentissr_nace_sctr</v>
      </c>
    </row>
    <row r="89" spans="1:31" ht="17.399999999999999" x14ac:dyDescent="0.3">
      <c r="A89" s="16" t="str">
        <f t="shared" si="13"/>
        <v>lt004_protectionep_scr</v>
      </c>
      <c r="B89" s="28" t="s">
        <v>226</v>
      </c>
      <c r="C89" s="28" t="s">
        <v>326</v>
      </c>
      <c r="D89" s="28" t="s">
        <v>328</v>
      </c>
      <c r="E89" t="str">
        <f t="shared" si="15"/>
        <v>Ok</v>
      </c>
      <c r="G89" t="str">
        <f t="shared" si="16"/>
        <v>PROTECTIONep_scr</v>
      </c>
      <c r="Q89" s="34" t="s">
        <v>233</v>
      </c>
      <c r="R89" s="36" t="s">
        <v>234</v>
      </c>
      <c r="S89" t="str">
        <f t="shared" si="18"/>
        <v>prtctn_allctd_vl</v>
      </c>
      <c r="T89" t="str">
        <f t="shared" si="19"/>
        <v>INSTR_PROTECTIONprtctn_allctd_vl</v>
      </c>
      <c r="U89" s="41" t="s">
        <v>407</v>
      </c>
      <c r="V89" s="41" t="s">
        <v>408</v>
      </c>
      <c r="W89" t="s">
        <v>404</v>
      </c>
      <c r="AB89" s="29" t="s">
        <v>341</v>
      </c>
      <c r="AC89" s="30" t="s">
        <v>377</v>
      </c>
      <c r="AD89" t="str">
        <f t="shared" si="11"/>
        <v>lt002_instrumentprmry_asst_clssf</v>
      </c>
      <c r="AE89" t="str">
        <f t="shared" si="12"/>
        <v>lt002_instrumentprmry_asst_clssf</v>
      </c>
    </row>
    <row r="90" spans="1:31" ht="17.399999999999999" x14ac:dyDescent="0.3">
      <c r="A90" s="16" t="str">
        <f t="shared" si="13"/>
        <v>lt004_protectiontyp_epc_lbl</v>
      </c>
      <c r="B90" s="28" t="s">
        <v>226</v>
      </c>
      <c r="C90" s="28" t="s">
        <v>326</v>
      </c>
      <c r="D90" s="28" t="s">
        <v>329</v>
      </c>
      <c r="E90" t="str">
        <f t="shared" si="15"/>
        <v>Ok</v>
      </c>
      <c r="G90" t="str">
        <f t="shared" si="16"/>
        <v>PROTECTIONtyp_epc_lbl</v>
      </c>
      <c r="Q90" s="34" t="s">
        <v>226</v>
      </c>
      <c r="R90" s="39" t="s">
        <v>214</v>
      </c>
      <c r="S90" t="str">
        <f t="shared" si="18"/>
        <v>cod_soc</v>
      </c>
      <c r="T90" t="str">
        <f t="shared" si="19"/>
        <v>PROTECTIONcod_soc</v>
      </c>
      <c r="U90" s="41" t="s">
        <v>407</v>
      </c>
      <c r="V90" s="41" t="s">
        <v>408</v>
      </c>
      <c r="W90" t="s">
        <v>404</v>
      </c>
      <c r="AB90" s="29" t="s">
        <v>341</v>
      </c>
      <c r="AC90" s="30" t="s">
        <v>378</v>
      </c>
      <c r="AD90" t="str">
        <f t="shared" si="11"/>
        <v>lt002_instrumentsubportfolio_id</v>
      </c>
      <c r="AE90" t="str">
        <f t="shared" si="12"/>
        <v>lt002_instrumentsubportfolio_id</v>
      </c>
    </row>
    <row r="91" spans="1:31" ht="17.399999999999999" x14ac:dyDescent="0.3">
      <c r="A91" s="16" t="str">
        <f t="shared" si="13"/>
        <v>lt004_protectionepc_lbl</v>
      </c>
      <c r="B91" s="28" t="s">
        <v>226</v>
      </c>
      <c r="C91" s="28" t="s">
        <v>326</v>
      </c>
      <c r="D91" s="28" t="s">
        <v>330</v>
      </c>
      <c r="E91" t="str">
        <f t="shared" si="15"/>
        <v>Ok</v>
      </c>
      <c r="G91" t="str">
        <f t="shared" si="16"/>
        <v>PROTECTIONepc_lbl</v>
      </c>
      <c r="Q91" s="34" t="s">
        <v>226</v>
      </c>
      <c r="R91" s="36" t="s">
        <v>197</v>
      </c>
      <c r="S91" t="str">
        <f t="shared" si="18"/>
        <v>dt_rfrnc</v>
      </c>
      <c r="T91" t="str">
        <f t="shared" si="19"/>
        <v>PROTECTIONdt_rfrnc</v>
      </c>
      <c r="U91" s="41" t="s">
        <v>407</v>
      </c>
      <c r="V91" s="41" t="s">
        <v>408</v>
      </c>
      <c r="W91" t="s">
        <v>404</v>
      </c>
      <c r="AB91" s="29" t="s">
        <v>341</v>
      </c>
      <c r="AC91" s="30" t="s">
        <v>379</v>
      </c>
      <c r="AD91" t="str">
        <f t="shared" si="11"/>
        <v>lt002_instrumentcod_soc</v>
      </c>
      <c r="AE91" t="str">
        <f t="shared" si="12"/>
        <v>lt002_instrumentcod_soc</v>
      </c>
    </row>
    <row r="92" spans="1:31" ht="17.399999999999999" x14ac:dyDescent="0.3">
      <c r="A92" s="16" t="str">
        <f t="shared" si="13"/>
        <v>lt004_protectionemssns_scp1_prtctn</v>
      </c>
      <c r="B92" s="28" t="s">
        <v>226</v>
      </c>
      <c r="C92" s="28" t="s">
        <v>326</v>
      </c>
      <c r="D92" s="28" t="s">
        <v>331</v>
      </c>
      <c r="E92" t="str">
        <f t="shared" si="15"/>
        <v>Ok</v>
      </c>
      <c r="G92" t="str">
        <f t="shared" si="16"/>
        <v>PROTECTIONemssns_scp1_prtctn</v>
      </c>
      <c r="Q92" s="34" t="s">
        <v>226</v>
      </c>
      <c r="R92" s="36" t="s">
        <v>227</v>
      </c>
      <c r="S92" t="str">
        <f t="shared" si="18"/>
        <v>prtctn_id</v>
      </c>
      <c r="T92" t="str">
        <f t="shared" si="19"/>
        <v>PROTECTIONprtctn_id</v>
      </c>
      <c r="U92" s="41" t="s">
        <v>407</v>
      </c>
      <c r="V92" s="41" t="s">
        <v>408</v>
      </c>
      <c r="W92" t="s">
        <v>404</v>
      </c>
      <c r="AB92" s="29" t="s">
        <v>341</v>
      </c>
      <c r="AC92" s="30" t="s">
        <v>380</v>
      </c>
      <c r="AD92" t="str">
        <f t="shared" si="11"/>
        <v>lt002_instrumentlcl_instmrnt_id</v>
      </c>
      <c r="AE92" t="str">
        <f t="shared" si="12"/>
        <v>lt002_instrumentlcl_instmrnt_id</v>
      </c>
    </row>
    <row r="93" spans="1:31" ht="17.399999999999999" x14ac:dyDescent="0.3">
      <c r="A93" s="16" t="str">
        <f t="shared" si="13"/>
        <v>lt004_protectionemssns_scp2_prtctn</v>
      </c>
      <c r="B93" s="28" t="s">
        <v>226</v>
      </c>
      <c r="C93" s="28" t="s">
        <v>326</v>
      </c>
      <c r="D93" s="28" t="s">
        <v>332</v>
      </c>
      <c r="E93" t="str">
        <f t="shared" si="15"/>
        <v>Ok</v>
      </c>
      <c r="G93" t="str">
        <f t="shared" si="16"/>
        <v>PROTECTIONemssns_scp2_prtctn</v>
      </c>
      <c r="Q93" s="34" t="s">
        <v>226</v>
      </c>
      <c r="R93" s="36" t="s">
        <v>228</v>
      </c>
      <c r="S93" t="str">
        <f t="shared" si="18"/>
        <v>rl_estt_clltrl_lctn</v>
      </c>
      <c r="T93" t="str">
        <f t="shared" si="19"/>
        <v>PROTECTIONrl_estt_clltrl_lctn</v>
      </c>
      <c r="U93" s="41" t="s">
        <v>407</v>
      </c>
      <c r="V93" s="41" t="s">
        <v>408</v>
      </c>
      <c r="W93" t="s">
        <v>404</v>
      </c>
      <c r="AB93" s="29" t="s">
        <v>341</v>
      </c>
      <c r="AC93" s="30" t="s">
        <v>381</v>
      </c>
      <c r="AD93" t="str">
        <f t="shared" si="11"/>
        <v>lt002_instrumentsstnbl_indctr</v>
      </c>
      <c r="AE93" t="str">
        <f t="shared" si="12"/>
        <v>lt002_instrumentsstnbl_indctr</v>
      </c>
    </row>
    <row r="94" spans="1:31" ht="17.399999999999999" x14ac:dyDescent="0.3">
      <c r="A94" s="16" t="str">
        <f t="shared" si="13"/>
        <v>lt004_protectionemssns_scp3_prtctn</v>
      </c>
      <c r="B94" s="28" t="s">
        <v>226</v>
      </c>
      <c r="C94" s="28" t="s">
        <v>326</v>
      </c>
      <c r="D94" s="28" t="s">
        <v>333</v>
      </c>
      <c r="E94" t="str">
        <f t="shared" si="15"/>
        <v>Ok</v>
      </c>
      <c r="G94" t="str">
        <f t="shared" si="16"/>
        <v>PROTECTIONemssns_scp3_prtctn</v>
      </c>
      <c r="Q94" s="34" t="s">
        <v>226</v>
      </c>
      <c r="R94" s="36" t="s">
        <v>229</v>
      </c>
      <c r="S94" t="str">
        <f t="shared" si="18"/>
        <v>rl_estt_pst_cd</v>
      </c>
      <c r="T94" t="str">
        <f t="shared" si="19"/>
        <v>PROTECTIONrl_estt_pst_cd</v>
      </c>
      <c r="U94" s="41" t="s">
        <v>407</v>
      </c>
      <c r="V94" s="41" t="s">
        <v>408</v>
      </c>
      <c r="W94" t="s">
        <v>404</v>
      </c>
      <c r="AB94" s="29" t="s">
        <v>341</v>
      </c>
      <c r="AC94" s="30" t="s">
        <v>382</v>
      </c>
      <c r="AD94" t="str">
        <f t="shared" si="11"/>
        <v>lt002_instrumentsstnbl_ctgry</v>
      </c>
      <c r="AE94" t="str">
        <f t="shared" si="12"/>
        <v>lt002_instrumentsstnbl_ctgry</v>
      </c>
    </row>
    <row r="95" spans="1:31" ht="17.399999999999999" x14ac:dyDescent="0.3">
      <c r="A95" s="16" t="str">
        <f t="shared" si="13"/>
        <v>lt004_protectionmthd_usd_prtctn_scp_1</v>
      </c>
      <c r="B95" s="28" t="s">
        <v>226</v>
      </c>
      <c r="C95" s="28" t="s">
        <v>326</v>
      </c>
      <c r="D95" s="28" t="s">
        <v>334</v>
      </c>
      <c r="E95" t="str">
        <f t="shared" si="15"/>
        <v>Ok</v>
      </c>
      <c r="G95" t="str">
        <f t="shared" si="16"/>
        <v>PROTECTIONmthd_usd_prtctn_scp_1</v>
      </c>
      <c r="Q95" s="34" t="s">
        <v>226</v>
      </c>
      <c r="R95" s="38" t="s">
        <v>230</v>
      </c>
      <c r="S95" t="str">
        <f t="shared" si="18"/>
        <v>typ_prtctn</v>
      </c>
      <c r="T95" t="str">
        <f t="shared" si="19"/>
        <v>PROTECTIONtyp_prtctn</v>
      </c>
      <c r="U95" s="41" t="s">
        <v>407</v>
      </c>
      <c r="V95" s="41" t="s">
        <v>408</v>
      </c>
      <c r="W95" t="s">
        <v>404</v>
      </c>
      <c r="AB95" s="29" t="s">
        <v>341</v>
      </c>
      <c r="AC95" s="30" t="s">
        <v>383</v>
      </c>
      <c r="AD95" t="str">
        <f t="shared" si="11"/>
        <v>lt002_instrumentgrss_intrst_incm</v>
      </c>
      <c r="AE95" t="str">
        <f t="shared" si="12"/>
        <v>lt002_instrumentgrss_intrst_incm</v>
      </c>
    </row>
    <row r="96" spans="1:31" ht="17.399999999999999" x14ac:dyDescent="0.3">
      <c r="A96" s="16" t="str">
        <f t="shared" si="13"/>
        <v>lt004_protectionmthd_usd_prtctn_scp_2</v>
      </c>
      <c r="B96" s="28" t="s">
        <v>226</v>
      </c>
      <c r="C96" s="28" t="s">
        <v>326</v>
      </c>
      <c r="D96" s="28" t="s">
        <v>335</v>
      </c>
      <c r="E96" t="str">
        <f t="shared" si="15"/>
        <v>Ok</v>
      </c>
      <c r="G96" t="str">
        <f t="shared" si="16"/>
        <v>PROTECTIONmthd_usd_prtctn_scp_2</v>
      </c>
      <c r="Q96" s="34" t="s">
        <v>226</v>
      </c>
      <c r="R96" s="36" t="s">
        <v>231</v>
      </c>
      <c r="S96" t="str">
        <f t="shared" si="18"/>
        <v>orgnl_prtctn_vl</v>
      </c>
      <c r="T96" t="str">
        <f t="shared" si="19"/>
        <v>PROTECTIONorgnl_prtctn_vl</v>
      </c>
      <c r="U96" s="41" t="s">
        <v>407</v>
      </c>
      <c r="V96" s="41" t="s">
        <v>408</v>
      </c>
      <c r="W96" t="s">
        <v>404</v>
      </c>
      <c r="AB96" s="29" t="s">
        <v>341</v>
      </c>
      <c r="AC96" s="30" t="s">
        <v>384</v>
      </c>
      <c r="AD96" t="str">
        <f t="shared" si="11"/>
        <v>lt002_instrumentgrss_cmmssn_incm</v>
      </c>
      <c r="AE96" t="str">
        <f t="shared" si="12"/>
        <v>lt002_instrumentgrss_cmmssn_incm</v>
      </c>
    </row>
    <row r="97" spans="1:31" ht="17.399999999999999" x14ac:dyDescent="0.3">
      <c r="A97" s="16" t="str">
        <f t="shared" si="13"/>
        <v>lt004_protectionmthd_usd_prtctn_scp_3</v>
      </c>
      <c r="B97" s="28" t="s">
        <v>226</v>
      </c>
      <c r="C97" s="28" t="s">
        <v>326</v>
      </c>
      <c r="D97" s="28" t="s">
        <v>336</v>
      </c>
      <c r="E97" t="str">
        <f t="shared" si="15"/>
        <v>Ok</v>
      </c>
      <c r="G97" t="str">
        <f t="shared" si="16"/>
        <v>PROTECTIONmthd_usd_prtctn_scp_3</v>
      </c>
      <c r="Q97" s="34" t="s">
        <v>226</v>
      </c>
      <c r="R97" s="36" t="s">
        <v>232</v>
      </c>
      <c r="S97" t="str">
        <f t="shared" si="18"/>
        <v>prtctn_vl</v>
      </c>
      <c r="T97" t="str">
        <f t="shared" si="19"/>
        <v>PROTECTIONprtctn_vl</v>
      </c>
      <c r="U97" s="41" t="s">
        <v>407</v>
      </c>
      <c r="V97" s="41" t="s">
        <v>408</v>
      </c>
      <c r="W97" t="s">
        <v>404</v>
      </c>
      <c r="AB97" s="29" t="s">
        <v>341</v>
      </c>
      <c r="AC97" s="30" t="s">
        <v>385</v>
      </c>
      <c r="AD97" t="str">
        <f t="shared" si="11"/>
        <v>lt002_instrumentgrss_cmmssn_incm_off_blnc</v>
      </c>
      <c r="AE97" t="str">
        <f t="shared" si="12"/>
        <v>lt002_instrumentgrss_cmmssn_incm_off_blnc</v>
      </c>
    </row>
    <row r="98" spans="1:31" ht="17.399999999999999" x14ac:dyDescent="0.3">
      <c r="A98" s="16" t="str">
        <f t="shared" si="13"/>
        <v>lt004_protectionflg_act_physcl_rsk</v>
      </c>
      <c r="B98" s="28" t="s">
        <v>226</v>
      </c>
      <c r="C98" s="28" t="s">
        <v>326</v>
      </c>
      <c r="D98" s="28" t="s">
        <v>315</v>
      </c>
      <c r="E98" t="str">
        <f t="shared" si="15"/>
        <v>Ok</v>
      </c>
      <c r="G98" t="str">
        <f t="shared" si="16"/>
        <v>PROTECTIONflg_act_physcl_rsk</v>
      </c>
      <c r="Q98" s="34" t="s">
        <v>226</v>
      </c>
      <c r="R98" s="36" t="s">
        <v>269</v>
      </c>
      <c r="S98" t="str">
        <f t="shared" si="18"/>
        <v>typ_ep_scr</v>
      </c>
      <c r="T98" t="str">
        <f t="shared" si="19"/>
        <v>PROTECTIONtyp_ep_scr</v>
      </c>
      <c r="U98" s="41" t="s">
        <v>408</v>
      </c>
      <c r="V98" s="41" t="s">
        <v>408</v>
      </c>
      <c r="W98" t="s">
        <v>410</v>
      </c>
      <c r="AB98" s="29" t="s">
        <v>341</v>
      </c>
      <c r="AC98" s="30" t="s">
        <v>386</v>
      </c>
      <c r="AD98" t="str">
        <f t="shared" si="11"/>
        <v>lt002_instrumentidcmb</v>
      </c>
      <c r="AE98" t="str">
        <f t="shared" si="12"/>
        <v>lt002_instrumentidcmb</v>
      </c>
    </row>
    <row r="99" spans="1:31" ht="17.399999999999999" x14ac:dyDescent="0.3">
      <c r="A99" s="16" t="str">
        <f t="shared" ref="A99:A109" si="20">C99&amp;D99</f>
        <v>lt004_protectionflg_chrnc_physcl_rsk</v>
      </c>
      <c r="B99" s="28" t="s">
        <v>226</v>
      </c>
      <c r="C99" s="28" t="s">
        <v>326</v>
      </c>
      <c r="D99" s="28" t="s">
        <v>316</v>
      </c>
      <c r="E99" t="str">
        <f t="shared" si="15"/>
        <v>Ok</v>
      </c>
      <c r="G99" t="str">
        <f t="shared" si="16"/>
        <v>PROTECTIONflg_chrnc_physcl_rsk</v>
      </c>
      <c r="Q99" s="34" t="s">
        <v>226</v>
      </c>
      <c r="R99" s="36" t="s">
        <v>270</v>
      </c>
      <c r="S99" t="str">
        <f t="shared" si="18"/>
        <v>ep_scr</v>
      </c>
      <c r="T99" t="str">
        <f t="shared" si="19"/>
        <v>PROTECTIONep_scr</v>
      </c>
      <c r="U99" s="41" t="s">
        <v>408</v>
      </c>
      <c r="V99" s="41" t="s">
        <v>408</v>
      </c>
      <c r="W99" t="s">
        <v>410</v>
      </c>
      <c r="AB99" s="29" t="s">
        <v>294</v>
      </c>
      <c r="AC99" s="30" t="s">
        <v>387</v>
      </c>
      <c r="AD99" t="str">
        <f t="shared" si="11"/>
        <v>lt003_entitycntry</v>
      </c>
      <c r="AE99" t="str">
        <f t="shared" si="12"/>
        <v>lt003_entitycntry</v>
      </c>
    </row>
    <row r="100" spans="1:31" ht="17.399999999999999" x14ac:dyDescent="0.3">
      <c r="A100" s="16" t="str">
        <f t="shared" si="20"/>
        <v>lt005_instr_entdt_rfrnc</v>
      </c>
      <c r="B100" s="28" t="s">
        <v>225</v>
      </c>
      <c r="C100" s="28" t="s">
        <v>360</v>
      </c>
      <c r="D100" s="28" t="s">
        <v>362</v>
      </c>
      <c r="E100" t="str">
        <f t="shared" si="15"/>
        <v>Nok</v>
      </c>
      <c r="F100" s="28" t="s">
        <v>513</v>
      </c>
      <c r="G100" t="str">
        <f t="shared" si="16"/>
        <v>INSTR_ENTITYdt_rfrnc</v>
      </c>
      <c r="Q100" s="34" t="s">
        <v>226</v>
      </c>
      <c r="R100" s="36" t="s">
        <v>271</v>
      </c>
      <c r="S100" t="str">
        <f t="shared" si="18"/>
        <v>typ_epc_lbl</v>
      </c>
      <c r="T100" t="str">
        <f t="shared" si="19"/>
        <v>PROTECTIONtyp_epc_lbl</v>
      </c>
      <c r="U100" s="41" t="s">
        <v>408</v>
      </c>
      <c r="V100" s="41" t="s">
        <v>408</v>
      </c>
      <c r="W100" t="s">
        <v>410</v>
      </c>
      <c r="AB100" s="29" t="s">
        <v>294</v>
      </c>
      <c r="AC100" s="30" t="s">
        <v>362</v>
      </c>
      <c r="AD100" t="str">
        <f t="shared" si="11"/>
        <v>lt003_entitydt_rfrnc</v>
      </c>
      <c r="AE100" t="str">
        <f t="shared" si="12"/>
        <v>lt003_entitydt_rfrnc</v>
      </c>
    </row>
    <row r="101" spans="1:31" ht="17.399999999999999" x14ac:dyDescent="0.3">
      <c r="A101" s="16" t="str">
        <f t="shared" si="20"/>
        <v>lt005_instr_ententty_id</v>
      </c>
      <c r="B101" s="28" t="s">
        <v>225</v>
      </c>
      <c r="C101" s="28" t="s">
        <v>360</v>
      </c>
      <c r="D101" s="28" t="s">
        <v>388</v>
      </c>
      <c r="E101" t="str">
        <f t="shared" si="15"/>
        <v>Nok</v>
      </c>
      <c r="F101" s="28" t="s">
        <v>513</v>
      </c>
      <c r="G101" t="str">
        <f t="shared" si="16"/>
        <v>INSTR_ENTITYentty_id</v>
      </c>
      <c r="Q101" s="34" t="s">
        <v>226</v>
      </c>
      <c r="R101" s="36" t="s">
        <v>272</v>
      </c>
      <c r="S101" t="str">
        <f t="shared" si="18"/>
        <v>epc_lbl</v>
      </c>
      <c r="T101" t="str">
        <f t="shared" si="19"/>
        <v>PROTECTIONepc_lbl</v>
      </c>
      <c r="U101" s="41" t="s">
        <v>408</v>
      </c>
      <c r="V101" s="41" t="s">
        <v>408</v>
      </c>
      <c r="W101" t="s">
        <v>410</v>
      </c>
      <c r="AB101" s="29" t="s">
        <v>294</v>
      </c>
      <c r="AC101" s="30" t="s">
        <v>388</v>
      </c>
      <c r="AD101" t="str">
        <f t="shared" si="11"/>
        <v>lt003_entityentty_id</v>
      </c>
      <c r="AE101" t="str">
        <f t="shared" si="12"/>
        <v>lt003_entityentty_id</v>
      </c>
    </row>
    <row r="102" spans="1:31" ht="17.399999999999999" x14ac:dyDescent="0.3">
      <c r="A102" s="16" t="str">
        <f t="shared" si="20"/>
        <v>lt005_instr_entinstrmnt_id</v>
      </c>
      <c r="B102" s="28" t="s">
        <v>225</v>
      </c>
      <c r="C102" s="28" t="s">
        <v>360</v>
      </c>
      <c r="D102" s="28" t="s">
        <v>363</v>
      </c>
      <c r="E102" t="str">
        <f t="shared" si="15"/>
        <v>Nok</v>
      </c>
      <c r="F102" s="28" t="s">
        <v>513</v>
      </c>
      <c r="G102" t="str">
        <f t="shared" si="16"/>
        <v>INSTR_ENTITYinstrmnt_id</v>
      </c>
      <c r="Q102" s="34" t="s">
        <v>226</v>
      </c>
      <c r="R102" s="36" t="s">
        <v>273</v>
      </c>
      <c r="S102" t="str">
        <f t="shared" si="18"/>
        <v>emssns_scp1_prtctn</v>
      </c>
      <c r="T102" t="str">
        <f t="shared" si="19"/>
        <v>PROTECTIONemssns_scp1_prtctn</v>
      </c>
      <c r="U102" s="41" t="s">
        <v>408</v>
      </c>
      <c r="V102" s="41" t="s">
        <v>408</v>
      </c>
      <c r="W102" t="s">
        <v>410</v>
      </c>
      <c r="AB102" s="29" t="s">
        <v>294</v>
      </c>
      <c r="AC102" s="30" t="s">
        <v>389</v>
      </c>
      <c r="AD102" t="str">
        <f t="shared" si="11"/>
        <v>lt003_entitylei</v>
      </c>
      <c r="AE102" t="str">
        <f t="shared" si="12"/>
        <v>lt003_entitylei</v>
      </c>
    </row>
    <row r="103" spans="1:31" ht="17.399999999999999" x14ac:dyDescent="0.3">
      <c r="A103" s="16" t="str">
        <f t="shared" si="20"/>
        <v>lt005_instr_entcod_soc</v>
      </c>
      <c r="B103" s="28" t="s">
        <v>225</v>
      </c>
      <c r="C103" s="28" t="s">
        <v>360</v>
      </c>
      <c r="D103" s="28" t="s">
        <v>379</v>
      </c>
      <c r="E103" t="str">
        <f t="shared" si="15"/>
        <v>Nok</v>
      </c>
      <c r="F103" s="28" t="s">
        <v>513</v>
      </c>
      <c r="G103" t="str">
        <f t="shared" si="16"/>
        <v>INSTR_ENTITYcod_soc</v>
      </c>
      <c r="Q103" s="34" t="s">
        <v>226</v>
      </c>
      <c r="R103" s="36" t="s">
        <v>274</v>
      </c>
      <c r="S103" t="str">
        <f t="shared" si="18"/>
        <v>emssns_scp2_prtctn</v>
      </c>
      <c r="T103" t="str">
        <f t="shared" si="19"/>
        <v>PROTECTIONemssns_scp2_prtctn</v>
      </c>
      <c r="U103" s="41" t="s">
        <v>408</v>
      </c>
      <c r="V103" s="41" t="s">
        <v>408</v>
      </c>
      <c r="W103" t="s">
        <v>410</v>
      </c>
      <c r="AB103" s="29" t="s">
        <v>294</v>
      </c>
      <c r="AC103" s="30" t="s">
        <v>390</v>
      </c>
      <c r="AD103" t="str">
        <f t="shared" si="11"/>
        <v>lt003_entityecnmc_actvty</v>
      </c>
      <c r="AE103" t="str">
        <f t="shared" si="12"/>
        <v>lt003_entityecnmc_actvty</v>
      </c>
    </row>
    <row r="104" spans="1:31" ht="17.399999999999999" x14ac:dyDescent="0.3">
      <c r="A104" s="16" t="str">
        <f t="shared" si="20"/>
        <v>lt005_instr_entmn_entty_id</v>
      </c>
      <c r="B104" s="28" t="s">
        <v>225</v>
      </c>
      <c r="C104" s="28" t="s">
        <v>360</v>
      </c>
      <c r="D104" s="28" t="s">
        <v>402</v>
      </c>
      <c r="E104" t="str">
        <f t="shared" si="15"/>
        <v>Nok</v>
      </c>
      <c r="F104" s="28" t="s">
        <v>513</v>
      </c>
      <c r="G104" t="str">
        <f t="shared" si="16"/>
        <v>INSTR_ENTITYmn_entty_id</v>
      </c>
      <c r="Q104" s="34" t="s">
        <v>226</v>
      </c>
      <c r="R104" s="36" t="s">
        <v>275</v>
      </c>
      <c r="S104" t="str">
        <f t="shared" si="18"/>
        <v>emssns_scp3_prtctn</v>
      </c>
      <c r="T104" t="str">
        <f t="shared" si="19"/>
        <v>PROTECTIONemssns_scp3_prtctn</v>
      </c>
      <c r="U104" s="41" t="s">
        <v>408</v>
      </c>
      <c r="V104" s="41" t="s">
        <v>408</v>
      </c>
      <c r="W104" t="s">
        <v>410</v>
      </c>
      <c r="AB104" s="29" t="s">
        <v>294</v>
      </c>
      <c r="AC104" s="30" t="s">
        <v>391</v>
      </c>
      <c r="AD104" t="str">
        <f t="shared" si="11"/>
        <v>lt003_entitygrp_eqty</v>
      </c>
      <c r="AE104" t="str">
        <f t="shared" si="12"/>
        <v>lt003_entitygrp_eqty</v>
      </c>
    </row>
    <row r="105" spans="1:31" ht="17.399999999999999" x14ac:dyDescent="0.3">
      <c r="A105" s="16" t="str">
        <f t="shared" si="20"/>
        <v>lt006_instr_protdt_rfrnc</v>
      </c>
      <c r="B105" s="28" t="s">
        <v>233</v>
      </c>
      <c r="C105" s="28" t="s">
        <v>361</v>
      </c>
      <c r="D105" s="28" t="s">
        <v>362</v>
      </c>
      <c r="E105" t="str">
        <f t="shared" si="15"/>
        <v>Nok</v>
      </c>
      <c r="F105" s="28" t="s">
        <v>513</v>
      </c>
      <c r="G105" t="str">
        <f t="shared" si="16"/>
        <v>INSTR_PROTECTIONdt_rfrnc</v>
      </c>
      <c r="Q105" s="34" t="s">
        <v>226</v>
      </c>
      <c r="R105" s="36" t="s">
        <v>276</v>
      </c>
      <c r="S105" t="str">
        <f t="shared" si="18"/>
        <v>mthd_usd_prtctn_scp_1</v>
      </c>
      <c r="T105" t="str">
        <f t="shared" si="19"/>
        <v>PROTECTIONmthd_usd_prtctn_scp_1</v>
      </c>
      <c r="U105" s="41" t="s">
        <v>408</v>
      </c>
      <c r="V105" s="41" t="s">
        <v>408</v>
      </c>
      <c r="W105" t="s">
        <v>410</v>
      </c>
      <c r="AB105" s="29" t="s">
        <v>294</v>
      </c>
      <c r="AC105" s="30" t="s">
        <v>392</v>
      </c>
      <c r="AD105" t="str">
        <f t="shared" si="11"/>
        <v>lt003_entityannl_trnvr_le</v>
      </c>
      <c r="AE105" t="str">
        <f t="shared" si="12"/>
        <v>lt003_entityannl_trnvr_le</v>
      </c>
    </row>
    <row r="106" spans="1:31" ht="17.399999999999999" x14ac:dyDescent="0.3">
      <c r="A106" s="16" t="str">
        <f t="shared" si="20"/>
        <v>lt006_instr_protinstrmnt_id</v>
      </c>
      <c r="B106" s="28" t="s">
        <v>233</v>
      </c>
      <c r="C106" s="28" t="s">
        <v>361</v>
      </c>
      <c r="D106" s="28" t="s">
        <v>363</v>
      </c>
      <c r="E106" t="str">
        <f t="shared" si="15"/>
        <v>Nok</v>
      </c>
      <c r="F106" s="28" t="s">
        <v>513</v>
      </c>
      <c r="G106" t="str">
        <f t="shared" si="16"/>
        <v>INSTR_PROTECTIONinstrmnt_id</v>
      </c>
      <c r="Q106" s="34" t="s">
        <v>226</v>
      </c>
      <c r="R106" s="36" t="s">
        <v>277</v>
      </c>
      <c r="S106" t="str">
        <f t="shared" si="18"/>
        <v>mthd_usd_prtctn_scp_2</v>
      </c>
      <c r="T106" t="str">
        <f t="shared" si="19"/>
        <v>PROTECTIONmthd_usd_prtctn_scp_2</v>
      </c>
      <c r="U106" s="41" t="s">
        <v>408</v>
      </c>
      <c r="V106" s="41" t="s">
        <v>408</v>
      </c>
      <c r="W106" t="s">
        <v>410</v>
      </c>
      <c r="AB106" s="29" t="s">
        <v>294</v>
      </c>
      <c r="AC106" s="30" t="s">
        <v>393</v>
      </c>
      <c r="AD106" t="str">
        <f t="shared" si="11"/>
        <v>lt003_entityeqty</v>
      </c>
      <c r="AE106" t="str">
        <f t="shared" si="12"/>
        <v>lt003_entityeqty</v>
      </c>
    </row>
    <row r="107" spans="1:31" ht="17.399999999999999" x14ac:dyDescent="0.3">
      <c r="A107" s="16" t="str">
        <f t="shared" si="20"/>
        <v>lt006_instr_protprtctn_id</v>
      </c>
      <c r="B107" s="28" t="s">
        <v>233</v>
      </c>
      <c r="C107" s="28" t="s">
        <v>361</v>
      </c>
      <c r="D107" s="28" t="s">
        <v>396</v>
      </c>
      <c r="E107" t="str">
        <f t="shared" si="15"/>
        <v>Nok</v>
      </c>
      <c r="F107" s="28" t="s">
        <v>513</v>
      </c>
      <c r="G107" t="str">
        <f t="shared" si="16"/>
        <v>INSTR_PROTECTIONprtctn_id</v>
      </c>
      <c r="Q107" s="34" t="s">
        <v>226</v>
      </c>
      <c r="R107" s="36" t="s">
        <v>278</v>
      </c>
      <c r="S107" t="str">
        <f t="shared" si="18"/>
        <v>mthd_usd_prtctn_scp_3</v>
      </c>
      <c r="T107" t="str">
        <f t="shared" si="19"/>
        <v>PROTECTIONmthd_usd_prtctn_scp_3</v>
      </c>
      <c r="U107" s="41" t="s">
        <v>408</v>
      </c>
      <c r="V107" s="41" t="s">
        <v>408</v>
      </c>
      <c r="W107" t="s">
        <v>410</v>
      </c>
      <c r="AB107" s="29" t="s">
        <v>294</v>
      </c>
      <c r="AC107" s="30" t="s">
        <v>394</v>
      </c>
      <c r="AD107" t="str">
        <f t="shared" si="11"/>
        <v>lt003_entitygrp_ttl_dbt</v>
      </c>
      <c r="AE107" t="str">
        <f t="shared" si="12"/>
        <v>lt003_entitygrp_ttl_dbt</v>
      </c>
    </row>
    <row r="108" spans="1:31" ht="17.399999999999999" x14ac:dyDescent="0.3">
      <c r="A108" s="16" t="str">
        <f t="shared" si="20"/>
        <v>lt006_instr_protprtctn_allctd_vl</v>
      </c>
      <c r="B108" s="28" t="s">
        <v>233</v>
      </c>
      <c r="C108" s="28" t="s">
        <v>361</v>
      </c>
      <c r="D108" s="28" t="s">
        <v>403</v>
      </c>
      <c r="E108" t="str">
        <f t="shared" si="15"/>
        <v>Nok</v>
      </c>
      <c r="F108" s="28" t="s">
        <v>513</v>
      </c>
      <c r="G108" t="str">
        <f t="shared" si="16"/>
        <v>INSTR_PROTECTIONprtctn_allctd_vl</v>
      </c>
      <c r="Q108" s="34" t="s">
        <v>226</v>
      </c>
      <c r="R108" s="36" t="s">
        <v>257</v>
      </c>
      <c r="S108" t="str">
        <f t="shared" si="18"/>
        <v>flg_act_physcl_rsk</v>
      </c>
      <c r="T108" t="str">
        <f t="shared" si="19"/>
        <v>PROTECTIONflg_act_physcl_rsk</v>
      </c>
      <c r="U108" s="41" t="s">
        <v>408</v>
      </c>
      <c r="V108" s="41" t="s">
        <v>408</v>
      </c>
      <c r="W108" t="s">
        <v>410</v>
      </c>
      <c r="AB108" s="29" t="s">
        <v>294</v>
      </c>
      <c r="AC108" s="30" t="s">
        <v>395</v>
      </c>
      <c r="AD108" t="str">
        <f t="shared" si="11"/>
        <v>lt003_entityttl_dbt</v>
      </c>
      <c r="AE108" t="str">
        <f t="shared" si="12"/>
        <v>lt003_entityttl_dbt</v>
      </c>
    </row>
    <row r="109" spans="1:31" ht="17.399999999999999" x14ac:dyDescent="0.3">
      <c r="A109" s="16" t="str">
        <f t="shared" si="20"/>
        <v>lt006_instr_protcod_soc</v>
      </c>
      <c r="B109" s="28" t="s">
        <v>233</v>
      </c>
      <c r="C109" s="28" t="s">
        <v>361</v>
      </c>
      <c r="D109" s="28" t="s">
        <v>379</v>
      </c>
      <c r="E109" t="str">
        <f t="shared" si="15"/>
        <v>Nok</v>
      </c>
      <c r="F109" s="28" t="s">
        <v>513</v>
      </c>
      <c r="G109" t="str">
        <f t="shared" si="16"/>
        <v>INSTR_PROTECTIONcod_soc</v>
      </c>
      <c r="Q109" s="34" t="s">
        <v>226</v>
      </c>
      <c r="R109" s="36" t="s">
        <v>258</v>
      </c>
      <c r="S109" t="str">
        <f t="shared" si="18"/>
        <v>flg_chrnc_physcl_rsk</v>
      </c>
      <c r="T109" t="str">
        <f t="shared" si="19"/>
        <v>PROTECTIONflg_chrnc_physcl_rsk</v>
      </c>
      <c r="U109" s="41" t="s">
        <v>408</v>
      </c>
      <c r="V109" s="41" t="s">
        <v>408</v>
      </c>
      <c r="W109" t="s">
        <v>410</v>
      </c>
      <c r="AB109" s="29" t="s">
        <v>294</v>
      </c>
      <c r="AC109" s="30" t="s">
        <v>379</v>
      </c>
      <c r="AD109" t="str">
        <f t="shared" si="11"/>
        <v>lt003_entitycod_soc</v>
      </c>
      <c r="AE109" t="str">
        <f t="shared" si="12"/>
        <v>lt003_entitycod_soc</v>
      </c>
    </row>
    <row r="110" spans="1:31" ht="17.399999999999999" x14ac:dyDescent="0.3">
      <c r="A110" s="16" t="str">
        <f t="shared" ref="A110:A128" si="21">C110&amp;D110</f>
        <v>lt825_mthd_usd_instrmntambito</v>
      </c>
      <c r="C110" s="29" t="s">
        <v>351</v>
      </c>
      <c r="D110" s="30" t="s">
        <v>352</v>
      </c>
      <c r="AB110" s="29" t="s">
        <v>326</v>
      </c>
      <c r="AC110" s="30" t="s">
        <v>362</v>
      </c>
      <c r="AD110" t="str">
        <f t="shared" si="11"/>
        <v>lt004_protectiondt_rfrnc</v>
      </c>
      <c r="AE110" t="str">
        <f t="shared" si="12"/>
        <v>lt004_protectiondt_rfrnc</v>
      </c>
    </row>
    <row r="111" spans="1:31" ht="17.399999999999999" x14ac:dyDescent="0.3">
      <c r="A111" s="16" t="str">
        <f t="shared" si="21"/>
        <v>lt825_mthd_usd_instrmntref_date</v>
      </c>
      <c r="C111" s="29" t="s">
        <v>351</v>
      </c>
      <c r="D111" s="30" t="s">
        <v>21</v>
      </c>
      <c r="AB111" s="29" t="s">
        <v>326</v>
      </c>
      <c r="AC111" s="30" t="s">
        <v>396</v>
      </c>
      <c r="AD111" t="str">
        <f t="shared" si="11"/>
        <v>lt004_protectionprtctn_id</v>
      </c>
      <c r="AE111" t="str">
        <f t="shared" si="12"/>
        <v>lt004_protectionprtctn_id</v>
      </c>
    </row>
    <row r="112" spans="1:31" ht="17.399999999999999" x14ac:dyDescent="0.3">
      <c r="A112" s="16" t="str">
        <f t="shared" si="21"/>
        <v>lt825_mthd_usd_instrmntordem</v>
      </c>
      <c r="C112" s="29" t="s">
        <v>351</v>
      </c>
      <c r="D112" s="30" t="s">
        <v>177</v>
      </c>
      <c r="AB112" s="29" t="s">
        <v>326</v>
      </c>
      <c r="AC112" s="30" t="s">
        <v>397</v>
      </c>
      <c r="AD112" t="str">
        <f t="shared" si="11"/>
        <v>lt004_protectionrl_estt_clltrl_lctn</v>
      </c>
      <c r="AE112" t="str">
        <f t="shared" si="12"/>
        <v>lt004_protectionrl_estt_clltrl_lctn</v>
      </c>
    </row>
    <row r="113" spans="1:31" ht="17.399999999999999" x14ac:dyDescent="0.3">
      <c r="A113" s="16" t="str">
        <f t="shared" si="21"/>
        <v>lt825_mthd_usd_instrmnttabela</v>
      </c>
      <c r="C113" s="29" t="s">
        <v>351</v>
      </c>
      <c r="D113" s="30" t="s">
        <v>353</v>
      </c>
      <c r="AB113" s="29" t="s">
        <v>326</v>
      </c>
      <c r="AC113" s="30" t="s">
        <v>398</v>
      </c>
      <c r="AD113" t="str">
        <f t="shared" si="11"/>
        <v>lt004_protectionrl_estt_pst_cd</v>
      </c>
      <c r="AE113" t="str">
        <f t="shared" si="12"/>
        <v>lt004_protectionrl_estt_pst_cd</v>
      </c>
    </row>
    <row r="114" spans="1:31" ht="17.399999999999999" x14ac:dyDescent="0.3">
      <c r="A114" s="16" t="str">
        <f t="shared" si="21"/>
        <v>lt825_mthd_usd_instrmntorigem_scp1_emss</v>
      </c>
      <c r="C114" s="29" t="s">
        <v>351</v>
      </c>
      <c r="D114" s="30" t="s">
        <v>59</v>
      </c>
      <c r="AB114" s="29" t="s">
        <v>326</v>
      </c>
      <c r="AC114" s="30" t="s">
        <v>399</v>
      </c>
      <c r="AD114" t="str">
        <f t="shared" si="11"/>
        <v>lt004_protectiontyp_prtctn</v>
      </c>
      <c r="AE114" t="str">
        <f t="shared" si="12"/>
        <v>lt004_protectiontyp_prtctn</v>
      </c>
    </row>
    <row r="115" spans="1:31" ht="17.399999999999999" x14ac:dyDescent="0.3">
      <c r="A115" s="16" t="str">
        <f t="shared" si="21"/>
        <v>lt825_mthd_usd_instrmntorigem_scp2_emss</v>
      </c>
      <c r="C115" s="29" t="s">
        <v>351</v>
      </c>
      <c r="D115" s="30" t="s">
        <v>60</v>
      </c>
      <c r="AB115" s="29" t="s">
        <v>326</v>
      </c>
      <c r="AC115" s="30" t="s">
        <v>400</v>
      </c>
      <c r="AD115" t="str">
        <f t="shared" si="11"/>
        <v>lt004_protectionorgnl_prtctn_vl</v>
      </c>
      <c r="AE115" t="str">
        <f t="shared" si="12"/>
        <v>lt004_protectionorgnl_prtctn_vl</v>
      </c>
    </row>
    <row r="116" spans="1:31" ht="17.399999999999999" x14ac:dyDescent="0.3">
      <c r="A116" s="16" t="str">
        <f t="shared" si="21"/>
        <v>lt825_mthd_usd_instrmntorigem_scp3_emss</v>
      </c>
      <c r="C116" s="29" t="s">
        <v>351</v>
      </c>
      <c r="D116" s="30" t="s">
        <v>61</v>
      </c>
      <c r="AB116" s="29" t="s">
        <v>326</v>
      </c>
      <c r="AC116" s="30" t="s">
        <v>401</v>
      </c>
      <c r="AD116" t="str">
        <f t="shared" si="11"/>
        <v>lt004_protectionprtctn_vl</v>
      </c>
      <c r="AE116" t="str">
        <f t="shared" si="12"/>
        <v>lt004_protectionprtctn_vl</v>
      </c>
    </row>
    <row r="117" spans="1:31" ht="17.399999999999999" x14ac:dyDescent="0.3">
      <c r="A117" s="16" t="str">
        <f t="shared" si="21"/>
        <v>lt825_mthd_usd_instrmntmthd_usd_instrmnt_scp_1</v>
      </c>
      <c r="C117" s="29" t="s">
        <v>351</v>
      </c>
      <c r="D117" s="30" t="s">
        <v>347</v>
      </c>
      <c r="AB117" s="29" t="s">
        <v>326</v>
      </c>
      <c r="AC117" s="30" t="s">
        <v>379</v>
      </c>
      <c r="AD117" t="str">
        <f t="shared" si="11"/>
        <v>lt004_protectioncod_soc</v>
      </c>
      <c r="AE117" t="str">
        <f t="shared" si="12"/>
        <v>lt004_protectioncod_soc</v>
      </c>
    </row>
    <row r="118" spans="1:31" ht="17.399999999999999" x14ac:dyDescent="0.3">
      <c r="A118" s="16" t="str">
        <f t="shared" si="21"/>
        <v>lt825_mthd_usd_instrmntmthd_usd_instrmnt_scp_2</v>
      </c>
      <c r="C118" s="29" t="s">
        <v>351</v>
      </c>
      <c r="D118" s="30" t="s">
        <v>348</v>
      </c>
      <c r="AB118" s="29" t="s">
        <v>360</v>
      </c>
      <c r="AC118" s="30" t="s">
        <v>362</v>
      </c>
      <c r="AD118" t="str">
        <f t="shared" si="11"/>
        <v>lt005_instr_entdt_rfrnc</v>
      </c>
      <c r="AE118" t="str">
        <f t="shared" si="12"/>
        <v>lt005_instr_entdt_rfrnc</v>
      </c>
    </row>
    <row r="119" spans="1:31" ht="17.399999999999999" x14ac:dyDescent="0.3">
      <c r="A119" s="16" t="str">
        <f t="shared" si="21"/>
        <v>lt825_mthd_usd_instrmntmthd_usd_instrmnt_scp_3</v>
      </c>
      <c r="C119" s="29" t="s">
        <v>351</v>
      </c>
      <c r="D119" s="30" t="s">
        <v>349</v>
      </c>
      <c r="AB119" s="29" t="s">
        <v>360</v>
      </c>
      <c r="AC119" s="30" t="s">
        <v>388</v>
      </c>
      <c r="AD119" t="str">
        <f t="shared" si="11"/>
        <v>lt005_instr_ententty_id</v>
      </c>
      <c r="AE119" t="str">
        <f t="shared" si="12"/>
        <v>lt005_instr_ententty_id</v>
      </c>
    </row>
    <row r="120" spans="1:31" ht="17.399999999999999" x14ac:dyDescent="0.3">
      <c r="A120" s="16" t="str">
        <f t="shared" si="21"/>
        <v>lt826_esg_sbsctrambito</v>
      </c>
      <c r="C120" s="29" t="s">
        <v>354</v>
      </c>
      <c r="D120" s="30" t="s">
        <v>352</v>
      </c>
      <c r="AB120" s="29" t="s">
        <v>360</v>
      </c>
      <c r="AC120" s="30" t="s">
        <v>363</v>
      </c>
      <c r="AD120" t="str">
        <f t="shared" si="11"/>
        <v>lt005_instr_entinstrmnt_id</v>
      </c>
      <c r="AE120" t="str">
        <f t="shared" si="12"/>
        <v>lt005_instr_entinstrmnt_id</v>
      </c>
    </row>
    <row r="121" spans="1:31" ht="17.399999999999999" x14ac:dyDescent="0.3">
      <c r="A121" s="16" t="str">
        <f t="shared" si="21"/>
        <v>lt826_esg_sbsctrref_date</v>
      </c>
      <c r="C121" s="29" t="s">
        <v>354</v>
      </c>
      <c r="D121" s="30" t="s">
        <v>21</v>
      </c>
      <c r="AB121" s="29" t="s">
        <v>360</v>
      </c>
      <c r="AC121" s="30" t="s">
        <v>379</v>
      </c>
      <c r="AD121" t="str">
        <f t="shared" si="11"/>
        <v>lt005_instr_entcod_soc</v>
      </c>
      <c r="AE121" t="str">
        <f t="shared" si="12"/>
        <v>lt005_instr_entcod_soc</v>
      </c>
    </row>
    <row r="122" spans="1:31" ht="17.399999999999999" x14ac:dyDescent="0.3">
      <c r="A122" s="16" t="str">
        <f t="shared" si="21"/>
        <v>lt826_esg_sbsctrordem</v>
      </c>
      <c r="C122" s="29" t="s">
        <v>354</v>
      </c>
      <c r="D122" s="30" t="s">
        <v>177</v>
      </c>
      <c r="AB122" s="29" t="s">
        <v>360</v>
      </c>
      <c r="AC122" s="30" t="s">
        <v>402</v>
      </c>
      <c r="AD122" t="str">
        <f t="shared" si="11"/>
        <v>lt005_instr_entmn_entty_id</v>
      </c>
      <c r="AE122" t="str">
        <f t="shared" si="12"/>
        <v>lt005_instr_entmn_entty_id</v>
      </c>
    </row>
    <row r="123" spans="1:31" ht="17.399999999999999" x14ac:dyDescent="0.3">
      <c r="A123" s="16" t="str">
        <f t="shared" si="21"/>
        <v>lt826_esg_sbsctrnace_code</v>
      </c>
      <c r="C123" s="29" t="s">
        <v>354</v>
      </c>
      <c r="D123" s="30" t="s">
        <v>355</v>
      </c>
      <c r="AB123" s="29" t="s">
        <v>361</v>
      </c>
      <c r="AC123" s="30" t="s">
        <v>362</v>
      </c>
      <c r="AD123" t="str">
        <f t="shared" si="11"/>
        <v>lt006_instr_protdt_rfrnc</v>
      </c>
      <c r="AE123" t="str">
        <f t="shared" si="12"/>
        <v>lt006_instr_protdt_rfrnc</v>
      </c>
    </row>
    <row r="124" spans="1:31" ht="17.399999999999999" x14ac:dyDescent="0.3">
      <c r="A124" s="16" t="str">
        <f t="shared" si="21"/>
        <v>lt826_esg_sbsctrcontraparte</v>
      </c>
      <c r="C124" s="29" t="s">
        <v>354</v>
      </c>
      <c r="D124" s="30" t="s">
        <v>356</v>
      </c>
      <c r="AB124" s="29" t="s">
        <v>361</v>
      </c>
      <c r="AC124" s="30" t="s">
        <v>363</v>
      </c>
      <c r="AD124" t="str">
        <f t="shared" si="11"/>
        <v>lt006_instr_protinstrmnt_id</v>
      </c>
      <c r="AE124" t="str">
        <f t="shared" si="12"/>
        <v>lt006_instr_protinstrmnt_id</v>
      </c>
    </row>
    <row r="125" spans="1:31" ht="17.399999999999999" x14ac:dyDescent="0.3">
      <c r="A125" s="16" t="str">
        <f t="shared" si="21"/>
        <v>lt826_esg_sbsctrcnatureza_juri</v>
      </c>
      <c r="C125" s="29" t="s">
        <v>354</v>
      </c>
      <c r="D125" s="30" t="s">
        <v>357</v>
      </c>
      <c r="AB125" s="29" t="s">
        <v>361</v>
      </c>
      <c r="AC125" s="30" t="s">
        <v>396</v>
      </c>
      <c r="AD125" t="str">
        <f t="shared" si="11"/>
        <v>lt006_instr_protprtctn_id</v>
      </c>
      <c r="AE125" t="str">
        <f t="shared" si="12"/>
        <v>lt006_instr_protprtctn_id</v>
      </c>
    </row>
    <row r="126" spans="1:31" ht="17.399999999999999" x14ac:dyDescent="0.3">
      <c r="A126" s="16" t="str">
        <f t="shared" si="21"/>
        <v>lt826_esg_sbsctridcomb</v>
      </c>
      <c r="C126" s="29" t="s">
        <v>354</v>
      </c>
      <c r="D126" s="30" t="s">
        <v>358</v>
      </c>
      <c r="AB126" s="29" t="s">
        <v>361</v>
      </c>
      <c r="AC126" s="30" t="s">
        <v>403</v>
      </c>
      <c r="AD126" t="str">
        <f t="shared" si="11"/>
        <v>lt006_instr_protprtctn_allctd_vl</v>
      </c>
      <c r="AE126" t="str">
        <f t="shared" si="12"/>
        <v>lt006_instr_protprtctn_allctd_vl</v>
      </c>
    </row>
    <row r="127" spans="1:31" ht="17.399999999999999" x14ac:dyDescent="0.3">
      <c r="A127" s="16" t="str">
        <f t="shared" si="21"/>
        <v>lt826_esg_sbsctresg_sbsctr</v>
      </c>
      <c r="C127" s="29" t="s">
        <v>354</v>
      </c>
      <c r="D127" s="30" t="s">
        <v>318</v>
      </c>
      <c r="AB127" s="29" t="s">
        <v>361</v>
      </c>
      <c r="AC127" s="30" t="s">
        <v>379</v>
      </c>
      <c r="AD127" t="str">
        <f t="shared" ref="AD127" si="22">AB127&amp;AC127</f>
        <v>lt006_instr_protcod_soc</v>
      </c>
      <c r="AE127" t="str">
        <f t="shared" ref="AE127" si="23">VLOOKUP(AD127,$A$3:$A$128,1,0)</f>
        <v>lt006_instr_protcod_soc</v>
      </c>
    </row>
    <row r="128" spans="1:31" ht="17.399999999999999" x14ac:dyDescent="0.3">
      <c r="A128" s="16" t="str">
        <f t="shared" si="21"/>
        <v>lt826_esg_sbsctrdescrição</v>
      </c>
      <c r="C128" s="29" t="s">
        <v>354</v>
      </c>
      <c r="D128" s="30" t="s">
        <v>359</v>
      </c>
    </row>
  </sheetData>
  <autoFilter ref="A2:G109" xr:uid="{53FBE894-A0E2-42E9-A38C-3476DEF9F9B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E3B1CA-DCA7-4E0A-8F19-F42E617C30CE}"/>
</file>

<file path=customXml/itemProps2.xml><?xml version="1.0" encoding="utf-8"?>
<ds:datastoreItem xmlns:ds="http://schemas.openxmlformats.org/officeDocument/2006/customXml" ds:itemID="{7E518EFB-1C90-4A1C-A3F8-D76E008444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customXml/itemProps3.xml><?xml version="1.0" encoding="utf-8"?>
<ds:datastoreItem xmlns:ds="http://schemas.openxmlformats.org/officeDocument/2006/customXml" ds:itemID="{DA9B3E00-8034-48C6-9754-E66BCDE9F6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Bens imóveis PT VS EN</vt:lpstr>
      <vt:lpstr>Bens imoveis</vt:lpstr>
      <vt:lpstr>Modelo Verde</vt:lpstr>
      <vt:lpstr>Pilar 3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Nádia Genebra Ahmad</cp:lastModifiedBy>
  <dcterms:created xsi:type="dcterms:W3CDTF">2024-07-17T10:28:16Z</dcterms:created>
  <dcterms:modified xsi:type="dcterms:W3CDTF">2024-07-26T17:45:35Z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2024-07-17T11:45:43Z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1e9f8df0-3d5c-4406-8949-b4bf9014cc30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