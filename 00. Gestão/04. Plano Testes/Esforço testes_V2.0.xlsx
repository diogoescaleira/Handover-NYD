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0. Gestão/04. Plano Testes/"/>
    </mc:Choice>
  </mc:AlternateContent>
  <xr:revisionPtr revIDLastSave="1192" documentId="8_{11D3401F-A678-48D2-B7C1-3EA89E4C8D70}" xr6:coauthVersionLast="47" xr6:coauthVersionMax="47" xr10:uidLastSave="{893FA994-DECA-4150-BA43-0F28D3BD5FD5}"/>
  <bookViews>
    <workbookView xWindow="-120" yWindow="-16320" windowWidth="29040" windowHeight="15840" xr2:uid="{5E18A8D8-F0A7-44C0-8F67-F11CA009F5AC}"/>
  </bookViews>
  <sheets>
    <sheet name="Sheet1" sheetId="1" r:id="rId1"/>
    <sheet name="Sheet2" sheetId="2" r:id="rId2"/>
  </sheets>
  <definedNames>
    <definedName name="_xlnm._FilterDatabase" localSheetId="0" hidden="1">Sheet1!$B$7:$BM$197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6" i="1" l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M198" i="1"/>
  <c r="N198" i="1" s="1"/>
  <c r="O198" i="1" s="1"/>
  <c r="CB2" i="1"/>
  <c r="CB1" i="1" s="1"/>
  <c r="CA2" i="1"/>
  <c r="CA1" i="1" s="1"/>
  <c r="BZ2" i="1"/>
  <c r="BZ1" i="1" s="1"/>
  <c r="BY2" i="1"/>
  <c r="BY1" i="1" s="1"/>
  <c r="BX2" i="1"/>
  <c r="BX1" i="1" s="1"/>
  <c r="BW2" i="1"/>
  <c r="BW1" i="1" s="1"/>
  <c r="BV2" i="1"/>
  <c r="BV1" i="1" s="1"/>
  <c r="BU2" i="1"/>
  <c r="BU1" i="1" s="1"/>
  <c r="BT2" i="1"/>
  <c r="BT1" i="1" s="1"/>
  <c r="BS2" i="1"/>
  <c r="BS1" i="1" s="1"/>
  <c r="BR2" i="1"/>
  <c r="BR1" i="1" s="1"/>
  <c r="BQ2" i="1"/>
  <c r="BQ1" i="1" s="1"/>
  <c r="BP2" i="1"/>
  <c r="BP1" i="1" s="1"/>
  <c r="BO2" i="1"/>
  <c r="BO1" i="1" s="1"/>
  <c r="BN2" i="1"/>
  <c r="BX7" i="1"/>
  <c r="BY7" i="1" s="1"/>
  <c r="BZ7" i="1" s="1"/>
  <c r="CA7" i="1" s="1"/>
  <c r="CB7" i="1" s="1"/>
  <c r="BS7" i="1"/>
  <c r="BT7" i="1" s="1"/>
  <c r="BU7" i="1" s="1"/>
  <c r="BV7" i="1" s="1"/>
  <c r="BW7" i="1" s="1"/>
  <c r="BO7" i="1"/>
  <c r="BP7" i="1" s="1"/>
  <c r="BQ7" i="1" s="1"/>
  <c r="BR7" i="1" s="1"/>
  <c r="BN7" i="1"/>
  <c r="K198" i="1"/>
  <c r="K197" i="1"/>
  <c r="N182" i="1"/>
  <c r="N183" i="1"/>
  <c r="N192" i="1"/>
  <c r="A197" i="1"/>
  <c r="N196" i="1"/>
  <c r="K196" i="1"/>
  <c r="A196" i="1"/>
  <c r="K195" i="1"/>
  <c r="A195" i="1"/>
  <c r="N195" i="1" s="1"/>
  <c r="K194" i="1"/>
  <c r="A194" i="1"/>
  <c r="N194" i="1" s="1"/>
  <c r="K193" i="1"/>
  <c r="A193" i="1"/>
  <c r="N193" i="1" s="1"/>
  <c r="K192" i="1"/>
  <c r="A192" i="1"/>
  <c r="K191" i="1"/>
  <c r="A191" i="1"/>
  <c r="N191" i="1" s="1"/>
  <c r="K190" i="1"/>
  <c r="A190" i="1"/>
  <c r="N190" i="1" s="1"/>
  <c r="K189" i="1"/>
  <c r="A189" i="1"/>
  <c r="N189" i="1" s="1"/>
  <c r="N188" i="1"/>
  <c r="K188" i="1"/>
  <c r="A188" i="1"/>
  <c r="K187" i="1"/>
  <c r="A187" i="1"/>
  <c r="N187" i="1" s="1"/>
  <c r="K186" i="1"/>
  <c r="A186" i="1"/>
  <c r="N186" i="1" s="1"/>
  <c r="K185" i="1"/>
  <c r="A185" i="1"/>
  <c r="N185" i="1" s="1"/>
  <c r="N184" i="1"/>
  <c r="K184" i="1"/>
  <c r="A184" i="1"/>
  <c r="K183" i="1"/>
  <c r="A183" i="1"/>
  <c r="K182" i="1"/>
  <c r="A182" i="1"/>
  <c r="K181" i="1"/>
  <c r="A181" i="1"/>
  <c r="N181" i="1" s="1"/>
  <c r="N180" i="1"/>
  <c r="K180" i="1"/>
  <c r="A180" i="1"/>
  <c r="K179" i="1"/>
  <c r="A179" i="1"/>
  <c r="N179" i="1" s="1"/>
  <c r="K178" i="1"/>
  <c r="A178" i="1"/>
  <c r="N178" i="1" s="1"/>
  <c r="K177" i="1"/>
  <c r="A177" i="1"/>
  <c r="N177" i="1" s="1"/>
  <c r="N176" i="1"/>
  <c r="K176" i="1"/>
  <c r="A176" i="1"/>
  <c r="K175" i="1"/>
  <c r="A175" i="1"/>
  <c r="N175" i="1" s="1"/>
  <c r="K174" i="1"/>
  <c r="A174" i="1"/>
  <c r="N174" i="1" s="1"/>
  <c r="K173" i="1"/>
  <c r="A173" i="1"/>
  <c r="N173" i="1" s="1"/>
  <c r="N172" i="1"/>
  <c r="K172" i="1"/>
  <c r="A172" i="1"/>
  <c r="K171" i="1"/>
  <c r="A171" i="1"/>
  <c r="N171" i="1" s="1"/>
  <c r="K170" i="1"/>
  <c r="A170" i="1"/>
  <c r="N170" i="1" s="1"/>
  <c r="K169" i="1"/>
  <c r="A169" i="1"/>
  <c r="N169" i="1" s="1"/>
  <c r="N168" i="1"/>
  <c r="K168" i="1"/>
  <c r="A168" i="1"/>
  <c r="K167" i="1"/>
  <c r="A167" i="1"/>
  <c r="N167" i="1" s="1"/>
  <c r="N166" i="1"/>
  <c r="K166" i="1"/>
  <c r="A166" i="1"/>
  <c r="K165" i="1"/>
  <c r="A165" i="1"/>
  <c r="N165" i="1" s="1"/>
  <c r="K164" i="1"/>
  <c r="A164" i="1"/>
  <c r="N164" i="1" s="1"/>
  <c r="K163" i="1"/>
  <c r="A163" i="1"/>
  <c r="N163" i="1" s="1"/>
  <c r="N162" i="1"/>
  <c r="K162" i="1"/>
  <c r="A162" i="1"/>
  <c r="K161" i="1"/>
  <c r="A161" i="1"/>
  <c r="N161" i="1" s="1"/>
  <c r="K160" i="1"/>
  <c r="A160" i="1"/>
  <c r="N160" i="1" s="1"/>
  <c r="K159" i="1"/>
  <c r="A159" i="1"/>
  <c r="N159" i="1" s="1"/>
  <c r="N158" i="1"/>
  <c r="K158" i="1"/>
  <c r="A158" i="1"/>
  <c r="K157" i="1"/>
  <c r="A157" i="1"/>
  <c r="N157" i="1" s="1"/>
  <c r="K156" i="1"/>
  <c r="A156" i="1"/>
  <c r="N156" i="1" s="1"/>
  <c r="K155" i="1"/>
  <c r="A155" i="1"/>
  <c r="N155" i="1" s="1"/>
  <c r="N154" i="1"/>
  <c r="K154" i="1"/>
  <c r="A154" i="1"/>
  <c r="K153" i="1"/>
  <c r="A153" i="1"/>
  <c r="N153" i="1" s="1"/>
  <c r="K152" i="1"/>
  <c r="A152" i="1"/>
  <c r="N152" i="1" s="1"/>
  <c r="K151" i="1"/>
  <c r="A151" i="1"/>
  <c r="N151" i="1" s="1"/>
  <c r="N150" i="1"/>
  <c r="K150" i="1"/>
  <c r="A150" i="1"/>
  <c r="K149" i="1"/>
  <c r="A149" i="1"/>
  <c r="N149" i="1" s="1"/>
  <c r="K148" i="1"/>
  <c r="A148" i="1"/>
  <c r="N148" i="1" s="1"/>
  <c r="K147" i="1"/>
  <c r="A147" i="1"/>
  <c r="N147" i="1" s="1"/>
  <c r="N146" i="1"/>
  <c r="K146" i="1"/>
  <c r="A146" i="1"/>
  <c r="K145" i="1"/>
  <c r="A145" i="1"/>
  <c r="N145" i="1" s="1"/>
  <c r="K144" i="1"/>
  <c r="A144" i="1"/>
  <c r="N144" i="1" s="1"/>
  <c r="K143" i="1"/>
  <c r="A143" i="1"/>
  <c r="N143" i="1" s="1"/>
  <c r="N142" i="1"/>
  <c r="K142" i="1"/>
  <c r="A142" i="1"/>
  <c r="K141" i="1"/>
  <c r="A141" i="1"/>
  <c r="N141" i="1" s="1"/>
  <c r="K140" i="1"/>
  <c r="A140" i="1"/>
  <c r="N140" i="1" s="1"/>
  <c r="K139" i="1"/>
  <c r="A139" i="1"/>
  <c r="N139" i="1" s="1"/>
  <c r="N138" i="1"/>
  <c r="K138" i="1"/>
  <c r="A138" i="1"/>
  <c r="K137" i="1"/>
  <c r="A137" i="1"/>
  <c r="N137" i="1" s="1"/>
  <c r="K136" i="1"/>
  <c r="A136" i="1"/>
  <c r="N136" i="1" s="1"/>
  <c r="K135" i="1"/>
  <c r="A135" i="1"/>
  <c r="N135" i="1" s="1"/>
  <c r="N134" i="1"/>
  <c r="K134" i="1"/>
  <c r="A134" i="1"/>
  <c r="K133" i="1"/>
  <c r="A133" i="1"/>
  <c r="N133" i="1" s="1"/>
  <c r="K132" i="1"/>
  <c r="A132" i="1"/>
  <c r="N132" i="1" s="1"/>
  <c r="K131" i="1"/>
  <c r="A131" i="1"/>
  <c r="N131" i="1" s="1"/>
  <c r="N130" i="1"/>
  <c r="K130" i="1"/>
  <c r="A130" i="1"/>
  <c r="K129" i="1"/>
  <c r="A129" i="1"/>
  <c r="N129" i="1" s="1"/>
  <c r="K128" i="1"/>
  <c r="A128" i="1"/>
  <c r="N128" i="1" s="1"/>
  <c r="K127" i="1"/>
  <c r="A127" i="1"/>
  <c r="N127" i="1" s="1"/>
  <c r="N126" i="1"/>
  <c r="K126" i="1"/>
  <c r="A126" i="1"/>
  <c r="K125" i="1"/>
  <c r="A125" i="1"/>
  <c r="N125" i="1" s="1"/>
  <c r="K124" i="1"/>
  <c r="A124" i="1"/>
  <c r="N124" i="1" s="1"/>
  <c r="K123" i="1"/>
  <c r="A123" i="1"/>
  <c r="N123" i="1" s="1"/>
  <c r="N122" i="1"/>
  <c r="K122" i="1"/>
  <c r="A122" i="1"/>
  <c r="K121" i="1"/>
  <c r="A121" i="1"/>
  <c r="N121" i="1" s="1"/>
  <c r="K120" i="1"/>
  <c r="A120" i="1"/>
  <c r="N120" i="1" s="1"/>
  <c r="K119" i="1"/>
  <c r="A119" i="1"/>
  <c r="N119" i="1" s="1"/>
  <c r="N118" i="1"/>
  <c r="K118" i="1"/>
  <c r="A118" i="1"/>
  <c r="K117" i="1"/>
  <c r="A117" i="1"/>
  <c r="N117" i="1" s="1"/>
  <c r="K116" i="1"/>
  <c r="A116" i="1"/>
  <c r="N116" i="1" s="1"/>
  <c r="K115" i="1"/>
  <c r="A115" i="1"/>
  <c r="N115" i="1" s="1"/>
  <c r="N114" i="1"/>
  <c r="K114" i="1"/>
  <c r="A114" i="1"/>
  <c r="K113" i="1"/>
  <c r="A113" i="1"/>
  <c r="N113" i="1" s="1"/>
  <c r="K112" i="1"/>
  <c r="A112" i="1"/>
  <c r="N112" i="1" s="1"/>
  <c r="K111" i="1"/>
  <c r="A111" i="1"/>
  <c r="N111" i="1" s="1"/>
  <c r="N110" i="1"/>
  <c r="K110" i="1"/>
  <c r="A110" i="1"/>
  <c r="K109" i="1"/>
  <c r="A109" i="1"/>
  <c r="N109" i="1" s="1"/>
  <c r="K108" i="1"/>
  <c r="A108" i="1"/>
  <c r="N108" i="1" s="1"/>
  <c r="K107" i="1"/>
  <c r="A107" i="1"/>
  <c r="N107" i="1" s="1"/>
  <c r="K106" i="1"/>
  <c r="A106" i="1"/>
  <c r="N106" i="1" s="1"/>
  <c r="K105" i="1"/>
  <c r="A105" i="1"/>
  <c r="N105" i="1" s="1"/>
  <c r="K104" i="1"/>
  <c r="A104" i="1"/>
  <c r="N104" i="1" s="1"/>
  <c r="N103" i="1"/>
  <c r="K103" i="1"/>
  <c r="A103" i="1"/>
  <c r="K102" i="1"/>
  <c r="A102" i="1"/>
  <c r="N102" i="1" s="1"/>
  <c r="K101" i="1"/>
  <c r="A101" i="1"/>
  <c r="N101" i="1" s="1"/>
  <c r="K100" i="1"/>
  <c r="A100" i="1"/>
  <c r="N100" i="1" s="1"/>
  <c r="K99" i="1"/>
  <c r="A99" i="1"/>
  <c r="N99" i="1" s="1"/>
  <c r="K98" i="1"/>
  <c r="A98" i="1"/>
  <c r="N98" i="1" s="1"/>
  <c r="K97" i="1"/>
  <c r="A97" i="1"/>
  <c r="N97" i="1" s="1"/>
  <c r="N96" i="1"/>
  <c r="K96" i="1"/>
  <c r="A96" i="1"/>
  <c r="K95" i="1"/>
  <c r="A95" i="1"/>
  <c r="N95" i="1" s="1"/>
  <c r="K94" i="1"/>
  <c r="A94" i="1"/>
  <c r="N94" i="1" s="1"/>
  <c r="K93" i="1"/>
  <c r="A93" i="1"/>
  <c r="N93" i="1" s="1"/>
  <c r="N92" i="1"/>
  <c r="K92" i="1"/>
  <c r="A92" i="1"/>
  <c r="K91" i="1"/>
  <c r="A91" i="1"/>
  <c r="N91" i="1" s="1"/>
  <c r="K90" i="1"/>
  <c r="A90" i="1"/>
  <c r="N90" i="1" s="1"/>
  <c r="K89" i="1"/>
  <c r="A89" i="1"/>
  <c r="N89" i="1" s="1"/>
  <c r="N88" i="1"/>
  <c r="K88" i="1"/>
  <c r="A88" i="1"/>
  <c r="K87" i="1"/>
  <c r="A87" i="1"/>
  <c r="N87" i="1" s="1"/>
  <c r="K86" i="1"/>
  <c r="A86" i="1"/>
  <c r="N86" i="1" s="1"/>
  <c r="K85" i="1"/>
  <c r="A85" i="1"/>
  <c r="N85" i="1" s="1"/>
  <c r="N84" i="1"/>
  <c r="K84" i="1"/>
  <c r="A84" i="1"/>
  <c r="K83" i="1"/>
  <c r="A83" i="1"/>
  <c r="N83" i="1" s="1"/>
  <c r="K82" i="1"/>
  <c r="A82" i="1"/>
  <c r="N82" i="1" s="1"/>
  <c r="K81" i="1"/>
  <c r="A81" i="1"/>
  <c r="N81" i="1" s="1"/>
  <c r="N80" i="1"/>
  <c r="K80" i="1"/>
  <c r="A80" i="1"/>
  <c r="K79" i="1"/>
  <c r="A79" i="1"/>
  <c r="N79" i="1" s="1"/>
  <c r="K78" i="1"/>
  <c r="A78" i="1"/>
  <c r="N78" i="1" s="1"/>
  <c r="K77" i="1"/>
  <c r="A77" i="1"/>
  <c r="N77" i="1" s="1"/>
  <c r="N76" i="1"/>
  <c r="K76" i="1"/>
  <c r="A76" i="1"/>
  <c r="K75" i="1"/>
  <c r="A75" i="1"/>
  <c r="N75" i="1" s="1"/>
  <c r="K74" i="1"/>
  <c r="A74" i="1"/>
  <c r="N74" i="1" s="1"/>
  <c r="K73" i="1"/>
  <c r="A73" i="1"/>
  <c r="N73" i="1" s="1"/>
  <c r="K72" i="1"/>
  <c r="A72" i="1"/>
  <c r="K71" i="1"/>
  <c r="A71" i="1"/>
  <c r="K70" i="1"/>
  <c r="A70" i="1"/>
  <c r="K69" i="1"/>
  <c r="A69" i="1"/>
  <c r="N69" i="1" s="1"/>
  <c r="N68" i="1"/>
  <c r="K68" i="1"/>
  <c r="A68" i="1"/>
  <c r="K67" i="1"/>
  <c r="A67" i="1"/>
  <c r="N67" i="1" s="1"/>
  <c r="K66" i="1"/>
  <c r="A66" i="1"/>
  <c r="N66" i="1" s="1"/>
  <c r="K65" i="1"/>
  <c r="A65" i="1"/>
  <c r="N65" i="1" s="1"/>
  <c r="N64" i="1"/>
  <c r="K64" i="1"/>
  <c r="A64" i="1"/>
  <c r="K63" i="1"/>
  <c r="A63" i="1"/>
  <c r="N63" i="1" s="1"/>
  <c r="K62" i="1"/>
  <c r="A62" i="1"/>
  <c r="N62" i="1" s="1"/>
  <c r="K61" i="1"/>
  <c r="A61" i="1"/>
  <c r="N61" i="1" s="1"/>
  <c r="N60" i="1"/>
  <c r="K60" i="1"/>
  <c r="A60" i="1"/>
  <c r="K59" i="1"/>
  <c r="A59" i="1"/>
  <c r="N59" i="1" s="1"/>
  <c r="K58" i="1"/>
  <c r="A58" i="1"/>
  <c r="N58" i="1" s="1"/>
  <c r="K57" i="1"/>
  <c r="A57" i="1"/>
  <c r="N57" i="1" s="1"/>
  <c r="N56" i="1"/>
  <c r="K56" i="1"/>
  <c r="A56" i="1"/>
  <c r="K55" i="1"/>
  <c r="A55" i="1"/>
  <c r="N55" i="1" s="1"/>
  <c r="K54" i="1"/>
  <c r="A54" i="1"/>
  <c r="N54" i="1" s="1"/>
  <c r="K53" i="1"/>
  <c r="A53" i="1"/>
  <c r="N53" i="1" s="1"/>
  <c r="N52" i="1"/>
  <c r="K52" i="1"/>
  <c r="A52" i="1"/>
  <c r="K51" i="1"/>
  <c r="A51" i="1"/>
  <c r="N51" i="1" s="1"/>
  <c r="K50" i="1"/>
  <c r="A50" i="1"/>
  <c r="N50" i="1" s="1"/>
  <c r="K49" i="1"/>
  <c r="A49" i="1"/>
  <c r="N49" i="1" s="1"/>
  <c r="N48" i="1"/>
  <c r="K48" i="1"/>
  <c r="A48" i="1"/>
  <c r="K47" i="1"/>
  <c r="A47" i="1"/>
  <c r="N47" i="1" s="1"/>
  <c r="K46" i="1"/>
  <c r="A46" i="1"/>
  <c r="N46" i="1" s="1"/>
  <c r="K45" i="1"/>
  <c r="A45" i="1"/>
  <c r="N45" i="1" s="1"/>
  <c r="N44" i="1"/>
  <c r="K44" i="1"/>
  <c r="A44" i="1"/>
  <c r="K43" i="1"/>
  <c r="A43" i="1"/>
  <c r="N43" i="1" s="1"/>
  <c r="K42" i="1"/>
  <c r="A42" i="1"/>
  <c r="N42" i="1" s="1"/>
  <c r="N41" i="1"/>
  <c r="K41" i="1"/>
  <c r="A41" i="1"/>
  <c r="K40" i="1"/>
  <c r="A40" i="1"/>
  <c r="N40" i="1" s="1"/>
  <c r="K39" i="1"/>
  <c r="A39" i="1"/>
  <c r="N39" i="1" s="1"/>
  <c r="K38" i="1"/>
  <c r="A38" i="1"/>
  <c r="N38" i="1" s="1"/>
  <c r="N37" i="1"/>
  <c r="K37" i="1"/>
  <c r="A37" i="1"/>
  <c r="K36" i="1"/>
  <c r="A36" i="1"/>
  <c r="N36" i="1" s="1"/>
  <c r="K35" i="1"/>
  <c r="A35" i="1"/>
  <c r="N35" i="1" s="1"/>
  <c r="N34" i="1"/>
  <c r="K34" i="1"/>
  <c r="A34" i="1"/>
  <c r="N33" i="1"/>
  <c r="K33" i="1"/>
  <c r="A33" i="1"/>
  <c r="N32" i="1"/>
  <c r="K32" i="1"/>
  <c r="A32" i="1"/>
  <c r="N31" i="1"/>
  <c r="K31" i="1"/>
  <c r="A31" i="1"/>
  <c r="K30" i="1"/>
  <c r="A30" i="1"/>
  <c r="N30" i="1" s="1"/>
  <c r="K29" i="1"/>
  <c r="A29" i="1"/>
  <c r="N29" i="1" s="1"/>
  <c r="K28" i="1"/>
  <c r="A28" i="1"/>
  <c r="N28" i="1" s="1"/>
  <c r="K27" i="1"/>
  <c r="A27" i="1"/>
  <c r="N27" i="1" s="1"/>
  <c r="K26" i="1"/>
  <c r="A26" i="1"/>
  <c r="N26" i="1" s="1"/>
  <c r="K25" i="1"/>
  <c r="A25" i="1"/>
  <c r="N25" i="1" s="1"/>
  <c r="K24" i="1"/>
  <c r="A24" i="1"/>
  <c r="N24" i="1" s="1"/>
  <c r="K23" i="1"/>
  <c r="A23" i="1"/>
  <c r="N23" i="1" s="1"/>
  <c r="K22" i="1"/>
  <c r="A22" i="1"/>
  <c r="N22" i="1" s="1"/>
  <c r="K21" i="1"/>
  <c r="A21" i="1"/>
  <c r="N21" i="1" s="1"/>
  <c r="K20" i="1"/>
  <c r="A20" i="1"/>
  <c r="N20" i="1" s="1"/>
  <c r="K19" i="1"/>
  <c r="A19" i="1"/>
  <c r="N19" i="1" s="1"/>
  <c r="K18" i="1"/>
  <c r="A18" i="1"/>
  <c r="N18" i="1" s="1"/>
  <c r="K17" i="1"/>
  <c r="A17" i="1"/>
  <c r="N17" i="1" s="1"/>
  <c r="K16" i="1"/>
  <c r="A16" i="1"/>
  <c r="N16" i="1" s="1"/>
  <c r="K15" i="1"/>
  <c r="A15" i="1"/>
  <c r="N15" i="1" s="1"/>
  <c r="K14" i="1"/>
  <c r="A14" i="1"/>
  <c r="N14" i="1" s="1"/>
  <c r="K13" i="1"/>
  <c r="A13" i="1"/>
  <c r="N13" i="1" s="1"/>
  <c r="K12" i="1"/>
  <c r="A12" i="1"/>
  <c r="N12" i="1" s="1"/>
  <c r="K11" i="1"/>
  <c r="A11" i="1"/>
  <c r="N11" i="1" s="1"/>
  <c r="K10" i="1"/>
  <c r="A10" i="1"/>
  <c r="N10" i="1" s="1"/>
  <c r="K9" i="1"/>
  <c r="A9" i="1"/>
  <c r="N9" i="1" s="1"/>
  <c r="K8" i="1"/>
  <c r="A8" i="1"/>
  <c r="N8" i="1" s="1"/>
  <c r="BM2" i="1"/>
  <c r="BL2" i="1"/>
  <c r="BK2" i="1"/>
  <c r="BJ2" i="1"/>
  <c r="BI2" i="1"/>
  <c r="BH2" i="1"/>
  <c r="BG2" i="1"/>
  <c r="BG1" i="1" s="1"/>
  <c r="BF2" i="1"/>
  <c r="BF1" i="1" s="1"/>
  <c r="BE2" i="1"/>
  <c r="BE1" i="1" s="1"/>
  <c r="BD2" i="1"/>
  <c r="BD1" i="1" s="1"/>
  <c r="BC2" i="1"/>
  <c r="BC1" i="1" s="1"/>
  <c r="BB2" i="1"/>
  <c r="BB1" i="1" s="1"/>
  <c r="BA2" i="1"/>
  <c r="BA1" i="1" s="1"/>
  <c r="AZ2" i="1"/>
  <c r="AZ1" i="1" s="1"/>
  <c r="AY2" i="1"/>
  <c r="AY1" i="1" s="1"/>
  <c r="AX2" i="1"/>
  <c r="AX1" i="1" s="1"/>
  <c r="AW2" i="1"/>
  <c r="AW1" i="1" s="1"/>
  <c r="AV2" i="1"/>
  <c r="AV1" i="1" s="1"/>
  <c r="AU2" i="1"/>
  <c r="AU1" i="1" s="1"/>
  <c r="AT2" i="1"/>
  <c r="AT1" i="1" s="1"/>
  <c r="AS2" i="1"/>
  <c r="AS1" i="1" s="1"/>
  <c r="AR2" i="1"/>
  <c r="AR1" i="1" s="1"/>
  <c r="AQ2" i="1"/>
  <c r="AQ1" i="1" s="1"/>
  <c r="AP2" i="1"/>
  <c r="AP1" i="1" s="1"/>
  <c r="AO2" i="1"/>
  <c r="AO1" i="1" s="1"/>
  <c r="AN2" i="1"/>
  <c r="AN1" i="1" s="1"/>
  <c r="AM2" i="1"/>
  <c r="AM1" i="1" s="1"/>
  <c r="AL2" i="1"/>
  <c r="AL1" i="1" s="1"/>
  <c r="AK2" i="1"/>
  <c r="AK1" i="1" s="1"/>
  <c r="AJ2" i="1"/>
  <c r="AJ1" i="1" s="1"/>
  <c r="AI2" i="1"/>
  <c r="AI1" i="1" s="1"/>
  <c r="AH2" i="1"/>
  <c r="AH1" i="1" s="1"/>
  <c r="AG2" i="1"/>
  <c r="AG1" i="1" s="1"/>
  <c r="AF2" i="1"/>
  <c r="AF1" i="1" s="1"/>
  <c r="AE2" i="1"/>
  <c r="AE1" i="1" s="1"/>
  <c r="AD2" i="1"/>
  <c r="AD1" i="1" s="1"/>
  <c r="AC2" i="1"/>
  <c r="AC1" i="1" s="1"/>
  <c r="AB2" i="1"/>
  <c r="AB1" i="1" s="1"/>
  <c r="AA2" i="1"/>
  <c r="AA1" i="1" s="1"/>
  <c r="Z2" i="1"/>
  <c r="Z1" i="1" s="1"/>
  <c r="Y2" i="1"/>
  <c r="Y1" i="1" s="1"/>
  <c r="X2" i="1"/>
  <c r="X1" i="1" s="1"/>
  <c r="V2" i="1"/>
  <c r="V1" i="1" s="1"/>
  <c r="U2" i="1"/>
  <c r="U1" i="1" s="1"/>
  <c r="T2" i="1"/>
  <c r="T1" i="1" s="1"/>
  <c r="S2" i="1"/>
  <c r="S1" i="1" s="1"/>
  <c r="R2" i="1"/>
  <c r="R1" i="1" s="1"/>
</calcChain>
</file>

<file path=xl/sharedStrings.xml><?xml version="1.0" encoding="utf-8"?>
<sst xmlns="http://schemas.openxmlformats.org/spreadsheetml/2006/main" count="1389" uniqueCount="223">
  <si>
    <t>Re-especificação</t>
  </si>
  <si>
    <t>Testes</t>
  </si>
  <si>
    <t>Outubro</t>
  </si>
  <si>
    <t>Novembro</t>
  </si>
  <si>
    <t>Dezembro</t>
  </si>
  <si>
    <t>Âmbito</t>
  </si>
  <si>
    <t>Sub-âmbito</t>
  </si>
  <si>
    <t>Tipo de teste</t>
  </si>
  <si>
    <t>Tabela</t>
  </si>
  <si>
    <t>Campo</t>
  </si>
  <si>
    <t>Status Atual</t>
  </si>
  <si>
    <t>Pilar III</t>
  </si>
  <si>
    <t>Bens Imóveis - Input</t>
  </si>
  <si>
    <t>ENERGY_CERTIFICATE_EST_INPUT</t>
  </si>
  <si>
    <t>n.a.</t>
  </si>
  <si>
    <t>6. Em implementação (re-especificação)</t>
  </si>
  <si>
    <t>2. Campo</t>
  </si>
  <si>
    <t>PROPERTY_BANK_ID</t>
  </si>
  <si>
    <t>ENCRYPTED_KEY</t>
  </si>
  <si>
    <t>PROPERTY_BRANCH_CODE</t>
  </si>
  <si>
    <t>PROPERTY_CONTRACT_ID</t>
  </si>
  <si>
    <t>PROPERTY_REFERENCE_CODE</t>
  </si>
  <si>
    <t>DATA_EXTRACTION_DATE</t>
  </si>
  <si>
    <t>EPC</t>
  </si>
  <si>
    <t>DATA_PROVIDER</t>
  </si>
  <si>
    <t>ACTUAL_VALUE_IND</t>
  </si>
  <si>
    <t>QUALITY_SCORE</t>
  </si>
  <si>
    <t>ENERGY_CONSUMPTION_VALUE_YEAR</t>
  </si>
  <si>
    <t>CARBON_EMISSION_VALUE_YEAR</t>
  </si>
  <si>
    <t>Bens Imóveis - Output</t>
  </si>
  <si>
    <t>PROPERTY_ENERGY_CERTIFICATE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</si>
  <si>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</si>
  <si>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</si>
  <si>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</si>
  <si>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</si>
  <si>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</si>
  <si>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ENERGY_EFFICIENCY_IND</t>
  </si>
  <si>
    <t>NZEB_IND</t>
  </si>
  <si>
    <t>SOURCE_CODE</t>
  </si>
  <si>
    <t>CERTIFICATE_TYPE</t>
  </si>
  <si>
    <t>REN_ENERGY_PRODUCED_VALUE</t>
  </si>
  <si>
    <t>PRIMARY_ENERGY_REQ_VALUE</t>
  </si>
  <si>
    <t>NET_FLOOR_AREA</t>
  </si>
  <si>
    <t>CADASTRAL_REGISTER_CODE</t>
  </si>
  <si>
    <t>DISTRICT_MUNICIP_PARISH_CODE</t>
  </si>
  <si>
    <t>PROPERTY_PURPOSE_CODE</t>
  </si>
  <si>
    <t>ADDRESS_CODE</t>
  </si>
  <si>
    <t>FLOOR_NUMBER</t>
  </si>
  <si>
    <t>LOCALITY</t>
  </si>
  <si>
    <t>Modelo Verde - Input</t>
  </si>
  <si>
    <t>modesg_param_sfcs_taxon_europeia</t>
  </si>
  <si>
    <t>cod_regra</t>
  </si>
  <si>
    <t>comite</t>
  </si>
  <si>
    <t>data_aprvc</t>
  </si>
  <si>
    <t>data_final</t>
  </si>
  <si>
    <t>5. Em Correção</t>
  </si>
  <si>
    <t>data_inicial</t>
  </si>
  <si>
    <t>flag_project_finance</t>
  </si>
  <si>
    <t>cfinalidad</t>
  </si>
  <si>
    <t>tipo_combust</t>
  </si>
  <si>
    <t>montante_pndrc</t>
  </si>
  <si>
    <t>nome_ctgr_sfcs</t>
  </si>
  <si>
    <t>nome_general_specific_purpose</t>
  </si>
  <si>
    <t>nome_purpose_esg</t>
  </si>
  <si>
    <t>nome_specific_eligible</t>
  </si>
  <si>
    <t>nome_specific_sustainable</t>
  </si>
  <si>
    <t>zcliente</t>
  </si>
  <si>
    <t>zdeposit</t>
  </si>
  <si>
    <t>Modelo Verde - Output</t>
  </si>
  <si>
    <t>modesg_out_bens_imoveis</t>
  </si>
  <si>
    <t>flg_rsc_fsc_agd</t>
  </si>
  <si>
    <t>flg_rsc_fsc_crnc</t>
  </si>
  <si>
    <t>origem_flg_rsc_fsc_agd</t>
  </si>
  <si>
    <t>origem_flg_rsc_fsc_crnc</t>
  </si>
  <si>
    <t>origem_scp1_emss</t>
  </si>
  <si>
    <t>origem_scp2_emss</t>
  </si>
  <si>
    <t>origem_scp3_emss</t>
  </si>
  <si>
    <t>scp1_emss</t>
  </si>
  <si>
    <t>scp2_emss</t>
  </si>
  <si>
    <t>unidade_funcional_scp1_emss</t>
  </si>
  <si>
    <t>unidade_funcional_scp2_emss</t>
  </si>
  <si>
    <t>unidade_funcional_scp3_emss</t>
  </si>
  <si>
    <t>modesg_out_empr_info_nfin</t>
  </si>
  <si>
    <t>cca_capex_enblng_algnd</t>
  </si>
  <si>
    <t>cca_capex_own_prfrmnce_algnd</t>
  </si>
  <si>
    <t>cca_capex_ttl_elgbl</t>
  </si>
  <si>
    <t>cca_trnvr_enblng_alignd</t>
  </si>
  <si>
    <t>cca_trnvr_ttl_elgbl</t>
  </si>
  <si>
    <t>cca_turnover_own_prfrmnce_algnd</t>
  </si>
  <si>
    <t>ccm_capex_enblng_algnd</t>
  </si>
  <si>
    <t>ccm_capex_own_prfrmnce_algnd</t>
  </si>
  <si>
    <t>ccm_capex_trnstn_algnd</t>
  </si>
  <si>
    <t>ccm_capex_ttl_elgbl</t>
  </si>
  <si>
    <t>ccm_trnvr_enblng_algnd</t>
  </si>
  <si>
    <t>ccm_trnvr_own_prfrmnce_algnd</t>
  </si>
  <si>
    <t>ccm_trnvr_trnstn_alignd</t>
  </si>
  <si>
    <t>ccm_trnvr_ttl_elgbl</t>
  </si>
  <si>
    <t>cod_nace_esg</t>
  </si>
  <si>
    <t>flg_emprs_excl_paris</t>
  </si>
  <si>
    <t>flg_nfrd</t>
  </si>
  <si>
    <t>origem_alinhamentos</t>
  </si>
  <si>
    <t>origem_flg_emprs_excl_paris</t>
  </si>
  <si>
    <t>origem_flg_nfrd</t>
  </si>
  <si>
    <t>scp3_emss</t>
  </si>
  <si>
    <t>modesg_out_emss_vcls</t>
  </si>
  <si>
    <t>cnsm_co2</t>
  </si>
  <si>
    <t>modesg_out_sfcs_taxon_europeia</t>
  </si>
  <si>
    <t>cbalcao</t>
  </si>
  <si>
    <t>cempresa</t>
  </si>
  <si>
    <t>cnumecta</t>
  </si>
  <si>
    <t>ref_date</t>
  </si>
  <si>
    <t>lt003_entity</t>
  </si>
  <si>
    <t>nace_esg</t>
  </si>
  <si>
    <t/>
  </si>
  <si>
    <t>txnmy_elgbl_capex_ccm</t>
  </si>
  <si>
    <t>3. Pendente de outros desenvolvimentos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</si>
  <si>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</si>
  <si>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</si>
  <si>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</si>
  <si>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</si>
  <si>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</si>
  <si>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</si>
  <si>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</si>
  <si>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</si>
  <si>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</si>
  <si>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</si>
  <si>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</si>
  <si>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</si>
  <si>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</si>
  <si>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</si>
  <si>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</si>
  <si>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</si>
  <si>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</si>
  <si>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</si>
  <si>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</si>
  <si>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</si>
  <si>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</si>
  <si>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</si>
  <si>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</si>
  <si>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isin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</si>
  <si>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</si>
  <si>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</si>
  <si>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</si>
  <si>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</si>
  <si>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</si>
  <si>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</si>
  <si>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</si>
  <si>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</si>
  <si>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</si>
  <si>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</si>
  <si>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</si>
  <si>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</si>
  <si>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</si>
  <si>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</si>
  <si>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</si>
  <si>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</si>
  <si>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</si>
  <si>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</si>
  <si>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</si>
  <si>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2.2 Em Re-especificação</t>
  </si>
  <si>
    <t>rsk_mtgtd_ccp</t>
  </si>
  <si>
    <t>envrnmntl_objctv</t>
  </si>
  <si>
    <t>4. Validação EF</t>
  </si>
  <si>
    <t>typ_actvty</t>
  </si>
  <si>
    <t>lns_clltrlzd_clssfctn</t>
  </si>
  <si>
    <t>2.1 Em Teste</t>
  </si>
  <si>
    <t>mthd_usd_instrmnt_scp_1</t>
  </si>
  <si>
    <t>mthd_usd_instrmnt_scp_2</t>
  </si>
  <si>
    <t>mthd_usd_instrmnt_scp_3</t>
  </si>
  <si>
    <t>sstnbl_ctgry_txnmy</t>
  </si>
  <si>
    <t>lt825_mthd_usd_instrmnt</t>
  </si>
  <si>
    <t>ambito</t>
  </si>
  <si>
    <t>ordem</t>
  </si>
  <si>
    <t>tabela</t>
  </si>
  <si>
    <t>sstnbl_indctr</t>
  </si>
  <si>
    <t>sstnbl_ctgry</t>
  </si>
  <si>
    <t>grss_intrst_incm</t>
  </si>
  <si>
    <t>grss_cmmssn_incm</t>
  </si>
  <si>
    <t>grss_cmmssn_incm_off_blnc</t>
  </si>
  <si>
    <t>prtctn_id</t>
  </si>
  <si>
    <t>rl_estt_clltrl_lctn</t>
  </si>
  <si>
    <t>rl_estt_pst_cd</t>
  </si>
  <si>
    <t>typ_prtctn</t>
  </si>
  <si>
    <t>orgnl_prtctn_vl</t>
  </si>
  <si>
    <t>prtctn_vl</t>
  </si>
  <si>
    <t>flg_fin</t>
  </si>
  <si>
    <t>flg_exec</t>
  </si>
  <si>
    <t>flg_col</t>
  </si>
  <si>
    <t>flg_pro</t>
  </si>
  <si>
    <t>horas</t>
  </si>
  <si>
    <t>dias</t>
  </si>
  <si>
    <t>Data Pr. de Re-especificação</t>
  </si>
  <si>
    <t>Data Pr. de correção</t>
  </si>
  <si>
    <t>Data Pr. de Teste</t>
  </si>
  <si>
    <t>val</t>
  </si>
  <si>
    <t>Owner</t>
  </si>
  <si>
    <t>HF</t>
  </si>
  <si>
    <t>JC</t>
  </si>
  <si>
    <t>JB</t>
  </si>
  <si>
    <t>JC (Pedente do MV - emissões)</t>
  </si>
  <si>
    <t xml:space="preserve">Tabela </t>
  </si>
  <si>
    <t xml:space="preserve">Número de campos </t>
  </si>
  <si>
    <t xml:space="preserve">Data de entrega (tecnologia) </t>
  </si>
  <si>
    <t xml:space="preserve">Data fim de testes </t>
  </si>
  <si>
    <t>1º Entrega (8 campos): 04/11/2024
2º Entrega (4 campos): 25/11/2024</t>
  </si>
  <si>
    <t>1º Entrega (8 campos): 11/11/2024
2º Entrega (4 campos): 02/12/2024</t>
  </si>
  <si>
    <t>1º Entrega (20 campos): 18/11/2024
2º Entrega (6 campos): 25/11/2024
3º Entrega (4 campos): 28/11/2024</t>
  </si>
  <si>
    <t>1º Entrega (20 campos): 11/12/2024
2º Entrega (6 campos): 19/12/2024
3º Entrega (4 campos): 12/12/2024</t>
  </si>
  <si>
    <t>1º Entrega (1 campo): 31/10/2024
2º Entrega (15 campos): 18/11/2024
3º Entrega (3 campos): 25/11/2024</t>
  </si>
  <si>
    <t>1º Entrega (1 campo): 04/11/2024
2º Entrega (15 campos): 28/11/2024
3º Entrega (3 campos): 02/12/2024</t>
  </si>
  <si>
    <t>A aguardar data de entrega de tecnologia. A equipa funcional enviou as especificações a dia 28/10/2024</t>
  </si>
  <si>
    <t>TBD</t>
  </si>
  <si>
    <t>Entrega IT prevista</t>
  </si>
  <si>
    <t>Entrega IT real</t>
  </si>
  <si>
    <t>Data Efetiva de correção</t>
  </si>
  <si>
    <t>novas datas</t>
  </si>
  <si>
    <t>lt007_instr_activity</t>
  </si>
  <si>
    <t>lt827_mthd_usd_instrmnt</t>
  </si>
  <si>
    <t>munichRe</t>
  </si>
  <si>
    <t>tbd</t>
  </si>
  <si>
    <t>pendente de nova data de implementação</t>
  </si>
  <si>
    <t>RE-TESTES</t>
  </si>
  <si>
    <t>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</si>
</sst>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dd"/>
  </numFmts>
  <fonts count="11" x14ac:knownFonts="1"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sz val="10"/>
      <color theme="1"/>
      <name val="Santander Text"/>
      <family val="2"/>
    </font>
    <font>
      <b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sz val="10"/>
      <name val="Santander Text"/>
      <family val="2"/>
    </font>
    <font>
      <sz val="11"/>
      <color theme="0" tint="-0.249977111117893"/>
      <name val="Arial"/>
      <family val="2"/>
      <scheme val="minor"/>
    </font>
    <font>
      <b/>
      <sz val="11"/>
      <color theme="0"/>
      <name val="Santander Headline"/>
      <family val="2"/>
    </font>
    <font>
      <sz val="11"/>
      <color theme="1"/>
      <name val="Santander Headline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darkUp">
        <fgColor theme="0"/>
        <bgColor theme="4" tint="0.59999389629810485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5" borderId="1" xfId="0" applyFont="1" applyFill="1" applyBorder="1" applyAlignment="1">
      <alignment horizontal="centerContinuous"/>
    </xf>
    <xf numFmtId="164" fontId="3" fillId="6" borderId="0" xfId="0" applyNumberFormat="1" applyFont="1" applyFill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  <xf numFmtId="0" fontId="2" fillId="8" borderId="5" xfId="0" applyFont="1" applyFill="1" applyBorder="1" applyAlignment="1">
      <alignment horizontal="left" vertical="center"/>
    </xf>
    <xf numFmtId="0" fontId="1" fillId="0" borderId="0" xfId="0" applyFont="1"/>
    <xf numFmtId="0" fontId="5" fillId="10" borderId="2" xfId="0" applyFont="1" applyFill="1" applyBorder="1" applyAlignment="1">
      <alignment vertical="center"/>
    </xf>
    <xf numFmtId="0" fontId="5" fillId="10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/>
    <xf numFmtId="14" fontId="6" fillId="0" borderId="6" xfId="0" applyNumberFormat="1" applyFont="1" applyBorder="1"/>
    <xf numFmtId="14" fontId="6" fillId="0" borderId="3" xfId="0" applyNumberFormat="1" applyFont="1" applyBorder="1"/>
    <xf numFmtId="0" fontId="0" fillId="0" borderId="7" xfId="0" applyBorder="1"/>
    <xf numFmtId="0" fontId="0" fillId="11" borderId="7" xfId="0" applyFill="1" applyBorder="1"/>
    <xf numFmtId="0" fontId="0" fillId="3" borderId="7" xfId="0" applyFill="1" applyBorder="1"/>
    <xf numFmtId="0" fontId="7" fillId="0" borderId="3" xfId="0" applyFont="1" applyBorder="1" applyAlignment="1">
      <alignment vertical="center"/>
    </xf>
    <xf numFmtId="0" fontId="7" fillId="0" borderId="3" xfId="0" applyFont="1" applyBorder="1"/>
    <xf numFmtId="0" fontId="7" fillId="0" borderId="3" xfId="0" applyFont="1" applyBorder="1" applyAlignment="1">
      <alignment horizontal="left" vertical="center" readingOrder="1"/>
    </xf>
    <xf numFmtId="0" fontId="0" fillId="2" borderId="7" xfId="0" applyFill="1" applyBorder="1"/>
    <xf numFmtId="14" fontId="6" fillId="12" borderId="3" xfId="0" applyNumberFormat="1" applyFont="1" applyFill="1" applyBorder="1"/>
    <xf numFmtId="0" fontId="2" fillId="8" borderId="0" xfId="0" applyFont="1" applyFill="1" applyAlignment="1">
      <alignment horizontal="left" vertical="center"/>
    </xf>
    <xf numFmtId="0" fontId="8" fillId="0" borderId="0" xfId="0" applyFont="1"/>
    <xf numFmtId="0" fontId="8" fillId="13" borderId="0" xfId="0" applyFont="1" applyFill="1"/>
    <xf numFmtId="14" fontId="6" fillId="0" borderId="0" xfId="0" applyNumberFormat="1" applyFont="1"/>
    <xf numFmtId="14" fontId="6" fillId="0" borderId="0" xfId="0" applyNumberFormat="1" applyFont="1" applyAlignment="1">
      <alignment horizontal="center"/>
    </xf>
    <xf numFmtId="0" fontId="8" fillId="14" borderId="0" xfId="0" applyFont="1" applyFill="1"/>
    <xf numFmtId="0" fontId="9" fillId="15" borderId="8" xfId="0" applyFont="1" applyFill="1" applyBorder="1" applyAlignment="1">
      <alignment horizontal="center" vertical="center"/>
    </xf>
    <xf numFmtId="0" fontId="9" fillId="15" borderId="9" xfId="0" applyFont="1" applyFill="1" applyBorder="1" applyAlignment="1">
      <alignment horizontal="center" vertical="center"/>
    </xf>
    <xf numFmtId="0" fontId="9" fillId="15" borderId="10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  <xf numFmtId="14" fontId="10" fillId="0" borderId="13" xfId="0" applyNumberFormat="1" applyFont="1" applyBorder="1" applyAlignment="1">
      <alignment horizontal="center" vertical="center"/>
    </xf>
    <xf numFmtId="14" fontId="10" fillId="0" borderId="15" xfId="0" applyNumberFormat="1" applyFon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14" fontId="10" fillId="0" borderId="15" xfId="0" applyNumberFormat="1" applyFont="1" applyBorder="1" applyAlignment="1">
      <alignment horizontal="left" vertical="center" wrapText="1"/>
    </xf>
    <xf numFmtId="14" fontId="10" fillId="0" borderId="16" xfId="0" applyNumberFormat="1" applyFont="1" applyBorder="1" applyAlignment="1">
      <alignment horizontal="left" vertical="center" wrapText="1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9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center" vertical="center" wrapText="1"/>
    </xf>
    <xf numFmtId="0" fontId="0" fillId="16" borderId="0" xfId="0" applyFill="1"/>
    <xf numFmtId="0" fontId="0" fillId="16" borderId="7" xfId="0" applyFill="1" applyBorder="1"/>
    <xf numFmtId="14" fontId="6" fillId="4" borderId="3" xfId="0" applyNumberFormat="1" applyFont="1" applyFill="1" applyBorder="1"/>
    <xf numFmtId="14" fontId="6" fillId="4" borderId="6" xfId="0" applyNumberFormat="1" applyFont="1" applyFill="1" applyBorder="1"/>
    <xf numFmtId="165" fontId="4" fillId="9" borderId="0" xfId="0" applyNumberFormat="1" applyFont="1" applyFill="1" applyAlignment="1" applyProtection="1">
      <alignment horizontal="left" vertical="center"/>
      <protection hidden="1"/>
    </xf>
    <xf numFmtId="14" fontId="6" fillId="12" borderId="6" xfId="0" applyNumberFormat="1" applyFont="1" applyFill="1" applyBorder="1"/>
    <xf numFmtId="0" fontId="8" fillId="4" borderId="0" xfId="0" applyFont="1" applyFill="1"/>
    <xf numFmtId="14" fontId="6" fillId="2" borderId="3" xfId="0" applyNumberFormat="1" applyFont="1" applyFill="1" applyBorder="1"/>
  </cellXfs>
  <cellStyles count="1">
    <cellStyle name="Normal" xfId="0" builtinId="0"/>
  </cellStyles>
  <dxfs count="9"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4"/>
      </font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4"/>
      </font>
    </dxf>
    <dxf>
      <font>
        <color theme="7" tint="0.79998168889431442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D957-3568-4501-9405-CC247558CB63}">
  <sheetPr>
    <tabColor theme="4"/>
  </sheetPr>
  <dimension ref="A1:CB198"/>
  <sheetViews>
    <sheetView showGridLines="0" tabSelected="1" zoomScale="70" zoomScaleNormal="70" workbookViewId="0">
      <pane xSplit="6" ySplit="7" topLeftCell="G176" activePane="bottomRight" state="frozen"/>
      <selection pane="topRight" activeCell="G1" sqref="G1"/>
      <selection pane="bottomLeft" activeCell="A8" sqref="A8"/>
      <selection pane="bottomRight" activeCell="H190" sqref="H190"/>
    </sheetView>
  </sheetViews>
  <sheetFormatPr defaultRowHeight="13.8" x14ac:dyDescent="0.25"/>
  <cols>
    <col min="1" max="1" width="2.69921875" customWidth="1"/>
    <col min="2" max="2" width="9.59765625" customWidth="1"/>
    <col min="3" max="3" width="19.796875" customWidth="1"/>
    <col min="4" max="4" width="14.8984375" customWidth="1"/>
    <col min="5" max="5" width="31.59765625" customWidth="1"/>
    <col min="6" max="6" width="37.296875" customWidth="1"/>
    <col min="7" max="7" width="34" customWidth="1"/>
    <col min="8" max="8" width="27.796875" bestFit="1" customWidth="1"/>
    <col min="9" max="9" width="21" bestFit="1" customWidth="1"/>
    <col min="10" max="10" width="21" customWidth="1"/>
    <col min="11" max="11" width="18.19921875" bestFit="1" customWidth="1"/>
    <col min="12" max="12" width="6.3984375" bestFit="1" customWidth="1"/>
    <col min="16" max="80" width="5.69921875" customWidth="1"/>
  </cols>
  <sheetData>
    <row r="1" spans="1:80" x14ac:dyDescent="0.25">
      <c r="R1">
        <f>R2-R3</f>
        <v>-2</v>
      </c>
      <c r="S1">
        <f t="shared" ref="S1:CB1" si="0">S2-S3</f>
        <v>-2.5</v>
      </c>
      <c r="T1">
        <f t="shared" si="0"/>
        <v>-2.5</v>
      </c>
      <c r="U1">
        <f t="shared" si="0"/>
        <v>-2</v>
      </c>
      <c r="V1">
        <f t="shared" si="0"/>
        <v>-2</v>
      </c>
      <c r="X1">
        <f t="shared" si="0"/>
        <v>-1.5</v>
      </c>
      <c r="Y1">
        <f t="shared" si="0"/>
        <v>-2</v>
      </c>
      <c r="Z1">
        <f t="shared" si="0"/>
        <v>1</v>
      </c>
      <c r="AA1">
        <f t="shared" si="0"/>
        <v>0.5</v>
      </c>
      <c r="AB1">
        <f t="shared" si="0"/>
        <v>0</v>
      </c>
      <c r="AC1">
        <f t="shared" si="0"/>
        <v>0</v>
      </c>
      <c r="AD1">
        <f t="shared" si="0"/>
        <v>0</v>
      </c>
      <c r="AE1">
        <f t="shared" si="0"/>
        <v>0.10000000000000009</v>
      </c>
      <c r="AF1">
        <f t="shared" si="0"/>
        <v>-1</v>
      </c>
      <c r="AG1">
        <f t="shared" si="0"/>
        <v>-1.5</v>
      </c>
      <c r="AH1">
        <f t="shared" si="0"/>
        <v>-9.9999999999999645E-2</v>
      </c>
      <c r="AI1">
        <f t="shared" si="0"/>
        <v>0</v>
      </c>
      <c r="AJ1">
        <f t="shared" si="0"/>
        <v>0</v>
      </c>
      <c r="AK1">
        <f t="shared" si="0"/>
        <v>0</v>
      </c>
      <c r="AL1">
        <f t="shared" si="0"/>
        <v>0</v>
      </c>
      <c r="AM1">
        <f t="shared" si="0"/>
        <v>0</v>
      </c>
      <c r="AN1">
        <f t="shared" si="0"/>
        <v>0</v>
      </c>
      <c r="AO1">
        <f t="shared" si="0"/>
        <v>0</v>
      </c>
      <c r="AP1">
        <f t="shared" si="0"/>
        <v>0</v>
      </c>
      <c r="AQ1">
        <f t="shared" si="0"/>
        <v>0</v>
      </c>
      <c r="AR1">
        <f t="shared" si="0"/>
        <v>0</v>
      </c>
      <c r="AS1">
        <f t="shared" si="0"/>
        <v>0.20000000000000018</v>
      </c>
      <c r="AT1">
        <f t="shared" si="0"/>
        <v>0</v>
      </c>
      <c r="AU1">
        <f t="shared" si="0"/>
        <v>0</v>
      </c>
      <c r="AV1">
        <f t="shared" si="0"/>
        <v>0</v>
      </c>
      <c r="AW1">
        <f t="shared" si="0"/>
        <v>0</v>
      </c>
      <c r="AX1">
        <f t="shared" si="0"/>
        <v>0</v>
      </c>
      <c r="AY1">
        <f t="shared" si="0"/>
        <v>0</v>
      </c>
      <c r="AZ1">
        <f t="shared" si="0"/>
        <v>0</v>
      </c>
      <c r="BA1">
        <f t="shared" si="0"/>
        <v>0</v>
      </c>
      <c r="BB1">
        <f t="shared" si="0"/>
        <v>0</v>
      </c>
      <c r="BC1">
        <f t="shared" si="0"/>
        <v>0</v>
      </c>
      <c r="BD1">
        <f t="shared" si="0"/>
        <v>0</v>
      </c>
      <c r="BE1">
        <f t="shared" si="0"/>
        <v>0</v>
      </c>
      <c r="BF1">
        <f t="shared" si="0"/>
        <v>0</v>
      </c>
      <c r="BG1">
        <f t="shared" si="0"/>
        <v>0.5</v>
      </c>
      <c r="BO1">
        <f t="shared" si="0"/>
        <v>0</v>
      </c>
      <c r="BP1">
        <f t="shared" si="0"/>
        <v>0</v>
      </c>
      <c r="BQ1">
        <f t="shared" si="0"/>
        <v>0</v>
      </c>
      <c r="BR1">
        <f t="shared" si="0"/>
        <v>0</v>
      </c>
      <c r="BS1">
        <f t="shared" si="0"/>
        <v>0</v>
      </c>
      <c r="BT1">
        <f t="shared" si="0"/>
        <v>0</v>
      </c>
      <c r="BU1">
        <f t="shared" si="0"/>
        <v>0</v>
      </c>
      <c r="BV1">
        <f t="shared" si="0"/>
        <v>0</v>
      </c>
      <c r="BW1">
        <f t="shared" si="0"/>
        <v>0</v>
      </c>
      <c r="BX1">
        <f t="shared" si="0"/>
        <v>0</v>
      </c>
      <c r="BY1">
        <f t="shared" si="0"/>
        <v>0</v>
      </c>
      <c r="BZ1">
        <f t="shared" si="0"/>
        <v>0</v>
      </c>
      <c r="CA1">
        <f t="shared" si="0"/>
        <v>0</v>
      </c>
      <c r="CB1">
        <f t="shared" si="0"/>
        <v>-2</v>
      </c>
    </row>
    <row r="2" spans="1:80" x14ac:dyDescent="0.25">
      <c r="C2" s="1"/>
      <c r="D2" t="s">
        <v>0</v>
      </c>
      <c r="R2" s="27">
        <f t="shared" ref="R2:BM2" si="1">SUM(R8:R196)</f>
        <v>0</v>
      </c>
      <c r="S2" s="27">
        <f t="shared" si="1"/>
        <v>0.5</v>
      </c>
      <c r="T2" s="27">
        <f t="shared" si="1"/>
        <v>0.5</v>
      </c>
      <c r="U2" s="27">
        <f t="shared" si="1"/>
        <v>1</v>
      </c>
      <c r="V2" s="27">
        <f t="shared" si="1"/>
        <v>0</v>
      </c>
      <c r="W2" s="27"/>
      <c r="X2" s="27">
        <f t="shared" si="1"/>
        <v>0.5</v>
      </c>
      <c r="Y2" s="27">
        <f t="shared" si="1"/>
        <v>0</v>
      </c>
      <c r="Z2" s="27">
        <f t="shared" si="1"/>
        <v>4</v>
      </c>
      <c r="AA2" s="27">
        <f t="shared" si="1"/>
        <v>3.5</v>
      </c>
      <c r="AB2" s="27">
        <f t="shared" si="1"/>
        <v>3</v>
      </c>
      <c r="AC2" s="27">
        <f t="shared" si="1"/>
        <v>3</v>
      </c>
      <c r="AD2" s="27">
        <f t="shared" si="1"/>
        <v>3</v>
      </c>
      <c r="AE2" s="27">
        <f t="shared" si="1"/>
        <v>3.1</v>
      </c>
      <c r="AF2" s="27">
        <f t="shared" si="1"/>
        <v>2</v>
      </c>
      <c r="AG2" s="27">
        <f t="shared" si="1"/>
        <v>1.5</v>
      </c>
      <c r="AH2" s="27">
        <f t="shared" si="1"/>
        <v>2.9000000000000004</v>
      </c>
      <c r="AI2" s="27">
        <f t="shared" si="1"/>
        <v>3</v>
      </c>
      <c r="AJ2" s="27">
        <f t="shared" si="1"/>
        <v>3</v>
      </c>
      <c r="AK2" s="27">
        <f t="shared" si="1"/>
        <v>3</v>
      </c>
      <c r="AL2" s="27">
        <f t="shared" si="1"/>
        <v>3</v>
      </c>
      <c r="AM2" s="27">
        <f t="shared" si="1"/>
        <v>3</v>
      </c>
      <c r="AN2" s="27">
        <f t="shared" si="1"/>
        <v>3</v>
      </c>
      <c r="AO2" s="27">
        <f t="shared" si="1"/>
        <v>3</v>
      </c>
      <c r="AP2" s="27">
        <f t="shared" si="1"/>
        <v>3</v>
      </c>
      <c r="AQ2" s="27">
        <f t="shared" si="1"/>
        <v>3</v>
      </c>
      <c r="AR2" s="27">
        <f t="shared" si="1"/>
        <v>3</v>
      </c>
      <c r="AS2" s="27">
        <f t="shared" si="1"/>
        <v>3.2</v>
      </c>
      <c r="AT2" s="27">
        <f t="shared" si="1"/>
        <v>3</v>
      </c>
      <c r="AU2" s="27">
        <f t="shared" si="1"/>
        <v>3</v>
      </c>
      <c r="AV2" s="27">
        <f t="shared" si="1"/>
        <v>3</v>
      </c>
      <c r="AW2" s="27">
        <f t="shared" si="1"/>
        <v>3</v>
      </c>
      <c r="AX2" s="27">
        <f t="shared" si="1"/>
        <v>3</v>
      </c>
      <c r="AY2" s="27">
        <f t="shared" si="1"/>
        <v>3</v>
      </c>
      <c r="AZ2" s="27">
        <f t="shared" si="1"/>
        <v>3</v>
      </c>
      <c r="BA2" s="27">
        <f t="shared" si="1"/>
        <v>3</v>
      </c>
      <c r="BB2" s="27">
        <f t="shared" si="1"/>
        <v>3</v>
      </c>
      <c r="BC2" s="27">
        <f t="shared" si="1"/>
        <v>3</v>
      </c>
      <c r="BD2" s="27">
        <f t="shared" si="1"/>
        <v>3</v>
      </c>
      <c r="BE2" s="27">
        <f t="shared" si="1"/>
        <v>3</v>
      </c>
      <c r="BF2" s="27">
        <f t="shared" si="1"/>
        <v>3</v>
      </c>
      <c r="BG2" s="27">
        <f t="shared" si="1"/>
        <v>3.5</v>
      </c>
      <c r="BH2" s="27">
        <f t="shared" si="1"/>
        <v>0</v>
      </c>
      <c r="BI2" s="27">
        <f t="shared" si="1"/>
        <v>0</v>
      </c>
      <c r="BJ2" s="27">
        <f t="shared" si="1"/>
        <v>0</v>
      </c>
      <c r="BK2" s="27">
        <f t="shared" si="1"/>
        <v>0</v>
      </c>
      <c r="BL2" s="27">
        <f t="shared" si="1"/>
        <v>0</v>
      </c>
      <c r="BM2" s="27">
        <f t="shared" si="1"/>
        <v>0</v>
      </c>
      <c r="BN2" s="27">
        <f>SUM(BN8:BN198)</f>
        <v>0</v>
      </c>
      <c r="BO2" s="27">
        <f t="shared" ref="BO2:CB2" si="2">SUM(BO8:BO198)</f>
        <v>3</v>
      </c>
      <c r="BP2" s="27">
        <f t="shared" si="2"/>
        <v>3</v>
      </c>
      <c r="BQ2" s="27">
        <f t="shared" si="2"/>
        <v>3</v>
      </c>
      <c r="BR2" s="27">
        <f t="shared" si="2"/>
        <v>3</v>
      </c>
      <c r="BS2" s="27">
        <f t="shared" si="2"/>
        <v>3</v>
      </c>
      <c r="BT2" s="27">
        <f t="shared" si="2"/>
        <v>3</v>
      </c>
      <c r="BU2" s="27">
        <f t="shared" si="2"/>
        <v>3</v>
      </c>
      <c r="BV2" s="27">
        <f t="shared" si="2"/>
        <v>3</v>
      </c>
      <c r="BW2" s="27">
        <f t="shared" si="2"/>
        <v>3</v>
      </c>
      <c r="BX2" s="27">
        <f t="shared" si="2"/>
        <v>3</v>
      </c>
      <c r="BY2" s="27">
        <f t="shared" si="2"/>
        <v>3</v>
      </c>
      <c r="BZ2" s="27">
        <f t="shared" si="2"/>
        <v>3</v>
      </c>
      <c r="CA2" s="27">
        <f t="shared" si="2"/>
        <v>3</v>
      </c>
      <c r="CB2" s="27">
        <f t="shared" si="2"/>
        <v>1</v>
      </c>
    </row>
    <row r="3" spans="1:80" x14ac:dyDescent="0.25">
      <c r="C3" s="2"/>
      <c r="D3" t="s">
        <v>212</v>
      </c>
      <c r="I3" s="3" t="s">
        <v>215</v>
      </c>
      <c r="L3" s="55"/>
      <c r="R3" s="27">
        <v>2</v>
      </c>
      <c r="S3" s="27">
        <v>3</v>
      </c>
      <c r="T3" s="27">
        <v>3</v>
      </c>
      <c r="U3" s="27">
        <v>3</v>
      </c>
      <c r="V3" s="27">
        <v>2</v>
      </c>
      <c r="W3" s="27"/>
      <c r="X3" s="27">
        <v>2</v>
      </c>
      <c r="Y3" s="27">
        <v>2</v>
      </c>
      <c r="Z3" s="27">
        <v>3</v>
      </c>
      <c r="AA3" s="27">
        <v>3</v>
      </c>
      <c r="AB3" s="27">
        <v>3</v>
      </c>
      <c r="AC3" s="27">
        <v>3</v>
      </c>
      <c r="AD3" s="27">
        <v>3</v>
      </c>
      <c r="AE3" s="27">
        <v>3</v>
      </c>
      <c r="AF3" s="27">
        <v>3</v>
      </c>
      <c r="AG3" s="27">
        <v>3</v>
      </c>
      <c r="AH3" s="27">
        <v>3</v>
      </c>
      <c r="AI3" s="27">
        <v>3</v>
      </c>
      <c r="AJ3" s="27">
        <v>3</v>
      </c>
      <c r="AK3" s="27">
        <v>3</v>
      </c>
      <c r="AL3" s="27">
        <v>3</v>
      </c>
      <c r="AM3" s="27">
        <v>3</v>
      </c>
      <c r="AN3" s="27">
        <v>3</v>
      </c>
      <c r="AO3" s="27">
        <v>3</v>
      </c>
      <c r="AP3" s="27">
        <v>3</v>
      </c>
      <c r="AQ3" s="27">
        <v>3</v>
      </c>
      <c r="AR3" s="27">
        <v>3</v>
      </c>
      <c r="AS3" s="27">
        <v>3</v>
      </c>
      <c r="AT3" s="27">
        <v>3</v>
      </c>
      <c r="AU3" s="27">
        <v>3</v>
      </c>
      <c r="AV3" s="27">
        <v>3</v>
      </c>
      <c r="AW3" s="27">
        <v>3</v>
      </c>
      <c r="AX3" s="27">
        <v>3</v>
      </c>
      <c r="AY3" s="27">
        <v>3</v>
      </c>
      <c r="AZ3" s="27">
        <v>3</v>
      </c>
      <c r="BA3" s="27">
        <v>3</v>
      </c>
      <c r="BB3" s="27">
        <v>3</v>
      </c>
      <c r="BC3" s="27">
        <v>3</v>
      </c>
      <c r="BD3" s="27">
        <v>3</v>
      </c>
      <c r="BE3" s="27">
        <v>3</v>
      </c>
      <c r="BF3" s="27">
        <v>3</v>
      </c>
      <c r="BG3" s="27">
        <v>3</v>
      </c>
      <c r="BH3" s="27">
        <v>3</v>
      </c>
      <c r="BI3" s="27">
        <v>3</v>
      </c>
      <c r="BJ3" s="27">
        <v>3</v>
      </c>
      <c r="BK3" s="27">
        <v>3</v>
      </c>
      <c r="BL3" s="27">
        <v>3</v>
      </c>
      <c r="BM3" s="27">
        <v>3</v>
      </c>
      <c r="BN3" s="27">
        <v>3</v>
      </c>
      <c r="BO3" s="27">
        <v>3</v>
      </c>
      <c r="BP3" s="27">
        <v>3</v>
      </c>
      <c r="BQ3" s="27">
        <v>3</v>
      </c>
      <c r="BR3" s="27">
        <v>3</v>
      </c>
      <c r="BS3" s="27">
        <v>3</v>
      </c>
      <c r="BT3" s="27">
        <v>3</v>
      </c>
      <c r="BU3" s="27">
        <v>3</v>
      </c>
      <c r="BV3" s="27">
        <v>3</v>
      </c>
      <c r="BW3" s="27">
        <v>3</v>
      </c>
      <c r="BX3" s="27">
        <v>3</v>
      </c>
      <c r="BY3" s="27">
        <v>3</v>
      </c>
      <c r="BZ3" s="27">
        <v>3</v>
      </c>
      <c r="CA3" s="27">
        <v>3</v>
      </c>
      <c r="CB3" s="27">
        <v>3</v>
      </c>
    </row>
    <row r="4" spans="1:80" x14ac:dyDescent="0.25">
      <c r="C4" s="54"/>
      <c r="D4" t="s">
        <v>213</v>
      </c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</row>
    <row r="5" spans="1:80" ht="17.399999999999999" x14ac:dyDescent="0.45">
      <c r="C5" s="3"/>
      <c r="D5" t="s">
        <v>1</v>
      </c>
      <c r="P5" s="4" t="s">
        <v>2</v>
      </c>
      <c r="Q5" s="4"/>
      <c r="R5" s="4"/>
      <c r="S5" s="4"/>
      <c r="T5" s="4"/>
      <c r="U5" s="4"/>
      <c r="V5" s="4"/>
      <c r="W5" s="4" t="s">
        <v>3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 t="s">
        <v>4</v>
      </c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 t="s">
        <v>222</v>
      </c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</row>
    <row r="6" spans="1:80" ht="16.2" x14ac:dyDescent="0.25">
      <c r="P6" s="5">
        <v>45595</v>
      </c>
      <c r="Q6" s="5">
        <v>45589</v>
      </c>
      <c r="R6" s="5">
        <v>45590</v>
      </c>
      <c r="S6" s="5">
        <v>45593</v>
      </c>
      <c r="T6" s="5">
        <v>45594</v>
      </c>
      <c r="U6" s="5">
        <v>45595</v>
      </c>
      <c r="V6" s="5">
        <v>45596</v>
      </c>
      <c r="W6" s="5">
        <v>45597</v>
      </c>
      <c r="X6" s="5">
        <v>45600</v>
      </c>
      <c r="Y6" s="5">
        <v>45601</v>
      </c>
      <c r="Z6" s="5">
        <v>45602</v>
      </c>
      <c r="AA6" s="5">
        <v>45603</v>
      </c>
      <c r="AB6" s="5">
        <v>45604</v>
      </c>
      <c r="AC6" s="5">
        <v>45607</v>
      </c>
      <c r="AD6" s="5">
        <v>45608</v>
      </c>
      <c r="AE6" s="5">
        <v>45609</v>
      </c>
      <c r="AF6" s="5">
        <v>45610</v>
      </c>
      <c r="AG6" s="5">
        <v>45611</v>
      </c>
      <c r="AH6" s="5">
        <v>45614</v>
      </c>
      <c r="AI6" s="5">
        <v>45615</v>
      </c>
      <c r="AJ6" s="5">
        <v>45616</v>
      </c>
      <c r="AK6" s="5">
        <v>45617</v>
      </c>
      <c r="AL6" s="5">
        <v>45618</v>
      </c>
      <c r="AM6" s="5">
        <v>45621</v>
      </c>
      <c r="AN6" s="5">
        <v>45622</v>
      </c>
      <c r="AO6" s="5">
        <v>45623</v>
      </c>
      <c r="AP6" s="5">
        <v>45624</v>
      </c>
      <c r="AQ6" s="5">
        <v>45625</v>
      </c>
      <c r="AR6" s="5">
        <v>45628</v>
      </c>
      <c r="AS6" s="5">
        <v>45629</v>
      </c>
      <c r="AT6" s="5">
        <v>45630</v>
      </c>
      <c r="AU6" s="5">
        <v>45631</v>
      </c>
      <c r="AV6" s="5">
        <v>45632</v>
      </c>
      <c r="AW6" s="5">
        <v>45635</v>
      </c>
      <c r="AX6" s="5">
        <v>45636</v>
      </c>
      <c r="AY6" s="5">
        <v>45637</v>
      </c>
      <c r="AZ6" s="5">
        <v>45638</v>
      </c>
      <c r="BA6" s="5">
        <v>45639</v>
      </c>
      <c r="BB6" s="5">
        <v>45642</v>
      </c>
      <c r="BC6" s="5">
        <v>45643</v>
      </c>
      <c r="BD6" s="5">
        <v>45644</v>
      </c>
      <c r="BE6" s="5">
        <v>45645</v>
      </c>
      <c r="BF6" s="5">
        <v>45646</v>
      </c>
      <c r="BG6" s="5">
        <v>45649</v>
      </c>
      <c r="BH6" s="5">
        <v>45650</v>
      </c>
      <c r="BI6" s="5">
        <v>45651</v>
      </c>
      <c r="BJ6" s="5">
        <v>45652</v>
      </c>
      <c r="BK6" s="5">
        <v>45653</v>
      </c>
      <c r="BL6" s="5">
        <v>45656</v>
      </c>
      <c r="BM6" s="5">
        <v>45657</v>
      </c>
      <c r="BN6" s="5">
        <v>45649</v>
      </c>
      <c r="BO6" s="5">
        <v>45650</v>
      </c>
      <c r="BP6" s="5">
        <v>45651</v>
      </c>
      <c r="BQ6" s="5">
        <v>45652</v>
      </c>
      <c r="BR6" s="5">
        <v>45653</v>
      </c>
      <c r="BS6" s="5">
        <v>45649</v>
      </c>
      <c r="BT6" s="5">
        <v>45650</v>
      </c>
      <c r="BU6" s="5">
        <v>45651</v>
      </c>
      <c r="BV6" s="5">
        <v>45652</v>
      </c>
      <c r="BW6" s="5">
        <v>45653</v>
      </c>
      <c r="BX6" s="5">
        <v>45649</v>
      </c>
      <c r="BY6" s="5">
        <v>45650</v>
      </c>
      <c r="BZ6" s="5">
        <v>45651</v>
      </c>
      <c r="CA6" s="5">
        <v>45652</v>
      </c>
      <c r="CB6" s="5">
        <v>45653</v>
      </c>
    </row>
    <row r="7" spans="1:80" ht="17.399999999999999" x14ac:dyDescent="0.25">
      <c r="B7" s="6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8" t="s">
        <v>191</v>
      </c>
      <c r="I7" s="9" t="s">
        <v>192</v>
      </c>
      <c r="J7" s="9" t="s">
        <v>214</v>
      </c>
      <c r="K7" s="8" t="s">
        <v>193</v>
      </c>
      <c r="L7" s="8" t="s">
        <v>195</v>
      </c>
      <c r="M7" s="8" t="s">
        <v>189</v>
      </c>
      <c r="N7" s="8" t="s">
        <v>190</v>
      </c>
      <c r="O7" s="26" t="s">
        <v>194</v>
      </c>
      <c r="P7" s="58">
        <v>23</v>
      </c>
      <c r="Q7" s="58">
        <v>45589</v>
      </c>
      <c r="R7" s="58">
        <v>45590</v>
      </c>
      <c r="S7" s="58">
        <v>45593</v>
      </c>
      <c r="T7" s="58">
        <v>45594</v>
      </c>
      <c r="U7" s="58">
        <v>45595</v>
      </c>
      <c r="V7" s="58">
        <v>45596</v>
      </c>
      <c r="W7" s="58">
        <v>45597</v>
      </c>
      <c r="X7" s="58">
        <v>45600</v>
      </c>
      <c r="Y7" s="58">
        <v>45601</v>
      </c>
      <c r="Z7" s="58">
        <v>45602</v>
      </c>
      <c r="AA7" s="58">
        <v>45603</v>
      </c>
      <c r="AB7" s="58">
        <v>45604</v>
      </c>
      <c r="AC7" s="58">
        <v>45607</v>
      </c>
      <c r="AD7" s="58">
        <v>45608</v>
      </c>
      <c r="AE7" s="58">
        <v>45609</v>
      </c>
      <c r="AF7" s="58">
        <v>45610</v>
      </c>
      <c r="AG7" s="58">
        <v>45611</v>
      </c>
      <c r="AH7" s="58">
        <v>45614</v>
      </c>
      <c r="AI7" s="58">
        <v>45615</v>
      </c>
      <c r="AJ7" s="58">
        <v>45616</v>
      </c>
      <c r="AK7" s="58">
        <v>45617</v>
      </c>
      <c r="AL7" s="58">
        <v>45618</v>
      </c>
      <c r="AM7" s="58">
        <v>45621</v>
      </c>
      <c r="AN7" s="58">
        <v>45622</v>
      </c>
      <c r="AO7" s="58">
        <v>45623</v>
      </c>
      <c r="AP7" s="58">
        <v>45624</v>
      </c>
      <c r="AQ7" s="58">
        <v>45625</v>
      </c>
      <c r="AR7" s="58">
        <v>45628</v>
      </c>
      <c r="AS7" s="58">
        <v>45629</v>
      </c>
      <c r="AT7" s="58">
        <v>45630</v>
      </c>
      <c r="AU7" s="58">
        <v>45631</v>
      </c>
      <c r="AV7" s="58">
        <v>45632</v>
      </c>
      <c r="AW7" s="58">
        <v>45635</v>
      </c>
      <c r="AX7" s="58">
        <v>45636</v>
      </c>
      <c r="AY7" s="58">
        <v>45637</v>
      </c>
      <c r="AZ7" s="58">
        <v>45638</v>
      </c>
      <c r="BA7" s="58">
        <v>45639</v>
      </c>
      <c r="BB7" s="58">
        <v>45642</v>
      </c>
      <c r="BC7" s="58">
        <v>45643</v>
      </c>
      <c r="BD7" s="58">
        <v>45644</v>
      </c>
      <c r="BE7" s="58">
        <v>45645</v>
      </c>
      <c r="BF7" s="58">
        <v>45646</v>
      </c>
      <c r="BG7" s="58">
        <v>45649</v>
      </c>
      <c r="BH7" s="58">
        <v>45650</v>
      </c>
      <c r="BI7" s="58">
        <v>45651</v>
      </c>
      <c r="BJ7" s="58">
        <v>45652</v>
      </c>
      <c r="BK7" s="58">
        <v>45653</v>
      </c>
      <c r="BL7" s="58">
        <v>45656</v>
      </c>
      <c r="BM7" s="58">
        <v>45657</v>
      </c>
      <c r="BN7" s="58">
        <f>WORKDAY(BM7,1)</f>
        <v>45658</v>
      </c>
      <c r="BO7" s="58">
        <f t="shared" ref="BO7:BR7" si="3">WORKDAY(BN7,1)</f>
        <v>45659</v>
      </c>
      <c r="BP7" s="58">
        <f t="shared" si="3"/>
        <v>45660</v>
      </c>
      <c r="BQ7" s="58">
        <f t="shared" si="3"/>
        <v>45663</v>
      </c>
      <c r="BR7" s="58">
        <f t="shared" si="3"/>
        <v>45664</v>
      </c>
      <c r="BS7" s="58">
        <f>WORKDAY(BR7,1)</f>
        <v>45665</v>
      </c>
      <c r="BT7" s="58">
        <f t="shared" ref="BT7:BW7" si="4">WORKDAY(BS7,1)</f>
        <v>45666</v>
      </c>
      <c r="BU7" s="58">
        <f t="shared" si="4"/>
        <v>45667</v>
      </c>
      <c r="BV7" s="58">
        <f t="shared" si="4"/>
        <v>45670</v>
      </c>
      <c r="BW7" s="58">
        <f t="shared" si="4"/>
        <v>45671</v>
      </c>
      <c r="BX7" s="58">
        <f>WORKDAY(BW7,1)</f>
        <v>45672</v>
      </c>
      <c r="BY7" s="58">
        <f t="shared" ref="BY7:CB7" si="5">WORKDAY(BX7,1)</f>
        <v>45673</v>
      </c>
      <c r="BZ7" s="58">
        <f t="shared" si="5"/>
        <v>45674</v>
      </c>
      <c r="CA7" s="58">
        <f t="shared" si="5"/>
        <v>45677</v>
      </c>
      <c r="CB7" s="58">
        <f t="shared" si="5"/>
        <v>45678</v>
      </c>
    </row>
    <row r="8" spans="1:80" ht="16.2" x14ac:dyDescent="0.4">
      <c r="A8" s="10" t="str">
        <f t="shared" ref="A8:A70" si="6">E8&amp;F8</f>
        <v>ENERGY_CERTIFICATE_EST_INPUTPROPERTY_BANK_ID</v>
      </c>
      <c r="B8" s="11" t="s">
        <v>11</v>
      </c>
      <c r="C8" s="12" t="s">
        <v>12</v>
      </c>
      <c r="D8" s="13" t="s">
        <v>16</v>
      </c>
      <c r="E8" s="14" t="s">
        <v>13</v>
      </c>
      <c r="F8" s="13" t="s">
        <v>17</v>
      </c>
      <c r="G8" s="15" t="s">
        <v>15</v>
      </c>
      <c r="H8" s="16" t="s">
        <v>14</v>
      </c>
      <c r="I8" s="17">
        <v>45624</v>
      </c>
      <c r="J8" s="16"/>
      <c r="K8" s="16">
        <f t="shared" ref="K8:K70" si="7">IF(COUNTA(P8:BM8)=0,"",_xlfn.MAXIFS($P$7:$BM$7,P8:BM8,"&gt;0"))</f>
        <v>45628</v>
      </c>
      <c r="L8" s="29"/>
      <c r="M8" s="27">
        <v>0.6</v>
      </c>
      <c r="N8" s="27">
        <f t="shared" ref="N8:N69" si="8">ROUND(M8/8,1)</f>
        <v>0.1</v>
      </c>
      <c r="O8" s="27">
        <f>SUM(P8:CB8)-N8</f>
        <v>0</v>
      </c>
      <c r="P8" s="18"/>
      <c r="Q8" s="18"/>
      <c r="R8" s="18"/>
      <c r="S8" s="18"/>
      <c r="T8" s="18"/>
      <c r="U8" s="18"/>
      <c r="V8" s="18"/>
      <c r="W8" s="19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20"/>
      <c r="AQ8" s="18"/>
      <c r="AR8" s="18">
        <v>0.1</v>
      </c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9"/>
      <c r="BI8" s="19"/>
      <c r="BJ8" s="19"/>
      <c r="BK8" s="19"/>
      <c r="BL8" s="19"/>
      <c r="BM8" s="19"/>
      <c r="BN8" s="19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</row>
    <row r="9" spans="1:80" ht="16.2" x14ac:dyDescent="0.4">
      <c r="A9" s="10" t="str">
        <f t="shared" si="6"/>
        <v>ENERGY_CERTIFICATE_EST_INPUTENCRYPTED_KEY</v>
      </c>
      <c r="B9" s="11" t="s">
        <v>11</v>
      </c>
      <c r="C9" s="12" t="s">
        <v>12</v>
      </c>
      <c r="D9" s="13" t="s">
        <v>16</v>
      </c>
      <c r="E9" s="14" t="s">
        <v>13</v>
      </c>
      <c r="F9" s="13" t="s">
        <v>18</v>
      </c>
      <c r="G9" s="15" t="s">
        <v>15</v>
      </c>
      <c r="H9" s="16" t="s">
        <v>14</v>
      </c>
      <c r="I9" s="17">
        <v>45624</v>
      </c>
      <c r="J9" s="16"/>
      <c r="K9" s="16">
        <f t="shared" si="7"/>
        <v>45628</v>
      </c>
      <c r="L9" s="29"/>
      <c r="M9" s="27">
        <v>0.6</v>
      </c>
      <c r="N9" s="27">
        <f t="shared" si="8"/>
        <v>0.1</v>
      </c>
      <c r="O9" s="27">
        <f t="shared" ref="O9:O72" si="9">SUM(P9:CB9)-N9</f>
        <v>0</v>
      </c>
      <c r="P9" s="18"/>
      <c r="Q9" s="18"/>
      <c r="R9" s="18"/>
      <c r="S9" s="18"/>
      <c r="T9" s="18"/>
      <c r="U9" s="18"/>
      <c r="V9" s="18"/>
      <c r="W9" s="19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20"/>
      <c r="AQ9" s="18"/>
      <c r="AR9" s="18">
        <v>0.1</v>
      </c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9"/>
      <c r="BI9" s="19"/>
      <c r="BJ9" s="19"/>
      <c r="BK9" s="19"/>
      <c r="BL9" s="19"/>
      <c r="BM9" s="19"/>
      <c r="BN9" s="19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</row>
    <row r="10" spans="1:80" ht="16.2" x14ac:dyDescent="0.4">
      <c r="A10" s="10" t="str">
        <f t="shared" si="6"/>
        <v>ENERGY_CERTIFICATE_EST_INPUTPROPERTY_BRANCH_CODE</v>
      </c>
      <c r="B10" s="11" t="s">
        <v>11</v>
      </c>
      <c r="C10" s="12" t="s">
        <v>12</v>
      </c>
      <c r="D10" s="13" t="s">
        <v>16</v>
      </c>
      <c r="E10" s="14" t="s">
        <v>13</v>
      </c>
      <c r="F10" s="13" t="s">
        <v>19</v>
      </c>
      <c r="G10" s="15" t="s">
        <v>15</v>
      </c>
      <c r="H10" s="16" t="s">
        <v>14</v>
      </c>
      <c r="I10" s="17">
        <v>45624</v>
      </c>
      <c r="J10" s="16"/>
      <c r="K10" s="16">
        <f t="shared" si="7"/>
        <v>45628</v>
      </c>
      <c r="L10" s="29"/>
      <c r="M10" s="27">
        <v>0.6</v>
      </c>
      <c r="N10" s="27">
        <f t="shared" si="8"/>
        <v>0.1</v>
      </c>
      <c r="O10" s="27">
        <f t="shared" si="9"/>
        <v>0</v>
      </c>
      <c r="P10" s="18"/>
      <c r="Q10" s="18"/>
      <c r="R10" s="18"/>
      <c r="S10" s="18"/>
      <c r="T10" s="18"/>
      <c r="U10" s="18"/>
      <c r="V10" s="18"/>
      <c r="W10" s="19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20"/>
      <c r="AQ10" s="18"/>
      <c r="AR10" s="18">
        <v>0.1</v>
      </c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9"/>
      <c r="BI10" s="19"/>
      <c r="BJ10" s="19"/>
      <c r="BK10" s="19"/>
      <c r="BL10" s="19"/>
      <c r="BM10" s="19"/>
      <c r="BN10" s="19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</row>
    <row r="11" spans="1:80" ht="16.2" x14ac:dyDescent="0.4">
      <c r="A11" s="10" t="str">
        <f t="shared" si="6"/>
        <v>ENERGY_CERTIFICATE_EST_INPUTPROPERTY_CONTRACT_ID</v>
      </c>
      <c r="B11" s="11" t="s">
        <v>11</v>
      </c>
      <c r="C11" s="12" t="s">
        <v>12</v>
      </c>
      <c r="D11" s="13" t="s">
        <v>16</v>
      </c>
      <c r="E11" s="14" t="s">
        <v>13</v>
      </c>
      <c r="F11" s="13" t="s">
        <v>20</v>
      </c>
      <c r="G11" s="15" t="s">
        <v>15</v>
      </c>
      <c r="H11" s="16" t="s">
        <v>14</v>
      </c>
      <c r="I11" s="17">
        <v>45624</v>
      </c>
      <c r="J11" s="16"/>
      <c r="K11" s="16">
        <f t="shared" si="7"/>
        <v>45628</v>
      </c>
      <c r="L11" s="29"/>
      <c r="M11" s="27">
        <v>0.6</v>
      </c>
      <c r="N11" s="27">
        <f t="shared" si="8"/>
        <v>0.1</v>
      </c>
      <c r="O11" s="27">
        <f t="shared" si="9"/>
        <v>0</v>
      </c>
      <c r="P11" s="18"/>
      <c r="Q11" s="18"/>
      <c r="R11" s="18"/>
      <c r="S11" s="18"/>
      <c r="T11" s="18"/>
      <c r="U11" s="18"/>
      <c r="V11" s="18"/>
      <c r="W11" s="19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20"/>
      <c r="AQ11" s="18"/>
      <c r="AR11" s="18">
        <v>0.1</v>
      </c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9"/>
      <c r="BI11" s="19"/>
      <c r="BJ11" s="19"/>
      <c r="BK11" s="19"/>
      <c r="BL11" s="19"/>
      <c r="BM11" s="19"/>
      <c r="BN11" s="19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</row>
    <row r="12" spans="1:80" ht="16.2" x14ac:dyDescent="0.4">
      <c r="A12" s="10" t="str">
        <f t="shared" si="6"/>
        <v>ENERGY_CERTIFICATE_EST_INPUTPROPERTY_REFERENCE_CODE</v>
      </c>
      <c r="B12" s="11" t="s">
        <v>11</v>
      </c>
      <c r="C12" s="12" t="s">
        <v>12</v>
      </c>
      <c r="D12" s="13" t="s">
        <v>16</v>
      </c>
      <c r="E12" s="14" t="s">
        <v>13</v>
      </c>
      <c r="F12" s="13" t="s">
        <v>21</v>
      </c>
      <c r="G12" s="15" t="s">
        <v>15</v>
      </c>
      <c r="H12" s="16" t="s">
        <v>14</v>
      </c>
      <c r="I12" s="17">
        <v>45624</v>
      </c>
      <c r="J12" s="16"/>
      <c r="K12" s="16">
        <f t="shared" si="7"/>
        <v>45628</v>
      </c>
      <c r="L12" s="29"/>
      <c r="M12" s="27">
        <v>0.6</v>
      </c>
      <c r="N12" s="27">
        <f t="shared" si="8"/>
        <v>0.1</v>
      </c>
      <c r="O12" s="27">
        <f t="shared" si="9"/>
        <v>0</v>
      </c>
      <c r="P12" s="18"/>
      <c r="Q12" s="18"/>
      <c r="R12" s="18"/>
      <c r="S12" s="18"/>
      <c r="T12" s="18"/>
      <c r="U12" s="18"/>
      <c r="V12" s="18"/>
      <c r="W12" s="19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20"/>
      <c r="AQ12" s="18"/>
      <c r="AR12" s="18">
        <v>0.1</v>
      </c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9"/>
      <c r="BI12" s="19"/>
      <c r="BJ12" s="19"/>
      <c r="BK12" s="19"/>
      <c r="BL12" s="19"/>
      <c r="BM12" s="19"/>
      <c r="BN12" s="19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</row>
    <row r="13" spans="1:80" ht="16.2" x14ac:dyDescent="0.4">
      <c r="A13" s="10" t="str">
        <f t="shared" si="6"/>
        <v>ENERGY_CERTIFICATE_EST_INPUTDATA_EXTRACTION_DATE</v>
      </c>
      <c r="B13" s="11" t="s">
        <v>11</v>
      </c>
      <c r="C13" s="12" t="s">
        <v>12</v>
      </c>
      <c r="D13" s="13" t="s">
        <v>16</v>
      </c>
      <c r="E13" s="14" t="s">
        <v>13</v>
      </c>
      <c r="F13" s="13" t="s">
        <v>22</v>
      </c>
      <c r="G13" s="15" t="s">
        <v>15</v>
      </c>
      <c r="H13" s="16" t="s">
        <v>14</v>
      </c>
      <c r="I13" s="17">
        <v>45624</v>
      </c>
      <c r="J13" s="16"/>
      <c r="K13" s="16">
        <f t="shared" si="7"/>
        <v>45628</v>
      </c>
      <c r="L13" s="29"/>
      <c r="M13" s="27">
        <v>0.6</v>
      </c>
      <c r="N13" s="27">
        <f t="shared" si="8"/>
        <v>0.1</v>
      </c>
      <c r="O13" s="27">
        <f t="shared" si="9"/>
        <v>0</v>
      </c>
      <c r="P13" s="18"/>
      <c r="Q13" s="18"/>
      <c r="R13" s="18"/>
      <c r="S13" s="18"/>
      <c r="T13" s="18"/>
      <c r="U13" s="18"/>
      <c r="V13" s="18"/>
      <c r="W13" s="19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20"/>
      <c r="AQ13" s="18"/>
      <c r="AR13" s="18">
        <v>0.1</v>
      </c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9"/>
      <c r="BI13" s="19"/>
      <c r="BJ13" s="19"/>
      <c r="BK13" s="19"/>
      <c r="BL13" s="19"/>
      <c r="BM13" s="19"/>
      <c r="BN13" s="19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</row>
    <row r="14" spans="1:80" ht="16.2" x14ac:dyDescent="0.4">
      <c r="A14" s="10" t="str">
        <f t="shared" si="6"/>
        <v>ENERGY_CERTIFICATE_EST_INPUTEPC</v>
      </c>
      <c r="B14" s="11" t="s">
        <v>11</v>
      </c>
      <c r="C14" s="12" t="s">
        <v>12</v>
      </c>
      <c r="D14" s="13" t="s">
        <v>16</v>
      </c>
      <c r="E14" s="14" t="s">
        <v>13</v>
      </c>
      <c r="F14" s="13" t="s">
        <v>23</v>
      </c>
      <c r="G14" s="15" t="s">
        <v>15</v>
      </c>
      <c r="H14" s="16" t="s">
        <v>14</v>
      </c>
      <c r="I14" s="17">
        <v>45624</v>
      </c>
      <c r="J14" s="16"/>
      <c r="K14" s="16">
        <f t="shared" si="7"/>
        <v>45628</v>
      </c>
      <c r="L14" s="29"/>
      <c r="M14" s="27">
        <v>0.6</v>
      </c>
      <c r="N14" s="27">
        <f t="shared" si="8"/>
        <v>0.1</v>
      </c>
      <c r="O14" s="27">
        <f t="shared" si="9"/>
        <v>0</v>
      </c>
      <c r="P14" s="18"/>
      <c r="Q14" s="18"/>
      <c r="R14" s="18"/>
      <c r="S14" s="18"/>
      <c r="T14" s="18"/>
      <c r="U14" s="18"/>
      <c r="V14" s="18"/>
      <c r="W14" s="19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20"/>
      <c r="AQ14" s="18"/>
      <c r="AR14" s="18">
        <v>0.1</v>
      </c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9"/>
      <c r="BI14" s="19"/>
      <c r="BJ14" s="19"/>
      <c r="BK14" s="19"/>
      <c r="BL14" s="19"/>
      <c r="BM14" s="19"/>
      <c r="BN14" s="19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</row>
    <row r="15" spans="1:80" ht="16.2" x14ac:dyDescent="0.4">
      <c r="A15" s="10" t="str">
        <f t="shared" si="6"/>
        <v>ENERGY_CERTIFICATE_EST_INPUTDATA_PROVIDER</v>
      </c>
      <c r="B15" s="11" t="s">
        <v>11</v>
      </c>
      <c r="C15" s="12" t="s">
        <v>12</v>
      </c>
      <c r="D15" s="13" t="s">
        <v>16</v>
      </c>
      <c r="E15" s="14" t="s">
        <v>13</v>
      </c>
      <c r="F15" s="13" t="s">
        <v>24</v>
      </c>
      <c r="G15" s="15" t="s">
        <v>15</v>
      </c>
      <c r="H15" s="16" t="s">
        <v>14</v>
      </c>
      <c r="I15" s="17">
        <v>45624</v>
      </c>
      <c r="J15" s="16"/>
      <c r="K15" s="16">
        <f t="shared" si="7"/>
        <v>45628</v>
      </c>
      <c r="L15" s="29"/>
      <c r="M15" s="27">
        <v>0.6</v>
      </c>
      <c r="N15" s="27">
        <f t="shared" si="8"/>
        <v>0.1</v>
      </c>
      <c r="O15" s="27">
        <f t="shared" si="9"/>
        <v>0</v>
      </c>
      <c r="P15" s="18"/>
      <c r="Q15" s="18"/>
      <c r="R15" s="18"/>
      <c r="S15" s="18"/>
      <c r="T15" s="18"/>
      <c r="U15" s="18"/>
      <c r="V15" s="18"/>
      <c r="W15" s="19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20"/>
      <c r="AQ15" s="18"/>
      <c r="AR15" s="18">
        <v>0.1</v>
      </c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9"/>
      <c r="BI15" s="19"/>
      <c r="BJ15" s="19"/>
      <c r="BK15" s="19"/>
      <c r="BL15" s="19"/>
      <c r="BM15" s="19"/>
      <c r="BN15" s="19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</row>
    <row r="16" spans="1:80" ht="16.2" x14ac:dyDescent="0.4">
      <c r="A16" s="10" t="str">
        <f t="shared" si="6"/>
        <v>ENERGY_CERTIFICATE_EST_INPUTACTUAL_VALUE_IND</v>
      </c>
      <c r="B16" s="11" t="s">
        <v>11</v>
      </c>
      <c r="C16" s="12" t="s">
        <v>12</v>
      </c>
      <c r="D16" s="13" t="s">
        <v>16</v>
      </c>
      <c r="E16" s="14" t="s">
        <v>13</v>
      </c>
      <c r="F16" s="13" t="s">
        <v>25</v>
      </c>
      <c r="G16" s="15" t="s">
        <v>15</v>
      </c>
      <c r="H16" s="16" t="s">
        <v>14</v>
      </c>
      <c r="I16" s="17">
        <v>45624</v>
      </c>
      <c r="J16" s="16"/>
      <c r="K16" s="16">
        <f t="shared" si="7"/>
        <v>45628</v>
      </c>
      <c r="L16" s="29"/>
      <c r="M16" s="27">
        <v>0.6</v>
      </c>
      <c r="N16" s="27">
        <f t="shared" si="8"/>
        <v>0.1</v>
      </c>
      <c r="O16" s="27">
        <f t="shared" si="9"/>
        <v>0</v>
      </c>
      <c r="P16" s="18"/>
      <c r="Q16" s="18"/>
      <c r="R16" s="18"/>
      <c r="S16" s="18"/>
      <c r="T16" s="18"/>
      <c r="U16" s="18"/>
      <c r="V16" s="18"/>
      <c r="W16" s="19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20"/>
      <c r="AQ16" s="18"/>
      <c r="AR16" s="18">
        <v>0.1</v>
      </c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9"/>
      <c r="BI16" s="19"/>
      <c r="BJ16" s="19"/>
      <c r="BK16" s="19"/>
      <c r="BL16" s="19"/>
      <c r="BM16" s="19"/>
      <c r="BN16" s="19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</row>
    <row r="17" spans="1:80" ht="16.2" x14ac:dyDescent="0.4">
      <c r="A17" s="10" t="str">
        <f t="shared" si="6"/>
        <v>ENERGY_CERTIFICATE_EST_INPUTQUALITY_SCORE</v>
      </c>
      <c r="B17" s="11" t="s">
        <v>11</v>
      </c>
      <c r="C17" s="12" t="s">
        <v>12</v>
      </c>
      <c r="D17" s="13" t="s">
        <v>16</v>
      </c>
      <c r="E17" s="14" t="s">
        <v>13</v>
      </c>
      <c r="F17" s="13" t="s">
        <v>26</v>
      </c>
      <c r="G17" s="15" t="s">
        <v>15</v>
      </c>
      <c r="H17" s="16" t="s">
        <v>14</v>
      </c>
      <c r="I17" s="17">
        <v>45624</v>
      </c>
      <c r="J17" s="16"/>
      <c r="K17" s="16">
        <f t="shared" si="7"/>
        <v>45628</v>
      </c>
      <c r="L17" s="29"/>
      <c r="M17" s="27">
        <v>0.6</v>
      </c>
      <c r="N17" s="27">
        <f t="shared" si="8"/>
        <v>0.1</v>
      </c>
      <c r="O17" s="27">
        <f t="shared" si="9"/>
        <v>0</v>
      </c>
      <c r="P17" s="18"/>
      <c r="Q17" s="18"/>
      <c r="R17" s="18"/>
      <c r="S17" s="18"/>
      <c r="T17" s="18"/>
      <c r="U17" s="18"/>
      <c r="V17" s="18"/>
      <c r="W17" s="19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20"/>
      <c r="AQ17" s="18"/>
      <c r="AR17" s="18">
        <v>0.1</v>
      </c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9"/>
      <c r="BI17" s="19"/>
      <c r="BJ17" s="19"/>
      <c r="BK17" s="19"/>
      <c r="BL17" s="19"/>
      <c r="BM17" s="19"/>
      <c r="BN17" s="19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</row>
    <row r="18" spans="1:80" ht="16.2" x14ac:dyDescent="0.4">
      <c r="A18" s="10" t="str">
        <f t="shared" si="6"/>
        <v>ENERGY_CERTIFICATE_EST_INPUTENERGY_CONSUMPTION_VALUE_YEAR</v>
      </c>
      <c r="B18" s="11" t="s">
        <v>11</v>
      </c>
      <c r="C18" s="12" t="s">
        <v>12</v>
      </c>
      <c r="D18" s="13" t="s">
        <v>16</v>
      </c>
      <c r="E18" s="14" t="s">
        <v>13</v>
      </c>
      <c r="F18" s="13" t="s">
        <v>27</v>
      </c>
      <c r="G18" s="15" t="s">
        <v>15</v>
      </c>
      <c r="H18" s="16" t="s">
        <v>14</v>
      </c>
      <c r="I18" s="17">
        <v>45624</v>
      </c>
      <c r="J18" s="16"/>
      <c r="K18" s="16">
        <f t="shared" si="7"/>
        <v>45629</v>
      </c>
      <c r="L18" s="29"/>
      <c r="M18" s="27">
        <v>0.6</v>
      </c>
      <c r="N18" s="27">
        <f t="shared" si="8"/>
        <v>0.1</v>
      </c>
      <c r="O18" s="27">
        <f t="shared" si="9"/>
        <v>0</v>
      </c>
      <c r="P18" s="18"/>
      <c r="Q18" s="18"/>
      <c r="R18" s="18"/>
      <c r="S18" s="18"/>
      <c r="T18" s="18"/>
      <c r="U18" s="18"/>
      <c r="V18" s="18"/>
      <c r="W18" s="19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20"/>
      <c r="AQ18" s="18"/>
      <c r="AR18" s="18"/>
      <c r="AS18" s="18">
        <v>0.1</v>
      </c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9"/>
      <c r="BI18" s="19"/>
      <c r="BJ18" s="19"/>
      <c r="BK18" s="19"/>
      <c r="BL18" s="19"/>
      <c r="BM18" s="19"/>
      <c r="BN18" s="19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</row>
    <row r="19" spans="1:80" ht="16.2" x14ac:dyDescent="0.4">
      <c r="A19" s="10" t="str">
        <f t="shared" si="6"/>
        <v>ENERGY_CERTIFICATE_EST_INPUTCARBON_EMISSION_VALUE_YEAR</v>
      </c>
      <c r="B19" s="11" t="s">
        <v>11</v>
      </c>
      <c r="C19" s="12" t="s">
        <v>12</v>
      </c>
      <c r="D19" s="13" t="s">
        <v>16</v>
      </c>
      <c r="E19" s="14" t="s">
        <v>13</v>
      </c>
      <c r="F19" s="13" t="s">
        <v>28</v>
      </c>
      <c r="G19" s="15" t="s">
        <v>15</v>
      </c>
      <c r="H19" s="16" t="s">
        <v>14</v>
      </c>
      <c r="I19" s="17">
        <v>45624</v>
      </c>
      <c r="J19" s="16"/>
      <c r="K19" s="16">
        <f t="shared" si="7"/>
        <v>45629</v>
      </c>
      <c r="L19" s="29"/>
      <c r="M19" s="27">
        <v>0.6</v>
      </c>
      <c r="N19" s="27">
        <f t="shared" si="8"/>
        <v>0.1</v>
      </c>
      <c r="O19" s="27">
        <f t="shared" si="9"/>
        <v>0</v>
      </c>
      <c r="P19" s="18"/>
      <c r="Q19" s="18"/>
      <c r="R19" s="18"/>
      <c r="S19" s="18"/>
      <c r="T19" s="18"/>
      <c r="U19" s="18"/>
      <c r="V19" s="18"/>
      <c r="W19" s="19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20"/>
      <c r="AQ19" s="18"/>
      <c r="AR19" s="18"/>
      <c r="AS19" s="18">
        <v>0.1</v>
      </c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9"/>
      <c r="BI19" s="19"/>
      <c r="BJ19" s="19"/>
      <c r="BK19" s="19"/>
      <c r="BL19" s="19"/>
      <c r="BM19" s="19"/>
      <c r="BN19" s="19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</row>
    <row r="20" spans="1:80" ht="16.2" x14ac:dyDescent="0.4">
      <c r="A20" s="10" t="str">
        <f t="shared" si="6"/>
        <v>PROPERTY_ENERGY_CERTIFICATELAND_REGISTRY_OFFICE_CODE</v>
      </c>
      <c r="B20" s="11" t="s">
        <v>11</v>
      </c>
      <c r="C20" s="12" t="s">
        <v>29</v>
      </c>
      <c r="D20" s="13" t="s">
        <v>16</v>
      </c>
      <c r="E20" s="14" t="s">
        <v>30</v>
      </c>
      <c r="F20" s="13" t="s">
        <v>31</v>
      </c>
      <c r="G20" s="15" t="s">
        <v>15</v>
      </c>
      <c r="H20" s="16" t="s">
        <v>14</v>
      </c>
      <c r="I20" s="17">
        <v>45593</v>
      </c>
      <c r="J20" s="17">
        <v>45593</v>
      </c>
      <c r="K20" s="16">
        <f t="shared" si="7"/>
        <v>45594</v>
      </c>
      <c r="L20" s="30" t="s">
        <v>198</v>
      </c>
      <c r="M20" s="27">
        <v>4.0999999999999996</v>
      </c>
      <c r="N20" s="27">
        <f t="shared" si="8"/>
        <v>0.5</v>
      </c>
      <c r="O20" s="27">
        <f t="shared" si="9"/>
        <v>0</v>
      </c>
      <c r="P20" s="18"/>
      <c r="Q20" s="18"/>
      <c r="R20" s="18"/>
      <c r="S20" s="55"/>
      <c r="T20" s="18">
        <v>0.5</v>
      </c>
      <c r="U20" s="18"/>
      <c r="V20" s="18"/>
      <c r="W20" s="19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9"/>
      <c r="BI20" s="19"/>
      <c r="BJ20" s="19"/>
      <c r="BK20" s="19"/>
      <c r="BL20" s="19"/>
      <c r="BM20" s="19"/>
      <c r="BN20" s="19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</row>
    <row r="21" spans="1:80" ht="16.2" x14ac:dyDescent="0.4">
      <c r="A21" s="10" t="str">
        <f t="shared" si="6"/>
        <v>PROPERTY_ENERGY_CERTIFICATEPROPERTY_IDENTIFICATION_CODE</v>
      </c>
      <c r="B21" s="11" t="s">
        <v>11</v>
      </c>
      <c r="C21" s="12" t="s">
        <v>29</v>
      </c>
      <c r="D21" s="13" t="s">
        <v>16</v>
      </c>
      <c r="E21" s="14" t="s">
        <v>30</v>
      </c>
      <c r="F21" s="13" t="s">
        <v>32</v>
      </c>
      <c r="G21" s="15" t="s">
        <v>15</v>
      </c>
      <c r="H21" s="16" t="s">
        <v>14</v>
      </c>
      <c r="I21" s="17">
        <v>45593</v>
      </c>
      <c r="J21" s="17">
        <v>45593</v>
      </c>
      <c r="K21" s="16">
        <f t="shared" si="7"/>
        <v>45595</v>
      </c>
      <c r="L21" s="30" t="s">
        <v>198</v>
      </c>
      <c r="M21" s="27">
        <v>4.0999999999999996</v>
      </c>
      <c r="N21" s="27">
        <f t="shared" si="8"/>
        <v>0.5</v>
      </c>
      <c r="O21" s="27">
        <f t="shared" si="9"/>
        <v>0</v>
      </c>
      <c r="P21" s="18"/>
      <c r="Q21" s="18"/>
      <c r="R21" s="18"/>
      <c r="S21" s="55"/>
      <c r="T21" s="18"/>
      <c r="U21" s="18">
        <v>0.5</v>
      </c>
      <c r="V21" s="18"/>
      <c r="W21" s="19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9"/>
      <c r="BI21" s="19"/>
      <c r="BJ21" s="19"/>
      <c r="BK21" s="19"/>
      <c r="BL21" s="19"/>
      <c r="BM21" s="19"/>
      <c r="BN21" s="19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</row>
    <row r="22" spans="1:80" ht="16.2" x14ac:dyDescent="0.4">
      <c r="A22" s="10" t="str">
        <f t="shared" si="6"/>
        <v>PROPERTY_ENERGY_CERTIFICATEENERGY_CERTIFICATION_SYSTEM_CODE</v>
      </c>
      <c r="B22" s="11" t="s">
        <v>11</v>
      </c>
      <c r="C22" s="12" t="s">
        <v>29</v>
      </c>
      <c r="D22" s="13" t="s">
        <v>16</v>
      </c>
      <c r="E22" s="14" t="s">
        <v>30</v>
      </c>
      <c r="F22" s="13" t="s">
        <v>33</v>
      </c>
      <c r="G22" s="15" t="s">
        <v>15</v>
      </c>
      <c r="H22" s="16" t="s">
        <v>14</v>
      </c>
      <c r="I22" s="17">
        <v>45593</v>
      </c>
      <c r="J22" s="17">
        <v>45593</v>
      </c>
      <c r="K22" s="16">
        <f t="shared" si="7"/>
        <v>45595</v>
      </c>
      <c r="L22" s="30" t="s">
        <v>198</v>
      </c>
      <c r="M22" s="27">
        <v>4.0999999999999996</v>
      </c>
      <c r="N22" s="27">
        <f t="shared" si="8"/>
        <v>0.5</v>
      </c>
      <c r="O22" s="27">
        <f t="shared" si="9"/>
        <v>0</v>
      </c>
      <c r="P22" s="18"/>
      <c r="Q22" s="18"/>
      <c r="R22" s="18"/>
      <c r="S22" s="55"/>
      <c r="T22" s="18"/>
      <c r="U22" s="18">
        <v>0.5</v>
      </c>
      <c r="V22" s="18"/>
      <c r="W22" s="19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9"/>
      <c r="BI22" s="19"/>
      <c r="BJ22" s="19"/>
      <c r="BK22" s="19"/>
      <c r="BL22" s="19"/>
      <c r="BM22" s="19"/>
      <c r="BN22" s="19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</row>
    <row r="23" spans="1:80" ht="16.2" x14ac:dyDescent="0.4">
      <c r="A23" s="10" t="str">
        <f t="shared" si="6"/>
        <v>PROPERTY_ENERGY_CERTIFICATEEPC_ISSUING_DATE</v>
      </c>
      <c r="B23" s="11" t="s">
        <v>11</v>
      </c>
      <c r="C23" s="12" t="s">
        <v>29</v>
      </c>
      <c r="D23" s="13" t="s">
        <v>16</v>
      </c>
      <c r="E23" s="14" t="s">
        <v>30</v>
      </c>
      <c r="F23" s="13" t="s">
        <v>34</v>
      </c>
      <c r="G23" s="15" t="s">
        <v>15</v>
      </c>
      <c r="H23" s="16" t="s">
        <v>14</v>
      </c>
      <c r="I23" s="17">
        <v>45593</v>
      </c>
      <c r="J23" s="17">
        <v>45593</v>
      </c>
      <c r="K23" s="16">
        <f t="shared" si="7"/>
        <v>45602</v>
      </c>
      <c r="L23" s="30" t="s">
        <v>198</v>
      </c>
      <c r="M23" s="27">
        <v>4.0999999999999996</v>
      </c>
      <c r="N23" s="27">
        <f t="shared" si="8"/>
        <v>0.5</v>
      </c>
      <c r="O23" s="27">
        <f t="shared" si="9"/>
        <v>0</v>
      </c>
      <c r="P23" s="18"/>
      <c r="Q23" s="18"/>
      <c r="R23" s="18"/>
      <c r="S23" s="55"/>
      <c r="T23" s="18"/>
      <c r="U23" s="18"/>
      <c r="V23" s="18"/>
      <c r="W23" s="19"/>
      <c r="X23" s="18"/>
      <c r="Y23" s="18"/>
      <c r="Z23" s="18">
        <v>0.5</v>
      </c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9"/>
      <c r="BI23" s="19"/>
      <c r="BJ23" s="19"/>
      <c r="BK23" s="19"/>
      <c r="BL23" s="19"/>
      <c r="BM23" s="19"/>
      <c r="BN23" s="19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</row>
    <row r="24" spans="1:80" ht="16.2" x14ac:dyDescent="0.4">
      <c r="A24" s="10" t="str">
        <f t="shared" si="6"/>
        <v>PROPERTY_ENERGY_CERTIFICATEEPC_EXPIRATION_DATE</v>
      </c>
      <c r="B24" s="11" t="s">
        <v>11</v>
      </c>
      <c r="C24" s="12" t="s">
        <v>29</v>
      </c>
      <c r="D24" s="13" t="s">
        <v>16</v>
      </c>
      <c r="E24" s="14" t="s">
        <v>30</v>
      </c>
      <c r="F24" s="13" t="s">
        <v>35</v>
      </c>
      <c r="G24" s="15" t="s">
        <v>15</v>
      </c>
      <c r="H24" s="16" t="s">
        <v>14</v>
      </c>
      <c r="I24" s="17">
        <v>45593</v>
      </c>
      <c r="J24" s="17">
        <v>45593</v>
      </c>
      <c r="K24" s="16">
        <f t="shared" si="7"/>
        <v>45602</v>
      </c>
      <c r="L24" s="30" t="s">
        <v>198</v>
      </c>
      <c r="M24" s="27">
        <v>4.0999999999999996</v>
      </c>
      <c r="N24" s="27">
        <f t="shared" si="8"/>
        <v>0.5</v>
      </c>
      <c r="O24" s="27">
        <f t="shared" si="9"/>
        <v>0</v>
      </c>
      <c r="P24" s="18"/>
      <c r="Q24" s="18"/>
      <c r="R24" s="18"/>
      <c r="S24" s="55"/>
      <c r="T24" s="18"/>
      <c r="U24" s="18"/>
      <c r="V24" s="18"/>
      <c r="W24" s="19"/>
      <c r="X24" s="18"/>
      <c r="Y24" s="18"/>
      <c r="Z24" s="18">
        <v>0.5</v>
      </c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9"/>
      <c r="BI24" s="19"/>
      <c r="BJ24" s="19"/>
      <c r="BK24" s="19"/>
      <c r="BL24" s="19"/>
      <c r="BM24" s="19"/>
      <c r="BN24" s="19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</row>
    <row r="25" spans="1:80" ht="16.2" x14ac:dyDescent="0.4">
      <c r="A25" s="10" t="str">
        <f t="shared" si="6"/>
        <v>PROPERTY_ENERGY_CERTIFICATEEPC</v>
      </c>
      <c r="B25" s="11" t="s">
        <v>11</v>
      </c>
      <c r="C25" s="12" t="s">
        <v>29</v>
      </c>
      <c r="D25" s="13" t="s">
        <v>16</v>
      </c>
      <c r="E25" s="14" t="s">
        <v>30</v>
      </c>
      <c r="F25" s="13" t="s">
        <v>23</v>
      </c>
      <c r="G25" s="15" t="s">
        <v>15</v>
      </c>
      <c r="H25" s="16" t="s">
        <v>14</v>
      </c>
      <c r="I25" s="17">
        <v>45593</v>
      </c>
      <c r="J25" s="17">
        <v>45593</v>
      </c>
      <c r="K25" s="16">
        <f t="shared" si="7"/>
        <v>45602</v>
      </c>
      <c r="L25" s="30" t="s">
        <v>198</v>
      </c>
      <c r="M25" s="27">
        <v>4.0999999999999996</v>
      </c>
      <c r="N25" s="27">
        <f t="shared" si="8"/>
        <v>0.5</v>
      </c>
      <c r="O25" s="27">
        <f t="shared" si="9"/>
        <v>0</v>
      </c>
      <c r="P25" s="18"/>
      <c r="Q25" s="18"/>
      <c r="R25" s="18"/>
      <c r="S25" s="55"/>
      <c r="T25" s="18"/>
      <c r="U25" s="18"/>
      <c r="V25" s="18"/>
      <c r="W25" s="19"/>
      <c r="X25" s="18"/>
      <c r="Y25" s="18"/>
      <c r="Z25" s="18">
        <v>0.5</v>
      </c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9"/>
      <c r="BI25" s="19"/>
      <c r="BJ25" s="19"/>
      <c r="BK25" s="19"/>
      <c r="BL25" s="19"/>
      <c r="BM25" s="19"/>
      <c r="BN25" s="19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</row>
    <row r="26" spans="1:80" ht="16.2" x14ac:dyDescent="0.4">
      <c r="A26" s="10" t="str">
        <f t="shared" si="6"/>
        <v>PROPERTY_ENERGY_CERTIFICATEENERGY_EFFICIENCY_IND</v>
      </c>
      <c r="B26" s="11" t="s">
        <v>11</v>
      </c>
      <c r="C26" s="12" t="s">
        <v>29</v>
      </c>
      <c r="D26" s="13" t="s">
        <v>16</v>
      </c>
      <c r="E26" s="14" t="s">
        <v>30</v>
      </c>
      <c r="F26" s="13" t="s">
        <v>36</v>
      </c>
      <c r="G26" s="15" t="s">
        <v>15</v>
      </c>
      <c r="H26" s="16" t="s">
        <v>14</v>
      </c>
      <c r="I26" s="17">
        <v>45593</v>
      </c>
      <c r="J26" s="17">
        <v>45593</v>
      </c>
      <c r="K26" s="16">
        <f t="shared" si="7"/>
        <v>45602</v>
      </c>
      <c r="L26" s="30" t="s">
        <v>198</v>
      </c>
      <c r="M26" s="27">
        <v>4.0999999999999996</v>
      </c>
      <c r="N26" s="27">
        <f t="shared" si="8"/>
        <v>0.5</v>
      </c>
      <c r="O26" s="27">
        <f t="shared" si="9"/>
        <v>0</v>
      </c>
      <c r="P26" s="18"/>
      <c r="Q26" s="18"/>
      <c r="R26" s="18"/>
      <c r="S26" s="55"/>
      <c r="T26" s="18"/>
      <c r="U26" s="18"/>
      <c r="V26" s="18"/>
      <c r="W26" s="19"/>
      <c r="X26" s="18"/>
      <c r="Y26" s="18"/>
      <c r="Z26" s="18">
        <v>0.5</v>
      </c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9"/>
      <c r="BI26" s="19"/>
      <c r="BJ26" s="19"/>
      <c r="BK26" s="19"/>
      <c r="BL26" s="19"/>
      <c r="BM26" s="19"/>
      <c r="BN26" s="19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</row>
    <row r="27" spans="1:80" ht="16.2" x14ac:dyDescent="0.4">
      <c r="A27" s="10" t="str">
        <f t="shared" si="6"/>
        <v>PROPERTY_ENERGY_CERTIFICATENZEB_IND</v>
      </c>
      <c r="B27" s="11" t="s">
        <v>11</v>
      </c>
      <c r="C27" s="12" t="s">
        <v>29</v>
      </c>
      <c r="D27" s="13" t="s">
        <v>16</v>
      </c>
      <c r="E27" s="14" t="s">
        <v>30</v>
      </c>
      <c r="F27" s="13" t="s">
        <v>37</v>
      </c>
      <c r="G27" s="15" t="s">
        <v>15</v>
      </c>
      <c r="H27" s="16" t="s">
        <v>14</v>
      </c>
      <c r="I27" s="17">
        <v>45593</v>
      </c>
      <c r="J27" s="17">
        <v>45593</v>
      </c>
      <c r="K27" s="16">
        <f t="shared" si="7"/>
        <v>45603</v>
      </c>
      <c r="L27" s="30" t="s">
        <v>198</v>
      </c>
      <c r="M27" s="27">
        <v>4.0999999999999996</v>
      </c>
      <c r="N27" s="27">
        <f t="shared" si="8"/>
        <v>0.5</v>
      </c>
      <c r="O27" s="27">
        <f t="shared" si="9"/>
        <v>0</v>
      </c>
      <c r="P27" s="18"/>
      <c r="Q27" s="18"/>
      <c r="R27" s="18"/>
      <c r="S27" s="55"/>
      <c r="T27" s="18"/>
      <c r="U27" s="18"/>
      <c r="V27" s="18"/>
      <c r="W27" s="19"/>
      <c r="X27" s="18"/>
      <c r="Y27" s="18"/>
      <c r="Z27" s="18"/>
      <c r="AA27" s="18">
        <v>0.5</v>
      </c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9"/>
      <c r="BI27" s="19"/>
      <c r="BJ27" s="19"/>
      <c r="BK27" s="19"/>
      <c r="BL27" s="19"/>
      <c r="BM27" s="19"/>
      <c r="BN27" s="19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</row>
    <row r="28" spans="1:80" ht="16.2" x14ac:dyDescent="0.4">
      <c r="A28" s="10" t="str">
        <f t="shared" si="6"/>
        <v>PROPERTY_ENERGY_CERTIFICATEACTUAL_VALUE_IND</v>
      </c>
      <c r="B28" s="11" t="s">
        <v>11</v>
      </c>
      <c r="C28" s="12" t="s">
        <v>29</v>
      </c>
      <c r="D28" s="13" t="s">
        <v>16</v>
      </c>
      <c r="E28" s="14" t="s">
        <v>30</v>
      </c>
      <c r="F28" s="13" t="s">
        <v>25</v>
      </c>
      <c r="G28" s="15" t="s">
        <v>15</v>
      </c>
      <c r="H28" s="16" t="s">
        <v>14</v>
      </c>
      <c r="I28" s="17">
        <v>45593</v>
      </c>
      <c r="J28" s="17">
        <v>45593</v>
      </c>
      <c r="K28" s="16">
        <f t="shared" si="7"/>
        <v>45603</v>
      </c>
      <c r="L28" s="30" t="s">
        <v>198</v>
      </c>
      <c r="M28" s="27">
        <v>4.0999999999999996</v>
      </c>
      <c r="N28" s="27">
        <f t="shared" si="8"/>
        <v>0.5</v>
      </c>
      <c r="O28" s="27">
        <f t="shared" si="9"/>
        <v>0</v>
      </c>
      <c r="P28" s="18"/>
      <c r="Q28" s="18"/>
      <c r="R28" s="18"/>
      <c r="S28" s="55"/>
      <c r="T28" s="18"/>
      <c r="U28" s="18"/>
      <c r="V28" s="18"/>
      <c r="W28" s="19"/>
      <c r="X28" s="18"/>
      <c r="Y28" s="18"/>
      <c r="Z28" s="18"/>
      <c r="AA28" s="18">
        <v>0.5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9"/>
      <c r="BI28" s="19"/>
      <c r="BJ28" s="19"/>
      <c r="BK28" s="19"/>
      <c r="BL28" s="19"/>
      <c r="BM28" s="19"/>
      <c r="BN28" s="19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</row>
    <row r="29" spans="1:80" ht="16.2" x14ac:dyDescent="0.4">
      <c r="A29" s="10" t="str">
        <f t="shared" si="6"/>
        <v>PROPERTY_ENERGY_CERTIFICATESOURCE_CODE</v>
      </c>
      <c r="B29" s="11" t="s">
        <v>11</v>
      </c>
      <c r="C29" s="12" t="s">
        <v>29</v>
      </c>
      <c r="D29" s="13" t="s">
        <v>16</v>
      </c>
      <c r="E29" s="14" t="s">
        <v>30</v>
      </c>
      <c r="F29" s="13" t="s">
        <v>38</v>
      </c>
      <c r="G29" s="15" t="s">
        <v>15</v>
      </c>
      <c r="H29" s="16" t="s">
        <v>14</v>
      </c>
      <c r="I29" s="17">
        <v>45593</v>
      </c>
      <c r="J29" s="17">
        <v>45601</v>
      </c>
      <c r="K29" s="16">
        <f t="shared" si="7"/>
        <v>45603</v>
      </c>
      <c r="L29" s="30" t="s">
        <v>198</v>
      </c>
      <c r="M29" s="27">
        <v>4.0999999999999996</v>
      </c>
      <c r="N29" s="27">
        <f t="shared" si="8"/>
        <v>0.5</v>
      </c>
      <c r="O29" s="27">
        <f t="shared" si="9"/>
        <v>0</v>
      </c>
      <c r="P29" s="18"/>
      <c r="Q29" s="18"/>
      <c r="R29" s="18"/>
      <c r="S29" s="20"/>
      <c r="T29" s="18"/>
      <c r="U29" s="18"/>
      <c r="V29" s="18"/>
      <c r="W29" s="19"/>
      <c r="X29" s="18"/>
      <c r="Y29" s="55"/>
      <c r="Z29" s="18"/>
      <c r="AA29" s="18">
        <v>0.5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9"/>
      <c r="BI29" s="19"/>
      <c r="BJ29" s="19"/>
      <c r="BK29" s="19"/>
      <c r="BL29" s="19"/>
      <c r="BM29" s="19"/>
      <c r="BN29" s="19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</row>
    <row r="30" spans="1:80" ht="16.2" x14ac:dyDescent="0.4">
      <c r="A30" s="10" t="str">
        <f t="shared" si="6"/>
        <v>PROPERTY_ENERGY_CERTIFICATECERTIFICATE_TYPE</v>
      </c>
      <c r="B30" s="11" t="s">
        <v>11</v>
      </c>
      <c r="C30" s="12" t="s">
        <v>29</v>
      </c>
      <c r="D30" s="13" t="s">
        <v>16</v>
      </c>
      <c r="E30" s="14" t="s">
        <v>30</v>
      </c>
      <c r="F30" s="13" t="s">
        <v>39</v>
      </c>
      <c r="G30" s="15" t="s">
        <v>15</v>
      </c>
      <c r="H30" s="16" t="s">
        <v>14</v>
      </c>
      <c r="I30" s="17">
        <v>45593</v>
      </c>
      <c r="J30" s="17">
        <v>45593</v>
      </c>
      <c r="K30" s="16">
        <f t="shared" si="7"/>
        <v>45603</v>
      </c>
      <c r="L30" s="30" t="s">
        <v>198</v>
      </c>
      <c r="M30" s="27">
        <v>4.0999999999999996</v>
      </c>
      <c r="N30" s="27">
        <f t="shared" si="8"/>
        <v>0.5</v>
      </c>
      <c r="O30" s="27">
        <f t="shared" si="9"/>
        <v>0</v>
      </c>
      <c r="P30" s="18"/>
      <c r="Q30" s="18"/>
      <c r="R30" s="18"/>
      <c r="S30" s="55"/>
      <c r="T30" s="18"/>
      <c r="U30" s="18"/>
      <c r="V30" s="18"/>
      <c r="W30" s="19"/>
      <c r="X30" s="18"/>
      <c r="Y30" s="18"/>
      <c r="Z30" s="18"/>
      <c r="AA30" s="18">
        <v>0.5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9"/>
      <c r="BI30" s="19"/>
      <c r="BJ30" s="19"/>
      <c r="BK30" s="19"/>
      <c r="BL30" s="19"/>
      <c r="BM30" s="19"/>
      <c r="BN30" s="19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</row>
    <row r="31" spans="1:80" ht="16.2" x14ac:dyDescent="0.4">
      <c r="A31" s="10" t="str">
        <f t="shared" si="6"/>
        <v>PROPERTY_ENERGY_CERTIFICATEENERGY_CONSUMPTION_VALUE_YEAR</v>
      </c>
      <c r="B31" s="11" t="s">
        <v>11</v>
      </c>
      <c r="C31" s="12" t="s">
        <v>29</v>
      </c>
      <c r="D31" s="13" t="s">
        <v>16</v>
      </c>
      <c r="E31" s="14" t="s">
        <v>30</v>
      </c>
      <c r="F31" s="13" t="s">
        <v>27</v>
      </c>
      <c r="G31" s="15" t="s">
        <v>15</v>
      </c>
      <c r="H31" s="16" t="s">
        <v>14</v>
      </c>
      <c r="I31" s="17">
        <v>45593</v>
      </c>
      <c r="J31" s="17">
        <v>45593</v>
      </c>
      <c r="K31" s="16">
        <f t="shared" si="7"/>
        <v>45604</v>
      </c>
      <c r="L31" s="30" t="s">
        <v>198</v>
      </c>
      <c r="M31" s="27">
        <v>4.0999999999999996</v>
      </c>
      <c r="N31" s="27">
        <f t="shared" si="8"/>
        <v>0.5</v>
      </c>
      <c r="O31" s="27">
        <f t="shared" si="9"/>
        <v>0</v>
      </c>
      <c r="P31" s="18"/>
      <c r="Q31" s="18"/>
      <c r="R31" s="18"/>
      <c r="S31" s="55"/>
      <c r="T31" s="18"/>
      <c r="U31" s="18"/>
      <c r="V31" s="18"/>
      <c r="W31" s="19"/>
      <c r="X31" s="18"/>
      <c r="Y31" s="18"/>
      <c r="Z31" s="18"/>
      <c r="AA31" s="18"/>
      <c r="AB31" s="18">
        <v>0.5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9"/>
      <c r="BI31" s="19"/>
      <c r="BJ31" s="19"/>
      <c r="BK31" s="19"/>
      <c r="BL31" s="19"/>
      <c r="BM31" s="19"/>
      <c r="BN31" s="19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</row>
    <row r="32" spans="1:80" ht="16.2" x14ac:dyDescent="0.4">
      <c r="A32" s="10" t="str">
        <f t="shared" si="6"/>
        <v>PROPERTY_ENERGY_CERTIFICATECARBON_EMISSION_VALUE_YEAR</v>
      </c>
      <c r="B32" s="11" t="s">
        <v>11</v>
      </c>
      <c r="C32" s="12" t="s">
        <v>29</v>
      </c>
      <c r="D32" s="13" t="s">
        <v>16</v>
      </c>
      <c r="E32" s="14" t="s">
        <v>30</v>
      </c>
      <c r="F32" s="13" t="s">
        <v>28</v>
      </c>
      <c r="G32" s="15" t="s">
        <v>15</v>
      </c>
      <c r="H32" s="16" t="s">
        <v>14</v>
      </c>
      <c r="I32" s="17">
        <v>45593</v>
      </c>
      <c r="J32" s="17">
        <v>45593</v>
      </c>
      <c r="K32" s="16">
        <f t="shared" si="7"/>
        <v>45604</v>
      </c>
      <c r="L32" s="30" t="s">
        <v>198</v>
      </c>
      <c r="M32" s="27">
        <v>4.0999999999999996</v>
      </c>
      <c r="N32" s="27">
        <f t="shared" si="8"/>
        <v>0.5</v>
      </c>
      <c r="O32" s="27">
        <f t="shared" si="9"/>
        <v>0</v>
      </c>
      <c r="P32" s="18"/>
      <c r="Q32" s="18"/>
      <c r="R32" s="18"/>
      <c r="S32" s="55"/>
      <c r="T32" s="18"/>
      <c r="U32" s="18"/>
      <c r="V32" s="18"/>
      <c r="W32" s="19"/>
      <c r="X32" s="18"/>
      <c r="Y32" s="18"/>
      <c r="Z32" s="18"/>
      <c r="AA32" s="18"/>
      <c r="AB32" s="18">
        <v>0.5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9"/>
      <c r="BI32" s="19"/>
      <c r="BJ32" s="19"/>
      <c r="BK32" s="19"/>
      <c r="BL32" s="19"/>
      <c r="BM32" s="19"/>
      <c r="BN32" s="19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</row>
    <row r="33" spans="1:80" ht="16.2" x14ac:dyDescent="0.4">
      <c r="A33" s="10" t="str">
        <f t="shared" si="6"/>
        <v>PROPERTY_ENERGY_CERTIFICATEREN_ENERGY_PRODUCED_VALUE</v>
      </c>
      <c r="B33" s="11" t="s">
        <v>11</v>
      </c>
      <c r="C33" s="12" t="s">
        <v>29</v>
      </c>
      <c r="D33" s="13" t="s">
        <v>16</v>
      </c>
      <c r="E33" s="14" t="s">
        <v>30</v>
      </c>
      <c r="F33" s="13" t="s">
        <v>40</v>
      </c>
      <c r="G33" s="15" t="s">
        <v>15</v>
      </c>
      <c r="H33" s="16" t="s">
        <v>14</v>
      </c>
      <c r="I33" s="17">
        <v>45593</v>
      </c>
      <c r="J33" s="17">
        <v>45593</v>
      </c>
      <c r="K33" s="16">
        <f t="shared" si="7"/>
        <v>45604</v>
      </c>
      <c r="L33" s="30" t="s">
        <v>198</v>
      </c>
      <c r="M33" s="27">
        <v>4.0999999999999996</v>
      </c>
      <c r="N33" s="27">
        <f t="shared" si="8"/>
        <v>0.5</v>
      </c>
      <c r="O33" s="27">
        <f t="shared" si="9"/>
        <v>0</v>
      </c>
      <c r="P33" s="18"/>
      <c r="Q33" s="18"/>
      <c r="R33" s="18"/>
      <c r="S33" s="55"/>
      <c r="T33" s="18"/>
      <c r="U33" s="18"/>
      <c r="V33" s="18"/>
      <c r="W33" s="19"/>
      <c r="X33" s="18"/>
      <c r="Y33" s="18"/>
      <c r="Z33" s="18"/>
      <c r="AA33" s="18"/>
      <c r="AB33" s="18">
        <v>0.5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9"/>
      <c r="BI33" s="19"/>
      <c r="BJ33" s="19"/>
      <c r="BK33" s="19"/>
      <c r="BL33" s="19"/>
      <c r="BM33" s="19"/>
      <c r="BN33" s="19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</row>
    <row r="34" spans="1:80" ht="16.2" x14ac:dyDescent="0.4">
      <c r="A34" s="10" t="str">
        <f t="shared" si="6"/>
        <v>PROPERTY_ENERGY_CERTIFICATEPRIMARY_ENERGY_REQ_VALUE</v>
      </c>
      <c r="B34" s="11" t="s">
        <v>11</v>
      </c>
      <c r="C34" s="12" t="s">
        <v>29</v>
      </c>
      <c r="D34" s="13" t="s">
        <v>16</v>
      </c>
      <c r="E34" s="14" t="s">
        <v>30</v>
      </c>
      <c r="F34" s="13" t="s">
        <v>41</v>
      </c>
      <c r="G34" s="15" t="s">
        <v>15</v>
      </c>
      <c r="H34" s="16" t="s">
        <v>14</v>
      </c>
      <c r="I34" s="17">
        <v>45593</v>
      </c>
      <c r="J34" s="17">
        <v>45593</v>
      </c>
      <c r="K34" s="16">
        <f t="shared" si="7"/>
        <v>45604</v>
      </c>
      <c r="L34" s="30" t="s">
        <v>198</v>
      </c>
      <c r="M34" s="27">
        <v>4.0999999999999996</v>
      </c>
      <c r="N34" s="27">
        <f t="shared" si="8"/>
        <v>0.5</v>
      </c>
      <c r="O34" s="27">
        <f t="shared" si="9"/>
        <v>0</v>
      </c>
      <c r="P34" s="18"/>
      <c r="Q34" s="18"/>
      <c r="R34" s="18"/>
      <c r="S34" s="55"/>
      <c r="T34" s="18"/>
      <c r="U34" s="18"/>
      <c r="V34" s="18"/>
      <c r="W34" s="19"/>
      <c r="X34" s="18"/>
      <c r="Y34" s="18"/>
      <c r="Z34" s="18"/>
      <c r="AA34" s="18"/>
      <c r="AB34" s="18">
        <v>0.5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9"/>
      <c r="BI34" s="19"/>
      <c r="BJ34" s="19"/>
      <c r="BK34" s="19"/>
      <c r="BL34" s="19"/>
      <c r="BM34" s="19"/>
      <c r="BN34" s="19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</row>
    <row r="35" spans="1:80" ht="16.2" x14ac:dyDescent="0.4">
      <c r="A35" s="10" t="str">
        <f t="shared" si="6"/>
        <v>PROPERTY_ENERGY_CERTIFICATENET_FLOOR_AREA</v>
      </c>
      <c r="B35" s="11" t="s">
        <v>11</v>
      </c>
      <c r="C35" s="12" t="s">
        <v>29</v>
      </c>
      <c r="D35" s="13" t="s">
        <v>16</v>
      </c>
      <c r="E35" s="14" t="s">
        <v>30</v>
      </c>
      <c r="F35" s="13" t="s">
        <v>42</v>
      </c>
      <c r="G35" s="15" t="s">
        <v>15</v>
      </c>
      <c r="H35" s="16" t="s">
        <v>14</v>
      </c>
      <c r="I35" s="17">
        <v>45593</v>
      </c>
      <c r="J35" s="17">
        <v>45593</v>
      </c>
      <c r="K35" s="16">
        <f t="shared" si="7"/>
        <v>45607</v>
      </c>
      <c r="L35" s="30" t="s">
        <v>198</v>
      </c>
      <c r="M35" s="27">
        <v>4.0999999999999996</v>
      </c>
      <c r="N35" s="27">
        <f t="shared" si="8"/>
        <v>0.5</v>
      </c>
      <c r="O35" s="27">
        <f t="shared" si="9"/>
        <v>0</v>
      </c>
      <c r="P35" s="18"/>
      <c r="Q35" s="18"/>
      <c r="R35" s="18"/>
      <c r="S35" s="55"/>
      <c r="T35" s="18"/>
      <c r="U35" s="18"/>
      <c r="V35" s="18"/>
      <c r="W35" s="19"/>
      <c r="X35" s="18"/>
      <c r="Y35" s="18"/>
      <c r="Z35" s="18"/>
      <c r="AA35" s="18"/>
      <c r="AB35" s="18"/>
      <c r="AC35" s="18">
        <v>0.5</v>
      </c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9"/>
      <c r="BI35" s="19"/>
      <c r="BJ35" s="19"/>
      <c r="BK35" s="19"/>
      <c r="BL35" s="19"/>
      <c r="BM35" s="19"/>
      <c r="BN35" s="19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</row>
    <row r="36" spans="1:80" ht="16.2" x14ac:dyDescent="0.4">
      <c r="A36" s="10" t="str">
        <f t="shared" si="6"/>
        <v>PROPERTY_ENERGY_CERTIFICATECADASTRAL_REGISTER_CODE</v>
      </c>
      <c r="B36" s="11" t="s">
        <v>11</v>
      </c>
      <c r="C36" s="12" t="s">
        <v>29</v>
      </c>
      <c r="D36" s="13" t="s">
        <v>16</v>
      </c>
      <c r="E36" s="14" t="s">
        <v>30</v>
      </c>
      <c r="F36" s="13" t="s">
        <v>43</v>
      </c>
      <c r="G36" s="15" t="s">
        <v>15</v>
      </c>
      <c r="H36" s="16" t="s">
        <v>14</v>
      </c>
      <c r="I36" s="17">
        <v>45593</v>
      </c>
      <c r="J36" s="17">
        <v>45593</v>
      </c>
      <c r="K36" s="16">
        <f t="shared" si="7"/>
        <v>45607</v>
      </c>
      <c r="L36" s="30" t="s">
        <v>198</v>
      </c>
      <c r="M36" s="27">
        <v>4.0999999999999996</v>
      </c>
      <c r="N36" s="27">
        <f t="shared" si="8"/>
        <v>0.5</v>
      </c>
      <c r="O36" s="27">
        <f t="shared" si="9"/>
        <v>0</v>
      </c>
      <c r="P36" s="18"/>
      <c r="Q36" s="18"/>
      <c r="R36" s="18"/>
      <c r="S36" s="55"/>
      <c r="T36" s="18"/>
      <c r="U36" s="18"/>
      <c r="V36" s="18"/>
      <c r="W36" s="19"/>
      <c r="X36" s="18"/>
      <c r="Y36" s="18"/>
      <c r="Z36" s="18"/>
      <c r="AA36" s="18"/>
      <c r="AB36" s="18"/>
      <c r="AC36" s="18">
        <v>0.5</v>
      </c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9"/>
      <c r="BI36" s="19"/>
      <c r="BJ36" s="19"/>
      <c r="BK36" s="19"/>
      <c r="BL36" s="19"/>
      <c r="BM36" s="19"/>
      <c r="BN36" s="19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</row>
    <row r="37" spans="1:80" ht="16.2" x14ac:dyDescent="0.4">
      <c r="A37" s="10" t="str">
        <f t="shared" si="6"/>
        <v>PROPERTY_ENERGY_CERTIFICATEDISTRICT_MUNICIP_PARISH_CODE</v>
      </c>
      <c r="B37" s="11" t="s">
        <v>11</v>
      </c>
      <c r="C37" s="12" t="s">
        <v>29</v>
      </c>
      <c r="D37" s="13" t="s">
        <v>16</v>
      </c>
      <c r="E37" s="14" t="s">
        <v>30</v>
      </c>
      <c r="F37" s="13" t="s">
        <v>44</v>
      </c>
      <c r="G37" s="15" t="s">
        <v>15</v>
      </c>
      <c r="H37" s="16" t="s">
        <v>14</v>
      </c>
      <c r="I37" s="17">
        <v>45593</v>
      </c>
      <c r="J37" s="17">
        <v>45593</v>
      </c>
      <c r="K37" s="16">
        <f t="shared" si="7"/>
        <v>45607</v>
      </c>
      <c r="L37" s="30" t="s">
        <v>198</v>
      </c>
      <c r="M37" s="27">
        <v>4.0999999999999996</v>
      </c>
      <c r="N37" s="27">
        <f t="shared" si="8"/>
        <v>0.5</v>
      </c>
      <c r="O37" s="27">
        <f t="shared" si="9"/>
        <v>0</v>
      </c>
      <c r="P37" s="18"/>
      <c r="Q37" s="18"/>
      <c r="R37" s="18"/>
      <c r="S37" s="55"/>
      <c r="T37" s="18"/>
      <c r="U37" s="18"/>
      <c r="V37" s="18"/>
      <c r="W37" s="19"/>
      <c r="X37" s="18"/>
      <c r="Y37" s="18"/>
      <c r="Z37" s="18"/>
      <c r="AA37" s="18"/>
      <c r="AB37" s="18"/>
      <c r="AC37" s="18">
        <v>0.5</v>
      </c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9"/>
      <c r="BI37" s="19"/>
      <c r="BJ37" s="19"/>
      <c r="BK37" s="19"/>
      <c r="BL37" s="19"/>
      <c r="BM37" s="19"/>
      <c r="BN37" s="19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</row>
    <row r="38" spans="1:80" ht="16.2" x14ac:dyDescent="0.4">
      <c r="A38" s="10" t="str">
        <f t="shared" si="6"/>
        <v>PROPERTY_ENERGY_CERTIFICATEPROPERTY_PURPOSE_CODE</v>
      </c>
      <c r="B38" s="11" t="s">
        <v>11</v>
      </c>
      <c r="C38" s="12" t="s">
        <v>29</v>
      </c>
      <c r="D38" s="13" t="s">
        <v>16</v>
      </c>
      <c r="E38" s="14" t="s">
        <v>30</v>
      </c>
      <c r="F38" s="13" t="s">
        <v>45</v>
      </c>
      <c r="G38" s="15" t="s">
        <v>15</v>
      </c>
      <c r="H38" s="16" t="s">
        <v>14</v>
      </c>
      <c r="I38" s="17">
        <v>45593</v>
      </c>
      <c r="J38" s="17">
        <v>45593</v>
      </c>
      <c r="K38" s="16">
        <f t="shared" si="7"/>
        <v>45607</v>
      </c>
      <c r="L38" s="30" t="s">
        <v>198</v>
      </c>
      <c r="M38" s="27">
        <v>4.0999999999999996</v>
      </c>
      <c r="N38" s="27">
        <f t="shared" si="8"/>
        <v>0.5</v>
      </c>
      <c r="O38" s="27">
        <f t="shared" si="9"/>
        <v>0</v>
      </c>
      <c r="P38" s="18"/>
      <c r="Q38" s="18"/>
      <c r="R38" s="18"/>
      <c r="S38" s="55"/>
      <c r="T38" s="18"/>
      <c r="U38" s="18"/>
      <c r="V38" s="18"/>
      <c r="W38" s="19"/>
      <c r="X38" s="18"/>
      <c r="Y38" s="18"/>
      <c r="Z38" s="18"/>
      <c r="AA38" s="18"/>
      <c r="AB38" s="18"/>
      <c r="AC38" s="18">
        <v>0.5</v>
      </c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9"/>
      <c r="BI38" s="19"/>
      <c r="BJ38" s="19"/>
      <c r="BK38" s="19"/>
      <c r="BL38" s="19"/>
      <c r="BM38" s="19"/>
      <c r="BN38" s="19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</row>
    <row r="39" spans="1:80" ht="16.2" x14ac:dyDescent="0.4">
      <c r="A39" s="10" t="str">
        <f t="shared" si="6"/>
        <v>PROPERTY_ENERGY_CERTIFICATEADDRESS_CODE</v>
      </c>
      <c r="B39" s="11" t="s">
        <v>11</v>
      </c>
      <c r="C39" s="12" t="s">
        <v>29</v>
      </c>
      <c r="D39" s="13" t="s">
        <v>16</v>
      </c>
      <c r="E39" s="14" t="s">
        <v>30</v>
      </c>
      <c r="F39" s="13" t="s">
        <v>46</v>
      </c>
      <c r="G39" s="15" t="s">
        <v>15</v>
      </c>
      <c r="H39" s="16" t="s">
        <v>14</v>
      </c>
      <c r="I39" s="17">
        <v>45593</v>
      </c>
      <c r="J39" s="17">
        <v>45593</v>
      </c>
      <c r="K39" s="16">
        <f t="shared" si="7"/>
        <v>45608</v>
      </c>
      <c r="L39" s="30" t="s">
        <v>198</v>
      </c>
      <c r="M39" s="27">
        <v>4.0999999999999996</v>
      </c>
      <c r="N39" s="27">
        <f t="shared" si="8"/>
        <v>0.5</v>
      </c>
      <c r="O39" s="27">
        <f t="shared" si="9"/>
        <v>0</v>
      </c>
      <c r="P39" s="18"/>
      <c r="Q39" s="18"/>
      <c r="R39" s="18"/>
      <c r="S39" s="55"/>
      <c r="T39" s="18"/>
      <c r="U39" s="18"/>
      <c r="V39" s="18"/>
      <c r="W39" s="19"/>
      <c r="X39" s="18"/>
      <c r="Y39" s="18"/>
      <c r="Z39" s="18"/>
      <c r="AA39" s="18"/>
      <c r="AB39" s="18"/>
      <c r="AC39" s="18"/>
      <c r="AD39" s="18">
        <v>0.5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9"/>
      <c r="BI39" s="19"/>
      <c r="BJ39" s="19"/>
      <c r="BK39" s="19"/>
      <c r="BL39" s="19"/>
      <c r="BM39" s="19"/>
      <c r="BN39" s="19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</row>
    <row r="40" spans="1:80" ht="16.2" x14ac:dyDescent="0.4">
      <c r="A40" s="10" t="str">
        <f t="shared" si="6"/>
        <v>PROPERTY_ENERGY_CERTIFICATEFLOOR_NUMBER</v>
      </c>
      <c r="B40" s="11" t="s">
        <v>11</v>
      </c>
      <c r="C40" s="12" t="s">
        <v>29</v>
      </c>
      <c r="D40" s="13" t="s">
        <v>16</v>
      </c>
      <c r="E40" s="14" t="s">
        <v>30</v>
      </c>
      <c r="F40" s="13" t="s">
        <v>47</v>
      </c>
      <c r="G40" s="15" t="s">
        <v>15</v>
      </c>
      <c r="H40" s="16" t="s">
        <v>14</v>
      </c>
      <c r="I40" s="17">
        <v>45593</v>
      </c>
      <c r="J40" s="17">
        <v>45593</v>
      </c>
      <c r="K40" s="16">
        <f t="shared" si="7"/>
        <v>45608</v>
      </c>
      <c r="L40" s="30" t="s">
        <v>198</v>
      </c>
      <c r="M40" s="27">
        <v>4.0999999999999996</v>
      </c>
      <c r="N40" s="27">
        <f t="shared" si="8"/>
        <v>0.5</v>
      </c>
      <c r="O40" s="27">
        <f t="shared" si="9"/>
        <v>0</v>
      </c>
      <c r="P40" s="18"/>
      <c r="Q40" s="18"/>
      <c r="R40" s="18"/>
      <c r="S40" s="55"/>
      <c r="T40" s="18"/>
      <c r="U40" s="18"/>
      <c r="V40" s="18"/>
      <c r="W40" s="19"/>
      <c r="X40" s="18"/>
      <c r="Y40" s="18"/>
      <c r="Z40" s="18"/>
      <c r="AA40" s="18"/>
      <c r="AB40" s="18"/>
      <c r="AC40" s="18"/>
      <c r="AD40" s="18">
        <v>0.5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9"/>
      <c r="BI40" s="19"/>
      <c r="BJ40" s="19"/>
      <c r="BK40" s="19"/>
      <c r="BL40" s="19"/>
      <c r="BM40" s="19"/>
      <c r="BN40" s="19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</row>
    <row r="41" spans="1:80" ht="16.2" x14ac:dyDescent="0.4">
      <c r="A41" s="10" t="str">
        <f t="shared" si="6"/>
        <v>PROPERTY_ENERGY_CERTIFICATELOCALITY</v>
      </c>
      <c r="B41" s="11" t="s">
        <v>11</v>
      </c>
      <c r="C41" s="12" t="s">
        <v>29</v>
      </c>
      <c r="D41" s="13" t="s">
        <v>16</v>
      </c>
      <c r="E41" s="14" t="s">
        <v>30</v>
      </c>
      <c r="F41" s="13" t="s">
        <v>48</v>
      </c>
      <c r="G41" s="15" t="s">
        <v>15</v>
      </c>
      <c r="H41" s="16" t="s">
        <v>14</v>
      </c>
      <c r="I41" s="17">
        <v>45593</v>
      </c>
      <c r="J41" s="17">
        <v>45593</v>
      </c>
      <c r="K41" s="16">
        <f t="shared" si="7"/>
        <v>45608</v>
      </c>
      <c r="L41" s="30" t="s">
        <v>198</v>
      </c>
      <c r="M41" s="27">
        <v>4.0999999999999996</v>
      </c>
      <c r="N41" s="27">
        <f t="shared" si="8"/>
        <v>0.5</v>
      </c>
      <c r="O41" s="27">
        <f t="shared" si="9"/>
        <v>0</v>
      </c>
      <c r="P41" s="18"/>
      <c r="Q41" s="18"/>
      <c r="R41" s="18"/>
      <c r="S41" s="55"/>
      <c r="T41" s="18"/>
      <c r="U41" s="18"/>
      <c r="V41" s="18"/>
      <c r="W41" s="19"/>
      <c r="X41" s="18"/>
      <c r="Y41" s="18"/>
      <c r="Z41" s="18"/>
      <c r="AA41" s="18"/>
      <c r="AB41" s="18"/>
      <c r="AC41" s="18"/>
      <c r="AD41" s="18">
        <v>0.5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9"/>
      <c r="BI41" s="19"/>
      <c r="BJ41" s="19"/>
      <c r="BK41" s="19"/>
      <c r="BL41" s="19"/>
      <c r="BM41" s="19"/>
      <c r="BN41" s="19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</row>
    <row r="42" spans="1:80" ht="16.2" x14ac:dyDescent="0.4">
      <c r="A42" s="10" t="str">
        <f t="shared" si="6"/>
        <v>modesg_param_sfcs_taxon_europeiacod_regra</v>
      </c>
      <c r="B42" s="11" t="s">
        <v>11</v>
      </c>
      <c r="C42" s="12" t="s">
        <v>49</v>
      </c>
      <c r="D42" s="13" t="s">
        <v>16</v>
      </c>
      <c r="E42" s="14" t="s">
        <v>50</v>
      </c>
      <c r="F42" s="13" t="s">
        <v>51</v>
      </c>
      <c r="G42" s="15" t="s">
        <v>15</v>
      </c>
      <c r="H42" s="16" t="s">
        <v>14</v>
      </c>
      <c r="I42" s="17">
        <v>45603</v>
      </c>
      <c r="J42" s="16"/>
      <c r="K42" s="16">
        <f t="shared" si="7"/>
        <v>45609</v>
      </c>
      <c r="L42" s="29"/>
      <c r="M42" s="27">
        <v>0.6</v>
      </c>
      <c r="N42" s="27">
        <f t="shared" si="8"/>
        <v>0.1</v>
      </c>
      <c r="O42" s="27">
        <f t="shared" si="9"/>
        <v>0</v>
      </c>
      <c r="P42" s="18"/>
      <c r="Q42" s="18"/>
      <c r="R42" s="18"/>
      <c r="S42" s="18"/>
      <c r="T42" s="18"/>
      <c r="U42" s="18"/>
      <c r="V42" s="18"/>
      <c r="W42" s="19"/>
      <c r="X42" s="18"/>
      <c r="Y42" s="18"/>
      <c r="Z42" s="18"/>
      <c r="AA42" s="20"/>
      <c r="AB42" s="18"/>
      <c r="AC42" s="18"/>
      <c r="AD42" s="18"/>
      <c r="AE42" s="18">
        <v>0.1</v>
      </c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9"/>
      <c r="BI42" s="19"/>
      <c r="BJ42" s="19"/>
      <c r="BK42" s="19"/>
      <c r="BL42" s="19"/>
      <c r="BM42" s="19"/>
      <c r="BN42" s="19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</row>
    <row r="43" spans="1:80" ht="16.2" x14ac:dyDescent="0.4">
      <c r="A43" s="10" t="str">
        <f t="shared" si="6"/>
        <v>modesg_param_sfcs_taxon_europeiacomite</v>
      </c>
      <c r="B43" s="11" t="s">
        <v>11</v>
      </c>
      <c r="C43" s="12" t="s">
        <v>49</v>
      </c>
      <c r="D43" s="13" t="s">
        <v>16</v>
      </c>
      <c r="E43" s="14" t="s">
        <v>50</v>
      </c>
      <c r="F43" s="13" t="s">
        <v>52</v>
      </c>
      <c r="G43" s="15" t="s">
        <v>15</v>
      </c>
      <c r="H43" s="16" t="s">
        <v>14</v>
      </c>
      <c r="I43" s="17">
        <v>45603</v>
      </c>
      <c r="J43" s="16"/>
      <c r="K43" s="16">
        <f t="shared" si="7"/>
        <v>45609</v>
      </c>
      <c r="L43" s="29"/>
      <c r="M43" s="27">
        <v>0.6</v>
      </c>
      <c r="N43" s="27">
        <f t="shared" si="8"/>
        <v>0.1</v>
      </c>
      <c r="O43" s="27">
        <f t="shared" si="9"/>
        <v>0</v>
      </c>
      <c r="P43" s="18"/>
      <c r="Q43" s="18"/>
      <c r="R43" s="18"/>
      <c r="S43" s="18"/>
      <c r="T43" s="18"/>
      <c r="U43" s="18"/>
      <c r="V43" s="18"/>
      <c r="W43" s="19"/>
      <c r="X43" s="18"/>
      <c r="Y43" s="18"/>
      <c r="Z43" s="18"/>
      <c r="AA43" s="20"/>
      <c r="AB43" s="18"/>
      <c r="AC43" s="18"/>
      <c r="AD43" s="18"/>
      <c r="AE43" s="18">
        <v>0.1</v>
      </c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9"/>
      <c r="BI43" s="19"/>
      <c r="BJ43" s="19"/>
      <c r="BK43" s="19"/>
      <c r="BL43" s="19"/>
      <c r="BM43" s="19"/>
      <c r="BN43" s="19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</row>
    <row r="44" spans="1:80" ht="16.2" x14ac:dyDescent="0.4">
      <c r="A44" s="10" t="str">
        <f t="shared" si="6"/>
        <v>modesg_param_sfcs_taxon_europeiadata_aprvc</v>
      </c>
      <c r="B44" s="11" t="s">
        <v>11</v>
      </c>
      <c r="C44" s="12" t="s">
        <v>49</v>
      </c>
      <c r="D44" s="13" t="s">
        <v>16</v>
      </c>
      <c r="E44" s="14" t="s">
        <v>50</v>
      </c>
      <c r="F44" s="13" t="s">
        <v>53</v>
      </c>
      <c r="G44" s="15" t="s">
        <v>15</v>
      </c>
      <c r="H44" s="16" t="s">
        <v>14</v>
      </c>
      <c r="I44" s="17">
        <v>45603</v>
      </c>
      <c r="J44" s="16"/>
      <c r="K44" s="16">
        <f t="shared" si="7"/>
        <v>45609</v>
      </c>
      <c r="L44" s="29"/>
      <c r="M44" s="27">
        <v>0.6</v>
      </c>
      <c r="N44" s="27">
        <f t="shared" si="8"/>
        <v>0.1</v>
      </c>
      <c r="O44" s="27">
        <f t="shared" si="9"/>
        <v>0</v>
      </c>
      <c r="P44" s="18"/>
      <c r="Q44" s="18"/>
      <c r="R44" s="18"/>
      <c r="S44" s="18"/>
      <c r="T44" s="18"/>
      <c r="U44" s="18"/>
      <c r="V44" s="18"/>
      <c r="W44" s="19"/>
      <c r="X44" s="18"/>
      <c r="Y44" s="18"/>
      <c r="Z44" s="18"/>
      <c r="AA44" s="20"/>
      <c r="AB44" s="18"/>
      <c r="AC44" s="18"/>
      <c r="AD44" s="18"/>
      <c r="AE44" s="18">
        <v>0.1</v>
      </c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9"/>
      <c r="BI44" s="19"/>
      <c r="BJ44" s="19"/>
      <c r="BK44" s="19"/>
      <c r="BL44" s="19"/>
      <c r="BM44" s="19"/>
      <c r="BN44" s="19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</row>
    <row r="45" spans="1:80" ht="16.2" x14ac:dyDescent="0.4">
      <c r="A45" s="10" t="str">
        <f t="shared" si="6"/>
        <v>modesg_param_sfcs_taxon_europeiadata_final</v>
      </c>
      <c r="B45" s="11" t="s">
        <v>11</v>
      </c>
      <c r="C45" s="12" t="s">
        <v>49</v>
      </c>
      <c r="D45" s="13" t="s">
        <v>16</v>
      </c>
      <c r="E45" s="14" t="s">
        <v>50</v>
      </c>
      <c r="F45" s="13" t="s">
        <v>54</v>
      </c>
      <c r="G45" s="15" t="s">
        <v>55</v>
      </c>
      <c r="H45" s="16" t="s">
        <v>14</v>
      </c>
      <c r="I45" s="17">
        <v>45603</v>
      </c>
      <c r="J45" s="16"/>
      <c r="K45" s="16">
        <f t="shared" si="7"/>
        <v>45609</v>
      </c>
      <c r="L45" s="29"/>
      <c r="M45" s="27">
        <v>0.6</v>
      </c>
      <c r="N45" s="27">
        <f t="shared" si="8"/>
        <v>0.1</v>
      </c>
      <c r="O45" s="27">
        <f t="shared" si="9"/>
        <v>0</v>
      </c>
      <c r="P45" s="18"/>
      <c r="Q45" s="18"/>
      <c r="R45" s="18"/>
      <c r="S45" s="18"/>
      <c r="T45" s="18"/>
      <c r="U45" s="18"/>
      <c r="V45" s="18"/>
      <c r="W45" s="19"/>
      <c r="X45" s="18"/>
      <c r="Y45" s="18"/>
      <c r="Z45" s="18"/>
      <c r="AA45" s="20"/>
      <c r="AB45" s="18"/>
      <c r="AC45" s="18"/>
      <c r="AD45" s="18"/>
      <c r="AE45" s="18">
        <v>0.1</v>
      </c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9"/>
      <c r="BI45" s="19"/>
      <c r="BJ45" s="19"/>
      <c r="BK45" s="19"/>
      <c r="BL45" s="19"/>
      <c r="BM45" s="19"/>
      <c r="BN45" s="19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</row>
    <row r="46" spans="1:80" ht="16.2" x14ac:dyDescent="0.4">
      <c r="A46" s="10" t="str">
        <f t="shared" si="6"/>
        <v>modesg_param_sfcs_taxon_europeiadata_inicial</v>
      </c>
      <c r="B46" s="11" t="s">
        <v>11</v>
      </c>
      <c r="C46" s="12" t="s">
        <v>49</v>
      </c>
      <c r="D46" s="13" t="s">
        <v>16</v>
      </c>
      <c r="E46" s="14" t="s">
        <v>50</v>
      </c>
      <c r="F46" s="13" t="s">
        <v>56</v>
      </c>
      <c r="G46" s="15" t="s">
        <v>55</v>
      </c>
      <c r="H46" s="16" t="s">
        <v>14</v>
      </c>
      <c r="I46" s="17">
        <v>45603</v>
      </c>
      <c r="J46" s="16"/>
      <c r="K46" s="16">
        <f t="shared" si="7"/>
        <v>45609</v>
      </c>
      <c r="L46" s="29"/>
      <c r="M46" s="27">
        <v>0.6</v>
      </c>
      <c r="N46" s="27">
        <f t="shared" si="8"/>
        <v>0.1</v>
      </c>
      <c r="O46" s="27">
        <f t="shared" si="9"/>
        <v>0</v>
      </c>
      <c r="P46" s="18"/>
      <c r="Q46" s="18"/>
      <c r="R46" s="18"/>
      <c r="S46" s="18"/>
      <c r="T46" s="18"/>
      <c r="U46" s="18"/>
      <c r="V46" s="18"/>
      <c r="W46" s="19"/>
      <c r="X46" s="18"/>
      <c r="Y46" s="18"/>
      <c r="Z46" s="18"/>
      <c r="AA46" s="20"/>
      <c r="AB46" s="18"/>
      <c r="AC46" s="18"/>
      <c r="AD46" s="18"/>
      <c r="AE46" s="18">
        <v>0.1</v>
      </c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9"/>
      <c r="BI46" s="19"/>
      <c r="BJ46" s="19"/>
      <c r="BK46" s="19"/>
      <c r="BL46" s="19"/>
      <c r="BM46" s="19"/>
      <c r="BN46" s="19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</row>
    <row r="47" spans="1:80" ht="16.2" x14ac:dyDescent="0.4">
      <c r="A47" s="10" t="str">
        <f t="shared" si="6"/>
        <v>modesg_param_sfcs_taxon_europeiaflag_project_finance</v>
      </c>
      <c r="B47" s="11" t="s">
        <v>11</v>
      </c>
      <c r="C47" s="12" t="s">
        <v>49</v>
      </c>
      <c r="D47" s="13" t="s">
        <v>16</v>
      </c>
      <c r="E47" s="14" t="s">
        <v>50</v>
      </c>
      <c r="F47" s="13" t="s">
        <v>57</v>
      </c>
      <c r="G47" s="15" t="s">
        <v>15</v>
      </c>
      <c r="H47" s="16" t="s">
        <v>14</v>
      </c>
      <c r="I47" s="17">
        <v>45603</v>
      </c>
      <c r="J47" s="16"/>
      <c r="K47" s="16">
        <f t="shared" si="7"/>
        <v>45609</v>
      </c>
      <c r="L47" s="29"/>
      <c r="M47" s="27">
        <v>0.6</v>
      </c>
      <c r="N47" s="27">
        <f t="shared" si="8"/>
        <v>0.1</v>
      </c>
      <c r="O47" s="27">
        <f t="shared" si="9"/>
        <v>0</v>
      </c>
      <c r="P47" s="18"/>
      <c r="Q47" s="18"/>
      <c r="R47" s="18"/>
      <c r="S47" s="18"/>
      <c r="T47" s="18"/>
      <c r="U47" s="18"/>
      <c r="V47" s="18"/>
      <c r="W47" s="19"/>
      <c r="X47" s="18"/>
      <c r="Y47" s="18"/>
      <c r="Z47" s="18"/>
      <c r="AA47" s="20"/>
      <c r="AB47" s="18"/>
      <c r="AC47" s="18"/>
      <c r="AD47" s="18"/>
      <c r="AE47" s="18">
        <v>0.1</v>
      </c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9"/>
      <c r="BI47" s="19"/>
      <c r="BJ47" s="19"/>
      <c r="BK47" s="19"/>
      <c r="BL47" s="19"/>
      <c r="BM47" s="19"/>
      <c r="BN47" s="19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</row>
    <row r="48" spans="1:80" ht="16.2" x14ac:dyDescent="0.4">
      <c r="A48" s="10" t="str">
        <f t="shared" si="6"/>
        <v>modesg_param_sfcs_taxon_europeiacfinalidad</v>
      </c>
      <c r="B48" s="11" t="s">
        <v>11</v>
      </c>
      <c r="C48" s="12" t="s">
        <v>49</v>
      </c>
      <c r="D48" s="13" t="s">
        <v>16</v>
      </c>
      <c r="E48" s="14" t="s">
        <v>50</v>
      </c>
      <c r="F48" s="13" t="s">
        <v>58</v>
      </c>
      <c r="G48" s="15" t="s">
        <v>15</v>
      </c>
      <c r="H48" s="16" t="s">
        <v>14</v>
      </c>
      <c r="I48" s="17">
        <v>45603</v>
      </c>
      <c r="J48" s="16"/>
      <c r="K48" s="16">
        <f t="shared" si="7"/>
        <v>45609</v>
      </c>
      <c r="L48" s="29"/>
      <c r="M48" s="27">
        <v>0.6</v>
      </c>
      <c r="N48" s="27">
        <f t="shared" si="8"/>
        <v>0.1</v>
      </c>
      <c r="O48" s="27">
        <f t="shared" si="9"/>
        <v>0</v>
      </c>
      <c r="P48" s="18"/>
      <c r="Q48" s="18"/>
      <c r="R48" s="18"/>
      <c r="S48" s="18"/>
      <c r="T48" s="18"/>
      <c r="U48" s="18"/>
      <c r="V48" s="18"/>
      <c r="W48" s="19"/>
      <c r="X48" s="18"/>
      <c r="Y48" s="18"/>
      <c r="Z48" s="18"/>
      <c r="AA48" s="20"/>
      <c r="AB48" s="18"/>
      <c r="AC48" s="18"/>
      <c r="AD48" s="18"/>
      <c r="AE48" s="18">
        <v>0.1</v>
      </c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9"/>
      <c r="BI48" s="19"/>
      <c r="BJ48" s="19"/>
      <c r="BK48" s="19"/>
      <c r="BL48" s="19"/>
      <c r="BM48" s="19"/>
      <c r="BN48" s="19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</row>
    <row r="49" spans="1:80" ht="16.2" x14ac:dyDescent="0.4">
      <c r="A49" s="10" t="str">
        <f t="shared" si="6"/>
        <v>modesg_param_sfcs_taxon_europeiatipo_combust</v>
      </c>
      <c r="B49" s="11" t="s">
        <v>11</v>
      </c>
      <c r="C49" s="12" t="s">
        <v>49</v>
      </c>
      <c r="D49" s="13" t="s">
        <v>16</v>
      </c>
      <c r="E49" s="14" t="s">
        <v>50</v>
      </c>
      <c r="F49" s="13" t="s">
        <v>59</v>
      </c>
      <c r="G49" s="15" t="s">
        <v>15</v>
      </c>
      <c r="H49" s="16" t="s">
        <v>14</v>
      </c>
      <c r="I49" s="17">
        <v>45603</v>
      </c>
      <c r="J49" s="16"/>
      <c r="K49" s="16">
        <f t="shared" si="7"/>
        <v>45609</v>
      </c>
      <c r="L49" s="29"/>
      <c r="M49" s="27">
        <v>0.6</v>
      </c>
      <c r="N49" s="27">
        <f t="shared" si="8"/>
        <v>0.1</v>
      </c>
      <c r="O49" s="27">
        <f t="shared" si="9"/>
        <v>0</v>
      </c>
      <c r="P49" s="18"/>
      <c r="Q49" s="18"/>
      <c r="R49" s="18"/>
      <c r="S49" s="18"/>
      <c r="T49" s="18"/>
      <c r="U49" s="18"/>
      <c r="V49" s="18"/>
      <c r="W49" s="19"/>
      <c r="X49" s="18"/>
      <c r="Y49" s="18"/>
      <c r="Z49" s="18"/>
      <c r="AA49" s="20"/>
      <c r="AB49" s="18"/>
      <c r="AC49" s="18"/>
      <c r="AD49" s="18"/>
      <c r="AE49" s="18">
        <v>0.1</v>
      </c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9"/>
      <c r="BI49" s="19"/>
      <c r="BJ49" s="19"/>
      <c r="BK49" s="19"/>
      <c r="BL49" s="19"/>
      <c r="BM49" s="19"/>
      <c r="BN49" s="19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</row>
    <row r="50" spans="1:80" ht="16.2" x14ac:dyDescent="0.4">
      <c r="A50" s="10" t="str">
        <f t="shared" si="6"/>
        <v>modesg_param_sfcs_taxon_europeiamontante_pndrc</v>
      </c>
      <c r="B50" s="11" t="s">
        <v>11</v>
      </c>
      <c r="C50" s="12" t="s">
        <v>49</v>
      </c>
      <c r="D50" s="13" t="s">
        <v>16</v>
      </c>
      <c r="E50" s="14" t="s">
        <v>50</v>
      </c>
      <c r="F50" s="13" t="s">
        <v>60</v>
      </c>
      <c r="G50" s="15" t="s">
        <v>15</v>
      </c>
      <c r="H50" s="16" t="s">
        <v>14</v>
      </c>
      <c r="I50" s="17">
        <v>45603</v>
      </c>
      <c r="J50" s="16"/>
      <c r="K50" s="16">
        <f t="shared" si="7"/>
        <v>45609</v>
      </c>
      <c r="L50" s="29"/>
      <c r="M50" s="27">
        <v>0.6</v>
      </c>
      <c r="N50" s="27">
        <f t="shared" si="8"/>
        <v>0.1</v>
      </c>
      <c r="O50" s="27">
        <f t="shared" si="9"/>
        <v>0</v>
      </c>
      <c r="P50" s="18"/>
      <c r="Q50" s="18"/>
      <c r="R50" s="18"/>
      <c r="S50" s="18"/>
      <c r="T50" s="18"/>
      <c r="U50" s="18"/>
      <c r="V50" s="18"/>
      <c r="W50" s="19"/>
      <c r="X50" s="18"/>
      <c r="Y50" s="18"/>
      <c r="Z50" s="18"/>
      <c r="AA50" s="20"/>
      <c r="AB50" s="18"/>
      <c r="AC50" s="18"/>
      <c r="AD50" s="18"/>
      <c r="AE50" s="18">
        <v>0.1</v>
      </c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9"/>
      <c r="BI50" s="19"/>
      <c r="BJ50" s="19"/>
      <c r="BK50" s="19"/>
      <c r="BL50" s="19"/>
      <c r="BM50" s="19"/>
      <c r="BN50" s="19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</row>
    <row r="51" spans="1:80" ht="16.2" x14ac:dyDescent="0.4">
      <c r="A51" s="10" t="str">
        <f t="shared" si="6"/>
        <v>modesg_param_sfcs_taxon_europeianome_ctgr_sfcs</v>
      </c>
      <c r="B51" s="11" t="s">
        <v>11</v>
      </c>
      <c r="C51" s="12" t="s">
        <v>49</v>
      </c>
      <c r="D51" s="13" t="s">
        <v>16</v>
      </c>
      <c r="E51" s="14" t="s">
        <v>50</v>
      </c>
      <c r="F51" s="13" t="s">
        <v>61</v>
      </c>
      <c r="G51" s="15" t="s">
        <v>15</v>
      </c>
      <c r="H51" s="16" t="s">
        <v>14</v>
      </c>
      <c r="I51" s="17">
        <v>45603</v>
      </c>
      <c r="J51" s="16"/>
      <c r="K51" s="16">
        <f t="shared" si="7"/>
        <v>45609</v>
      </c>
      <c r="L51" s="29"/>
      <c r="M51" s="27">
        <v>0.6</v>
      </c>
      <c r="N51" s="27">
        <f t="shared" si="8"/>
        <v>0.1</v>
      </c>
      <c r="O51" s="27">
        <f t="shared" si="9"/>
        <v>0</v>
      </c>
      <c r="P51" s="18"/>
      <c r="Q51" s="18"/>
      <c r="R51" s="18"/>
      <c r="S51" s="18"/>
      <c r="T51" s="18"/>
      <c r="U51" s="18"/>
      <c r="V51" s="18"/>
      <c r="W51" s="19"/>
      <c r="X51" s="18"/>
      <c r="Y51" s="18"/>
      <c r="Z51" s="18"/>
      <c r="AA51" s="20"/>
      <c r="AB51" s="18"/>
      <c r="AC51" s="18"/>
      <c r="AD51" s="18"/>
      <c r="AE51" s="18">
        <v>0.1</v>
      </c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9"/>
      <c r="BI51" s="19"/>
      <c r="BJ51" s="19"/>
      <c r="BK51" s="19"/>
      <c r="BL51" s="19"/>
      <c r="BM51" s="19"/>
      <c r="BN51" s="19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</row>
    <row r="52" spans="1:80" ht="16.2" x14ac:dyDescent="0.4">
      <c r="A52" s="10" t="str">
        <f t="shared" si="6"/>
        <v>modesg_param_sfcs_taxon_europeianome_general_specific_purpose</v>
      </c>
      <c r="B52" s="11" t="s">
        <v>11</v>
      </c>
      <c r="C52" s="12" t="s">
        <v>49</v>
      </c>
      <c r="D52" s="13" t="s">
        <v>16</v>
      </c>
      <c r="E52" s="14" t="s">
        <v>50</v>
      </c>
      <c r="F52" s="13" t="s">
        <v>62</v>
      </c>
      <c r="G52" s="15" t="s">
        <v>15</v>
      </c>
      <c r="H52" s="16" t="s">
        <v>14</v>
      </c>
      <c r="I52" s="17">
        <v>45603</v>
      </c>
      <c r="J52" s="16"/>
      <c r="K52" s="16">
        <f t="shared" si="7"/>
        <v>45609</v>
      </c>
      <c r="L52" s="29"/>
      <c r="M52" s="27">
        <v>0.6</v>
      </c>
      <c r="N52" s="27">
        <f t="shared" si="8"/>
        <v>0.1</v>
      </c>
      <c r="O52" s="27">
        <f t="shared" si="9"/>
        <v>0</v>
      </c>
      <c r="P52" s="18"/>
      <c r="Q52" s="18"/>
      <c r="R52" s="18"/>
      <c r="S52" s="18"/>
      <c r="T52" s="18"/>
      <c r="U52" s="18"/>
      <c r="V52" s="18"/>
      <c r="W52" s="19"/>
      <c r="X52" s="18"/>
      <c r="Y52" s="18"/>
      <c r="Z52" s="18"/>
      <c r="AA52" s="20"/>
      <c r="AB52" s="18"/>
      <c r="AC52" s="18"/>
      <c r="AD52" s="18"/>
      <c r="AE52" s="18">
        <v>0.1</v>
      </c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9"/>
      <c r="BI52" s="19"/>
      <c r="BJ52" s="19"/>
      <c r="BK52" s="19"/>
      <c r="BL52" s="19"/>
      <c r="BM52" s="19"/>
      <c r="BN52" s="19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</row>
    <row r="53" spans="1:80" ht="16.2" x14ac:dyDescent="0.4">
      <c r="A53" s="10" t="str">
        <f t="shared" si="6"/>
        <v>modesg_param_sfcs_taxon_europeianome_purpose_esg</v>
      </c>
      <c r="B53" s="11" t="s">
        <v>11</v>
      </c>
      <c r="C53" s="12" t="s">
        <v>49</v>
      </c>
      <c r="D53" s="13" t="s">
        <v>16</v>
      </c>
      <c r="E53" s="14" t="s">
        <v>50</v>
      </c>
      <c r="F53" s="13" t="s">
        <v>63</v>
      </c>
      <c r="G53" s="15" t="s">
        <v>15</v>
      </c>
      <c r="H53" s="16" t="s">
        <v>14</v>
      </c>
      <c r="I53" s="17">
        <v>45603</v>
      </c>
      <c r="J53" s="16"/>
      <c r="K53" s="16">
        <f t="shared" si="7"/>
        <v>45609</v>
      </c>
      <c r="L53" s="29"/>
      <c r="M53" s="27">
        <v>0.6</v>
      </c>
      <c r="N53" s="27">
        <f t="shared" si="8"/>
        <v>0.1</v>
      </c>
      <c r="O53" s="27">
        <f t="shared" si="9"/>
        <v>0</v>
      </c>
      <c r="P53" s="18"/>
      <c r="Q53" s="18"/>
      <c r="R53" s="18"/>
      <c r="S53" s="18"/>
      <c r="T53" s="18"/>
      <c r="U53" s="18"/>
      <c r="V53" s="18"/>
      <c r="W53" s="19"/>
      <c r="X53" s="18"/>
      <c r="Y53" s="18"/>
      <c r="Z53" s="18"/>
      <c r="AA53" s="20"/>
      <c r="AB53" s="18"/>
      <c r="AC53" s="18"/>
      <c r="AD53" s="18"/>
      <c r="AE53" s="18">
        <v>0.1</v>
      </c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9"/>
      <c r="BI53" s="19"/>
      <c r="BJ53" s="19"/>
      <c r="BK53" s="19"/>
      <c r="BL53" s="19"/>
      <c r="BM53" s="19"/>
      <c r="BN53" s="19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</row>
    <row r="54" spans="1:80" ht="16.2" x14ac:dyDescent="0.4">
      <c r="A54" s="10" t="str">
        <f t="shared" si="6"/>
        <v>modesg_param_sfcs_taxon_europeianome_specific_eligible</v>
      </c>
      <c r="B54" s="11" t="s">
        <v>11</v>
      </c>
      <c r="C54" s="12" t="s">
        <v>49</v>
      </c>
      <c r="D54" s="13" t="s">
        <v>16</v>
      </c>
      <c r="E54" s="14" t="s">
        <v>50</v>
      </c>
      <c r="F54" s="13" t="s">
        <v>64</v>
      </c>
      <c r="G54" s="15" t="s">
        <v>15</v>
      </c>
      <c r="H54" s="16" t="s">
        <v>14</v>
      </c>
      <c r="I54" s="17">
        <v>45603</v>
      </c>
      <c r="J54" s="16"/>
      <c r="K54" s="16">
        <f t="shared" si="7"/>
        <v>45609</v>
      </c>
      <c r="L54" s="29"/>
      <c r="M54" s="27">
        <v>0.6</v>
      </c>
      <c r="N54" s="27">
        <f t="shared" si="8"/>
        <v>0.1</v>
      </c>
      <c r="O54" s="27">
        <f t="shared" si="9"/>
        <v>0</v>
      </c>
      <c r="P54" s="18"/>
      <c r="Q54" s="18"/>
      <c r="R54" s="18"/>
      <c r="S54" s="18"/>
      <c r="T54" s="18"/>
      <c r="U54" s="18"/>
      <c r="V54" s="18"/>
      <c r="W54" s="19"/>
      <c r="X54" s="18"/>
      <c r="Y54" s="18"/>
      <c r="Z54" s="18"/>
      <c r="AA54" s="20"/>
      <c r="AB54" s="18"/>
      <c r="AC54" s="18"/>
      <c r="AD54" s="18"/>
      <c r="AE54" s="18">
        <v>0.1</v>
      </c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9"/>
      <c r="BI54" s="19"/>
      <c r="BJ54" s="19"/>
      <c r="BK54" s="19"/>
      <c r="BL54" s="19"/>
      <c r="BM54" s="19"/>
      <c r="BN54" s="19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</row>
    <row r="55" spans="1:80" ht="16.2" x14ac:dyDescent="0.4">
      <c r="A55" s="10" t="str">
        <f t="shared" si="6"/>
        <v>modesg_param_sfcs_taxon_europeianome_specific_sustainable</v>
      </c>
      <c r="B55" s="11" t="s">
        <v>11</v>
      </c>
      <c r="C55" s="12" t="s">
        <v>49</v>
      </c>
      <c r="D55" s="13" t="s">
        <v>16</v>
      </c>
      <c r="E55" s="14" t="s">
        <v>50</v>
      </c>
      <c r="F55" s="13" t="s">
        <v>65</v>
      </c>
      <c r="G55" s="15" t="s">
        <v>15</v>
      </c>
      <c r="H55" s="16" t="s">
        <v>14</v>
      </c>
      <c r="I55" s="17">
        <v>45603</v>
      </c>
      <c r="J55" s="16"/>
      <c r="K55" s="16">
        <f t="shared" si="7"/>
        <v>45609</v>
      </c>
      <c r="L55" s="29"/>
      <c r="M55" s="27">
        <v>0.6</v>
      </c>
      <c r="N55" s="27">
        <f t="shared" si="8"/>
        <v>0.1</v>
      </c>
      <c r="O55" s="27">
        <f t="shared" si="9"/>
        <v>0</v>
      </c>
      <c r="P55" s="18"/>
      <c r="Q55" s="18"/>
      <c r="R55" s="18"/>
      <c r="S55" s="18"/>
      <c r="T55" s="18"/>
      <c r="U55" s="18"/>
      <c r="V55" s="18"/>
      <c r="W55" s="19"/>
      <c r="X55" s="18"/>
      <c r="Y55" s="18"/>
      <c r="Z55" s="18"/>
      <c r="AA55" s="20"/>
      <c r="AB55" s="18"/>
      <c r="AC55" s="18"/>
      <c r="AD55" s="18"/>
      <c r="AE55" s="18">
        <v>0.1</v>
      </c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9"/>
      <c r="BI55" s="19"/>
      <c r="BJ55" s="19"/>
      <c r="BK55" s="19"/>
      <c r="BL55" s="19"/>
      <c r="BM55" s="19"/>
      <c r="BN55" s="19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</row>
    <row r="56" spans="1:80" ht="16.2" x14ac:dyDescent="0.4">
      <c r="A56" s="10" t="str">
        <f t="shared" si="6"/>
        <v>modesg_param_sfcs_taxon_europeiazcliente</v>
      </c>
      <c r="B56" s="11" t="s">
        <v>11</v>
      </c>
      <c r="C56" s="12" t="s">
        <v>49</v>
      </c>
      <c r="D56" s="13" t="s">
        <v>16</v>
      </c>
      <c r="E56" s="14" t="s">
        <v>50</v>
      </c>
      <c r="F56" s="13" t="s">
        <v>66</v>
      </c>
      <c r="G56" s="15" t="s">
        <v>15</v>
      </c>
      <c r="H56" s="16" t="s">
        <v>14</v>
      </c>
      <c r="I56" s="17">
        <v>45603</v>
      </c>
      <c r="J56" s="16"/>
      <c r="K56" s="16">
        <f t="shared" si="7"/>
        <v>45609</v>
      </c>
      <c r="L56" s="29"/>
      <c r="M56" s="27">
        <v>0.6</v>
      </c>
      <c r="N56" s="27">
        <f t="shared" si="8"/>
        <v>0.1</v>
      </c>
      <c r="O56" s="27">
        <f t="shared" si="9"/>
        <v>0</v>
      </c>
      <c r="P56" s="18"/>
      <c r="Q56" s="18"/>
      <c r="R56" s="18"/>
      <c r="S56" s="18"/>
      <c r="T56" s="18"/>
      <c r="U56" s="18"/>
      <c r="V56" s="18"/>
      <c r="W56" s="19"/>
      <c r="X56" s="18"/>
      <c r="Y56" s="18"/>
      <c r="Z56" s="18"/>
      <c r="AA56" s="20"/>
      <c r="AB56" s="18"/>
      <c r="AC56" s="18"/>
      <c r="AD56" s="18"/>
      <c r="AE56" s="18">
        <v>0.1</v>
      </c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9"/>
      <c r="BI56" s="19"/>
      <c r="BJ56" s="19"/>
      <c r="BK56" s="19"/>
      <c r="BL56" s="19"/>
      <c r="BM56" s="19"/>
      <c r="BN56" s="19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</row>
    <row r="57" spans="1:80" ht="16.2" x14ac:dyDescent="0.4">
      <c r="A57" s="10" t="str">
        <f t="shared" si="6"/>
        <v>modesg_param_sfcs_taxon_europeiazdeposit</v>
      </c>
      <c r="B57" s="11" t="s">
        <v>11</v>
      </c>
      <c r="C57" s="12" t="s">
        <v>49</v>
      </c>
      <c r="D57" s="13" t="s">
        <v>16</v>
      </c>
      <c r="E57" s="14" t="s">
        <v>50</v>
      </c>
      <c r="F57" s="13" t="s">
        <v>67</v>
      </c>
      <c r="G57" s="15" t="s">
        <v>15</v>
      </c>
      <c r="H57" s="16" t="s">
        <v>14</v>
      </c>
      <c r="I57" s="17">
        <v>45603</v>
      </c>
      <c r="J57" s="16"/>
      <c r="K57" s="16">
        <f t="shared" si="7"/>
        <v>45609</v>
      </c>
      <c r="L57" s="29"/>
      <c r="M57" s="27">
        <v>0.6</v>
      </c>
      <c r="N57" s="27">
        <f t="shared" si="8"/>
        <v>0.1</v>
      </c>
      <c r="O57" s="27">
        <f t="shared" si="9"/>
        <v>0</v>
      </c>
      <c r="P57" s="18"/>
      <c r="Q57" s="18"/>
      <c r="R57" s="18"/>
      <c r="S57" s="18"/>
      <c r="T57" s="18"/>
      <c r="U57" s="18"/>
      <c r="V57" s="18"/>
      <c r="W57" s="19"/>
      <c r="X57" s="18"/>
      <c r="Y57" s="18"/>
      <c r="Z57" s="18"/>
      <c r="AA57" s="20"/>
      <c r="AB57" s="18"/>
      <c r="AC57" s="18"/>
      <c r="AD57" s="18"/>
      <c r="AE57" s="18">
        <v>0.1</v>
      </c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9"/>
      <c r="BI57" s="19"/>
      <c r="BJ57" s="19"/>
      <c r="BK57" s="19"/>
      <c r="BL57" s="19"/>
      <c r="BM57" s="19"/>
      <c r="BN57" s="19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</row>
    <row r="58" spans="1:80" ht="16.2" x14ac:dyDescent="0.4">
      <c r="A58" s="10" t="str">
        <f t="shared" si="6"/>
        <v>modesg_out_bens_imoveisflg_rsc_fsc_agd</v>
      </c>
      <c r="B58" s="11" t="s">
        <v>11</v>
      </c>
      <c r="C58" s="12" t="s">
        <v>68</v>
      </c>
      <c r="D58" s="13" t="s">
        <v>16</v>
      </c>
      <c r="E58" s="14" t="s">
        <v>69</v>
      </c>
      <c r="F58" s="13" t="s">
        <v>70</v>
      </c>
      <c r="G58" s="15" t="s">
        <v>15</v>
      </c>
      <c r="H58" s="16" t="s">
        <v>14</v>
      </c>
      <c r="I58" s="17">
        <v>45621</v>
      </c>
      <c r="J58" s="16"/>
      <c r="K58" s="16">
        <f t="shared" si="7"/>
        <v>45623</v>
      </c>
      <c r="L58" s="29"/>
      <c r="M58" s="27">
        <v>16.100000000000001</v>
      </c>
      <c r="N58" s="27">
        <f t="shared" si="8"/>
        <v>2</v>
      </c>
      <c r="O58" s="27">
        <f t="shared" si="9"/>
        <v>0</v>
      </c>
      <c r="P58" s="18"/>
      <c r="Q58" s="18"/>
      <c r="R58" s="18"/>
      <c r="S58" s="18"/>
      <c r="T58" s="18"/>
      <c r="U58" s="18"/>
      <c r="V58" s="18"/>
      <c r="W58" s="19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20"/>
      <c r="AN58" s="18">
        <v>1</v>
      </c>
      <c r="AO58" s="18">
        <v>1</v>
      </c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9"/>
      <c r="BI58" s="19"/>
      <c r="BJ58" s="19"/>
      <c r="BK58" s="19"/>
      <c r="BL58" s="19"/>
      <c r="BM58" s="19"/>
      <c r="BN58" s="19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</row>
    <row r="59" spans="1:80" ht="16.2" x14ac:dyDescent="0.4">
      <c r="A59" s="10" t="str">
        <f t="shared" si="6"/>
        <v>modesg_out_bens_imoveisflg_rsc_fsc_crnc</v>
      </c>
      <c r="B59" s="11" t="s">
        <v>11</v>
      </c>
      <c r="C59" s="12" t="s">
        <v>68</v>
      </c>
      <c r="D59" s="13" t="s">
        <v>16</v>
      </c>
      <c r="E59" s="14" t="s">
        <v>69</v>
      </c>
      <c r="F59" s="13" t="s">
        <v>71</v>
      </c>
      <c r="G59" s="15" t="s">
        <v>15</v>
      </c>
      <c r="H59" s="16" t="s">
        <v>14</v>
      </c>
      <c r="I59" s="17">
        <v>45621</v>
      </c>
      <c r="J59" s="16"/>
      <c r="K59" s="16">
        <f t="shared" si="7"/>
        <v>45625</v>
      </c>
      <c r="L59" s="29"/>
      <c r="M59" s="27">
        <v>16.100000000000001</v>
      </c>
      <c r="N59" s="27">
        <f t="shared" si="8"/>
        <v>2</v>
      </c>
      <c r="O59" s="27">
        <f t="shared" si="9"/>
        <v>0</v>
      </c>
      <c r="P59" s="18"/>
      <c r="Q59" s="18"/>
      <c r="R59" s="18"/>
      <c r="S59" s="18"/>
      <c r="T59" s="18"/>
      <c r="U59" s="18"/>
      <c r="V59" s="18"/>
      <c r="W59" s="19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20"/>
      <c r="AN59" s="18"/>
      <c r="AO59" s="18"/>
      <c r="AP59" s="18">
        <v>1</v>
      </c>
      <c r="AQ59" s="18">
        <v>1</v>
      </c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9"/>
      <c r="BI59" s="19"/>
      <c r="BJ59" s="19"/>
      <c r="BK59" s="19"/>
      <c r="BL59" s="19"/>
      <c r="BM59" s="19"/>
      <c r="BN59" s="19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</row>
    <row r="60" spans="1:80" ht="16.2" x14ac:dyDescent="0.4">
      <c r="A60" s="10" t="str">
        <f t="shared" si="6"/>
        <v>modesg_out_bens_imoveisorigem_flg_rsc_fsc_agd</v>
      </c>
      <c r="B60" s="11" t="s">
        <v>11</v>
      </c>
      <c r="C60" s="12" t="s">
        <v>68</v>
      </c>
      <c r="D60" s="13" t="s">
        <v>16</v>
      </c>
      <c r="E60" s="14" t="s">
        <v>69</v>
      </c>
      <c r="F60" s="13" t="s">
        <v>72</v>
      </c>
      <c r="G60" s="15" t="s">
        <v>15</v>
      </c>
      <c r="H60" s="16" t="s">
        <v>14</v>
      </c>
      <c r="I60" s="17">
        <v>45621</v>
      </c>
      <c r="J60" s="16"/>
      <c r="K60" s="16">
        <f t="shared" si="7"/>
        <v>45628</v>
      </c>
      <c r="L60" s="29"/>
      <c r="M60" s="27">
        <v>4.0999999999999996</v>
      </c>
      <c r="N60" s="27">
        <f t="shared" si="8"/>
        <v>0.5</v>
      </c>
      <c r="O60" s="27">
        <f t="shared" si="9"/>
        <v>0</v>
      </c>
      <c r="P60" s="18"/>
      <c r="Q60" s="18"/>
      <c r="R60" s="18"/>
      <c r="S60" s="18"/>
      <c r="T60" s="18"/>
      <c r="U60" s="18"/>
      <c r="V60" s="18"/>
      <c r="W60" s="19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20"/>
      <c r="AN60" s="18"/>
      <c r="AO60" s="18"/>
      <c r="AP60" s="18"/>
      <c r="AQ60" s="18"/>
      <c r="AR60" s="18">
        <v>0.5</v>
      </c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9"/>
      <c r="BI60" s="19"/>
      <c r="BJ60" s="19"/>
      <c r="BK60" s="19"/>
      <c r="BL60" s="19"/>
      <c r="BM60" s="19"/>
      <c r="BN60" s="19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</row>
    <row r="61" spans="1:80" ht="16.2" x14ac:dyDescent="0.4">
      <c r="A61" s="10" t="str">
        <f t="shared" si="6"/>
        <v>modesg_out_bens_imoveisorigem_flg_rsc_fsc_crnc</v>
      </c>
      <c r="B61" s="11" t="s">
        <v>11</v>
      </c>
      <c r="C61" s="12" t="s">
        <v>68</v>
      </c>
      <c r="D61" s="13" t="s">
        <v>16</v>
      </c>
      <c r="E61" s="14" t="s">
        <v>69</v>
      </c>
      <c r="F61" s="13" t="s">
        <v>73</v>
      </c>
      <c r="G61" s="15" t="s">
        <v>15</v>
      </c>
      <c r="H61" s="16" t="s">
        <v>14</v>
      </c>
      <c r="I61" s="17">
        <v>45621</v>
      </c>
      <c r="J61" s="16"/>
      <c r="K61" s="16">
        <f t="shared" si="7"/>
        <v>45628</v>
      </c>
      <c r="L61" s="29"/>
      <c r="M61" s="27">
        <v>4.0999999999999996</v>
      </c>
      <c r="N61" s="27">
        <f t="shared" si="8"/>
        <v>0.5</v>
      </c>
      <c r="O61" s="27">
        <f t="shared" si="9"/>
        <v>0</v>
      </c>
      <c r="P61" s="18"/>
      <c r="Q61" s="18"/>
      <c r="R61" s="18"/>
      <c r="S61" s="18"/>
      <c r="T61" s="18"/>
      <c r="U61" s="18"/>
      <c r="V61" s="18"/>
      <c r="W61" s="19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20"/>
      <c r="AN61" s="18"/>
      <c r="AO61" s="18"/>
      <c r="AP61" s="18"/>
      <c r="AQ61" s="18"/>
      <c r="AR61" s="18">
        <v>0.5</v>
      </c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9"/>
      <c r="BI61" s="19"/>
      <c r="BJ61" s="19"/>
      <c r="BK61" s="19"/>
      <c r="BL61" s="19"/>
      <c r="BM61" s="19"/>
      <c r="BN61" s="19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</row>
    <row r="62" spans="1:80" ht="16.2" x14ac:dyDescent="0.4">
      <c r="A62" s="10" t="str">
        <f t="shared" si="6"/>
        <v>modesg_out_bens_imoveisorigem_scp1_emss</v>
      </c>
      <c r="B62" s="11" t="s">
        <v>11</v>
      </c>
      <c r="C62" s="12" t="s">
        <v>68</v>
      </c>
      <c r="D62" s="13" t="s">
        <v>16</v>
      </c>
      <c r="E62" s="14" t="s">
        <v>69</v>
      </c>
      <c r="F62" s="13" t="s">
        <v>74</v>
      </c>
      <c r="G62" s="15" t="s">
        <v>15</v>
      </c>
      <c r="H62" s="16" t="s">
        <v>14</v>
      </c>
      <c r="I62" s="17">
        <v>45600</v>
      </c>
      <c r="J62" s="16">
        <v>45601</v>
      </c>
      <c r="K62" s="16">
        <f t="shared" si="7"/>
        <v>45602</v>
      </c>
      <c r="L62" s="29" t="s">
        <v>196</v>
      </c>
      <c r="M62" s="27">
        <v>4.0999999999999996</v>
      </c>
      <c r="N62" s="27">
        <f t="shared" si="8"/>
        <v>0.5</v>
      </c>
      <c r="O62" s="27">
        <f t="shared" si="9"/>
        <v>0</v>
      </c>
      <c r="P62" s="18"/>
      <c r="Q62" s="18"/>
      <c r="R62" s="18"/>
      <c r="S62" s="18"/>
      <c r="T62" s="18"/>
      <c r="U62" s="18"/>
      <c r="V62" s="18"/>
      <c r="W62" s="19"/>
      <c r="X62" s="20"/>
      <c r="Y62" s="55"/>
      <c r="Z62" s="18">
        <v>0.5</v>
      </c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9"/>
      <c r="BI62" s="19"/>
      <c r="BJ62" s="19"/>
      <c r="BK62" s="19"/>
      <c r="BL62" s="19"/>
      <c r="BM62" s="19"/>
      <c r="BN62" s="19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</row>
    <row r="63" spans="1:80" ht="16.2" x14ac:dyDescent="0.4">
      <c r="A63" s="10" t="str">
        <f t="shared" si="6"/>
        <v>modesg_out_bens_imoveisorigem_scp2_emss</v>
      </c>
      <c r="B63" s="11" t="s">
        <v>11</v>
      </c>
      <c r="C63" s="12" t="s">
        <v>68</v>
      </c>
      <c r="D63" s="13" t="s">
        <v>16</v>
      </c>
      <c r="E63" s="14" t="s">
        <v>69</v>
      </c>
      <c r="F63" s="13" t="s">
        <v>75</v>
      </c>
      <c r="G63" s="15" t="s">
        <v>15</v>
      </c>
      <c r="H63" s="16" t="s">
        <v>14</v>
      </c>
      <c r="I63" s="17">
        <v>45600</v>
      </c>
      <c r="J63" s="16">
        <v>45601</v>
      </c>
      <c r="K63" s="16">
        <f t="shared" si="7"/>
        <v>45602</v>
      </c>
      <c r="L63" s="29" t="s">
        <v>196</v>
      </c>
      <c r="M63" s="27">
        <v>4.0999999999999996</v>
      </c>
      <c r="N63" s="27">
        <f t="shared" si="8"/>
        <v>0.5</v>
      </c>
      <c r="O63" s="27">
        <f t="shared" si="9"/>
        <v>0</v>
      </c>
      <c r="P63" s="18"/>
      <c r="Q63" s="18"/>
      <c r="R63" s="18"/>
      <c r="S63" s="18"/>
      <c r="T63" s="18"/>
      <c r="U63" s="18"/>
      <c r="V63" s="18"/>
      <c r="W63" s="19"/>
      <c r="X63" s="20"/>
      <c r="Y63" s="55"/>
      <c r="Z63" s="18">
        <v>0.5</v>
      </c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9"/>
      <c r="BI63" s="19"/>
      <c r="BJ63" s="19"/>
      <c r="BK63" s="19"/>
      <c r="BL63" s="19"/>
      <c r="BM63" s="19"/>
      <c r="BN63" s="19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</row>
    <row r="64" spans="1:80" ht="16.2" x14ac:dyDescent="0.4">
      <c r="A64" s="10" t="str">
        <f t="shared" si="6"/>
        <v>modesg_out_bens_imoveisorigem_scp3_emss</v>
      </c>
      <c r="B64" s="11" t="s">
        <v>11</v>
      </c>
      <c r="C64" s="12" t="s">
        <v>68</v>
      </c>
      <c r="D64" s="13" t="s">
        <v>16</v>
      </c>
      <c r="E64" s="14" t="s">
        <v>69</v>
      </c>
      <c r="F64" s="13" t="s">
        <v>76</v>
      </c>
      <c r="G64" s="15" t="s">
        <v>15</v>
      </c>
      <c r="H64" s="16" t="s">
        <v>14</v>
      </c>
      <c r="I64" s="17">
        <v>45600</v>
      </c>
      <c r="J64" s="16">
        <v>45601</v>
      </c>
      <c r="K64" s="16">
        <f t="shared" si="7"/>
        <v>45603</v>
      </c>
      <c r="L64" s="29" t="s">
        <v>196</v>
      </c>
      <c r="M64" s="27">
        <v>4.0999999999999996</v>
      </c>
      <c r="N64" s="27">
        <f t="shared" si="8"/>
        <v>0.5</v>
      </c>
      <c r="O64" s="27">
        <f t="shared" si="9"/>
        <v>0</v>
      </c>
      <c r="P64" s="18"/>
      <c r="Q64" s="18"/>
      <c r="R64" s="18"/>
      <c r="S64" s="18"/>
      <c r="T64" s="18"/>
      <c r="U64" s="18"/>
      <c r="V64" s="18"/>
      <c r="W64" s="19"/>
      <c r="X64" s="20"/>
      <c r="Y64" s="55"/>
      <c r="Z64" s="18"/>
      <c r="AA64" s="18">
        <v>0.5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9"/>
      <c r="BI64" s="19"/>
      <c r="BJ64" s="19"/>
      <c r="BK64" s="19"/>
      <c r="BL64" s="19"/>
      <c r="BM64" s="19"/>
      <c r="BN64" s="19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</row>
    <row r="65" spans="1:80" ht="16.2" x14ac:dyDescent="0.4">
      <c r="A65" s="10" t="str">
        <f t="shared" si="6"/>
        <v>modesg_out_bens_imoveisscp1_emss</v>
      </c>
      <c r="B65" s="11" t="s">
        <v>11</v>
      </c>
      <c r="C65" s="12" t="s">
        <v>68</v>
      </c>
      <c r="D65" s="13" t="s">
        <v>16</v>
      </c>
      <c r="E65" s="14" t="s">
        <v>69</v>
      </c>
      <c r="F65" s="13" t="s">
        <v>77</v>
      </c>
      <c r="G65" s="15" t="s">
        <v>15</v>
      </c>
      <c r="H65" s="16" t="s">
        <v>14</v>
      </c>
      <c r="I65" s="17">
        <v>45600</v>
      </c>
      <c r="J65" s="16">
        <v>45601</v>
      </c>
      <c r="K65" s="16">
        <f t="shared" si="7"/>
        <v>45604</v>
      </c>
      <c r="L65" s="29" t="s">
        <v>196</v>
      </c>
      <c r="M65" s="27">
        <v>8.1</v>
      </c>
      <c r="N65" s="27">
        <f t="shared" si="8"/>
        <v>1</v>
      </c>
      <c r="O65" s="27">
        <f t="shared" si="9"/>
        <v>0</v>
      </c>
      <c r="P65" s="18"/>
      <c r="Q65" s="18"/>
      <c r="R65" s="18"/>
      <c r="S65" s="18"/>
      <c r="T65" s="18"/>
      <c r="U65" s="18"/>
      <c r="V65" s="18"/>
      <c r="W65" s="19"/>
      <c r="X65" s="20"/>
      <c r="Y65" s="55"/>
      <c r="Z65" s="18"/>
      <c r="AA65" s="18">
        <v>0.5</v>
      </c>
      <c r="AB65" s="18">
        <v>0.5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9"/>
      <c r="BI65" s="19"/>
      <c r="BJ65" s="19"/>
      <c r="BK65" s="19"/>
      <c r="BL65" s="19"/>
      <c r="BM65" s="19"/>
      <c r="BN65" s="19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</row>
    <row r="66" spans="1:80" ht="16.2" x14ac:dyDescent="0.4">
      <c r="A66" s="10" t="str">
        <f t="shared" si="6"/>
        <v>modesg_out_bens_imoveisscp2_emss</v>
      </c>
      <c r="B66" s="11" t="s">
        <v>11</v>
      </c>
      <c r="C66" s="12" t="s">
        <v>68</v>
      </c>
      <c r="D66" s="13" t="s">
        <v>16</v>
      </c>
      <c r="E66" s="14" t="s">
        <v>69</v>
      </c>
      <c r="F66" s="13" t="s">
        <v>78</v>
      </c>
      <c r="G66" s="15" t="s">
        <v>15</v>
      </c>
      <c r="H66" s="16" t="s">
        <v>14</v>
      </c>
      <c r="I66" s="17">
        <v>45600</v>
      </c>
      <c r="J66" s="16">
        <v>45601</v>
      </c>
      <c r="K66" s="16">
        <f t="shared" si="7"/>
        <v>45607</v>
      </c>
      <c r="L66" s="29" t="s">
        <v>196</v>
      </c>
      <c r="M66" s="27">
        <v>8.1</v>
      </c>
      <c r="N66" s="27">
        <f t="shared" si="8"/>
        <v>1</v>
      </c>
      <c r="O66" s="27">
        <f t="shared" si="9"/>
        <v>0</v>
      </c>
      <c r="P66" s="18"/>
      <c r="Q66" s="18"/>
      <c r="R66" s="18"/>
      <c r="S66" s="18"/>
      <c r="T66" s="18"/>
      <c r="U66" s="18"/>
      <c r="V66" s="18"/>
      <c r="W66" s="19"/>
      <c r="X66" s="20"/>
      <c r="Y66" s="55"/>
      <c r="Z66" s="18"/>
      <c r="AA66" s="18"/>
      <c r="AB66" s="18">
        <v>0.5</v>
      </c>
      <c r="AC66" s="18">
        <v>0.5</v>
      </c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9"/>
      <c r="BI66" s="19"/>
      <c r="BJ66" s="19"/>
      <c r="BK66" s="19"/>
      <c r="BL66" s="19"/>
      <c r="BM66" s="19"/>
      <c r="BN66" s="19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</row>
    <row r="67" spans="1:80" ht="16.2" x14ac:dyDescent="0.4">
      <c r="A67" s="10" t="str">
        <f t="shared" si="6"/>
        <v>modesg_out_bens_imoveisunidade_funcional_scp1_emss</v>
      </c>
      <c r="B67" s="11" t="s">
        <v>11</v>
      </c>
      <c r="C67" s="12" t="s">
        <v>68</v>
      </c>
      <c r="D67" s="13" t="s">
        <v>16</v>
      </c>
      <c r="E67" s="14" t="s">
        <v>69</v>
      </c>
      <c r="F67" s="13" t="s">
        <v>79</v>
      </c>
      <c r="G67" s="15" t="s">
        <v>15</v>
      </c>
      <c r="H67" s="16" t="s">
        <v>14</v>
      </c>
      <c r="I67" s="17">
        <v>45600</v>
      </c>
      <c r="J67" s="16">
        <v>45601</v>
      </c>
      <c r="K67" s="16">
        <f t="shared" si="7"/>
        <v>45607</v>
      </c>
      <c r="L67" s="29" t="s">
        <v>196</v>
      </c>
      <c r="M67" s="27">
        <v>4.0999999999999996</v>
      </c>
      <c r="N67" s="27">
        <f t="shared" si="8"/>
        <v>0.5</v>
      </c>
      <c r="O67" s="27">
        <f t="shared" si="9"/>
        <v>0</v>
      </c>
      <c r="P67" s="18"/>
      <c r="Q67" s="18"/>
      <c r="R67" s="18"/>
      <c r="S67" s="18"/>
      <c r="T67" s="18"/>
      <c r="U67" s="18"/>
      <c r="V67" s="18"/>
      <c r="W67" s="19"/>
      <c r="X67" s="20"/>
      <c r="Y67" s="55"/>
      <c r="Z67" s="18"/>
      <c r="AA67" s="18"/>
      <c r="AB67" s="18"/>
      <c r="AC67" s="18">
        <v>0.5</v>
      </c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9"/>
      <c r="BI67" s="19"/>
      <c r="BJ67" s="19"/>
      <c r="BK67" s="19"/>
      <c r="BL67" s="19"/>
      <c r="BM67" s="19"/>
      <c r="BN67" s="19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</row>
    <row r="68" spans="1:80" ht="16.2" x14ac:dyDescent="0.4">
      <c r="A68" s="10" t="str">
        <f t="shared" si="6"/>
        <v>modesg_out_bens_imoveisunidade_funcional_scp2_emss</v>
      </c>
      <c r="B68" s="11" t="s">
        <v>11</v>
      </c>
      <c r="C68" s="12" t="s">
        <v>68</v>
      </c>
      <c r="D68" s="13" t="s">
        <v>16</v>
      </c>
      <c r="E68" s="14" t="s">
        <v>69</v>
      </c>
      <c r="F68" s="13" t="s">
        <v>80</v>
      </c>
      <c r="G68" s="15" t="s">
        <v>15</v>
      </c>
      <c r="H68" s="16" t="s">
        <v>14</v>
      </c>
      <c r="I68" s="17">
        <v>45600</v>
      </c>
      <c r="J68" s="16">
        <v>45601</v>
      </c>
      <c r="K68" s="16">
        <f t="shared" si="7"/>
        <v>45608</v>
      </c>
      <c r="L68" s="29" t="s">
        <v>196</v>
      </c>
      <c r="M68" s="27">
        <v>4.0999999999999996</v>
      </c>
      <c r="N68" s="27">
        <f t="shared" si="8"/>
        <v>0.5</v>
      </c>
      <c r="O68" s="27">
        <f t="shared" si="9"/>
        <v>0</v>
      </c>
      <c r="P68" s="18"/>
      <c r="Q68" s="18"/>
      <c r="R68" s="18"/>
      <c r="S68" s="18"/>
      <c r="T68" s="18"/>
      <c r="U68" s="18"/>
      <c r="V68" s="18"/>
      <c r="W68" s="19"/>
      <c r="X68" s="20"/>
      <c r="Y68" s="55"/>
      <c r="Z68" s="18"/>
      <c r="AA68" s="18"/>
      <c r="AB68" s="18"/>
      <c r="AC68" s="18"/>
      <c r="AD68" s="18">
        <v>0.5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9"/>
      <c r="BI68" s="19"/>
      <c r="BJ68" s="19"/>
      <c r="BK68" s="19"/>
      <c r="BL68" s="19"/>
      <c r="BM68" s="19"/>
      <c r="BN68" s="19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</row>
    <row r="69" spans="1:80" ht="16.2" x14ac:dyDescent="0.4">
      <c r="A69" s="10" t="str">
        <f t="shared" si="6"/>
        <v>modesg_out_bens_imoveisunidade_funcional_scp3_emss</v>
      </c>
      <c r="B69" s="11" t="s">
        <v>11</v>
      </c>
      <c r="C69" s="12" t="s">
        <v>68</v>
      </c>
      <c r="D69" s="13" t="s">
        <v>16</v>
      </c>
      <c r="E69" s="14" t="s">
        <v>69</v>
      </c>
      <c r="F69" s="13" t="s">
        <v>81</v>
      </c>
      <c r="G69" s="15" t="s">
        <v>15</v>
      </c>
      <c r="H69" s="16" t="s">
        <v>14</v>
      </c>
      <c r="I69" s="17">
        <v>45600</v>
      </c>
      <c r="J69" s="16">
        <v>45601</v>
      </c>
      <c r="K69" s="16">
        <f t="shared" si="7"/>
        <v>45608</v>
      </c>
      <c r="L69" s="29" t="s">
        <v>196</v>
      </c>
      <c r="M69" s="27">
        <v>4.0999999999999996</v>
      </c>
      <c r="N69" s="27">
        <f t="shared" si="8"/>
        <v>0.5</v>
      </c>
      <c r="O69" s="27">
        <f t="shared" si="9"/>
        <v>0</v>
      </c>
      <c r="P69" s="18"/>
      <c r="Q69" s="18"/>
      <c r="R69" s="18"/>
      <c r="S69" s="18"/>
      <c r="T69" s="18"/>
      <c r="U69" s="18"/>
      <c r="V69" s="18"/>
      <c r="W69" s="19"/>
      <c r="X69" s="20"/>
      <c r="Y69" s="55"/>
      <c r="Z69" s="18"/>
      <c r="AA69" s="18"/>
      <c r="AB69" s="18"/>
      <c r="AC69" s="18"/>
      <c r="AD69" s="18">
        <v>0.5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9"/>
      <c r="BI69" s="19"/>
      <c r="BJ69" s="19"/>
      <c r="BK69" s="19"/>
      <c r="BL69" s="19"/>
      <c r="BM69" s="19"/>
      <c r="BN69" s="19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</row>
    <row r="70" spans="1:80" ht="16.2" x14ac:dyDescent="0.4">
      <c r="A70" s="10" t="str">
        <f t="shared" si="6"/>
        <v>modesg_out_empr_info_nfincca_capex_enblng_algnd</v>
      </c>
      <c r="B70" s="11" t="s">
        <v>11</v>
      </c>
      <c r="C70" s="12" t="s">
        <v>68</v>
      </c>
      <c r="D70" s="13" t="s">
        <v>16</v>
      </c>
      <c r="E70" s="14" t="s">
        <v>82</v>
      </c>
      <c r="F70" s="13" t="s">
        <v>83</v>
      </c>
      <c r="G70" s="15" t="s">
        <v>15</v>
      </c>
      <c r="H70" s="16" t="s">
        <v>14</v>
      </c>
      <c r="I70" s="17">
        <v>45614</v>
      </c>
      <c r="J70" s="16"/>
      <c r="K70" s="16">
        <f t="shared" si="7"/>
        <v>45615</v>
      </c>
      <c r="L70" s="29"/>
      <c r="M70" s="27">
        <v>16.100000000000001</v>
      </c>
      <c r="N70" s="60">
        <v>1</v>
      </c>
      <c r="O70" s="27">
        <f t="shared" si="9"/>
        <v>0</v>
      </c>
      <c r="P70" s="18"/>
      <c r="Q70" s="18"/>
      <c r="R70" s="18"/>
      <c r="S70" s="18"/>
      <c r="T70" s="18"/>
      <c r="U70" s="18"/>
      <c r="V70" s="18"/>
      <c r="W70" s="19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0"/>
      <c r="AI70" s="18">
        <v>1</v>
      </c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9"/>
      <c r="BI70" s="19"/>
      <c r="BJ70" s="19"/>
      <c r="BK70" s="19"/>
      <c r="BL70" s="19"/>
      <c r="BM70" s="19"/>
      <c r="BN70" s="19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</row>
    <row r="71" spans="1:80" ht="16.2" x14ac:dyDescent="0.4">
      <c r="A71" s="10" t="str">
        <f t="shared" ref="A71:A132" si="10">E71&amp;F71</f>
        <v>modesg_out_empr_info_nfincca_capex_own_prfrmnce_algnd</v>
      </c>
      <c r="B71" s="11" t="s">
        <v>11</v>
      </c>
      <c r="C71" s="12" t="s">
        <v>68</v>
      </c>
      <c r="D71" s="13" t="s">
        <v>16</v>
      </c>
      <c r="E71" s="14" t="s">
        <v>82</v>
      </c>
      <c r="F71" s="13" t="s">
        <v>84</v>
      </c>
      <c r="G71" s="15" t="s">
        <v>15</v>
      </c>
      <c r="H71" s="16" t="s">
        <v>14</v>
      </c>
      <c r="I71" s="17">
        <v>45614</v>
      </c>
      <c r="J71" s="16"/>
      <c r="K71" s="16">
        <f t="shared" ref="K71:K132" si="11">IF(COUNTA(P71:BM71)=0,"",_xlfn.MAXIFS($P$7:$BM$7,P71:BM71,"&gt;0"))</f>
        <v>45616</v>
      </c>
      <c r="L71" s="29"/>
      <c r="M71" s="27">
        <v>16.100000000000001</v>
      </c>
      <c r="N71" s="60">
        <v>1</v>
      </c>
      <c r="O71" s="27">
        <f t="shared" si="9"/>
        <v>0</v>
      </c>
      <c r="P71" s="18"/>
      <c r="Q71" s="18"/>
      <c r="R71" s="18"/>
      <c r="S71" s="18"/>
      <c r="T71" s="18"/>
      <c r="U71" s="18"/>
      <c r="V71" s="18"/>
      <c r="W71" s="19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20"/>
      <c r="AI71" s="18"/>
      <c r="AJ71" s="18">
        <v>1</v>
      </c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9"/>
      <c r="BI71" s="19"/>
      <c r="BJ71" s="19"/>
      <c r="BK71" s="19"/>
      <c r="BL71" s="19"/>
      <c r="BM71" s="19"/>
      <c r="BN71" s="19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</row>
    <row r="72" spans="1:80" ht="16.2" x14ac:dyDescent="0.4">
      <c r="A72" s="10" t="str">
        <f t="shared" si="10"/>
        <v>modesg_out_empr_info_nfincca_capex_ttl_elgbl</v>
      </c>
      <c r="B72" s="11" t="s">
        <v>11</v>
      </c>
      <c r="C72" s="12" t="s">
        <v>68</v>
      </c>
      <c r="D72" s="13" t="s">
        <v>16</v>
      </c>
      <c r="E72" s="14" t="s">
        <v>82</v>
      </c>
      <c r="F72" s="13" t="s">
        <v>85</v>
      </c>
      <c r="G72" s="15" t="s">
        <v>15</v>
      </c>
      <c r="H72" s="16" t="s">
        <v>14</v>
      </c>
      <c r="I72" s="17">
        <v>45614</v>
      </c>
      <c r="J72" s="16"/>
      <c r="K72" s="16">
        <f t="shared" si="11"/>
        <v>45617</v>
      </c>
      <c r="L72" s="29"/>
      <c r="M72" s="27">
        <v>16.100000000000001</v>
      </c>
      <c r="N72" s="60">
        <v>1</v>
      </c>
      <c r="O72" s="27">
        <f t="shared" si="9"/>
        <v>0</v>
      </c>
      <c r="P72" s="18"/>
      <c r="Q72" s="18"/>
      <c r="R72" s="18"/>
      <c r="S72" s="18"/>
      <c r="T72" s="18"/>
      <c r="U72" s="18"/>
      <c r="V72" s="18"/>
      <c r="W72" s="19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0"/>
      <c r="AI72" s="18"/>
      <c r="AJ72" s="18"/>
      <c r="AK72" s="18">
        <v>1</v>
      </c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9"/>
      <c r="BI72" s="19"/>
      <c r="BJ72" s="19"/>
      <c r="BK72" s="19"/>
      <c r="BL72" s="19"/>
      <c r="BM72" s="19"/>
      <c r="BN72" s="19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</row>
    <row r="73" spans="1:80" ht="16.2" x14ac:dyDescent="0.4">
      <c r="A73" s="10" t="str">
        <f t="shared" si="10"/>
        <v>modesg_out_empr_info_nfincca_trnvr_enblng_alignd</v>
      </c>
      <c r="B73" s="11" t="s">
        <v>11</v>
      </c>
      <c r="C73" s="12" t="s">
        <v>68</v>
      </c>
      <c r="D73" s="13" t="s">
        <v>16</v>
      </c>
      <c r="E73" s="14" t="s">
        <v>82</v>
      </c>
      <c r="F73" s="13" t="s">
        <v>86</v>
      </c>
      <c r="G73" s="15" t="s">
        <v>15</v>
      </c>
      <c r="H73" s="16" t="s">
        <v>14</v>
      </c>
      <c r="I73" s="17">
        <v>45614</v>
      </c>
      <c r="J73" s="16"/>
      <c r="K73" s="16">
        <f t="shared" si="11"/>
        <v>45618</v>
      </c>
      <c r="L73" s="29"/>
      <c r="M73" s="31">
        <v>4</v>
      </c>
      <c r="N73" s="27">
        <f t="shared" ref="N73:N132" si="12">ROUND(M73/8,1)</f>
        <v>0.5</v>
      </c>
      <c r="O73" s="27">
        <f t="shared" ref="O73:O136" si="13">SUM(P73:CB73)-N73</f>
        <v>0</v>
      </c>
      <c r="P73" s="18"/>
      <c r="Q73" s="18"/>
      <c r="R73" s="18"/>
      <c r="S73" s="18"/>
      <c r="T73" s="18"/>
      <c r="U73" s="18"/>
      <c r="V73" s="18"/>
      <c r="W73" s="19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20"/>
      <c r="AI73" s="18"/>
      <c r="AJ73" s="18"/>
      <c r="AK73" s="18"/>
      <c r="AL73" s="18">
        <v>0.5</v>
      </c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9"/>
      <c r="BI73" s="19"/>
      <c r="BJ73" s="19"/>
      <c r="BK73" s="19"/>
      <c r="BL73" s="19"/>
      <c r="BM73" s="19"/>
      <c r="BN73" s="19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</row>
    <row r="74" spans="1:80" ht="16.2" x14ac:dyDescent="0.4">
      <c r="A74" s="10" t="str">
        <f t="shared" si="10"/>
        <v>modesg_out_empr_info_nfincca_trnvr_ttl_elgbl</v>
      </c>
      <c r="B74" s="11" t="s">
        <v>11</v>
      </c>
      <c r="C74" s="12" t="s">
        <v>68</v>
      </c>
      <c r="D74" s="13" t="s">
        <v>16</v>
      </c>
      <c r="E74" s="14" t="s">
        <v>82</v>
      </c>
      <c r="F74" s="13" t="s">
        <v>87</v>
      </c>
      <c r="G74" s="15" t="s">
        <v>15</v>
      </c>
      <c r="H74" s="16" t="s">
        <v>14</v>
      </c>
      <c r="I74" s="17">
        <v>45614</v>
      </c>
      <c r="J74" s="16"/>
      <c r="K74" s="16">
        <f t="shared" si="11"/>
        <v>45618</v>
      </c>
      <c r="L74" s="29"/>
      <c r="M74" s="31">
        <v>4</v>
      </c>
      <c r="N74" s="27">
        <f t="shared" si="12"/>
        <v>0.5</v>
      </c>
      <c r="O74" s="27">
        <f t="shared" si="13"/>
        <v>0</v>
      </c>
      <c r="P74" s="18"/>
      <c r="Q74" s="18"/>
      <c r="R74" s="18"/>
      <c r="S74" s="18"/>
      <c r="T74" s="18"/>
      <c r="U74" s="18"/>
      <c r="V74" s="18"/>
      <c r="W74" s="19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20"/>
      <c r="AI74" s="18"/>
      <c r="AJ74" s="18"/>
      <c r="AK74" s="18"/>
      <c r="AL74" s="18">
        <v>0.5</v>
      </c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9"/>
      <c r="BI74" s="19"/>
      <c r="BJ74" s="19"/>
      <c r="BK74" s="19"/>
      <c r="BL74" s="19"/>
      <c r="BM74" s="19"/>
      <c r="BN74" s="19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</row>
    <row r="75" spans="1:80" ht="16.2" x14ac:dyDescent="0.4">
      <c r="A75" s="10" t="str">
        <f t="shared" si="10"/>
        <v>modesg_out_empr_info_nfincca_turnover_own_prfrmnce_algnd</v>
      </c>
      <c r="B75" s="11" t="s">
        <v>11</v>
      </c>
      <c r="C75" s="12" t="s">
        <v>68</v>
      </c>
      <c r="D75" s="13" t="s">
        <v>16</v>
      </c>
      <c r="E75" s="14" t="s">
        <v>82</v>
      </c>
      <c r="F75" s="13" t="s">
        <v>88</v>
      </c>
      <c r="G75" s="15" t="s">
        <v>15</v>
      </c>
      <c r="H75" s="16" t="s">
        <v>14</v>
      </c>
      <c r="I75" s="17">
        <v>45614</v>
      </c>
      <c r="J75" s="16"/>
      <c r="K75" s="16">
        <f t="shared" si="11"/>
        <v>45621</v>
      </c>
      <c r="L75" s="29"/>
      <c r="M75" s="31">
        <v>4</v>
      </c>
      <c r="N75" s="27">
        <f t="shared" si="12"/>
        <v>0.5</v>
      </c>
      <c r="O75" s="27">
        <f t="shared" si="13"/>
        <v>0</v>
      </c>
      <c r="P75" s="18"/>
      <c r="Q75" s="18"/>
      <c r="R75" s="18"/>
      <c r="S75" s="18"/>
      <c r="T75" s="18"/>
      <c r="U75" s="18"/>
      <c r="V75" s="18"/>
      <c r="W75" s="19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20"/>
      <c r="AI75" s="18"/>
      <c r="AJ75" s="18"/>
      <c r="AK75" s="18"/>
      <c r="AL75" s="18"/>
      <c r="AM75" s="18">
        <v>0.5</v>
      </c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9"/>
      <c r="BI75" s="19"/>
      <c r="BJ75" s="19"/>
      <c r="BK75" s="19"/>
      <c r="BL75" s="19"/>
      <c r="BM75" s="19"/>
      <c r="BN75" s="19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</row>
    <row r="76" spans="1:80" ht="16.2" x14ac:dyDescent="0.4">
      <c r="A76" s="10" t="str">
        <f t="shared" si="10"/>
        <v>modesg_out_empr_info_nfinccm_capex_enblng_algnd</v>
      </c>
      <c r="B76" s="11" t="s">
        <v>11</v>
      </c>
      <c r="C76" s="12" t="s">
        <v>68</v>
      </c>
      <c r="D76" s="13" t="s">
        <v>16</v>
      </c>
      <c r="E76" s="14" t="s">
        <v>82</v>
      </c>
      <c r="F76" s="13" t="s">
        <v>89</v>
      </c>
      <c r="G76" s="15" t="s">
        <v>15</v>
      </c>
      <c r="H76" s="16" t="s">
        <v>14</v>
      </c>
      <c r="I76" s="17">
        <v>45614</v>
      </c>
      <c r="J76" s="16"/>
      <c r="K76" s="16">
        <f t="shared" si="11"/>
        <v>45621</v>
      </c>
      <c r="L76" s="29"/>
      <c r="M76" s="31">
        <v>4</v>
      </c>
      <c r="N76" s="27">
        <f t="shared" si="12"/>
        <v>0.5</v>
      </c>
      <c r="O76" s="27">
        <f t="shared" si="13"/>
        <v>0</v>
      </c>
      <c r="P76" s="18"/>
      <c r="Q76" s="18"/>
      <c r="R76" s="18"/>
      <c r="S76" s="18"/>
      <c r="T76" s="18"/>
      <c r="U76" s="18"/>
      <c r="V76" s="18"/>
      <c r="W76" s="19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20"/>
      <c r="AI76" s="18"/>
      <c r="AJ76" s="18"/>
      <c r="AK76" s="18"/>
      <c r="AL76" s="18"/>
      <c r="AM76" s="18">
        <v>0.5</v>
      </c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9"/>
      <c r="BI76" s="19"/>
      <c r="BJ76" s="19"/>
      <c r="BK76" s="19"/>
      <c r="BL76" s="19"/>
      <c r="BM76" s="19"/>
      <c r="BN76" s="19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</row>
    <row r="77" spans="1:80" ht="16.2" x14ac:dyDescent="0.4">
      <c r="A77" s="10" t="str">
        <f t="shared" si="10"/>
        <v>modesg_out_empr_info_nfinccm_capex_own_prfrmnce_algnd</v>
      </c>
      <c r="B77" s="11" t="s">
        <v>11</v>
      </c>
      <c r="C77" s="12" t="s">
        <v>68</v>
      </c>
      <c r="D77" s="13" t="s">
        <v>16</v>
      </c>
      <c r="E77" s="14" t="s">
        <v>82</v>
      </c>
      <c r="F77" s="13" t="s">
        <v>90</v>
      </c>
      <c r="G77" s="15" t="s">
        <v>15</v>
      </c>
      <c r="H77" s="16" t="s">
        <v>14</v>
      </c>
      <c r="I77" s="17">
        <v>45614</v>
      </c>
      <c r="J77" s="16"/>
      <c r="K77" s="16">
        <f t="shared" si="11"/>
        <v>45622</v>
      </c>
      <c r="L77" s="29"/>
      <c r="M77" s="31">
        <v>4</v>
      </c>
      <c r="N77" s="27">
        <f t="shared" si="12"/>
        <v>0.5</v>
      </c>
      <c r="O77" s="27">
        <f t="shared" si="13"/>
        <v>0</v>
      </c>
      <c r="P77" s="18"/>
      <c r="Q77" s="18"/>
      <c r="R77" s="18"/>
      <c r="S77" s="18"/>
      <c r="T77" s="18"/>
      <c r="U77" s="18"/>
      <c r="V77" s="18"/>
      <c r="W77" s="19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20"/>
      <c r="AI77" s="18"/>
      <c r="AJ77" s="18"/>
      <c r="AK77" s="18"/>
      <c r="AL77" s="18"/>
      <c r="AM77" s="18"/>
      <c r="AN77" s="18">
        <v>0.5</v>
      </c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9"/>
      <c r="BI77" s="19"/>
      <c r="BJ77" s="19"/>
      <c r="BK77" s="19"/>
      <c r="BL77" s="19"/>
      <c r="BM77" s="19"/>
      <c r="BN77" s="19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</row>
    <row r="78" spans="1:80" ht="16.2" x14ac:dyDescent="0.4">
      <c r="A78" s="10" t="str">
        <f t="shared" si="10"/>
        <v>modesg_out_empr_info_nfinccm_capex_trnstn_algnd</v>
      </c>
      <c r="B78" s="11" t="s">
        <v>11</v>
      </c>
      <c r="C78" s="12" t="s">
        <v>68</v>
      </c>
      <c r="D78" s="13" t="s">
        <v>16</v>
      </c>
      <c r="E78" s="14" t="s">
        <v>82</v>
      </c>
      <c r="F78" s="13" t="s">
        <v>91</v>
      </c>
      <c r="G78" s="15" t="s">
        <v>15</v>
      </c>
      <c r="H78" s="16" t="s">
        <v>14</v>
      </c>
      <c r="I78" s="17">
        <v>45614</v>
      </c>
      <c r="J78" s="16"/>
      <c r="K78" s="16">
        <f t="shared" si="11"/>
        <v>45622</v>
      </c>
      <c r="L78" s="29"/>
      <c r="M78" s="31">
        <v>4</v>
      </c>
      <c r="N78" s="27">
        <f t="shared" si="12"/>
        <v>0.5</v>
      </c>
      <c r="O78" s="27">
        <f t="shared" si="13"/>
        <v>0</v>
      </c>
      <c r="P78" s="18"/>
      <c r="Q78" s="18"/>
      <c r="R78" s="18"/>
      <c r="S78" s="18"/>
      <c r="T78" s="18"/>
      <c r="U78" s="18"/>
      <c r="V78" s="18"/>
      <c r="W78" s="19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20"/>
      <c r="AI78" s="18"/>
      <c r="AJ78" s="18"/>
      <c r="AK78" s="18"/>
      <c r="AL78" s="18"/>
      <c r="AM78" s="18"/>
      <c r="AN78" s="18">
        <v>0.5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9"/>
      <c r="BI78" s="19"/>
      <c r="BJ78" s="19"/>
      <c r="BK78" s="19"/>
      <c r="BL78" s="19"/>
      <c r="BM78" s="19"/>
      <c r="BN78" s="19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</row>
    <row r="79" spans="1:80" ht="16.2" x14ac:dyDescent="0.4">
      <c r="A79" s="10" t="str">
        <f t="shared" si="10"/>
        <v>modesg_out_empr_info_nfinccm_capex_ttl_elgbl</v>
      </c>
      <c r="B79" s="11" t="s">
        <v>11</v>
      </c>
      <c r="C79" s="12" t="s">
        <v>68</v>
      </c>
      <c r="D79" s="13" t="s">
        <v>16</v>
      </c>
      <c r="E79" s="14" t="s">
        <v>82</v>
      </c>
      <c r="F79" s="13" t="s">
        <v>92</v>
      </c>
      <c r="G79" s="15" t="s">
        <v>15</v>
      </c>
      <c r="H79" s="16" t="s">
        <v>14</v>
      </c>
      <c r="I79" s="17">
        <v>45614</v>
      </c>
      <c r="J79" s="16"/>
      <c r="K79" s="16">
        <f t="shared" si="11"/>
        <v>45623</v>
      </c>
      <c r="L79" s="29"/>
      <c r="M79" s="31">
        <v>4</v>
      </c>
      <c r="N79" s="27">
        <f t="shared" si="12"/>
        <v>0.5</v>
      </c>
      <c r="O79" s="27">
        <f t="shared" si="13"/>
        <v>0</v>
      </c>
      <c r="P79" s="18"/>
      <c r="Q79" s="18"/>
      <c r="R79" s="18"/>
      <c r="S79" s="18"/>
      <c r="T79" s="18"/>
      <c r="U79" s="18"/>
      <c r="V79" s="18"/>
      <c r="W79" s="19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20"/>
      <c r="AI79" s="18"/>
      <c r="AJ79" s="18"/>
      <c r="AK79" s="18"/>
      <c r="AL79" s="18"/>
      <c r="AM79" s="18"/>
      <c r="AN79" s="18"/>
      <c r="AO79" s="18">
        <v>0.5</v>
      </c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9"/>
      <c r="BI79" s="19"/>
      <c r="BJ79" s="19"/>
      <c r="BK79" s="19"/>
      <c r="BL79" s="19"/>
      <c r="BM79" s="19"/>
      <c r="BN79" s="19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</row>
    <row r="80" spans="1:80" ht="16.2" x14ac:dyDescent="0.4">
      <c r="A80" s="10" t="str">
        <f t="shared" si="10"/>
        <v>modesg_out_empr_info_nfinccm_trnvr_enblng_algnd</v>
      </c>
      <c r="B80" s="11" t="s">
        <v>11</v>
      </c>
      <c r="C80" s="12" t="s">
        <v>68</v>
      </c>
      <c r="D80" s="13" t="s">
        <v>16</v>
      </c>
      <c r="E80" s="14" t="s">
        <v>82</v>
      </c>
      <c r="F80" s="13" t="s">
        <v>93</v>
      </c>
      <c r="G80" s="15" t="s">
        <v>15</v>
      </c>
      <c r="H80" s="16" t="s">
        <v>14</v>
      </c>
      <c r="I80" s="17">
        <v>45614</v>
      </c>
      <c r="J80" s="16"/>
      <c r="K80" s="16">
        <f t="shared" si="11"/>
        <v>45623</v>
      </c>
      <c r="L80" s="29"/>
      <c r="M80" s="31">
        <v>4</v>
      </c>
      <c r="N80" s="27">
        <f t="shared" si="12"/>
        <v>0.5</v>
      </c>
      <c r="O80" s="27">
        <f t="shared" si="13"/>
        <v>0</v>
      </c>
      <c r="P80" s="18"/>
      <c r="Q80" s="18"/>
      <c r="R80" s="18"/>
      <c r="S80" s="18"/>
      <c r="T80" s="18"/>
      <c r="U80" s="18"/>
      <c r="V80" s="18"/>
      <c r="W80" s="19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20"/>
      <c r="AI80" s="18"/>
      <c r="AJ80" s="18"/>
      <c r="AK80" s="18"/>
      <c r="AL80" s="18"/>
      <c r="AM80" s="18"/>
      <c r="AN80" s="18"/>
      <c r="AO80" s="18">
        <v>0.5</v>
      </c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9"/>
      <c r="BI80" s="19"/>
      <c r="BJ80" s="19"/>
      <c r="BK80" s="19"/>
      <c r="BL80" s="19"/>
      <c r="BM80" s="19"/>
      <c r="BN80" s="19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</row>
    <row r="81" spans="1:80" ht="16.2" x14ac:dyDescent="0.4">
      <c r="A81" s="10" t="str">
        <f t="shared" si="10"/>
        <v>modesg_out_empr_info_nfinccm_trnvr_own_prfrmnce_algnd</v>
      </c>
      <c r="B81" s="11" t="s">
        <v>11</v>
      </c>
      <c r="C81" s="12" t="s">
        <v>68</v>
      </c>
      <c r="D81" s="13" t="s">
        <v>16</v>
      </c>
      <c r="E81" s="14" t="s">
        <v>82</v>
      </c>
      <c r="F81" s="13" t="s">
        <v>94</v>
      </c>
      <c r="G81" s="15" t="s">
        <v>15</v>
      </c>
      <c r="H81" s="16" t="s">
        <v>14</v>
      </c>
      <c r="I81" s="17">
        <v>45614</v>
      </c>
      <c r="J81" s="16"/>
      <c r="K81" s="16">
        <f t="shared" si="11"/>
        <v>45624</v>
      </c>
      <c r="L81" s="29"/>
      <c r="M81" s="31">
        <v>4</v>
      </c>
      <c r="N81" s="27">
        <f t="shared" si="12"/>
        <v>0.5</v>
      </c>
      <c r="O81" s="27">
        <f t="shared" si="13"/>
        <v>0</v>
      </c>
      <c r="P81" s="18"/>
      <c r="Q81" s="18"/>
      <c r="R81" s="18"/>
      <c r="S81" s="18"/>
      <c r="T81" s="18"/>
      <c r="U81" s="18"/>
      <c r="V81" s="18"/>
      <c r="W81" s="19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20"/>
      <c r="AI81" s="18"/>
      <c r="AJ81" s="18"/>
      <c r="AK81" s="18"/>
      <c r="AL81" s="18"/>
      <c r="AM81" s="18"/>
      <c r="AN81" s="18"/>
      <c r="AO81" s="18"/>
      <c r="AP81" s="18">
        <v>0.5</v>
      </c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9"/>
      <c r="BI81" s="19"/>
      <c r="BJ81" s="19"/>
      <c r="BK81" s="19"/>
      <c r="BL81" s="19"/>
      <c r="BM81" s="19"/>
      <c r="BN81" s="19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</row>
    <row r="82" spans="1:80" ht="16.2" x14ac:dyDescent="0.4">
      <c r="A82" s="10" t="str">
        <f t="shared" si="10"/>
        <v>modesg_out_empr_info_nfinccm_trnvr_trnstn_alignd</v>
      </c>
      <c r="B82" s="11" t="s">
        <v>11</v>
      </c>
      <c r="C82" s="12" t="s">
        <v>68</v>
      </c>
      <c r="D82" s="13" t="s">
        <v>16</v>
      </c>
      <c r="E82" s="14" t="s">
        <v>82</v>
      </c>
      <c r="F82" s="13" t="s">
        <v>95</v>
      </c>
      <c r="G82" s="15" t="s">
        <v>15</v>
      </c>
      <c r="H82" s="16" t="s">
        <v>14</v>
      </c>
      <c r="I82" s="17">
        <v>45614</v>
      </c>
      <c r="J82" s="16"/>
      <c r="K82" s="16">
        <f t="shared" si="11"/>
        <v>45624</v>
      </c>
      <c r="L82" s="29"/>
      <c r="M82" s="31">
        <v>4</v>
      </c>
      <c r="N82" s="27">
        <f t="shared" si="12"/>
        <v>0.5</v>
      </c>
      <c r="O82" s="27">
        <f t="shared" si="13"/>
        <v>0</v>
      </c>
      <c r="P82" s="18"/>
      <c r="Q82" s="18"/>
      <c r="R82" s="18"/>
      <c r="S82" s="18"/>
      <c r="T82" s="18"/>
      <c r="U82" s="18"/>
      <c r="V82" s="18"/>
      <c r="W82" s="19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20"/>
      <c r="AI82" s="18"/>
      <c r="AJ82" s="18"/>
      <c r="AK82" s="18"/>
      <c r="AL82" s="18"/>
      <c r="AM82" s="18"/>
      <c r="AN82" s="18"/>
      <c r="AO82" s="18"/>
      <c r="AP82" s="18">
        <v>0.5</v>
      </c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9"/>
      <c r="BI82" s="19"/>
      <c r="BJ82" s="19"/>
      <c r="BK82" s="19"/>
      <c r="BL82" s="19"/>
      <c r="BM82" s="19"/>
      <c r="BN82" s="19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</row>
    <row r="83" spans="1:80" ht="16.2" x14ac:dyDescent="0.4">
      <c r="A83" s="10" t="str">
        <f t="shared" si="10"/>
        <v>modesg_out_empr_info_nfinccm_trnvr_ttl_elgbl</v>
      </c>
      <c r="B83" s="11" t="s">
        <v>11</v>
      </c>
      <c r="C83" s="12" t="s">
        <v>68</v>
      </c>
      <c r="D83" s="13" t="s">
        <v>16</v>
      </c>
      <c r="E83" s="14" t="s">
        <v>82</v>
      </c>
      <c r="F83" s="13" t="s">
        <v>96</v>
      </c>
      <c r="G83" s="15" t="s">
        <v>15</v>
      </c>
      <c r="H83" s="16" t="s">
        <v>14</v>
      </c>
      <c r="I83" s="17">
        <v>45614</v>
      </c>
      <c r="J83" s="16"/>
      <c r="K83" s="16">
        <f t="shared" si="11"/>
        <v>45625</v>
      </c>
      <c r="L83" s="29"/>
      <c r="M83" s="31">
        <v>4</v>
      </c>
      <c r="N83" s="27">
        <f t="shared" si="12"/>
        <v>0.5</v>
      </c>
      <c r="O83" s="27">
        <f t="shared" si="13"/>
        <v>0</v>
      </c>
      <c r="P83" s="18"/>
      <c r="Q83" s="18"/>
      <c r="R83" s="18"/>
      <c r="S83" s="18"/>
      <c r="T83" s="18"/>
      <c r="U83" s="18"/>
      <c r="V83" s="18"/>
      <c r="W83" s="19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20"/>
      <c r="AI83" s="18"/>
      <c r="AJ83" s="18"/>
      <c r="AK83" s="18"/>
      <c r="AL83" s="18"/>
      <c r="AM83" s="18"/>
      <c r="AN83" s="18"/>
      <c r="AO83" s="18"/>
      <c r="AP83" s="18"/>
      <c r="AQ83" s="18">
        <v>0.5</v>
      </c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9"/>
      <c r="BI83" s="19"/>
      <c r="BJ83" s="19"/>
      <c r="BK83" s="19"/>
      <c r="BL83" s="19"/>
      <c r="BM83" s="19"/>
      <c r="BN83" s="19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</row>
    <row r="84" spans="1:80" ht="16.2" x14ac:dyDescent="0.4">
      <c r="A84" s="10" t="str">
        <f t="shared" si="10"/>
        <v>modesg_out_empr_info_nfincod_nace_esg</v>
      </c>
      <c r="B84" s="11" t="s">
        <v>11</v>
      </c>
      <c r="C84" s="12" t="s">
        <v>68</v>
      </c>
      <c r="D84" s="13" t="s">
        <v>16</v>
      </c>
      <c r="E84" s="14" t="s">
        <v>82</v>
      </c>
      <c r="F84" s="21" t="s">
        <v>97</v>
      </c>
      <c r="G84" s="22" t="s">
        <v>15</v>
      </c>
      <c r="H84" s="16" t="s">
        <v>14</v>
      </c>
      <c r="I84" s="17">
        <v>45614</v>
      </c>
      <c r="J84" s="16"/>
      <c r="K84" s="16">
        <f t="shared" si="11"/>
        <v>45629</v>
      </c>
      <c r="L84" s="29"/>
      <c r="M84" s="27">
        <v>16.100000000000001</v>
      </c>
      <c r="N84" s="27">
        <f t="shared" si="12"/>
        <v>2</v>
      </c>
      <c r="O84" s="27">
        <f t="shared" si="13"/>
        <v>0</v>
      </c>
      <c r="P84" s="18"/>
      <c r="Q84" s="18"/>
      <c r="R84" s="18"/>
      <c r="S84" s="18"/>
      <c r="T84" s="18"/>
      <c r="U84" s="18"/>
      <c r="V84" s="18"/>
      <c r="W84" s="19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20"/>
      <c r="AI84" s="18"/>
      <c r="AJ84" s="18"/>
      <c r="AK84" s="18"/>
      <c r="AL84" s="18"/>
      <c r="AM84" s="18"/>
      <c r="AN84" s="18"/>
      <c r="AO84" s="18"/>
      <c r="AP84" s="18"/>
      <c r="AQ84" s="18">
        <v>0.5</v>
      </c>
      <c r="AR84" s="18">
        <v>1</v>
      </c>
      <c r="AS84" s="18">
        <v>0.5</v>
      </c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9"/>
      <c r="BI84" s="19"/>
      <c r="BJ84" s="19"/>
      <c r="BK84" s="19"/>
      <c r="BL84" s="19"/>
      <c r="BM84" s="19"/>
      <c r="BN84" s="19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</row>
    <row r="85" spans="1:80" ht="16.2" x14ac:dyDescent="0.4">
      <c r="A85" s="10" t="str">
        <f t="shared" si="10"/>
        <v>modesg_out_empr_info_nfinflg_emprs_excl_paris</v>
      </c>
      <c r="B85" s="11" t="s">
        <v>11</v>
      </c>
      <c r="C85" s="12" t="s">
        <v>68</v>
      </c>
      <c r="D85" s="13" t="s">
        <v>16</v>
      </c>
      <c r="E85" s="14" t="s">
        <v>82</v>
      </c>
      <c r="F85" s="13" t="s">
        <v>98</v>
      </c>
      <c r="G85" s="15" t="s">
        <v>15</v>
      </c>
      <c r="H85" s="16" t="s">
        <v>14</v>
      </c>
      <c r="I85" s="17">
        <v>45614</v>
      </c>
      <c r="J85" s="16"/>
      <c r="K85" s="16">
        <f t="shared" si="11"/>
        <v>45630</v>
      </c>
      <c r="L85" s="29"/>
      <c r="M85" s="27">
        <v>8.1</v>
      </c>
      <c r="N85" s="27">
        <f t="shared" si="12"/>
        <v>1</v>
      </c>
      <c r="O85" s="27">
        <f t="shared" si="13"/>
        <v>0</v>
      </c>
      <c r="P85" s="18"/>
      <c r="Q85" s="18"/>
      <c r="R85" s="18"/>
      <c r="S85" s="18"/>
      <c r="T85" s="18"/>
      <c r="U85" s="18"/>
      <c r="V85" s="18"/>
      <c r="W85" s="19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20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>
        <v>0.5</v>
      </c>
      <c r="AT85" s="18">
        <v>0.5</v>
      </c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9"/>
      <c r="BI85" s="19"/>
      <c r="BJ85" s="19"/>
      <c r="BK85" s="19"/>
      <c r="BL85" s="19"/>
      <c r="BM85" s="19"/>
      <c r="BN85" s="19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</row>
    <row r="86" spans="1:80" ht="16.2" x14ac:dyDescent="0.4">
      <c r="A86" s="10" t="str">
        <f t="shared" si="10"/>
        <v>modesg_out_empr_info_nfinflg_nfrd</v>
      </c>
      <c r="B86" s="11" t="s">
        <v>11</v>
      </c>
      <c r="C86" s="12" t="s">
        <v>68</v>
      </c>
      <c r="D86" s="13" t="s">
        <v>16</v>
      </c>
      <c r="E86" s="14" t="s">
        <v>82</v>
      </c>
      <c r="F86" s="13" t="s">
        <v>99</v>
      </c>
      <c r="G86" s="15" t="s">
        <v>15</v>
      </c>
      <c r="H86" s="16" t="s">
        <v>14</v>
      </c>
      <c r="I86" s="17">
        <v>45614</v>
      </c>
      <c r="J86" s="16"/>
      <c r="K86" s="16">
        <f t="shared" si="11"/>
        <v>45631</v>
      </c>
      <c r="L86" s="29"/>
      <c r="M86" s="27">
        <v>8.1</v>
      </c>
      <c r="N86" s="27">
        <f t="shared" si="12"/>
        <v>1</v>
      </c>
      <c r="O86" s="27">
        <f t="shared" si="13"/>
        <v>0</v>
      </c>
      <c r="P86" s="18"/>
      <c r="Q86" s="18"/>
      <c r="R86" s="18"/>
      <c r="S86" s="18"/>
      <c r="T86" s="18"/>
      <c r="U86" s="18"/>
      <c r="V86" s="18"/>
      <c r="W86" s="19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20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>
        <v>0.5</v>
      </c>
      <c r="AU86" s="18">
        <v>0.5</v>
      </c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9"/>
      <c r="BI86" s="19"/>
      <c r="BJ86" s="19"/>
      <c r="BK86" s="19"/>
      <c r="BL86" s="19"/>
      <c r="BM86" s="19"/>
      <c r="BN86" s="19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</row>
    <row r="87" spans="1:80" ht="16.2" x14ac:dyDescent="0.4">
      <c r="A87" s="10" t="str">
        <f t="shared" si="10"/>
        <v>modesg_out_empr_info_nfinflg_rsc_fsc_agd</v>
      </c>
      <c r="B87" s="11" t="s">
        <v>11</v>
      </c>
      <c r="C87" s="12" t="s">
        <v>68</v>
      </c>
      <c r="D87" s="13" t="s">
        <v>16</v>
      </c>
      <c r="E87" s="14" t="s">
        <v>82</v>
      </c>
      <c r="F87" s="13" t="s">
        <v>70</v>
      </c>
      <c r="G87" s="15" t="s">
        <v>15</v>
      </c>
      <c r="H87" s="16" t="s">
        <v>14</v>
      </c>
      <c r="I87" s="17">
        <v>45624</v>
      </c>
      <c r="J87" s="16"/>
      <c r="K87" s="16">
        <f t="shared" si="11"/>
        <v>45644</v>
      </c>
      <c r="L87" s="29"/>
      <c r="M87" s="27">
        <v>16.100000000000001</v>
      </c>
      <c r="N87" s="27">
        <f t="shared" si="12"/>
        <v>2</v>
      </c>
      <c r="O87" s="27">
        <f t="shared" si="13"/>
        <v>0</v>
      </c>
      <c r="P87" s="18"/>
      <c r="Q87" s="18"/>
      <c r="R87" s="18"/>
      <c r="S87" s="18"/>
      <c r="T87" s="18"/>
      <c r="U87" s="18"/>
      <c r="V87" s="18"/>
      <c r="W87" s="19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20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>
        <v>1</v>
      </c>
      <c r="BD87" s="18">
        <v>1</v>
      </c>
      <c r="BE87" s="18"/>
      <c r="BF87" s="18"/>
      <c r="BG87" s="18"/>
      <c r="BH87" s="19"/>
      <c r="BI87" s="19"/>
      <c r="BJ87" s="19"/>
      <c r="BK87" s="19"/>
      <c r="BL87" s="19"/>
      <c r="BM87" s="19"/>
      <c r="BN87" s="19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</row>
    <row r="88" spans="1:80" ht="16.2" x14ac:dyDescent="0.4">
      <c r="A88" s="10" t="str">
        <f t="shared" si="10"/>
        <v>modesg_out_empr_info_nfinflg_rsc_fsc_crnc</v>
      </c>
      <c r="B88" s="11" t="s">
        <v>11</v>
      </c>
      <c r="C88" s="12" t="s">
        <v>68</v>
      </c>
      <c r="D88" s="13" t="s">
        <v>16</v>
      </c>
      <c r="E88" s="14" t="s">
        <v>82</v>
      </c>
      <c r="F88" s="13" t="s">
        <v>71</v>
      </c>
      <c r="G88" s="15" t="s">
        <v>15</v>
      </c>
      <c r="H88" s="16" t="s">
        <v>14</v>
      </c>
      <c r="I88" s="17">
        <v>45624</v>
      </c>
      <c r="J88" s="16"/>
      <c r="K88" s="16">
        <f t="shared" si="11"/>
        <v>45646</v>
      </c>
      <c r="L88" s="29"/>
      <c r="M88" s="27">
        <v>16.100000000000001</v>
      </c>
      <c r="N88" s="27">
        <f t="shared" si="12"/>
        <v>2</v>
      </c>
      <c r="O88" s="27">
        <f t="shared" si="13"/>
        <v>0</v>
      </c>
      <c r="P88" s="18"/>
      <c r="Q88" s="18"/>
      <c r="R88" s="18"/>
      <c r="S88" s="18"/>
      <c r="T88" s="18"/>
      <c r="U88" s="18"/>
      <c r="V88" s="18"/>
      <c r="W88" s="19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20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>
        <v>1</v>
      </c>
      <c r="BF88" s="18">
        <v>1</v>
      </c>
      <c r="BG88" s="18"/>
      <c r="BH88" s="19"/>
      <c r="BI88" s="19"/>
      <c r="BJ88" s="19"/>
      <c r="BK88" s="19"/>
      <c r="BL88" s="19"/>
      <c r="BM88" s="19"/>
      <c r="BN88" s="19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</row>
    <row r="89" spans="1:80" ht="16.2" x14ac:dyDescent="0.4">
      <c r="A89" s="10" t="str">
        <f t="shared" si="10"/>
        <v>modesg_out_empr_info_nfinorigem_alinhamentos</v>
      </c>
      <c r="B89" s="11" t="s">
        <v>11</v>
      </c>
      <c r="C89" s="12" t="s">
        <v>68</v>
      </c>
      <c r="D89" s="13" t="s">
        <v>16</v>
      </c>
      <c r="E89" s="14" t="s">
        <v>82</v>
      </c>
      <c r="F89" s="13" t="s">
        <v>100</v>
      </c>
      <c r="G89" s="15" t="s">
        <v>15</v>
      </c>
      <c r="H89" s="16" t="s">
        <v>14</v>
      </c>
      <c r="I89" s="17">
        <v>45614</v>
      </c>
      <c r="J89" s="16"/>
      <c r="K89" s="16">
        <f t="shared" si="11"/>
        <v>45631</v>
      </c>
      <c r="L89" s="29"/>
      <c r="M89" s="27">
        <v>4.0999999999999996</v>
      </c>
      <c r="N89" s="27">
        <f t="shared" si="12"/>
        <v>0.5</v>
      </c>
      <c r="O89" s="27">
        <f t="shared" si="13"/>
        <v>0</v>
      </c>
      <c r="P89" s="18"/>
      <c r="Q89" s="18"/>
      <c r="R89" s="18"/>
      <c r="S89" s="18"/>
      <c r="T89" s="18"/>
      <c r="U89" s="18"/>
      <c r="V89" s="18"/>
      <c r="W89" s="19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20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>
        <v>0.5</v>
      </c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9"/>
      <c r="BI89" s="19"/>
      <c r="BJ89" s="19"/>
      <c r="BK89" s="19"/>
      <c r="BL89" s="19"/>
      <c r="BM89" s="19"/>
      <c r="BN89" s="19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</row>
    <row r="90" spans="1:80" ht="16.2" x14ac:dyDescent="0.4">
      <c r="A90" s="10" t="str">
        <f t="shared" si="10"/>
        <v>modesg_out_empr_info_nfinorigem_flg_emprs_excl_paris</v>
      </c>
      <c r="B90" s="11" t="s">
        <v>11</v>
      </c>
      <c r="C90" s="12" t="s">
        <v>68</v>
      </c>
      <c r="D90" s="13" t="s">
        <v>16</v>
      </c>
      <c r="E90" s="14" t="s">
        <v>82</v>
      </c>
      <c r="F90" s="13" t="s">
        <v>101</v>
      </c>
      <c r="G90" s="15" t="s">
        <v>15</v>
      </c>
      <c r="H90" s="16" t="s">
        <v>14</v>
      </c>
      <c r="I90" s="17">
        <v>45614</v>
      </c>
      <c r="J90" s="16"/>
      <c r="K90" s="16">
        <f t="shared" si="11"/>
        <v>45632</v>
      </c>
      <c r="L90" s="29"/>
      <c r="M90" s="27">
        <v>4.0999999999999996</v>
      </c>
      <c r="N90" s="27">
        <f t="shared" si="12"/>
        <v>0.5</v>
      </c>
      <c r="O90" s="27">
        <f t="shared" si="13"/>
        <v>0</v>
      </c>
      <c r="P90" s="18"/>
      <c r="Q90" s="18"/>
      <c r="R90" s="18"/>
      <c r="S90" s="18"/>
      <c r="T90" s="18"/>
      <c r="U90" s="18"/>
      <c r="V90" s="18"/>
      <c r="W90" s="19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20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>
        <v>0.5</v>
      </c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9"/>
      <c r="BI90" s="19"/>
      <c r="BJ90" s="19"/>
      <c r="BK90" s="19"/>
      <c r="BL90" s="19"/>
      <c r="BM90" s="19"/>
      <c r="BN90" s="19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</row>
    <row r="91" spans="1:80" ht="16.2" x14ac:dyDescent="0.4">
      <c r="A91" s="10" t="str">
        <f t="shared" si="10"/>
        <v>modesg_out_empr_info_nfinorigem_flg_nfrd</v>
      </c>
      <c r="B91" s="11" t="s">
        <v>11</v>
      </c>
      <c r="C91" s="12" t="s">
        <v>68</v>
      </c>
      <c r="D91" s="13" t="s">
        <v>16</v>
      </c>
      <c r="E91" s="14" t="s">
        <v>82</v>
      </c>
      <c r="F91" s="13" t="s">
        <v>102</v>
      </c>
      <c r="G91" s="15" t="s">
        <v>15</v>
      </c>
      <c r="H91" s="16" t="s">
        <v>14</v>
      </c>
      <c r="I91" s="17">
        <v>45614</v>
      </c>
      <c r="J91" s="16"/>
      <c r="K91" s="16">
        <f t="shared" si="11"/>
        <v>45632</v>
      </c>
      <c r="L91" s="29"/>
      <c r="M91" s="27">
        <v>4.0999999999999996</v>
      </c>
      <c r="N91" s="27">
        <f t="shared" si="12"/>
        <v>0.5</v>
      </c>
      <c r="O91" s="27">
        <f t="shared" si="13"/>
        <v>0</v>
      </c>
      <c r="P91" s="18"/>
      <c r="Q91" s="18"/>
      <c r="R91" s="18"/>
      <c r="S91" s="18"/>
      <c r="T91" s="18"/>
      <c r="U91" s="18"/>
      <c r="V91" s="18"/>
      <c r="W91" s="19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20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>
        <v>0.5</v>
      </c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9"/>
      <c r="BI91" s="19"/>
      <c r="BJ91" s="19"/>
      <c r="BK91" s="19"/>
      <c r="BL91" s="19"/>
      <c r="BM91" s="19"/>
      <c r="BN91" s="19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</row>
    <row r="92" spans="1:80" ht="16.2" x14ac:dyDescent="0.4">
      <c r="A92" s="10" t="str">
        <f t="shared" si="10"/>
        <v>modesg_out_empr_info_nfinorigem_flg_rsc_fsc_agd</v>
      </c>
      <c r="B92" s="11" t="s">
        <v>11</v>
      </c>
      <c r="C92" s="12" t="s">
        <v>68</v>
      </c>
      <c r="D92" s="13" t="s">
        <v>16</v>
      </c>
      <c r="E92" s="14" t="s">
        <v>82</v>
      </c>
      <c r="F92" s="13" t="s">
        <v>72</v>
      </c>
      <c r="G92" s="15" t="s">
        <v>15</v>
      </c>
      <c r="H92" s="16" t="s">
        <v>14</v>
      </c>
      <c r="I92" s="17">
        <v>45624</v>
      </c>
      <c r="J92" s="16"/>
      <c r="K92" s="16">
        <f t="shared" si="11"/>
        <v>45638</v>
      </c>
      <c r="L92" s="29"/>
      <c r="M92" s="27">
        <v>4.0999999999999996</v>
      </c>
      <c r="N92" s="27">
        <f t="shared" si="12"/>
        <v>0.5</v>
      </c>
      <c r="O92" s="27">
        <f t="shared" si="13"/>
        <v>0</v>
      </c>
      <c r="P92" s="18"/>
      <c r="Q92" s="18"/>
      <c r="R92" s="18"/>
      <c r="S92" s="18"/>
      <c r="T92" s="18"/>
      <c r="U92" s="18"/>
      <c r="V92" s="18"/>
      <c r="W92" s="19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20"/>
      <c r="AQ92" s="18"/>
      <c r="AR92" s="18"/>
      <c r="AS92" s="18"/>
      <c r="AT92" s="18"/>
      <c r="AU92" s="18"/>
      <c r="AV92" s="18"/>
      <c r="AW92" s="18"/>
      <c r="AX92" s="18"/>
      <c r="AY92" s="18"/>
      <c r="AZ92" s="18">
        <v>0.5</v>
      </c>
      <c r="BA92" s="18"/>
      <c r="BB92" s="18"/>
      <c r="BC92" s="18"/>
      <c r="BD92" s="18"/>
      <c r="BE92" s="18"/>
      <c r="BF92" s="18"/>
      <c r="BG92" s="18"/>
      <c r="BH92" s="19"/>
      <c r="BI92" s="19"/>
      <c r="BJ92" s="19"/>
      <c r="BK92" s="19"/>
      <c r="BL92" s="19"/>
      <c r="BM92" s="19"/>
      <c r="BN92" s="19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</row>
    <row r="93" spans="1:80" ht="16.2" x14ac:dyDescent="0.4">
      <c r="A93" s="10" t="str">
        <f t="shared" si="10"/>
        <v>modesg_out_empr_info_nfinorigem_flg_rsc_fsc_crnc</v>
      </c>
      <c r="B93" s="11" t="s">
        <v>11</v>
      </c>
      <c r="C93" s="12" t="s">
        <v>68</v>
      </c>
      <c r="D93" s="13" t="s">
        <v>16</v>
      </c>
      <c r="E93" s="14" t="s">
        <v>82</v>
      </c>
      <c r="F93" s="13" t="s">
        <v>73</v>
      </c>
      <c r="G93" s="15" t="s">
        <v>15</v>
      </c>
      <c r="H93" s="16" t="s">
        <v>14</v>
      </c>
      <c r="I93" s="17">
        <v>45624</v>
      </c>
      <c r="J93" s="16"/>
      <c r="K93" s="16">
        <f t="shared" si="11"/>
        <v>45638</v>
      </c>
      <c r="L93" s="29"/>
      <c r="M93" s="27">
        <v>4.0999999999999996</v>
      </c>
      <c r="N93" s="27">
        <f t="shared" si="12"/>
        <v>0.5</v>
      </c>
      <c r="O93" s="27">
        <f t="shared" si="13"/>
        <v>0</v>
      </c>
      <c r="P93" s="18"/>
      <c r="Q93" s="18"/>
      <c r="R93" s="18"/>
      <c r="S93" s="18"/>
      <c r="T93" s="18"/>
      <c r="U93" s="18"/>
      <c r="V93" s="18"/>
      <c r="W93" s="19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20"/>
      <c r="AQ93" s="18"/>
      <c r="AR93" s="18"/>
      <c r="AS93" s="18"/>
      <c r="AT93" s="18"/>
      <c r="AU93" s="18"/>
      <c r="AV93" s="18"/>
      <c r="AW93" s="18"/>
      <c r="AX93" s="18"/>
      <c r="AY93" s="18"/>
      <c r="AZ93" s="18">
        <v>0.5</v>
      </c>
      <c r="BA93" s="18"/>
      <c r="BB93" s="18"/>
      <c r="BC93" s="18"/>
      <c r="BD93" s="18"/>
      <c r="BE93" s="18"/>
      <c r="BF93" s="18"/>
      <c r="BG93" s="18"/>
      <c r="BH93" s="19"/>
      <c r="BI93" s="19"/>
      <c r="BJ93" s="19"/>
      <c r="BK93" s="19"/>
      <c r="BL93" s="19"/>
      <c r="BM93" s="19"/>
      <c r="BN93" s="19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</row>
    <row r="94" spans="1:80" ht="16.2" x14ac:dyDescent="0.4">
      <c r="A94" s="10" t="str">
        <f t="shared" si="10"/>
        <v>modesg_out_empr_info_nfinorigem_scp1_emss</v>
      </c>
      <c r="B94" s="11" t="s">
        <v>11</v>
      </c>
      <c r="C94" s="12" t="s">
        <v>68</v>
      </c>
      <c r="D94" s="13" t="s">
        <v>16</v>
      </c>
      <c r="E94" s="14" t="s">
        <v>82</v>
      </c>
      <c r="F94" s="13" t="s">
        <v>74</v>
      </c>
      <c r="G94" s="15" t="s">
        <v>15</v>
      </c>
      <c r="H94" s="16" t="s">
        <v>14</v>
      </c>
      <c r="I94" s="17">
        <v>45621</v>
      </c>
      <c r="J94" s="16"/>
      <c r="K94" s="16">
        <f t="shared" si="11"/>
        <v>45635</v>
      </c>
      <c r="L94" s="29"/>
      <c r="M94" s="27">
        <v>4.0999999999999996</v>
      </c>
      <c r="N94" s="27">
        <f t="shared" si="12"/>
        <v>0.5</v>
      </c>
      <c r="O94" s="27">
        <f t="shared" si="13"/>
        <v>0</v>
      </c>
      <c r="P94" s="18"/>
      <c r="Q94" s="18"/>
      <c r="R94" s="18"/>
      <c r="S94" s="18"/>
      <c r="T94" s="18"/>
      <c r="U94" s="18"/>
      <c r="V94" s="18"/>
      <c r="W94" s="19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20"/>
      <c r="AN94" s="18"/>
      <c r="AO94" s="18"/>
      <c r="AP94" s="18"/>
      <c r="AQ94" s="18"/>
      <c r="AR94" s="18"/>
      <c r="AS94" s="18"/>
      <c r="AT94" s="18"/>
      <c r="AU94" s="18"/>
      <c r="AV94" s="18"/>
      <c r="AW94" s="18">
        <v>0.5</v>
      </c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9"/>
      <c r="BI94" s="19"/>
      <c r="BJ94" s="19"/>
      <c r="BK94" s="19"/>
      <c r="BL94" s="19"/>
      <c r="BM94" s="19"/>
      <c r="BN94" s="19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</row>
    <row r="95" spans="1:80" ht="16.2" x14ac:dyDescent="0.4">
      <c r="A95" s="10" t="str">
        <f t="shared" si="10"/>
        <v>modesg_out_empr_info_nfinorigem_scp2_emss</v>
      </c>
      <c r="B95" s="11" t="s">
        <v>11</v>
      </c>
      <c r="C95" s="12" t="s">
        <v>68</v>
      </c>
      <c r="D95" s="13" t="s">
        <v>16</v>
      </c>
      <c r="E95" s="14" t="s">
        <v>82</v>
      </c>
      <c r="F95" s="13" t="s">
        <v>75</v>
      </c>
      <c r="G95" s="15" t="s">
        <v>15</v>
      </c>
      <c r="H95" s="16" t="s">
        <v>14</v>
      </c>
      <c r="I95" s="17">
        <v>45621</v>
      </c>
      <c r="J95" s="16"/>
      <c r="K95" s="16">
        <f t="shared" si="11"/>
        <v>45635</v>
      </c>
      <c r="L95" s="29"/>
      <c r="M95" s="27">
        <v>4.0999999999999996</v>
      </c>
      <c r="N95" s="27">
        <f t="shared" si="12"/>
        <v>0.5</v>
      </c>
      <c r="O95" s="27">
        <f t="shared" si="13"/>
        <v>0</v>
      </c>
      <c r="P95" s="18"/>
      <c r="Q95" s="18"/>
      <c r="R95" s="18"/>
      <c r="S95" s="18"/>
      <c r="T95" s="18"/>
      <c r="U95" s="18"/>
      <c r="V95" s="18"/>
      <c r="W95" s="19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20"/>
      <c r="AN95" s="18"/>
      <c r="AO95" s="18"/>
      <c r="AP95" s="18"/>
      <c r="AQ95" s="18"/>
      <c r="AR95" s="18"/>
      <c r="AS95" s="18"/>
      <c r="AT95" s="18"/>
      <c r="AU95" s="18"/>
      <c r="AV95" s="18"/>
      <c r="AW95" s="18">
        <v>0.5</v>
      </c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9"/>
      <c r="BI95" s="19"/>
      <c r="BJ95" s="19"/>
      <c r="BK95" s="19"/>
      <c r="BL95" s="19"/>
      <c r="BM95" s="19"/>
      <c r="BN95" s="19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</row>
    <row r="96" spans="1:80" ht="16.2" x14ac:dyDescent="0.4">
      <c r="A96" s="10" t="str">
        <f t="shared" si="10"/>
        <v>modesg_out_empr_info_nfinorigem_scp3_emss</v>
      </c>
      <c r="B96" s="11" t="s">
        <v>11</v>
      </c>
      <c r="C96" s="12" t="s">
        <v>68</v>
      </c>
      <c r="D96" s="13" t="s">
        <v>16</v>
      </c>
      <c r="E96" s="14" t="s">
        <v>82</v>
      </c>
      <c r="F96" s="13" t="s">
        <v>76</v>
      </c>
      <c r="G96" s="15" t="s">
        <v>15</v>
      </c>
      <c r="H96" s="16" t="s">
        <v>14</v>
      </c>
      <c r="I96" s="17">
        <v>45621</v>
      </c>
      <c r="J96" s="16"/>
      <c r="K96" s="16">
        <f t="shared" si="11"/>
        <v>45636</v>
      </c>
      <c r="L96" s="29"/>
      <c r="M96" s="27">
        <v>4.0999999999999996</v>
      </c>
      <c r="N96" s="27">
        <f t="shared" si="12"/>
        <v>0.5</v>
      </c>
      <c r="O96" s="27">
        <f t="shared" si="13"/>
        <v>0</v>
      </c>
      <c r="P96" s="18"/>
      <c r="Q96" s="18"/>
      <c r="R96" s="18"/>
      <c r="S96" s="18"/>
      <c r="T96" s="18"/>
      <c r="U96" s="18"/>
      <c r="V96" s="18"/>
      <c r="W96" s="19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20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>
        <v>0.5</v>
      </c>
      <c r="AY96" s="18"/>
      <c r="AZ96" s="18"/>
      <c r="BA96" s="18"/>
      <c r="BB96" s="18"/>
      <c r="BC96" s="18"/>
      <c r="BD96" s="18"/>
      <c r="BE96" s="18"/>
      <c r="BF96" s="18"/>
      <c r="BG96" s="18"/>
      <c r="BH96" s="19"/>
      <c r="BI96" s="19"/>
      <c r="BJ96" s="19"/>
      <c r="BK96" s="19"/>
      <c r="BL96" s="19"/>
      <c r="BM96" s="19"/>
      <c r="BN96" s="19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</row>
    <row r="97" spans="1:80" ht="16.2" x14ac:dyDescent="0.4">
      <c r="A97" s="10" t="str">
        <f t="shared" si="10"/>
        <v>modesg_out_empr_info_nfinscp1_emss</v>
      </c>
      <c r="B97" s="11" t="s">
        <v>11</v>
      </c>
      <c r="C97" s="12" t="s">
        <v>68</v>
      </c>
      <c r="D97" s="13" t="s">
        <v>16</v>
      </c>
      <c r="E97" s="14" t="s">
        <v>82</v>
      </c>
      <c r="F97" s="13" t="s">
        <v>77</v>
      </c>
      <c r="G97" s="15" t="s">
        <v>15</v>
      </c>
      <c r="H97" s="16" t="s">
        <v>14</v>
      </c>
      <c r="I97" s="17">
        <v>45621</v>
      </c>
      <c r="J97" s="16"/>
      <c r="K97" s="16">
        <f t="shared" si="11"/>
        <v>45637</v>
      </c>
      <c r="L97" s="29"/>
      <c r="M97" s="27">
        <v>8.1</v>
      </c>
      <c r="N97" s="27">
        <f t="shared" si="12"/>
        <v>1</v>
      </c>
      <c r="O97" s="27">
        <f t="shared" si="13"/>
        <v>0</v>
      </c>
      <c r="P97" s="18"/>
      <c r="Q97" s="18"/>
      <c r="R97" s="18"/>
      <c r="S97" s="18"/>
      <c r="T97" s="18"/>
      <c r="U97" s="18"/>
      <c r="V97" s="18"/>
      <c r="W97" s="19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20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>
        <v>0.5</v>
      </c>
      <c r="AY97" s="18">
        <v>0.5</v>
      </c>
      <c r="AZ97" s="18"/>
      <c r="BA97" s="18"/>
      <c r="BB97" s="18"/>
      <c r="BC97" s="18"/>
      <c r="BD97" s="18"/>
      <c r="BE97" s="18"/>
      <c r="BF97" s="18"/>
      <c r="BG97" s="18"/>
      <c r="BH97" s="19"/>
      <c r="BI97" s="19"/>
      <c r="BJ97" s="19"/>
      <c r="BK97" s="19"/>
      <c r="BL97" s="19"/>
      <c r="BM97" s="19"/>
      <c r="BN97" s="19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</row>
    <row r="98" spans="1:80" ht="16.2" x14ac:dyDescent="0.4">
      <c r="A98" s="10" t="str">
        <f t="shared" si="10"/>
        <v>modesg_out_empr_info_nfinscp2_emss</v>
      </c>
      <c r="B98" s="11" t="s">
        <v>11</v>
      </c>
      <c r="C98" s="12" t="s">
        <v>68</v>
      </c>
      <c r="D98" s="13" t="s">
        <v>16</v>
      </c>
      <c r="E98" s="14" t="s">
        <v>82</v>
      </c>
      <c r="F98" s="13" t="s">
        <v>78</v>
      </c>
      <c r="G98" s="15" t="s">
        <v>15</v>
      </c>
      <c r="H98" s="16" t="s">
        <v>14</v>
      </c>
      <c r="I98" s="17">
        <v>45621</v>
      </c>
      <c r="J98" s="16"/>
      <c r="K98" s="16">
        <f t="shared" si="11"/>
        <v>45639</v>
      </c>
      <c r="L98" s="29"/>
      <c r="M98" s="27">
        <v>8.1</v>
      </c>
      <c r="N98" s="27">
        <f t="shared" si="12"/>
        <v>1</v>
      </c>
      <c r="O98" s="27">
        <f t="shared" si="13"/>
        <v>0</v>
      </c>
      <c r="P98" s="18"/>
      <c r="Q98" s="18"/>
      <c r="R98" s="18"/>
      <c r="S98" s="18"/>
      <c r="T98" s="18"/>
      <c r="U98" s="18"/>
      <c r="V98" s="18"/>
      <c r="W98" s="19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20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>
        <v>0.5</v>
      </c>
      <c r="AZ98" s="18"/>
      <c r="BA98" s="18">
        <v>0.5</v>
      </c>
      <c r="BB98" s="18"/>
      <c r="BC98" s="18"/>
      <c r="BD98" s="18"/>
      <c r="BE98" s="18"/>
      <c r="BF98" s="18"/>
      <c r="BG98" s="18"/>
      <c r="BH98" s="19"/>
      <c r="BI98" s="19"/>
      <c r="BJ98" s="19"/>
      <c r="BK98" s="19"/>
      <c r="BL98" s="19"/>
      <c r="BM98" s="19"/>
      <c r="BN98" s="19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</row>
    <row r="99" spans="1:80" ht="16.2" x14ac:dyDescent="0.4">
      <c r="A99" s="10" t="str">
        <f t="shared" si="10"/>
        <v>modesg_out_empr_info_nfinscp3_emss</v>
      </c>
      <c r="B99" s="11" t="s">
        <v>11</v>
      </c>
      <c r="C99" s="12" t="s">
        <v>68</v>
      </c>
      <c r="D99" s="13" t="s">
        <v>16</v>
      </c>
      <c r="E99" s="14" t="s">
        <v>82</v>
      </c>
      <c r="F99" s="13" t="s">
        <v>103</v>
      </c>
      <c r="G99" s="15" t="s">
        <v>15</v>
      </c>
      <c r="H99" s="16" t="s">
        <v>14</v>
      </c>
      <c r="I99" s="17">
        <v>45621</v>
      </c>
      <c r="J99" s="16"/>
      <c r="K99" s="16">
        <f t="shared" si="11"/>
        <v>45642</v>
      </c>
      <c r="L99" s="29"/>
      <c r="M99" s="27">
        <v>8.1</v>
      </c>
      <c r="N99" s="27">
        <f t="shared" si="12"/>
        <v>1</v>
      </c>
      <c r="O99" s="27">
        <f t="shared" si="13"/>
        <v>0</v>
      </c>
      <c r="P99" s="18"/>
      <c r="Q99" s="18"/>
      <c r="R99" s="18"/>
      <c r="S99" s="18"/>
      <c r="T99" s="18"/>
      <c r="U99" s="18"/>
      <c r="V99" s="18"/>
      <c r="W99" s="19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20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>
        <v>0.5</v>
      </c>
      <c r="BB99" s="18">
        <v>0.5</v>
      </c>
      <c r="BC99" s="18"/>
      <c r="BD99" s="18"/>
      <c r="BE99" s="18"/>
      <c r="BF99" s="18"/>
      <c r="BG99" s="18"/>
      <c r="BH99" s="19"/>
      <c r="BI99" s="19"/>
      <c r="BJ99" s="19"/>
      <c r="BK99" s="19"/>
      <c r="BL99" s="19"/>
      <c r="BM99" s="19"/>
      <c r="BN99" s="19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</row>
    <row r="100" spans="1:80" ht="16.2" x14ac:dyDescent="0.4">
      <c r="A100" s="10" t="str">
        <f t="shared" si="10"/>
        <v>modesg_out_emss_vclscnsm_co2</v>
      </c>
      <c r="B100" s="11" t="s">
        <v>11</v>
      </c>
      <c r="C100" s="12" t="s">
        <v>68</v>
      </c>
      <c r="D100" s="13" t="s">
        <v>16</v>
      </c>
      <c r="E100" s="14" t="s">
        <v>104</v>
      </c>
      <c r="F100" s="13" t="s">
        <v>105</v>
      </c>
      <c r="G100" s="15" t="s">
        <v>15</v>
      </c>
      <c r="H100" s="16" t="s">
        <v>14</v>
      </c>
      <c r="I100" s="17">
        <v>45607</v>
      </c>
      <c r="J100" s="16"/>
      <c r="K100" s="16">
        <f t="shared" si="11"/>
        <v>45618</v>
      </c>
      <c r="L100" s="29" t="s">
        <v>196</v>
      </c>
      <c r="M100" s="27">
        <v>8.1</v>
      </c>
      <c r="N100" s="27">
        <f t="shared" si="12"/>
        <v>1</v>
      </c>
      <c r="O100" s="27">
        <f t="shared" si="13"/>
        <v>0</v>
      </c>
      <c r="P100" s="18"/>
      <c r="Q100" s="18"/>
      <c r="R100" s="18"/>
      <c r="S100" s="18"/>
      <c r="T100" s="18"/>
      <c r="U100" s="18"/>
      <c r="V100" s="18"/>
      <c r="W100" s="19"/>
      <c r="X100" s="18"/>
      <c r="Y100" s="18"/>
      <c r="Z100" s="18"/>
      <c r="AA100" s="18"/>
      <c r="AB100" s="18"/>
      <c r="AC100" s="20"/>
      <c r="AD100" s="18"/>
      <c r="AE100" s="18"/>
      <c r="AF100" s="18"/>
      <c r="AG100" s="18"/>
      <c r="AH100" s="18"/>
      <c r="AI100" s="18"/>
      <c r="AJ100" s="18"/>
      <c r="AK100" s="18"/>
      <c r="AL100" s="18">
        <v>1</v>
      </c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9"/>
      <c r="BI100" s="19"/>
      <c r="BJ100" s="19"/>
      <c r="BK100" s="19"/>
      <c r="BL100" s="19"/>
      <c r="BM100" s="19"/>
      <c r="BN100" s="19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</row>
    <row r="101" spans="1:80" ht="16.2" x14ac:dyDescent="0.4">
      <c r="A101" s="10" t="str">
        <f t="shared" si="10"/>
        <v>modesg_out_emss_vclsorigem_scp1_emss</v>
      </c>
      <c r="B101" s="11" t="s">
        <v>11</v>
      </c>
      <c r="C101" s="12" t="s">
        <v>68</v>
      </c>
      <c r="D101" s="13" t="s">
        <v>16</v>
      </c>
      <c r="E101" s="14" t="s">
        <v>104</v>
      </c>
      <c r="F101" s="13" t="s">
        <v>74</v>
      </c>
      <c r="G101" s="15" t="s">
        <v>15</v>
      </c>
      <c r="H101" s="16" t="s">
        <v>14</v>
      </c>
      <c r="I101" s="17">
        <v>45607</v>
      </c>
      <c r="J101" s="16"/>
      <c r="K101" s="16">
        <f t="shared" si="11"/>
        <v>45608</v>
      </c>
      <c r="L101" s="29" t="s">
        <v>196</v>
      </c>
      <c r="M101" s="31">
        <v>3</v>
      </c>
      <c r="N101" s="27">
        <f t="shared" si="12"/>
        <v>0.4</v>
      </c>
      <c r="O101" s="27">
        <f t="shared" si="13"/>
        <v>0</v>
      </c>
      <c r="P101" s="18"/>
      <c r="Q101" s="18"/>
      <c r="R101" s="18"/>
      <c r="S101" s="18"/>
      <c r="T101" s="18"/>
      <c r="U101" s="18"/>
      <c r="V101" s="18"/>
      <c r="W101" s="19"/>
      <c r="X101" s="18"/>
      <c r="Y101" s="18"/>
      <c r="Z101" s="18"/>
      <c r="AA101" s="18"/>
      <c r="AB101" s="18"/>
      <c r="AC101" s="20"/>
      <c r="AD101" s="18">
        <v>0.4</v>
      </c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9"/>
      <c r="BI101" s="19"/>
      <c r="BJ101" s="19"/>
      <c r="BK101" s="19"/>
      <c r="BL101" s="19"/>
      <c r="BM101" s="19"/>
      <c r="BN101" s="19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</row>
    <row r="102" spans="1:80" ht="16.2" x14ac:dyDescent="0.4">
      <c r="A102" s="10" t="str">
        <f t="shared" si="10"/>
        <v>modesg_out_emss_vclsorigem_scp2_emss</v>
      </c>
      <c r="B102" s="11" t="s">
        <v>11</v>
      </c>
      <c r="C102" s="12" t="s">
        <v>68</v>
      </c>
      <c r="D102" s="13" t="s">
        <v>16</v>
      </c>
      <c r="E102" s="14" t="s">
        <v>104</v>
      </c>
      <c r="F102" s="13" t="s">
        <v>75</v>
      </c>
      <c r="G102" s="15" t="s">
        <v>15</v>
      </c>
      <c r="H102" s="16" t="s">
        <v>14</v>
      </c>
      <c r="I102" s="17">
        <v>45607</v>
      </c>
      <c r="J102" s="16"/>
      <c r="K102" s="16">
        <f t="shared" si="11"/>
        <v>45609</v>
      </c>
      <c r="L102" s="29" t="s">
        <v>196</v>
      </c>
      <c r="M102" s="31">
        <v>3</v>
      </c>
      <c r="N102" s="27">
        <f t="shared" si="12"/>
        <v>0.4</v>
      </c>
      <c r="O102" s="27">
        <f t="shared" si="13"/>
        <v>0</v>
      </c>
      <c r="P102" s="18"/>
      <c r="Q102" s="18"/>
      <c r="R102" s="18"/>
      <c r="S102" s="18"/>
      <c r="T102" s="18"/>
      <c r="U102" s="18"/>
      <c r="V102" s="18"/>
      <c r="W102" s="19"/>
      <c r="X102" s="18"/>
      <c r="Y102" s="18"/>
      <c r="Z102" s="18"/>
      <c r="AA102" s="18"/>
      <c r="AB102" s="18"/>
      <c r="AC102" s="20"/>
      <c r="AD102" s="18">
        <v>0.1</v>
      </c>
      <c r="AE102" s="18">
        <v>0.3</v>
      </c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9"/>
      <c r="BI102" s="19"/>
      <c r="BJ102" s="19"/>
      <c r="BK102" s="19"/>
      <c r="BL102" s="19"/>
      <c r="BM102" s="19"/>
      <c r="BN102" s="19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</row>
    <row r="103" spans="1:80" ht="16.2" x14ac:dyDescent="0.4">
      <c r="A103" s="10" t="str">
        <f t="shared" si="10"/>
        <v>modesg_out_emss_vclsorigem_scp3_emss</v>
      </c>
      <c r="B103" s="11" t="s">
        <v>11</v>
      </c>
      <c r="C103" s="12" t="s">
        <v>68</v>
      </c>
      <c r="D103" s="13" t="s">
        <v>16</v>
      </c>
      <c r="E103" s="14" t="s">
        <v>104</v>
      </c>
      <c r="F103" s="13" t="s">
        <v>76</v>
      </c>
      <c r="G103" s="15" t="s">
        <v>15</v>
      </c>
      <c r="H103" s="16" t="s">
        <v>14</v>
      </c>
      <c r="I103" s="17">
        <v>45607</v>
      </c>
      <c r="J103" s="16"/>
      <c r="K103" s="16">
        <f t="shared" si="11"/>
        <v>45609</v>
      </c>
      <c r="L103" s="29" t="s">
        <v>196</v>
      </c>
      <c r="M103" s="31">
        <v>3</v>
      </c>
      <c r="N103" s="27">
        <f t="shared" si="12"/>
        <v>0.4</v>
      </c>
      <c r="O103" s="27">
        <f t="shared" si="13"/>
        <v>0</v>
      </c>
      <c r="P103" s="18"/>
      <c r="Q103" s="18"/>
      <c r="R103" s="18"/>
      <c r="S103" s="18"/>
      <c r="T103" s="18"/>
      <c r="U103" s="18"/>
      <c r="V103" s="18"/>
      <c r="W103" s="19"/>
      <c r="X103" s="18"/>
      <c r="Y103" s="18"/>
      <c r="Z103" s="18"/>
      <c r="AA103" s="18"/>
      <c r="AB103" s="18"/>
      <c r="AC103" s="20"/>
      <c r="AD103" s="18"/>
      <c r="AE103" s="18">
        <v>0.4</v>
      </c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9"/>
      <c r="BI103" s="19"/>
      <c r="BJ103" s="19"/>
      <c r="BK103" s="19"/>
      <c r="BL103" s="19"/>
      <c r="BM103" s="19"/>
      <c r="BN103" s="19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</row>
    <row r="104" spans="1:80" ht="16.2" x14ac:dyDescent="0.4">
      <c r="A104" s="10" t="str">
        <f t="shared" si="10"/>
        <v>modesg_out_emss_vclsscp1_emss</v>
      </c>
      <c r="B104" s="11" t="s">
        <v>11</v>
      </c>
      <c r="C104" s="12" t="s">
        <v>68</v>
      </c>
      <c r="D104" s="13" t="s">
        <v>16</v>
      </c>
      <c r="E104" s="14" t="s">
        <v>104</v>
      </c>
      <c r="F104" s="13" t="s">
        <v>77</v>
      </c>
      <c r="G104" s="15" t="s">
        <v>15</v>
      </c>
      <c r="H104" s="16" t="s">
        <v>14</v>
      </c>
      <c r="I104" s="17">
        <v>45607</v>
      </c>
      <c r="J104" s="16"/>
      <c r="K104" s="16">
        <f t="shared" si="11"/>
        <v>45611</v>
      </c>
      <c r="L104" s="29" t="s">
        <v>196</v>
      </c>
      <c r="M104" s="27">
        <v>16.100000000000001</v>
      </c>
      <c r="N104" s="27">
        <f t="shared" si="12"/>
        <v>2</v>
      </c>
      <c r="O104" s="27">
        <f t="shared" si="13"/>
        <v>0</v>
      </c>
      <c r="P104" s="18"/>
      <c r="Q104" s="18"/>
      <c r="R104" s="18"/>
      <c r="S104" s="18"/>
      <c r="T104" s="18"/>
      <c r="U104" s="18"/>
      <c r="V104" s="18"/>
      <c r="W104" s="19"/>
      <c r="X104" s="18"/>
      <c r="Y104" s="18"/>
      <c r="Z104" s="18"/>
      <c r="AA104" s="18"/>
      <c r="AB104" s="18"/>
      <c r="AC104" s="20"/>
      <c r="AD104" s="18"/>
      <c r="AE104" s="18">
        <v>0.3</v>
      </c>
      <c r="AF104" s="18">
        <v>1</v>
      </c>
      <c r="AG104" s="18">
        <v>0.7</v>
      </c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9"/>
      <c r="BI104" s="19"/>
      <c r="BJ104" s="19"/>
      <c r="BK104" s="19"/>
      <c r="BL104" s="19"/>
      <c r="BM104" s="19"/>
      <c r="BN104" s="19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</row>
    <row r="105" spans="1:80" ht="16.2" x14ac:dyDescent="0.4">
      <c r="A105" s="10" t="str">
        <f t="shared" si="10"/>
        <v>modesg_out_emss_vclsscp2_emss</v>
      </c>
      <c r="B105" s="11" t="s">
        <v>11</v>
      </c>
      <c r="C105" s="12" t="s">
        <v>68</v>
      </c>
      <c r="D105" s="13" t="s">
        <v>16</v>
      </c>
      <c r="E105" s="14" t="s">
        <v>104</v>
      </c>
      <c r="F105" s="13" t="s">
        <v>78</v>
      </c>
      <c r="G105" s="15" t="s">
        <v>15</v>
      </c>
      <c r="H105" s="16" t="s">
        <v>14</v>
      </c>
      <c r="I105" s="17">
        <v>45607</v>
      </c>
      <c r="J105" s="16"/>
      <c r="K105" s="16">
        <f t="shared" si="11"/>
        <v>45615</v>
      </c>
      <c r="L105" s="29" t="s">
        <v>196</v>
      </c>
      <c r="M105" s="27">
        <v>16.100000000000001</v>
      </c>
      <c r="N105" s="27">
        <f t="shared" si="12"/>
        <v>2</v>
      </c>
      <c r="O105" s="27">
        <f t="shared" si="13"/>
        <v>0</v>
      </c>
      <c r="P105" s="18"/>
      <c r="Q105" s="18"/>
      <c r="R105" s="18"/>
      <c r="S105" s="18"/>
      <c r="T105" s="18"/>
      <c r="U105" s="18"/>
      <c r="V105" s="18"/>
      <c r="W105" s="19"/>
      <c r="X105" s="18"/>
      <c r="Y105" s="18"/>
      <c r="Z105" s="18"/>
      <c r="AA105" s="18"/>
      <c r="AB105" s="18"/>
      <c r="AC105" s="20"/>
      <c r="AD105" s="18"/>
      <c r="AE105" s="18"/>
      <c r="AF105" s="18"/>
      <c r="AG105" s="18">
        <v>0.3</v>
      </c>
      <c r="AH105" s="18">
        <v>1</v>
      </c>
      <c r="AI105" s="18">
        <v>0.7</v>
      </c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9"/>
      <c r="BI105" s="19"/>
      <c r="BJ105" s="19"/>
      <c r="BK105" s="19"/>
      <c r="BL105" s="19"/>
      <c r="BM105" s="19"/>
      <c r="BN105" s="19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</row>
    <row r="106" spans="1:80" ht="16.2" x14ac:dyDescent="0.4">
      <c r="A106" s="10" t="str">
        <f t="shared" si="10"/>
        <v>modesg_out_emss_vclsscp3_emss</v>
      </c>
      <c r="B106" s="11" t="s">
        <v>11</v>
      </c>
      <c r="C106" s="12" t="s">
        <v>68</v>
      </c>
      <c r="D106" s="13" t="s">
        <v>16</v>
      </c>
      <c r="E106" s="14" t="s">
        <v>104</v>
      </c>
      <c r="F106" s="13" t="s">
        <v>103</v>
      </c>
      <c r="G106" s="15" t="s">
        <v>15</v>
      </c>
      <c r="H106" s="16" t="s">
        <v>14</v>
      </c>
      <c r="I106" s="17">
        <v>45607</v>
      </c>
      <c r="J106" s="16"/>
      <c r="K106" s="16">
        <f t="shared" si="11"/>
        <v>45617</v>
      </c>
      <c r="L106" s="29" t="s">
        <v>196</v>
      </c>
      <c r="M106" s="27">
        <v>16.100000000000001</v>
      </c>
      <c r="N106" s="27">
        <f t="shared" si="12"/>
        <v>2</v>
      </c>
      <c r="O106" s="60">
        <f t="shared" si="13"/>
        <v>0.29999999999999982</v>
      </c>
      <c r="P106" s="18"/>
      <c r="Q106" s="18"/>
      <c r="R106" s="18"/>
      <c r="S106" s="18"/>
      <c r="T106" s="18"/>
      <c r="U106" s="18"/>
      <c r="V106" s="18"/>
      <c r="W106" s="19"/>
      <c r="X106" s="18"/>
      <c r="Y106" s="18"/>
      <c r="Z106" s="18"/>
      <c r="AA106" s="18"/>
      <c r="AB106" s="18"/>
      <c r="AC106" s="20"/>
      <c r="AD106" s="18"/>
      <c r="AE106" s="18"/>
      <c r="AF106" s="18"/>
      <c r="AG106" s="18"/>
      <c r="AH106" s="18"/>
      <c r="AI106" s="18">
        <v>0.3</v>
      </c>
      <c r="AJ106" s="18">
        <v>1</v>
      </c>
      <c r="AK106" s="18">
        <v>1</v>
      </c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9"/>
      <c r="BI106" s="19"/>
      <c r="BJ106" s="19"/>
      <c r="BK106" s="19"/>
      <c r="BL106" s="19"/>
      <c r="BM106" s="19"/>
      <c r="BN106" s="19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</row>
    <row r="107" spans="1:80" ht="16.2" x14ac:dyDescent="0.4">
      <c r="A107" s="10" t="str">
        <f t="shared" si="10"/>
        <v>modesg_out_sfcs_taxon_europeiacbalcao</v>
      </c>
      <c r="B107" s="11" t="s">
        <v>11</v>
      </c>
      <c r="C107" s="12" t="s">
        <v>68</v>
      </c>
      <c r="D107" s="13" t="s">
        <v>16</v>
      </c>
      <c r="E107" s="14" t="s">
        <v>106</v>
      </c>
      <c r="F107" s="13" t="s">
        <v>107</v>
      </c>
      <c r="G107" s="15" t="s">
        <v>15</v>
      </c>
      <c r="H107" s="16" t="s">
        <v>14</v>
      </c>
      <c r="I107" s="17">
        <v>45624</v>
      </c>
      <c r="J107" s="16"/>
      <c r="K107" s="16">
        <f t="shared" si="11"/>
        <v>45630</v>
      </c>
      <c r="L107" s="29"/>
      <c r="M107" s="27">
        <v>4.0999999999999996</v>
      </c>
      <c r="N107" s="27">
        <f t="shared" si="12"/>
        <v>0.5</v>
      </c>
      <c r="O107" s="27">
        <f t="shared" si="13"/>
        <v>0</v>
      </c>
      <c r="P107" s="18"/>
      <c r="Q107" s="18"/>
      <c r="R107" s="18"/>
      <c r="S107" s="18"/>
      <c r="T107" s="18"/>
      <c r="U107" s="18"/>
      <c r="V107" s="18"/>
      <c r="W107" s="19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20"/>
      <c r="AQ107" s="18"/>
      <c r="AR107" s="18"/>
      <c r="AS107" s="18"/>
      <c r="AT107" s="18">
        <v>0.5</v>
      </c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9"/>
      <c r="BI107" s="19"/>
      <c r="BJ107" s="19"/>
      <c r="BK107" s="19"/>
      <c r="BL107" s="19"/>
      <c r="BM107" s="19"/>
      <c r="BN107" s="19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</row>
    <row r="108" spans="1:80" ht="16.2" x14ac:dyDescent="0.4">
      <c r="A108" s="10" t="str">
        <f t="shared" si="10"/>
        <v>modesg_out_sfcs_taxon_europeiacempresa</v>
      </c>
      <c r="B108" s="11" t="s">
        <v>11</v>
      </c>
      <c r="C108" s="12" t="s">
        <v>68</v>
      </c>
      <c r="D108" s="13" t="s">
        <v>16</v>
      </c>
      <c r="E108" s="14" t="s">
        <v>106</v>
      </c>
      <c r="F108" s="13" t="s">
        <v>108</v>
      </c>
      <c r="G108" s="15" t="s">
        <v>15</v>
      </c>
      <c r="H108" s="16" t="s">
        <v>14</v>
      </c>
      <c r="I108" s="17">
        <v>45624</v>
      </c>
      <c r="J108" s="16"/>
      <c r="K108" s="16">
        <f t="shared" si="11"/>
        <v>45630</v>
      </c>
      <c r="L108" s="29"/>
      <c r="M108" s="27">
        <v>4.0999999999999996</v>
      </c>
      <c r="N108" s="27">
        <f t="shared" si="12"/>
        <v>0.5</v>
      </c>
      <c r="O108" s="27">
        <f t="shared" si="13"/>
        <v>0</v>
      </c>
      <c r="P108" s="18"/>
      <c r="Q108" s="18"/>
      <c r="R108" s="18"/>
      <c r="S108" s="18"/>
      <c r="T108" s="18"/>
      <c r="U108" s="18"/>
      <c r="V108" s="18"/>
      <c r="W108" s="19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20"/>
      <c r="AQ108" s="18"/>
      <c r="AR108" s="18"/>
      <c r="AS108" s="18"/>
      <c r="AT108" s="18">
        <v>0.5</v>
      </c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9"/>
      <c r="BI108" s="19"/>
      <c r="BJ108" s="19"/>
      <c r="BK108" s="19"/>
      <c r="BL108" s="19"/>
      <c r="BM108" s="19"/>
      <c r="BN108" s="19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</row>
    <row r="109" spans="1:80" ht="16.2" x14ac:dyDescent="0.4">
      <c r="A109" s="10" t="str">
        <f t="shared" si="10"/>
        <v>modesg_out_sfcs_taxon_europeiacnumecta</v>
      </c>
      <c r="B109" s="11" t="s">
        <v>11</v>
      </c>
      <c r="C109" s="12" t="s">
        <v>68</v>
      </c>
      <c r="D109" s="13" t="s">
        <v>16</v>
      </c>
      <c r="E109" s="14" t="s">
        <v>106</v>
      </c>
      <c r="F109" s="13" t="s">
        <v>109</v>
      </c>
      <c r="G109" s="15" t="s">
        <v>15</v>
      </c>
      <c r="H109" s="16" t="s">
        <v>14</v>
      </c>
      <c r="I109" s="17">
        <v>45624</v>
      </c>
      <c r="J109" s="16"/>
      <c r="K109" s="16">
        <f t="shared" si="11"/>
        <v>45631</v>
      </c>
      <c r="L109" s="29"/>
      <c r="M109" s="27">
        <v>4.0999999999999996</v>
      </c>
      <c r="N109" s="27">
        <f t="shared" si="12"/>
        <v>0.5</v>
      </c>
      <c r="O109" s="27">
        <f t="shared" si="13"/>
        <v>0</v>
      </c>
      <c r="P109" s="18"/>
      <c r="Q109" s="18"/>
      <c r="R109" s="18"/>
      <c r="S109" s="18"/>
      <c r="T109" s="18"/>
      <c r="U109" s="18"/>
      <c r="V109" s="18"/>
      <c r="W109" s="19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20"/>
      <c r="AQ109" s="18"/>
      <c r="AR109" s="18"/>
      <c r="AS109" s="18"/>
      <c r="AT109" s="18"/>
      <c r="AU109" s="18">
        <v>0.5</v>
      </c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9"/>
      <c r="BI109" s="19"/>
      <c r="BJ109" s="19"/>
      <c r="BK109" s="19"/>
      <c r="BL109" s="19"/>
      <c r="BM109" s="19"/>
      <c r="BN109" s="19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</row>
    <row r="110" spans="1:80" ht="16.2" x14ac:dyDescent="0.4">
      <c r="A110" s="10" t="str">
        <f t="shared" si="10"/>
        <v>modesg_out_sfcs_taxon_europeiacod_regra</v>
      </c>
      <c r="B110" s="11" t="s">
        <v>11</v>
      </c>
      <c r="C110" s="12" t="s">
        <v>68</v>
      </c>
      <c r="D110" s="13" t="s">
        <v>16</v>
      </c>
      <c r="E110" s="14" t="s">
        <v>106</v>
      </c>
      <c r="F110" s="13" t="s">
        <v>51</v>
      </c>
      <c r="G110" s="15" t="s">
        <v>15</v>
      </c>
      <c r="H110" s="16" t="s">
        <v>14</v>
      </c>
      <c r="I110" s="17">
        <v>45624</v>
      </c>
      <c r="J110" s="16"/>
      <c r="K110" s="16">
        <f t="shared" si="11"/>
        <v>45631</v>
      </c>
      <c r="L110" s="29"/>
      <c r="M110" s="27">
        <v>4.0999999999999996</v>
      </c>
      <c r="N110" s="27">
        <f t="shared" si="12"/>
        <v>0.5</v>
      </c>
      <c r="O110" s="27">
        <f t="shared" si="13"/>
        <v>0</v>
      </c>
      <c r="P110" s="18"/>
      <c r="Q110" s="18"/>
      <c r="R110" s="18"/>
      <c r="S110" s="18"/>
      <c r="T110" s="18"/>
      <c r="U110" s="18"/>
      <c r="V110" s="18"/>
      <c r="W110" s="19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20"/>
      <c r="AQ110" s="18"/>
      <c r="AR110" s="18"/>
      <c r="AS110" s="18"/>
      <c r="AT110" s="18"/>
      <c r="AU110" s="18">
        <v>0.5</v>
      </c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9"/>
      <c r="BI110" s="19"/>
      <c r="BJ110" s="19"/>
      <c r="BK110" s="19"/>
      <c r="BL110" s="19"/>
      <c r="BM110" s="19"/>
      <c r="BN110" s="19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</row>
    <row r="111" spans="1:80" ht="16.2" x14ac:dyDescent="0.4">
      <c r="A111" s="10" t="str">
        <f t="shared" si="10"/>
        <v>modesg_out_sfcs_taxon_europeiamontante_pndrc</v>
      </c>
      <c r="B111" s="11" t="s">
        <v>11</v>
      </c>
      <c r="C111" s="12" t="s">
        <v>68</v>
      </c>
      <c r="D111" s="13" t="s">
        <v>16</v>
      </c>
      <c r="E111" s="14" t="s">
        <v>106</v>
      </c>
      <c r="F111" s="13" t="s">
        <v>60</v>
      </c>
      <c r="G111" s="15" t="s">
        <v>15</v>
      </c>
      <c r="H111" s="16" t="s">
        <v>14</v>
      </c>
      <c r="I111" s="17">
        <v>45624</v>
      </c>
      <c r="J111" s="16"/>
      <c r="K111" s="16">
        <f t="shared" si="11"/>
        <v>45635</v>
      </c>
      <c r="L111" s="29"/>
      <c r="M111" s="27">
        <v>16.100000000000001</v>
      </c>
      <c r="N111" s="27">
        <f t="shared" si="12"/>
        <v>2</v>
      </c>
      <c r="O111" s="27">
        <f t="shared" si="13"/>
        <v>0</v>
      </c>
      <c r="P111" s="18"/>
      <c r="Q111" s="18"/>
      <c r="R111" s="18"/>
      <c r="S111" s="18"/>
      <c r="T111" s="18"/>
      <c r="U111" s="18"/>
      <c r="V111" s="18"/>
      <c r="W111" s="19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20"/>
      <c r="AQ111" s="18"/>
      <c r="AR111" s="18"/>
      <c r="AS111" s="18"/>
      <c r="AT111" s="18"/>
      <c r="AU111" s="18"/>
      <c r="AV111" s="18">
        <v>1</v>
      </c>
      <c r="AW111" s="18">
        <v>1</v>
      </c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9"/>
      <c r="BI111" s="19"/>
      <c r="BJ111" s="19"/>
      <c r="BK111" s="19"/>
      <c r="BL111" s="19"/>
      <c r="BM111" s="19"/>
      <c r="BN111" s="19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</row>
    <row r="112" spans="1:80" ht="16.2" x14ac:dyDescent="0.4">
      <c r="A112" s="10" t="str">
        <f t="shared" si="10"/>
        <v>modesg_out_sfcs_taxon_europeianome_ctgr_sfcs</v>
      </c>
      <c r="B112" s="11" t="s">
        <v>11</v>
      </c>
      <c r="C112" s="12" t="s">
        <v>68</v>
      </c>
      <c r="D112" s="13" t="s">
        <v>16</v>
      </c>
      <c r="E112" s="14" t="s">
        <v>106</v>
      </c>
      <c r="F112" s="13" t="s">
        <v>61</v>
      </c>
      <c r="G112" s="15" t="s">
        <v>15</v>
      </c>
      <c r="H112" s="16" t="s">
        <v>14</v>
      </c>
      <c r="I112" s="17">
        <v>45624</v>
      </c>
      <c r="J112" s="16"/>
      <c r="K112" s="16">
        <f t="shared" si="11"/>
        <v>45637</v>
      </c>
      <c r="L112" s="29"/>
      <c r="M112" s="27">
        <v>16.100000000000001</v>
      </c>
      <c r="N112" s="27">
        <f t="shared" si="12"/>
        <v>2</v>
      </c>
      <c r="O112" s="27">
        <f t="shared" si="13"/>
        <v>0</v>
      </c>
      <c r="P112" s="18"/>
      <c r="Q112" s="18"/>
      <c r="R112" s="18"/>
      <c r="S112" s="18"/>
      <c r="T112" s="18"/>
      <c r="U112" s="18"/>
      <c r="V112" s="18"/>
      <c r="W112" s="19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20"/>
      <c r="AQ112" s="18"/>
      <c r="AR112" s="18"/>
      <c r="AS112" s="18"/>
      <c r="AT112" s="18"/>
      <c r="AU112" s="18"/>
      <c r="AV112" s="18"/>
      <c r="AW112" s="18"/>
      <c r="AX112" s="18">
        <v>1</v>
      </c>
      <c r="AY112" s="18">
        <v>1</v>
      </c>
      <c r="AZ112" s="18"/>
      <c r="BA112" s="18"/>
      <c r="BB112" s="18"/>
      <c r="BC112" s="18"/>
      <c r="BD112" s="18"/>
      <c r="BE112" s="18"/>
      <c r="BF112" s="18"/>
      <c r="BG112" s="18"/>
      <c r="BH112" s="19"/>
      <c r="BI112" s="19"/>
      <c r="BJ112" s="19"/>
      <c r="BK112" s="19"/>
      <c r="BL112" s="19"/>
      <c r="BM112" s="19"/>
      <c r="BN112" s="19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</row>
    <row r="113" spans="1:80" ht="16.2" x14ac:dyDescent="0.4">
      <c r="A113" s="10" t="str">
        <f t="shared" si="10"/>
        <v>modesg_out_sfcs_taxon_europeianome_general_specific_purpose</v>
      </c>
      <c r="B113" s="11" t="s">
        <v>11</v>
      </c>
      <c r="C113" s="12" t="s">
        <v>68</v>
      </c>
      <c r="D113" s="13" t="s">
        <v>16</v>
      </c>
      <c r="E113" s="14" t="s">
        <v>106</v>
      </c>
      <c r="F113" s="13" t="s">
        <v>62</v>
      </c>
      <c r="G113" s="15" t="s">
        <v>15</v>
      </c>
      <c r="H113" s="16" t="s">
        <v>14</v>
      </c>
      <c r="I113" s="17">
        <v>45624</v>
      </c>
      <c r="J113" s="16"/>
      <c r="K113" s="16">
        <f t="shared" si="11"/>
        <v>45638</v>
      </c>
      <c r="L113" s="29"/>
      <c r="M113" s="27">
        <v>8.1</v>
      </c>
      <c r="N113" s="27">
        <f t="shared" si="12"/>
        <v>1</v>
      </c>
      <c r="O113" s="27">
        <f t="shared" si="13"/>
        <v>0</v>
      </c>
      <c r="P113" s="18"/>
      <c r="Q113" s="18"/>
      <c r="R113" s="18"/>
      <c r="S113" s="18"/>
      <c r="T113" s="18"/>
      <c r="U113" s="18"/>
      <c r="V113" s="18"/>
      <c r="W113" s="19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20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>
        <v>1</v>
      </c>
      <c r="BA113" s="18"/>
      <c r="BB113" s="18"/>
      <c r="BC113" s="18"/>
      <c r="BD113" s="18"/>
      <c r="BE113" s="18"/>
      <c r="BF113" s="18"/>
      <c r="BG113" s="18"/>
      <c r="BH113" s="19"/>
      <c r="BI113" s="19"/>
      <c r="BJ113" s="19"/>
      <c r="BK113" s="19"/>
      <c r="BL113" s="19"/>
      <c r="BM113" s="19"/>
      <c r="BN113" s="19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</row>
    <row r="114" spans="1:80" ht="16.2" x14ac:dyDescent="0.4">
      <c r="A114" s="10" t="str">
        <f t="shared" si="10"/>
        <v>modesg_out_sfcs_taxon_europeianome_purpose_esg</v>
      </c>
      <c r="B114" s="11" t="s">
        <v>11</v>
      </c>
      <c r="C114" s="12" t="s">
        <v>68</v>
      </c>
      <c r="D114" s="13" t="s">
        <v>16</v>
      </c>
      <c r="E114" s="14" t="s">
        <v>106</v>
      </c>
      <c r="F114" s="13" t="s">
        <v>63</v>
      </c>
      <c r="G114" s="15" t="s">
        <v>15</v>
      </c>
      <c r="H114" s="16" t="s">
        <v>14</v>
      </c>
      <c r="I114" s="17">
        <v>45624</v>
      </c>
      <c r="J114" s="16"/>
      <c r="K114" s="16">
        <f t="shared" si="11"/>
        <v>45639</v>
      </c>
      <c r="L114" s="29"/>
      <c r="M114" s="27">
        <v>8.1</v>
      </c>
      <c r="N114" s="27">
        <f t="shared" si="12"/>
        <v>1</v>
      </c>
      <c r="O114" s="27">
        <f t="shared" si="13"/>
        <v>0</v>
      </c>
      <c r="P114" s="18"/>
      <c r="Q114" s="18"/>
      <c r="R114" s="18"/>
      <c r="S114" s="18"/>
      <c r="T114" s="18"/>
      <c r="U114" s="18"/>
      <c r="V114" s="18"/>
      <c r="W114" s="19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20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>
        <v>1</v>
      </c>
      <c r="BB114" s="18"/>
      <c r="BC114" s="18"/>
      <c r="BD114" s="18"/>
      <c r="BE114" s="18"/>
      <c r="BF114" s="18"/>
      <c r="BG114" s="18"/>
      <c r="BH114" s="19"/>
      <c r="BI114" s="19"/>
      <c r="BJ114" s="19"/>
      <c r="BK114" s="19"/>
      <c r="BL114" s="19"/>
      <c r="BM114" s="19"/>
      <c r="BN114" s="19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</row>
    <row r="115" spans="1:80" ht="16.2" x14ac:dyDescent="0.4">
      <c r="A115" s="10" t="str">
        <f t="shared" si="10"/>
        <v>modesg_out_sfcs_taxon_europeianome_specific_eligible</v>
      </c>
      <c r="B115" s="11" t="s">
        <v>11</v>
      </c>
      <c r="C115" s="12" t="s">
        <v>68</v>
      </c>
      <c r="D115" s="13" t="s">
        <v>16</v>
      </c>
      <c r="E115" s="14" t="s">
        <v>106</v>
      </c>
      <c r="F115" s="13" t="s">
        <v>64</v>
      </c>
      <c r="G115" s="15" t="s">
        <v>15</v>
      </c>
      <c r="H115" s="16" t="s">
        <v>14</v>
      </c>
      <c r="I115" s="17">
        <v>45624</v>
      </c>
      <c r="J115" s="16"/>
      <c r="K115" s="16">
        <f t="shared" si="11"/>
        <v>45642</v>
      </c>
      <c r="L115" s="29"/>
      <c r="M115" s="27">
        <v>8.1</v>
      </c>
      <c r="N115" s="27">
        <f t="shared" si="12"/>
        <v>1</v>
      </c>
      <c r="O115" s="27">
        <f t="shared" si="13"/>
        <v>0</v>
      </c>
      <c r="P115" s="18"/>
      <c r="Q115" s="18"/>
      <c r="R115" s="18"/>
      <c r="S115" s="18"/>
      <c r="T115" s="18"/>
      <c r="U115" s="18"/>
      <c r="V115" s="18"/>
      <c r="W115" s="19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20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>
        <v>1</v>
      </c>
      <c r="BC115" s="18"/>
      <c r="BD115" s="18"/>
      <c r="BE115" s="18"/>
      <c r="BF115" s="18"/>
      <c r="BG115" s="18"/>
      <c r="BH115" s="19"/>
      <c r="BI115" s="19"/>
      <c r="BJ115" s="19"/>
      <c r="BK115" s="19"/>
      <c r="BL115" s="19"/>
      <c r="BM115" s="19"/>
      <c r="BN115" s="19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</row>
    <row r="116" spans="1:80" ht="16.2" x14ac:dyDescent="0.4">
      <c r="A116" s="10" t="str">
        <f t="shared" si="10"/>
        <v>modesg_out_sfcs_taxon_europeianome_specific_sustainable</v>
      </c>
      <c r="B116" s="11" t="s">
        <v>11</v>
      </c>
      <c r="C116" s="12" t="s">
        <v>68</v>
      </c>
      <c r="D116" s="13" t="s">
        <v>16</v>
      </c>
      <c r="E116" s="14" t="s">
        <v>106</v>
      </c>
      <c r="F116" s="13" t="s">
        <v>65</v>
      </c>
      <c r="G116" s="15" t="s">
        <v>15</v>
      </c>
      <c r="H116" s="16" t="s">
        <v>14</v>
      </c>
      <c r="I116" s="17">
        <v>45624</v>
      </c>
      <c r="J116" s="16"/>
      <c r="K116" s="16">
        <f t="shared" si="11"/>
        <v>45643</v>
      </c>
      <c r="L116" s="29"/>
      <c r="M116" s="27">
        <v>8.1</v>
      </c>
      <c r="N116" s="27">
        <f t="shared" si="12"/>
        <v>1</v>
      </c>
      <c r="O116" s="27">
        <f t="shared" si="13"/>
        <v>0</v>
      </c>
      <c r="P116" s="18"/>
      <c r="Q116" s="18"/>
      <c r="R116" s="18"/>
      <c r="S116" s="18"/>
      <c r="T116" s="18"/>
      <c r="U116" s="18"/>
      <c r="V116" s="18"/>
      <c r="W116" s="19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20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>
        <v>1</v>
      </c>
      <c r="BD116" s="18"/>
      <c r="BE116" s="18"/>
      <c r="BF116" s="18"/>
      <c r="BG116" s="18"/>
      <c r="BH116" s="19"/>
      <c r="BI116" s="19"/>
      <c r="BJ116" s="19"/>
      <c r="BK116" s="19"/>
      <c r="BL116" s="19"/>
      <c r="BM116" s="19"/>
      <c r="BN116" s="19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</row>
    <row r="117" spans="1:80" ht="16.2" x14ac:dyDescent="0.4">
      <c r="A117" s="10" t="str">
        <f t="shared" si="10"/>
        <v>modesg_out_sfcs_taxon_europeiaref_date</v>
      </c>
      <c r="B117" s="11" t="s">
        <v>11</v>
      </c>
      <c r="C117" s="12" t="s">
        <v>68</v>
      </c>
      <c r="D117" s="13" t="s">
        <v>16</v>
      </c>
      <c r="E117" s="14" t="s">
        <v>106</v>
      </c>
      <c r="F117" s="13" t="s">
        <v>110</v>
      </c>
      <c r="G117" s="15" t="s">
        <v>15</v>
      </c>
      <c r="H117" s="16" t="s">
        <v>14</v>
      </c>
      <c r="I117" s="17">
        <v>45624</v>
      </c>
      <c r="J117" s="16"/>
      <c r="K117" s="16">
        <f t="shared" si="11"/>
        <v>45644</v>
      </c>
      <c r="L117" s="29"/>
      <c r="M117" s="27">
        <v>4.0999999999999996</v>
      </c>
      <c r="N117" s="27">
        <f t="shared" si="12"/>
        <v>0.5</v>
      </c>
      <c r="O117" s="27">
        <f t="shared" si="13"/>
        <v>0</v>
      </c>
      <c r="P117" s="18"/>
      <c r="Q117" s="18"/>
      <c r="R117" s="18"/>
      <c r="S117" s="18"/>
      <c r="T117" s="18"/>
      <c r="U117" s="18"/>
      <c r="V117" s="18"/>
      <c r="W117" s="19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20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>
        <v>0.5</v>
      </c>
      <c r="BE117" s="18"/>
      <c r="BF117" s="18"/>
      <c r="BG117" s="18"/>
      <c r="BH117" s="19"/>
      <c r="BI117" s="19"/>
      <c r="BJ117" s="19"/>
      <c r="BK117" s="19"/>
      <c r="BL117" s="19"/>
      <c r="BM117" s="19"/>
      <c r="BN117" s="19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</row>
    <row r="118" spans="1:80" ht="16.2" x14ac:dyDescent="0.4">
      <c r="A118" s="10" t="str">
        <f t="shared" si="10"/>
        <v>modesg_out_sfcs_taxon_europeiazdeposit</v>
      </c>
      <c r="B118" s="11" t="s">
        <v>11</v>
      </c>
      <c r="C118" s="12" t="s">
        <v>68</v>
      </c>
      <c r="D118" s="13" t="s">
        <v>16</v>
      </c>
      <c r="E118" s="14" t="s">
        <v>106</v>
      </c>
      <c r="F118" s="13" t="s">
        <v>67</v>
      </c>
      <c r="G118" s="15" t="s">
        <v>15</v>
      </c>
      <c r="H118" s="16" t="s">
        <v>14</v>
      </c>
      <c r="I118" s="17">
        <v>45624</v>
      </c>
      <c r="J118" s="16"/>
      <c r="K118" s="16">
        <f t="shared" si="11"/>
        <v>45645</v>
      </c>
      <c r="L118" s="29"/>
      <c r="M118" s="27">
        <v>8.1</v>
      </c>
      <c r="N118" s="27">
        <f t="shared" si="12"/>
        <v>1</v>
      </c>
      <c r="O118" s="27">
        <f t="shared" si="13"/>
        <v>0</v>
      </c>
      <c r="P118" s="18"/>
      <c r="Q118" s="18"/>
      <c r="R118" s="18"/>
      <c r="S118" s="18"/>
      <c r="T118" s="18"/>
      <c r="U118" s="18"/>
      <c r="V118" s="18"/>
      <c r="W118" s="19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20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>
        <v>0.5</v>
      </c>
      <c r="BE118" s="18">
        <v>0.5</v>
      </c>
      <c r="BF118" s="18"/>
      <c r="BG118" s="18"/>
      <c r="BH118" s="19"/>
      <c r="BI118" s="19"/>
      <c r="BJ118" s="19"/>
      <c r="BK118" s="19"/>
      <c r="BL118" s="19"/>
      <c r="BM118" s="19"/>
      <c r="BN118" s="19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</row>
    <row r="119" spans="1:80" ht="16.2" x14ac:dyDescent="0.4">
      <c r="A119" s="10" t="str">
        <f t="shared" si="10"/>
        <v>lt003_entitynace_esg</v>
      </c>
      <c r="B119" s="11" t="s">
        <v>11</v>
      </c>
      <c r="C119" s="12" t="s">
        <v>11</v>
      </c>
      <c r="D119" s="13" t="s">
        <v>16</v>
      </c>
      <c r="E119" s="23" t="s">
        <v>111</v>
      </c>
      <c r="F119" s="23" t="s">
        <v>112</v>
      </c>
      <c r="G119" s="15" t="s">
        <v>15</v>
      </c>
      <c r="H119" s="16">
        <v>45583</v>
      </c>
      <c r="I119" s="56">
        <v>45596</v>
      </c>
      <c r="J119" s="17">
        <v>45596</v>
      </c>
      <c r="K119" s="16">
        <f t="shared" si="11"/>
        <v>45623</v>
      </c>
      <c r="L119" s="29"/>
      <c r="M119" s="27">
        <v>4.0999999999999996</v>
      </c>
      <c r="N119" s="27">
        <f t="shared" si="12"/>
        <v>0.5</v>
      </c>
      <c r="O119" s="27">
        <f t="shared" si="13"/>
        <v>0</v>
      </c>
      <c r="P119" s="18"/>
      <c r="Q119" s="18"/>
      <c r="R119" s="18"/>
      <c r="S119" s="18"/>
      <c r="T119" s="18"/>
      <c r="U119" s="18"/>
      <c r="V119" s="55"/>
      <c r="W119" s="19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20"/>
      <c r="AI119" s="18"/>
      <c r="AJ119" s="18"/>
      <c r="AK119" s="18"/>
      <c r="AL119" s="18"/>
      <c r="AM119" s="18"/>
      <c r="AN119" s="18"/>
      <c r="AO119" s="18">
        <v>0.5</v>
      </c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9"/>
      <c r="BI119" s="19"/>
      <c r="BJ119" s="19"/>
      <c r="BK119" s="19"/>
      <c r="BL119" s="19"/>
      <c r="BM119" s="19"/>
      <c r="BN119" s="19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</row>
    <row r="120" spans="1:80" ht="16.2" x14ac:dyDescent="0.4">
      <c r="A120" s="10" t="str">
        <f t="shared" si="10"/>
        <v>lt003_entitytxnmy_elgbl_capex_ccm</v>
      </c>
      <c r="B120" s="11" t="s">
        <v>11</v>
      </c>
      <c r="C120" s="12" t="s">
        <v>11</v>
      </c>
      <c r="D120" s="13" t="s">
        <v>16</v>
      </c>
      <c r="E120" s="23" t="s">
        <v>111</v>
      </c>
      <c r="F120" s="23" t="s">
        <v>114</v>
      </c>
      <c r="G120" s="15" t="s">
        <v>115</v>
      </c>
      <c r="H120" s="16" t="s">
        <v>14</v>
      </c>
      <c r="I120" s="17">
        <v>45614</v>
      </c>
      <c r="J120" s="17">
        <v>45596</v>
      </c>
      <c r="K120" s="16">
        <f t="shared" si="11"/>
        <v>45615</v>
      </c>
      <c r="L120" s="29"/>
      <c r="M120" s="27">
        <v>4.0999999999999996</v>
      </c>
      <c r="N120" s="27">
        <f t="shared" si="12"/>
        <v>0.5</v>
      </c>
      <c r="O120" s="27">
        <f t="shared" si="13"/>
        <v>0</v>
      </c>
      <c r="P120" s="18"/>
      <c r="Q120" s="18"/>
      <c r="R120" s="18"/>
      <c r="S120" s="18"/>
      <c r="T120" s="18"/>
      <c r="U120" s="18"/>
      <c r="V120" s="55"/>
      <c r="W120" s="19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20"/>
      <c r="AI120" s="18">
        <v>0.5</v>
      </c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9"/>
      <c r="BI120" s="19"/>
      <c r="BJ120" s="19"/>
      <c r="BK120" s="19"/>
      <c r="BL120" s="19"/>
      <c r="BM120" s="19"/>
      <c r="BN120" s="19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</row>
    <row r="121" spans="1:80" ht="16.2" x14ac:dyDescent="0.4">
      <c r="A121" s="10" t="str">
        <f t="shared" si="10"/>
        <v>lt003_entitytxnmy_elgbl_trnvr_ccm</v>
      </c>
      <c r="B121" s="11" t="s">
        <v>11</v>
      </c>
      <c r="C121" s="12" t="s">
        <v>11</v>
      </c>
      <c r="D121" s="13" t="s">
        <v>16</v>
      </c>
      <c r="E121" s="23" t="s">
        <v>111</v>
      </c>
      <c r="F121" s="23" t="s">
        <v>116</v>
      </c>
      <c r="G121" s="15" t="s">
        <v>115</v>
      </c>
      <c r="H121" s="16" t="s">
        <v>14</v>
      </c>
      <c r="I121" s="17">
        <v>45614</v>
      </c>
      <c r="J121" s="17">
        <v>45596</v>
      </c>
      <c r="K121" s="16">
        <f t="shared" si="11"/>
        <v>45615</v>
      </c>
      <c r="L121" s="29"/>
      <c r="M121" s="27">
        <v>4.0999999999999996</v>
      </c>
      <c r="N121" s="27">
        <f t="shared" si="12"/>
        <v>0.5</v>
      </c>
      <c r="O121" s="27">
        <f t="shared" si="13"/>
        <v>0</v>
      </c>
      <c r="P121" s="18"/>
      <c r="Q121" s="18"/>
      <c r="R121" s="18"/>
      <c r="S121" s="18"/>
      <c r="T121" s="18"/>
      <c r="U121" s="18"/>
      <c r="V121" s="55"/>
      <c r="W121" s="19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20"/>
      <c r="AI121" s="18">
        <v>0.5</v>
      </c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9"/>
      <c r="BI121" s="19"/>
      <c r="BJ121" s="19"/>
      <c r="BK121" s="19"/>
      <c r="BL121" s="19"/>
      <c r="BM121" s="19"/>
      <c r="BN121" s="19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</row>
    <row r="122" spans="1:80" ht="16.2" x14ac:dyDescent="0.4">
      <c r="A122" s="10" t="str">
        <f t="shared" si="10"/>
        <v>lt003_entitytxnmy_elgbl_capex_cca</v>
      </c>
      <c r="B122" s="11" t="s">
        <v>11</v>
      </c>
      <c r="C122" s="12" t="s">
        <v>11</v>
      </c>
      <c r="D122" s="13" t="s">
        <v>16</v>
      </c>
      <c r="E122" s="23" t="s">
        <v>111</v>
      </c>
      <c r="F122" s="23" t="s">
        <v>117</v>
      </c>
      <c r="G122" s="15" t="s">
        <v>115</v>
      </c>
      <c r="H122" s="16" t="s">
        <v>14</v>
      </c>
      <c r="I122" s="17">
        <v>45614</v>
      </c>
      <c r="J122" s="17">
        <v>45596</v>
      </c>
      <c r="K122" s="16">
        <f t="shared" si="11"/>
        <v>45616</v>
      </c>
      <c r="L122" s="29"/>
      <c r="M122" s="27">
        <v>4.0999999999999996</v>
      </c>
      <c r="N122" s="27">
        <f t="shared" si="12"/>
        <v>0.5</v>
      </c>
      <c r="O122" s="27">
        <f t="shared" si="13"/>
        <v>0</v>
      </c>
      <c r="P122" s="18"/>
      <c r="Q122" s="18"/>
      <c r="R122" s="18"/>
      <c r="S122" s="18"/>
      <c r="T122" s="18"/>
      <c r="U122" s="18"/>
      <c r="V122" s="55"/>
      <c r="W122" s="19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20"/>
      <c r="AI122" s="18"/>
      <c r="AJ122" s="18">
        <v>0.5</v>
      </c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9"/>
      <c r="BI122" s="19"/>
      <c r="BJ122" s="19"/>
      <c r="BK122" s="19"/>
      <c r="BL122" s="19"/>
      <c r="BM122" s="19"/>
      <c r="BN122" s="19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</row>
    <row r="123" spans="1:80" ht="16.2" x14ac:dyDescent="0.4">
      <c r="A123" s="10" t="str">
        <f t="shared" si="10"/>
        <v>lt003_entitytxnmy_elgbl_trnvr_cca</v>
      </c>
      <c r="B123" s="11" t="s">
        <v>11</v>
      </c>
      <c r="C123" s="12" t="s">
        <v>11</v>
      </c>
      <c r="D123" s="13" t="s">
        <v>16</v>
      </c>
      <c r="E123" s="23" t="s">
        <v>111</v>
      </c>
      <c r="F123" s="23" t="s">
        <v>118</v>
      </c>
      <c r="G123" s="15" t="s">
        <v>115</v>
      </c>
      <c r="H123" s="16" t="s">
        <v>14</v>
      </c>
      <c r="I123" s="17">
        <v>45614</v>
      </c>
      <c r="J123" s="17">
        <v>45596</v>
      </c>
      <c r="K123" s="16">
        <f t="shared" si="11"/>
        <v>45616</v>
      </c>
      <c r="L123" s="29"/>
      <c r="M123" s="27">
        <v>4.0999999999999996</v>
      </c>
      <c r="N123" s="27">
        <f t="shared" si="12"/>
        <v>0.5</v>
      </c>
      <c r="O123" s="27">
        <f t="shared" si="13"/>
        <v>0</v>
      </c>
      <c r="P123" s="18"/>
      <c r="Q123" s="18"/>
      <c r="R123" s="18"/>
      <c r="S123" s="18"/>
      <c r="T123" s="18"/>
      <c r="U123" s="18"/>
      <c r="V123" s="55"/>
      <c r="W123" s="19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20"/>
      <c r="AI123" s="18"/>
      <c r="AJ123" s="18">
        <v>0.5</v>
      </c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9"/>
      <c r="BI123" s="19"/>
      <c r="BJ123" s="19"/>
      <c r="BK123" s="19"/>
      <c r="BL123" s="19"/>
      <c r="BM123" s="19"/>
      <c r="BN123" s="19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</row>
    <row r="124" spans="1:80" ht="16.2" x14ac:dyDescent="0.4">
      <c r="A124" s="10" t="str">
        <f t="shared" si="10"/>
        <v>lt003_entityenblng_capex_ccm</v>
      </c>
      <c r="B124" s="11" t="s">
        <v>11</v>
      </c>
      <c r="C124" s="12" t="s">
        <v>11</v>
      </c>
      <c r="D124" s="13" t="s">
        <v>16</v>
      </c>
      <c r="E124" s="23" t="s">
        <v>111</v>
      </c>
      <c r="F124" s="23" t="s">
        <v>119</v>
      </c>
      <c r="G124" s="15" t="s">
        <v>115</v>
      </c>
      <c r="H124" s="16" t="s">
        <v>14</v>
      </c>
      <c r="I124" s="17">
        <v>45614</v>
      </c>
      <c r="J124" s="17">
        <v>45596</v>
      </c>
      <c r="K124" s="16">
        <f t="shared" si="11"/>
        <v>45617</v>
      </c>
      <c r="L124" s="29"/>
      <c r="M124" s="27">
        <v>4.0999999999999996</v>
      </c>
      <c r="N124" s="27">
        <f t="shared" si="12"/>
        <v>0.5</v>
      </c>
      <c r="O124" s="27">
        <f t="shared" si="13"/>
        <v>0</v>
      </c>
      <c r="P124" s="18"/>
      <c r="Q124" s="18"/>
      <c r="R124" s="18"/>
      <c r="S124" s="18"/>
      <c r="T124" s="18"/>
      <c r="U124" s="18"/>
      <c r="V124" s="55"/>
      <c r="W124" s="19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20"/>
      <c r="AI124" s="18"/>
      <c r="AJ124" s="18"/>
      <c r="AK124" s="18">
        <v>0.5</v>
      </c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9"/>
      <c r="BI124" s="19"/>
      <c r="BJ124" s="19"/>
      <c r="BK124" s="19"/>
      <c r="BL124" s="19"/>
      <c r="BM124" s="19"/>
      <c r="BN124" s="19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</row>
    <row r="125" spans="1:80" ht="16.2" x14ac:dyDescent="0.4">
      <c r="A125" s="10" t="str">
        <f t="shared" si="10"/>
        <v>lt003_entityenblng_capex_cca</v>
      </c>
      <c r="B125" s="11" t="s">
        <v>11</v>
      </c>
      <c r="C125" s="12" t="s">
        <v>11</v>
      </c>
      <c r="D125" s="13" t="s">
        <v>16</v>
      </c>
      <c r="E125" s="23" t="s">
        <v>111</v>
      </c>
      <c r="F125" s="23" t="s">
        <v>120</v>
      </c>
      <c r="G125" s="15" t="s">
        <v>115</v>
      </c>
      <c r="H125" s="16" t="s">
        <v>14</v>
      </c>
      <c r="I125" s="17">
        <v>45614</v>
      </c>
      <c r="J125" s="17">
        <v>45596</v>
      </c>
      <c r="K125" s="16">
        <f t="shared" si="11"/>
        <v>45617</v>
      </c>
      <c r="L125" s="29"/>
      <c r="M125" s="27">
        <v>4.0999999999999996</v>
      </c>
      <c r="N125" s="27">
        <f t="shared" si="12"/>
        <v>0.5</v>
      </c>
      <c r="O125" s="27">
        <f t="shared" si="13"/>
        <v>0</v>
      </c>
      <c r="P125" s="18"/>
      <c r="Q125" s="18"/>
      <c r="R125" s="18"/>
      <c r="S125" s="18"/>
      <c r="T125" s="18"/>
      <c r="U125" s="18"/>
      <c r="V125" s="55"/>
      <c r="W125" s="19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20"/>
      <c r="AI125" s="18"/>
      <c r="AJ125" s="18"/>
      <c r="AK125" s="18">
        <v>0.5</v>
      </c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9"/>
      <c r="BI125" s="19"/>
      <c r="BJ125" s="19"/>
      <c r="BK125" s="19"/>
      <c r="BL125" s="19"/>
      <c r="BM125" s="19"/>
      <c r="BN125" s="19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</row>
    <row r="126" spans="1:80" ht="16.2" x14ac:dyDescent="0.4">
      <c r="A126" s="10" t="str">
        <f t="shared" si="10"/>
        <v>lt003_entitytrnstnl_capex</v>
      </c>
      <c r="B126" s="11" t="s">
        <v>11</v>
      </c>
      <c r="C126" s="12" t="s">
        <v>11</v>
      </c>
      <c r="D126" s="13" t="s">
        <v>16</v>
      </c>
      <c r="E126" s="23" t="s">
        <v>111</v>
      </c>
      <c r="F126" s="23" t="s">
        <v>121</v>
      </c>
      <c r="G126" s="15" t="s">
        <v>115</v>
      </c>
      <c r="H126" s="16" t="s">
        <v>14</v>
      </c>
      <c r="I126" s="17">
        <v>45614</v>
      </c>
      <c r="J126" s="17">
        <v>45596</v>
      </c>
      <c r="K126" s="16">
        <f t="shared" si="11"/>
        <v>45618</v>
      </c>
      <c r="L126" s="29"/>
      <c r="M126" s="27">
        <v>4.0999999999999996</v>
      </c>
      <c r="N126" s="27">
        <f t="shared" si="12"/>
        <v>0.5</v>
      </c>
      <c r="O126" s="27">
        <f t="shared" si="13"/>
        <v>0</v>
      </c>
      <c r="P126" s="18"/>
      <c r="Q126" s="18"/>
      <c r="R126" s="18"/>
      <c r="S126" s="18"/>
      <c r="T126" s="18"/>
      <c r="U126" s="18"/>
      <c r="V126" s="55"/>
      <c r="W126" s="19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20"/>
      <c r="AI126" s="18"/>
      <c r="AJ126" s="18"/>
      <c r="AK126" s="18"/>
      <c r="AL126" s="18">
        <v>0.5</v>
      </c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9"/>
      <c r="BI126" s="19"/>
      <c r="BJ126" s="19"/>
      <c r="BK126" s="19"/>
      <c r="BL126" s="19"/>
      <c r="BM126" s="19"/>
      <c r="BN126" s="19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</row>
    <row r="127" spans="1:80" ht="16.2" x14ac:dyDescent="0.4">
      <c r="A127" s="10" t="str">
        <f t="shared" si="10"/>
        <v>lt003_entitypure_capex_ccm</v>
      </c>
      <c r="B127" s="11" t="s">
        <v>11</v>
      </c>
      <c r="C127" s="12" t="s">
        <v>11</v>
      </c>
      <c r="D127" s="13" t="s">
        <v>16</v>
      </c>
      <c r="E127" s="23" t="s">
        <v>111</v>
      </c>
      <c r="F127" s="23" t="s">
        <v>122</v>
      </c>
      <c r="G127" s="15" t="s">
        <v>115</v>
      </c>
      <c r="H127" s="16" t="s">
        <v>14</v>
      </c>
      <c r="I127" s="17">
        <v>45614</v>
      </c>
      <c r="J127" s="17">
        <v>45596</v>
      </c>
      <c r="K127" s="16">
        <f t="shared" si="11"/>
        <v>45618</v>
      </c>
      <c r="L127" s="29"/>
      <c r="M127" s="27">
        <v>4.0999999999999996</v>
      </c>
      <c r="N127" s="27">
        <f t="shared" si="12"/>
        <v>0.5</v>
      </c>
      <c r="O127" s="27">
        <f t="shared" si="13"/>
        <v>0</v>
      </c>
      <c r="P127" s="18"/>
      <c r="Q127" s="18"/>
      <c r="R127" s="18"/>
      <c r="S127" s="18"/>
      <c r="T127" s="18"/>
      <c r="U127" s="18"/>
      <c r="V127" s="55"/>
      <c r="W127" s="19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20"/>
      <c r="AI127" s="18"/>
      <c r="AJ127" s="18"/>
      <c r="AK127" s="18"/>
      <c r="AL127" s="18">
        <v>0.5</v>
      </c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9"/>
      <c r="BI127" s="19"/>
      <c r="BJ127" s="19"/>
      <c r="BK127" s="19"/>
      <c r="BL127" s="19"/>
      <c r="BM127" s="19"/>
      <c r="BN127" s="19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</row>
    <row r="128" spans="1:80" ht="16.2" x14ac:dyDescent="0.4">
      <c r="A128" s="10" t="str">
        <f t="shared" si="10"/>
        <v>lt003_entitypure_capex_cca</v>
      </c>
      <c r="B128" s="11" t="s">
        <v>11</v>
      </c>
      <c r="C128" s="12" t="s">
        <v>11</v>
      </c>
      <c r="D128" s="13" t="s">
        <v>16</v>
      </c>
      <c r="E128" s="23" t="s">
        <v>111</v>
      </c>
      <c r="F128" s="23" t="s">
        <v>123</v>
      </c>
      <c r="G128" s="15" t="s">
        <v>115</v>
      </c>
      <c r="H128" s="16" t="s">
        <v>14</v>
      </c>
      <c r="I128" s="56">
        <v>45611</v>
      </c>
      <c r="J128" s="17"/>
      <c r="K128" s="16">
        <f t="shared" si="11"/>
        <v>45623</v>
      </c>
      <c r="L128" s="29"/>
      <c r="M128" s="27">
        <v>4.0999999999999996</v>
      </c>
      <c r="N128" s="27">
        <f t="shared" si="12"/>
        <v>0.5</v>
      </c>
      <c r="O128" s="27">
        <f t="shared" si="13"/>
        <v>0</v>
      </c>
      <c r="P128" s="18"/>
      <c r="Q128" s="18"/>
      <c r="R128" s="18"/>
      <c r="S128" s="18"/>
      <c r="T128" s="18"/>
      <c r="U128" s="18"/>
      <c r="V128" s="18"/>
      <c r="W128" s="19"/>
      <c r="X128" s="18"/>
      <c r="Y128" s="18"/>
      <c r="Z128" s="18"/>
      <c r="AA128" s="18"/>
      <c r="AB128" s="18"/>
      <c r="AC128" s="18"/>
      <c r="AD128" s="18"/>
      <c r="AE128" s="18"/>
      <c r="AF128" s="18"/>
      <c r="AG128" s="20"/>
      <c r="AH128" s="20"/>
      <c r="AI128" s="18"/>
      <c r="AJ128" s="18"/>
      <c r="AK128" s="18"/>
      <c r="AL128" s="18"/>
      <c r="AM128" s="18"/>
      <c r="AN128" s="18"/>
      <c r="AO128" s="18">
        <v>0.5</v>
      </c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9"/>
      <c r="BI128" s="19"/>
      <c r="BJ128" s="19"/>
      <c r="BK128" s="19"/>
      <c r="BL128" s="19"/>
      <c r="BM128" s="19"/>
      <c r="BN128" s="19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</row>
    <row r="129" spans="1:80" ht="16.2" x14ac:dyDescent="0.4">
      <c r="A129" s="10" t="str">
        <f t="shared" si="10"/>
        <v>lt003_entityenblng_trnvr_ccm</v>
      </c>
      <c r="B129" s="11" t="s">
        <v>11</v>
      </c>
      <c r="C129" s="12" t="s">
        <v>11</v>
      </c>
      <c r="D129" s="13" t="s">
        <v>16</v>
      </c>
      <c r="E129" s="23" t="s">
        <v>111</v>
      </c>
      <c r="F129" s="23" t="s">
        <v>124</v>
      </c>
      <c r="G129" s="15" t="s">
        <v>115</v>
      </c>
      <c r="H129" s="16" t="s">
        <v>14</v>
      </c>
      <c r="I129" s="17">
        <v>45614</v>
      </c>
      <c r="J129" s="17">
        <v>45596</v>
      </c>
      <c r="K129" s="16">
        <f t="shared" si="11"/>
        <v>45621</v>
      </c>
      <c r="L129" s="29"/>
      <c r="M129" s="27">
        <v>4.0999999999999996</v>
      </c>
      <c r="N129" s="27">
        <f t="shared" si="12"/>
        <v>0.5</v>
      </c>
      <c r="O129" s="27">
        <f t="shared" si="13"/>
        <v>0</v>
      </c>
      <c r="P129" s="18"/>
      <c r="Q129" s="18"/>
      <c r="R129" s="18"/>
      <c r="S129" s="18"/>
      <c r="T129" s="18"/>
      <c r="U129" s="18"/>
      <c r="V129" s="55"/>
      <c r="W129" s="19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20"/>
      <c r="AI129" s="18"/>
      <c r="AJ129" s="18"/>
      <c r="AK129" s="18"/>
      <c r="AL129" s="18"/>
      <c r="AM129" s="18">
        <v>0.5</v>
      </c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9"/>
      <c r="BI129" s="19"/>
      <c r="BJ129" s="19"/>
      <c r="BK129" s="19"/>
      <c r="BL129" s="19"/>
      <c r="BM129" s="19"/>
      <c r="BN129" s="19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</row>
    <row r="130" spans="1:80" ht="16.2" x14ac:dyDescent="0.4">
      <c r="A130" s="10" t="str">
        <f t="shared" si="10"/>
        <v>lt003_entityenblng_trnvr_cca</v>
      </c>
      <c r="B130" s="11" t="s">
        <v>11</v>
      </c>
      <c r="C130" s="12" t="s">
        <v>11</v>
      </c>
      <c r="D130" s="13" t="s">
        <v>16</v>
      </c>
      <c r="E130" s="23" t="s">
        <v>111</v>
      </c>
      <c r="F130" s="23" t="s">
        <v>125</v>
      </c>
      <c r="G130" s="15" t="s">
        <v>115</v>
      </c>
      <c r="H130" s="16" t="s">
        <v>14</v>
      </c>
      <c r="I130" s="17">
        <v>45614</v>
      </c>
      <c r="J130" s="17">
        <v>45596</v>
      </c>
      <c r="K130" s="16">
        <f t="shared" si="11"/>
        <v>45621</v>
      </c>
      <c r="L130" s="29"/>
      <c r="M130" s="27">
        <v>4.0999999999999996</v>
      </c>
      <c r="N130" s="27">
        <f t="shared" si="12"/>
        <v>0.5</v>
      </c>
      <c r="O130" s="27">
        <f t="shared" si="13"/>
        <v>0</v>
      </c>
      <c r="P130" s="18"/>
      <c r="Q130" s="18"/>
      <c r="R130" s="18"/>
      <c r="S130" s="18"/>
      <c r="T130" s="18"/>
      <c r="U130" s="18"/>
      <c r="V130" s="55"/>
      <c r="W130" s="19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20"/>
      <c r="AI130" s="18"/>
      <c r="AJ130" s="18"/>
      <c r="AK130" s="18"/>
      <c r="AL130" s="18"/>
      <c r="AM130" s="18">
        <v>0.5</v>
      </c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9"/>
      <c r="BI130" s="19"/>
      <c r="BJ130" s="19"/>
      <c r="BK130" s="19"/>
      <c r="BL130" s="19"/>
      <c r="BM130" s="19"/>
      <c r="BN130" s="19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</row>
    <row r="131" spans="1:80" ht="16.2" x14ac:dyDescent="0.4">
      <c r="A131" s="10" t="str">
        <f t="shared" si="10"/>
        <v>lt003_entitytrnstnl_trnvr</v>
      </c>
      <c r="B131" s="11" t="s">
        <v>11</v>
      </c>
      <c r="C131" s="12" t="s">
        <v>11</v>
      </c>
      <c r="D131" s="13" t="s">
        <v>16</v>
      </c>
      <c r="E131" s="23" t="s">
        <v>111</v>
      </c>
      <c r="F131" s="23" t="s">
        <v>126</v>
      </c>
      <c r="G131" s="15" t="s">
        <v>115</v>
      </c>
      <c r="H131" s="16" t="s">
        <v>14</v>
      </c>
      <c r="I131" s="17">
        <v>45614</v>
      </c>
      <c r="J131" s="17">
        <v>45596</v>
      </c>
      <c r="K131" s="16">
        <f t="shared" si="11"/>
        <v>45622</v>
      </c>
      <c r="L131" s="29"/>
      <c r="M131" s="27">
        <v>4.0999999999999996</v>
      </c>
      <c r="N131" s="27">
        <f t="shared" si="12"/>
        <v>0.5</v>
      </c>
      <c r="O131" s="27">
        <f t="shared" si="13"/>
        <v>0</v>
      </c>
      <c r="P131" s="18"/>
      <c r="Q131" s="18"/>
      <c r="R131" s="18"/>
      <c r="S131" s="18"/>
      <c r="T131" s="18"/>
      <c r="U131" s="18"/>
      <c r="V131" s="55"/>
      <c r="W131" s="19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20"/>
      <c r="AI131" s="18"/>
      <c r="AJ131" s="18"/>
      <c r="AK131" s="18"/>
      <c r="AL131" s="18"/>
      <c r="AM131" s="18"/>
      <c r="AN131" s="18">
        <v>0.5</v>
      </c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9"/>
      <c r="BI131" s="19"/>
      <c r="BJ131" s="19"/>
      <c r="BK131" s="19"/>
      <c r="BL131" s="19"/>
      <c r="BM131" s="19"/>
      <c r="BN131" s="19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</row>
    <row r="132" spans="1:80" ht="16.2" x14ac:dyDescent="0.4">
      <c r="A132" s="10" t="str">
        <f t="shared" si="10"/>
        <v>lt003_entitypure_trnvr_ccm</v>
      </c>
      <c r="B132" s="11" t="s">
        <v>11</v>
      </c>
      <c r="C132" s="12" t="s">
        <v>11</v>
      </c>
      <c r="D132" s="13" t="s">
        <v>16</v>
      </c>
      <c r="E132" s="23" t="s">
        <v>111</v>
      </c>
      <c r="F132" s="23" t="s">
        <v>127</v>
      </c>
      <c r="G132" s="15" t="s">
        <v>115</v>
      </c>
      <c r="H132" s="16" t="s">
        <v>14</v>
      </c>
      <c r="I132" s="17">
        <v>45614</v>
      </c>
      <c r="J132" s="17">
        <v>45596</v>
      </c>
      <c r="K132" s="16">
        <f t="shared" si="11"/>
        <v>45622</v>
      </c>
      <c r="L132" s="29"/>
      <c r="M132" s="27">
        <v>4.0999999999999996</v>
      </c>
      <c r="N132" s="27">
        <f t="shared" si="12"/>
        <v>0.5</v>
      </c>
      <c r="O132" s="27">
        <f t="shared" si="13"/>
        <v>0</v>
      </c>
      <c r="P132" s="18"/>
      <c r="Q132" s="18"/>
      <c r="R132" s="18"/>
      <c r="S132" s="18"/>
      <c r="T132" s="18"/>
      <c r="U132" s="18"/>
      <c r="V132" s="55"/>
      <c r="W132" s="19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20"/>
      <c r="AI132" s="18"/>
      <c r="AJ132" s="18"/>
      <c r="AK132" s="18"/>
      <c r="AL132" s="18"/>
      <c r="AM132" s="18"/>
      <c r="AN132" s="18">
        <v>0.5</v>
      </c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9"/>
      <c r="BI132" s="19"/>
      <c r="BJ132" s="19"/>
      <c r="BK132" s="19"/>
      <c r="BL132" s="19"/>
      <c r="BM132" s="19"/>
      <c r="BN132" s="19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</row>
    <row r="133" spans="1:80" ht="16.2" x14ac:dyDescent="0.4">
      <c r="A133" s="10" t="str">
        <f t="shared" ref="A133:A197" si="14">E133&amp;F133</f>
        <v>lt003_entitypure_trnvr_cca</v>
      </c>
      <c r="B133" s="11" t="s">
        <v>11</v>
      </c>
      <c r="C133" s="12" t="s">
        <v>11</v>
      </c>
      <c r="D133" s="13" t="s">
        <v>16</v>
      </c>
      <c r="E133" s="23" t="s">
        <v>111</v>
      </c>
      <c r="F133" s="23" t="s">
        <v>128</v>
      </c>
      <c r="G133" s="15" t="s">
        <v>115</v>
      </c>
      <c r="H133" s="16" t="s">
        <v>14</v>
      </c>
      <c r="I133" s="17">
        <v>45614</v>
      </c>
      <c r="J133" s="17">
        <v>45596</v>
      </c>
      <c r="K133" s="16">
        <f t="shared" ref="K133:K197" si="15">IF(COUNTA(P133:BM133)=0,"",_xlfn.MAXIFS($P$7:$BM$7,P133:BM133,"&gt;0"))</f>
        <v>45624</v>
      </c>
      <c r="L133" s="29"/>
      <c r="M133" s="27">
        <v>4.0999999999999996</v>
      </c>
      <c r="N133" s="27">
        <f t="shared" ref="N133:N198" si="16">ROUND(M133/8,1)</f>
        <v>0.5</v>
      </c>
      <c r="O133" s="27">
        <f t="shared" si="13"/>
        <v>0</v>
      </c>
      <c r="P133" s="18"/>
      <c r="Q133" s="18"/>
      <c r="R133" s="18"/>
      <c r="S133" s="18"/>
      <c r="T133" s="18"/>
      <c r="U133" s="18"/>
      <c r="V133" s="55"/>
      <c r="W133" s="19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I133" s="18"/>
      <c r="AJ133" s="18"/>
      <c r="AK133" s="18"/>
      <c r="AL133" s="18"/>
      <c r="AM133" s="18"/>
      <c r="AN133" s="18"/>
      <c r="AO133" s="18"/>
      <c r="AP133" s="18">
        <v>0.5</v>
      </c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9"/>
      <c r="BI133" s="19"/>
      <c r="BJ133" s="19"/>
      <c r="BK133" s="19"/>
      <c r="BL133" s="19"/>
      <c r="BM133" s="19"/>
      <c r="BN133" s="19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</row>
    <row r="134" spans="1:80" ht="16.2" x14ac:dyDescent="0.4">
      <c r="A134" s="10" t="str">
        <f t="shared" si="14"/>
        <v>lt003_entityflg_nfrd_applcblty</v>
      </c>
      <c r="B134" s="11" t="s">
        <v>11</v>
      </c>
      <c r="C134" s="12" t="s">
        <v>11</v>
      </c>
      <c r="D134" s="13" t="s">
        <v>16</v>
      </c>
      <c r="E134" s="23" t="s">
        <v>111</v>
      </c>
      <c r="F134" s="23" t="s">
        <v>129</v>
      </c>
      <c r="G134" s="15" t="s">
        <v>15</v>
      </c>
      <c r="H134" s="16">
        <v>45589</v>
      </c>
      <c r="I134" s="57">
        <v>45611</v>
      </c>
      <c r="J134" s="16"/>
      <c r="K134" s="16">
        <f t="shared" si="15"/>
        <v>45624</v>
      </c>
      <c r="L134" s="29"/>
      <c r="M134" s="27">
        <v>4.0999999999999996</v>
      </c>
      <c r="N134" s="27">
        <f t="shared" si="16"/>
        <v>0.5</v>
      </c>
      <c r="O134" s="27">
        <f t="shared" si="13"/>
        <v>0</v>
      </c>
      <c r="P134" s="18"/>
      <c r="Q134" s="18"/>
      <c r="R134" s="18"/>
      <c r="S134" s="18"/>
      <c r="T134" s="18"/>
      <c r="U134" s="18"/>
      <c r="V134" s="18"/>
      <c r="W134" s="19"/>
      <c r="X134" s="18"/>
      <c r="Y134" s="18"/>
      <c r="Z134" s="18"/>
      <c r="AA134" s="18"/>
      <c r="AB134" s="18"/>
      <c r="AC134" s="18"/>
      <c r="AD134" s="18"/>
      <c r="AE134" s="18"/>
      <c r="AF134" s="18"/>
      <c r="AG134" s="20"/>
      <c r="AH134" s="20"/>
      <c r="AI134" s="18"/>
      <c r="AJ134" s="18"/>
      <c r="AK134" s="18"/>
      <c r="AL134" s="18"/>
      <c r="AM134" s="18"/>
      <c r="AN134" s="18"/>
      <c r="AO134" s="18"/>
      <c r="AP134" s="18">
        <v>0.5</v>
      </c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9"/>
      <c r="BI134" s="19"/>
      <c r="BJ134" s="19"/>
      <c r="BK134" s="19"/>
      <c r="BL134" s="19"/>
      <c r="BM134" s="19"/>
      <c r="BN134" s="19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</row>
    <row r="135" spans="1:80" ht="16.2" x14ac:dyDescent="0.4">
      <c r="A135" s="10" t="str">
        <f t="shared" si="14"/>
        <v>lt003_entitycntrprty_emssns_scp1</v>
      </c>
      <c r="B135" s="11" t="s">
        <v>11</v>
      </c>
      <c r="C135" s="12" t="s">
        <v>11</v>
      </c>
      <c r="D135" s="13" t="s">
        <v>16</v>
      </c>
      <c r="E135" s="23" t="s">
        <v>111</v>
      </c>
      <c r="F135" s="23" t="s">
        <v>130</v>
      </c>
      <c r="G135" s="15" t="s">
        <v>115</v>
      </c>
      <c r="H135" s="16" t="s">
        <v>14</v>
      </c>
      <c r="I135" s="17">
        <v>45621</v>
      </c>
      <c r="J135" s="17">
        <v>45596</v>
      </c>
      <c r="K135" s="16">
        <f t="shared" si="15"/>
        <v>45625</v>
      </c>
      <c r="L135" s="29"/>
      <c r="M135" s="27">
        <v>4.0999999999999996</v>
      </c>
      <c r="N135" s="27">
        <f t="shared" si="16"/>
        <v>0.5</v>
      </c>
      <c r="O135" s="27">
        <f t="shared" si="13"/>
        <v>0</v>
      </c>
      <c r="P135" s="18"/>
      <c r="Q135" s="18"/>
      <c r="R135" s="18"/>
      <c r="S135" s="18"/>
      <c r="T135" s="18"/>
      <c r="U135" s="18"/>
      <c r="V135" s="55"/>
      <c r="W135" s="19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20"/>
      <c r="AN135" s="18"/>
      <c r="AO135" s="18"/>
      <c r="AP135" s="18"/>
      <c r="AQ135" s="18">
        <v>0.5</v>
      </c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9"/>
      <c r="BI135" s="19"/>
      <c r="BJ135" s="19"/>
      <c r="BK135" s="19"/>
      <c r="BL135" s="19"/>
      <c r="BM135" s="19"/>
      <c r="BN135" s="19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</row>
    <row r="136" spans="1:80" ht="16.2" x14ac:dyDescent="0.4">
      <c r="A136" s="10" t="str">
        <f t="shared" si="14"/>
        <v>lt003_entitycntrprty_emssns_scp2</v>
      </c>
      <c r="B136" s="11" t="s">
        <v>11</v>
      </c>
      <c r="C136" s="12" t="s">
        <v>11</v>
      </c>
      <c r="D136" s="13" t="s">
        <v>16</v>
      </c>
      <c r="E136" s="23" t="s">
        <v>111</v>
      </c>
      <c r="F136" s="23" t="s">
        <v>131</v>
      </c>
      <c r="G136" s="15" t="s">
        <v>115</v>
      </c>
      <c r="H136" s="16" t="s">
        <v>14</v>
      </c>
      <c r="I136" s="17">
        <v>45621</v>
      </c>
      <c r="J136" s="17">
        <v>45596</v>
      </c>
      <c r="K136" s="16">
        <f t="shared" si="15"/>
        <v>45625</v>
      </c>
      <c r="L136" s="29"/>
      <c r="M136" s="27">
        <v>4.0999999999999996</v>
      </c>
      <c r="N136" s="27">
        <f t="shared" si="16"/>
        <v>0.5</v>
      </c>
      <c r="O136" s="27">
        <f t="shared" si="13"/>
        <v>0</v>
      </c>
      <c r="P136" s="18"/>
      <c r="Q136" s="18"/>
      <c r="R136" s="18"/>
      <c r="S136" s="18"/>
      <c r="T136" s="18"/>
      <c r="U136" s="18"/>
      <c r="V136" s="55"/>
      <c r="W136" s="19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20"/>
      <c r="AN136" s="18"/>
      <c r="AO136" s="18"/>
      <c r="AP136" s="18"/>
      <c r="AQ136" s="18">
        <v>0.5</v>
      </c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9"/>
      <c r="BI136" s="19"/>
      <c r="BJ136" s="19"/>
      <c r="BK136" s="19"/>
      <c r="BL136" s="19"/>
      <c r="BM136" s="19"/>
      <c r="BN136" s="19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</row>
    <row r="137" spans="1:80" ht="16.2" x14ac:dyDescent="0.4">
      <c r="A137" s="10" t="str">
        <f t="shared" si="14"/>
        <v>lt003_entitycntrprty_emssns_scp3</v>
      </c>
      <c r="B137" s="11" t="s">
        <v>11</v>
      </c>
      <c r="C137" s="12" t="s">
        <v>11</v>
      </c>
      <c r="D137" s="13" t="s">
        <v>16</v>
      </c>
      <c r="E137" s="23" t="s">
        <v>111</v>
      </c>
      <c r="F137" s="23" t="s">
        <v>132</v>
      </c>
      <c r="G137" s="15" t="s">
        <v>115</v>
      </c>
      <c r="H137" s="16" t="s">
        <v>14</v>
      </c>
      <c r="I137" s="17">
        <v>45621</v>
      </c>
      <c r="J137" s="17">
        <v>45596</v>
      </c>
      <c r="K137" s="16">
        <f t="shared" si="15"/>
        <v>45629</v>
      </c>
      <c r="L137" s="29"/>
      <c r="M137" s="27">
        <v>4.0999999999999996</v>
      </c>
      <c r="N137" s="27">
        <f t="shared" si="16"/>
        <v>0.5</v>
      </c>
      <c r="O137" s="27">
        <f t="shared" ref="O137:O196" si="17">SUM(P137:CB137)-N137</f>
        <v>0</v>
      </c>
      <c r="P137" s="18"/>
      <c r="Q137" s="18"/>
      <c r="R137" s="18"/>
      <c r="S137" s="18"/>
      <c r="T137" s="18"/>
      <c r="U137" s="18"/>
      <c r="V137" s="55"/>
      <c r="W137" s="19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20"/>
      <c r="AN137" s="18"/>
      <c r="AO137" s="18"/>
      <c r="AP137" s="18"/>
      <c r="AQ137" s="18"/>
      <c r="AR137" s="18"/>
      <c r="AS137" s="18">
        <v>0.5</v>
      </c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9"/>
      <c r="BI137" s="19"/>
      <c r="BJ137" s="19"/>
      <c r="BK137" s="19"/>
      <c r="BL137" s="19"/>
      <c r="BM137" s="19"/>
      <c r="BN137" s="19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</row>
    <row r="138" spans="1:80" ht="16.2" x14ac:dyDescent="0.4">
      <c r="A138" s="10" t="str">
        <f t="shared" si="14"/>
        <v>lt003_entityflg_excldd_eu_prs_algnd_bnchmrk</v>
      </c>
      <c r="B138" s="11" t="s">
        <v>11</v>
      </c>
      <c r="C138" s="12" t="s">
        <v>11</v>
      </c>
      <c r="D138" s="13" t="s">
        <v>16</v>
      </c>
      <c r="E138" s="23" t="s">
        <v>111</v>
      </c>
      <c r="F138" s="23" t="s">
        <v>133</v>
      </c>
      <c r="G138" s="15" t="s">
        <v>115</v>
      </c>
      <c r="H138" s="16" t="s">
        <v>14</v>
      </c>
      <c r="I138" s="17">
        <v>45614</v>
      </c>
      <c r="J138" s="17">
        <v>45596</v>
      </c>
      <c r="K138" s="16">
        <f t="shared" si="15"/>
        <v>45629</v>
      </c>
      <c r="L138" s="29"/>
      <c r="M138" s="27">
        <v>4.0999999999999996</v>
      </c>
      <c r="N138" s="27">
        <f t="shared" si="16"/>
        <v>0.5</v>
      </c>
      <c r="O138" s="27">
        <f t="shared" si="17"/>
        <v>0</v>
      </c>
      <c r="P138" s="18"/>
      <c r="Q138" s="18"/>
      <c r="R138" s="18"/>
      <c r="S138" s="18"/>
      <c r="T138" s="18"/>
      <c r="U138" s="18"/>
      <c r="V138" s="55"/>
      <c r="W138" s="19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20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>
        <v>0.5</v>
      </c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9"/>
      <c r="BI138" s="19"/>
      <c r="BJ138" s="19"/>
      <c r="BK138" s="19"/>
      <c r="BL138" s="19"/>
      <c r="BM138" s="19"/>
      <c r="BN138" s="19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</row>
    <row r="139" spans="1:80" ht="16.2" x14ac:dyDescent="0.4">
      <c r="A139" s="10" t="str">
        <f t="shared" si="14"/>
        <v>lt003_entityflg_act_physcl_rsk</v>
      </c>
      <c r="B139" s="11" t="s">
        <v>11</v>
      </c>
      <c r="C139" s="12" t="s">
        <v>11</v>
      </c>
      <c r="D139" s="13" t="s">
        <v>16</v>
      </c>
      <c r="E139" s="23" t="s">
        <v>111</v>
      </c>
      <c r="F139" s="23" t="s">
        <v>134</v>
      </c>
      <c r="G139" s="15" t="s">
        <v>15</v>
      </c>
      <c r="H139" s="16">
        <v>45589</v>
      </c>
      <c r="I139" s="56">
        <v>45596</v>
      </c>
      <c r="J139" s="17">
        <v>45596</v>
      </c>
      <c r="K139" s="16">
        <f t="shared" si="15"/>
        <v>45630</v>
      </c>
      <c r="L139" s="29"/>
      <c r="M139" s="27">
        <v>4.0999999999999996</v>
      </c>
      <c r="N139" s="27">
        <f t="shared" si="16"/>
        <v>0.5</v>
      </c>
      <c r="O139" s="27">
        <f t="shared" si="17"/>
        <v>0</v>
      </c>
      <c r="P139" s="18"/>
      <c r="Q139" s="18"/>
      <c r="R139" s="18"/>
      <c r="S139" s="18"/>
      <c r="T139" s="18"/>
      <c r="U139" s="18"/>
      <c r="V139" s="55"/>
      <c r="W139" s="19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20"/>
      <c r="AQ139" s="18"/>
      <c r="AR139" s="18"/>
      <c r="AS139" s="18"/>
      <c r="AT139" s="18">
        <v>0.5</v>
      </c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9"/>
      <c r="BI139" s="19"/>
      <c r="BJ139" s="19"/>
      <c r="BK139" s="19"/>
      <c r="BL139" s="19"/>
      <c r="BM139" s="19"/>
      <c r="BN139" s="19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</row>
    <row r="140" spans="1:80" ht="16.2" x14ac:dyDescent="0.4">
      <c r="A140" s="10" t="str">
        <f t="shared" si="14"/>
        <v>lt003_entityflg_chrnc_physcl_rsk</v>
      </c>
      <c r="B140" s="11" t="s">
        <v>11</v>
      </c>
      <c r="C140" s="12" t="s">
        <v>11</v>
      </c>
      <c r="D140" s="13" t="s">
        <v>16</v>
      </c>
      <c r="E140" s="23" t="s">
        <v>111</v>
      </c>
      <c r="F140" s="23" t="s">
        <v>135</v>
      </c>
      <c r="G140" s="15" t="s">
        <v>15</v>
      </c>
      <c r="H140" s="16">
        <v>45589</v>
      </c>
      <c r="I140" s="56">
        <v>45596</v>
      </c>
      <c r="J140" s="17">
        <v>45596</v>
      </c>
      <c r="K140" s="16">
        <f t="shared" si="15"/>
        <v>45630</v>
      </c>
      <c r="L140" s="29"/>
      <c r="M140" s="27">
        <v>4.0999999999999996</v>
      </c>
      <c r="N140" s="27">
        <f t="shared" si="16"/>
        <v>0.5</v>
      </c>
      <c r="O140" s="27">
        <f t="shared" si="17"/>
        <v>0</v>
      </c>
      <c r="P140" s="18"/>
      <c r="Q140" s="18"/>
      <c r="R140" s="18"/>
      <c r="S140" s="18"/>
      <c r="T140" s="18"/>
      <c r="U140" s="18"/>
      <c r="V140" s="55"/>
      <c r="W140" s="19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20"/>
      <c r="AQ140" s="18"/>
      <c r="AR140" s="18"/>
      <c r="AS140" s="18"/>
      <c r="AT140" s="18">
        <v>0.5</v>
      </c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9"/>
      <c r="BI140" s="19"/>
      <c r="BJ140" s="19"/>
      <c r="BK140" s="19"/>
      <c r="BL140" s="19"/>
      <c r="BM140" s="19"/>
      <c r="BN140" s="19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</row>
    <row r="141" spans="1:80" ht="16.2" x14ac:dyDescent="0.4">
      <c r="A141" s="10" t="str">
        <f t="shared" si="14"/>
        <v>lt003_entitypst_cd</v>
      </c>
      <c r="B141" s="11" t="s">
        <v>11</v>
      </c>
      <c r="C141" s="12" t="s">
        <v>11</v>
      </c>
      <c r="D141" s="13" t="s">
        <v>16</v>
      </c>
      <c r="E141" s="23" t="s">
        <v>111</v>
      </c>
      <c r="F141" s="23" t="s">
        <v>136</v>
      </c>
      <c r="G141" s="15" t="s">
        <v>15</v>
      </c>
      <c r="H141" s="16" t="s">
        <v>14</v>
      </c>
      <c r="I141" s="17">
        <v>45596</v>
      </c>
      <c r="J141" s="17">
        <v>45596</v>
      </c>
      <c r="K141" s="16">
        <f t="shared" si="15"/>
        <v>45600</v>
      </c>
      <c r="L141" s="29" t="s">
        <v>197</v>
      </c>
      <c r="M141" s="27">
        <v>4.0999999999999996</v>
      </c>
      <c r="N141" s="27">
        <f t="shared" si="16"/>
        <v>0.5</v>
      </c>
      <c r="O141" s="27">
        <f t="shared" si="17"/>
        <v>0</v>
      </c>
      <c r="P141" s="18"/>
      <c r="Q141" s="18"/>
      <c r="R141" s="18"/>
      <c r="S141" s="18"/>
      <c r="T141" s="18"/>
      <c r="U141" s="18"/>
      <c r="V141" s="55"/>
      <c r="W141" s="19"/>
      <c r="X141" s="18">
        <v>0.5</v>
      </c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9"/>
      <c r="BI141" s="19"/>
      <c r="BJ141" s="19"/>
      <c r="BK141" s="19"/>
      <c r="BL141" s="19"/>
      <c r="BM141" s="19"/>
      <c r="BN141" s="19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</row>
    <row r="142" spans="1:80" ht="16.2" x14ac:dyDescent="0.4">
      <c r="A142" s="10" t="str">
        <f t="shared" si="14"/>
        <v>lt003_entityesg_sbsctr</v>
      </c>
      <c r="B142" s="11" t="s">
        <v>11</v>
      </c>
      <c r="C142" s="12" t="s">
        <v>11</v>
      </c>
      <c r="D142" s="13" t="s">
        <v>16</v>
      </c>
      <c r="E142" s="23" t="s">
        <v>111</v>
      </c>
      <c r="F142" s="23" t="s">
        <v>137</v>
      </c>
      <c r="G142" s="15" t="s">
        <v>15</v>
      </c>
      <c r="H142" s="16">
        <v>45583</v>
      </c>
      <c r="I142" s="57">
        <v>45611</v>
      </c>
      <c r="J142" s="16"/>
      <c r="K142" s="16">
        <f t="shared" si="15"/>
        <v>45631</v>
      </c>
      <c r="L142" s="29"/>
      <c r="M142" s="27">
        <v>4.0999999999999996</v>
      </c>
      <c r="N142" s="27">
        <f t="shared" si="16"/>
        <v>0.5</v>
      </c>
      <c r="O142" s="27">
        <f t="shared" si="17"/>
        <v>0</v>
      </c>
      <c r="P142" s="18"/>
      <c r="Q142" s="18"/>
      <c r="R142" s="18"/>
      <c r="S142" s="18"/>
      <c r="T142" s="18"/>
      <c r="U142" s="18"/>
      <c r="V142" s="18"/>
      <c r="W142" s="19"/>
      <c r="X142" s="18"/>
      <c r="Y142" s="18"/>
      <c r="Z142" s="18"/>
      <c r="AA142" s="18"/>
      <c r="AB142" s="18"/>
      <c r="AC142" s="18"/>
      <c r="AD142" s="18"/>
      <c r="AE142" s="18"/>
      <c r="AF142" s="18"/>
      <c r="AG142" s="20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>
        <v>0.5</v>
      </c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9"/>
      <c r="BI142" s="19"/>
      <c r="BJ142" s="19"/>
      <c r="BK142" s="19"/>
      <c r="BL142" s="19"/>
      <c r="BM142" s="19"/>
      <c r="BN142" s="19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</row>
    <row r="143" spans="1:80" ht="16.2" x14ac:dyDescent="0.4">
      <c r="A143" s="10" t="str">
        <f t="shared" si="14"/>
        <v>lt003_entityttl_lblty</v>
      </c>
      <c r="B143" s="11" t="s">
        <v>11</v>
      </c>
      <c r="C143" s="12" t="s">
        <v>11</v>
      </c>
      <c r="D143" s="13" t="s">
        <v>16</v>
      </c>
      <c r="E143" s="23" t="s">
        <v>111</v>
      </c>
      <c r="F143" s="23" t="s">
        <v>138</v>
      </c>
      <c r="G143" s="15" t="s">
        <v>15</v>
      </c>
      <c r="H143" s="17">
        <v>45590</v>
      </c>
      <c r="I143" s="56">
        <v>45624</v>
      </c>
      <c r="J143" s="16"/>
      <c r="K143" s="16">
        <f t="shared" si="15"/>
        <v>45631</v>
      </c>
      <c r="L143" s="29"/>
      <c r="M143" s="27">
        <v>4.0999999999999996</v>
      </c>
      <c r="N143" s="27">
        <f t="shared" si="16"/>
        <v>0.5</v>
      </c>
      <c r="O143" s="27">
        <f t="shared" si="17"/>
        <v>0</v>
      </c>
      <c r="P143" s="18"/>
      <c r="Q143" s="18"/>
      <c r="R143" s="24"/>
      <c r="S143" s="18"/>
      <c r="T143" s="18"/>
      <c r="U143" s="18"/>
      <c r="V143" s="18"/>
      <c r="W143" s="19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20"/>
      <c r="AQ143" s="18"/>
      <c r="AR143" s="18"/>
      <c r="AS143" s="18"/>
      <c r="AT143" s="18"/>
      <c r="AU143" s="18">
        <v>0.5</v>
      </c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9"/>
      <c r="BI143" s="19"/>
      <c r="BJ143" s="19"/>
      <c r="BK143" s="19"/>
      <c r="BL143" s="19"/>
      <c r="BM143" s="19"/>
      <c r="BN143" s="19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</row>
    <row r="144" spans="1:80" ht="16.2" x14ac:dyDescent="0.4">
      <c r="A144" s="10" t="str">
        <f t="shared" si="14"/>
        <v>lt003_entityisin</v>
      </c>
      <c r="B144" s="11" t="s">
        <v>11</v>
      </c>
      <c r="C144" s="12" t="s">
        <v>11</v>
      </c>
      <c r="D144" s="13" t="s">
        <v>16</v>
      </c>
      <c r="E144" s="23" t="s">
        <v>111</v>
      </c>
      <c r="F144" s="23" t="s">
        <v>139</v>
      </c>
      <c r="G144" s="15" t="s">
        <v>15</v>
      </c>
      <c r="H144" s="25">
        <v>45603</v>
      </c>
      <c r="I144" s="25" t="s">
        <v>113</v>
      </c>
      <c r="J144" s="16"/>
      <c r="K144" s="16" t="str">
        <f t="shared" si="15"/>
        <v/>
      </c>
      <c r="L144" s="29"/>
      <c r="M144" s="27">
        <v>4.0999999999999996</v>
      </c>
      <c r="N144" s="27">
        <f t="shared" si="16"/>
        <v>0.5</v>
      </c>
      <c r="O144" s="27">
        <f t="shared" si="17"/>
        <v>0</v>
      </c>
      <c r="P144" s="24"/>
      <c r="Q144" s="18"/>
      <c r="R144" s="18"/>
      <c r="S144" s="18"/>
      <c r="T144" s="18"/>
      <c r="U144" s="18"/>
      <c r="V144" s="18"/>
      <c r="W144" s="19"/>
      <c r="X144" s="18"/>
      <c r="Y144" s="18"/>
      <c r="Z144" s="18"/>
      <c r="AA144" s="24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9"/>
      <c r="BI144" s="19"/>
      <c r="BJ144" s="19"/>
      <c r="BK144" s="19"/>
      <c r="BL144" s="19"/>
      <c r="BM144" s="19"/>
      <c r="BN144" s="19"/>
      <c r="BO144" s="18"/>
      <c r="BP144" s="18"/>
      <c r="BQ144" s="18">
        <v>0.5</v>
      </c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</row>
    <row r="145" spans="1:80" ht="16.2" x14ac:dyDescent="0.4">
      <c r="A145" s="10" t="str">
        <f t="shared" si="14"/>
        <v>lt003_entitygrp_annl_trnvr_le</v>
      </c>
      <c r="B145" s="11" t="s">
        <v>11</v>
      </c>
      <c r="C145" s="12" t="s">
        <v>11</v>
      </c>
      <c r="D145" s="13" t="s">
        <v>16</v>
      </c>
      <c r="E145" s="23" t="s">
        <v>111</v>
      </c>
      <c r="F145" s="23" t="s">
        <v>140</v>
      </c>
      <c r="G145" s="15" t="s">
        <v>15</v>
      </c>
      <c r="H145" s="17">
        <v>45590</v>
      </c>
      <c r="I145" s="57">
        <v>45611</v>
      </c>
      <c r="J145" s="16"/>
      <c r="K145" s="16">
        <f t="shared" si="15"/>
        <v>45614</v>
      </c>
      <c r="L145" s="29"/>
      <c r="M145" s="27">
        <v>4.0999999999999996</v>
      </c>
      <c r="N145" s="27">
        <f t="shared" si="16"/>
        <v>0.5</v>
      </c>
      <c r="O145" s="27">
        <f t="shared" si="17"/>
        <v>0</v>
      </c>
      <c r="P145" s="18"/>
      <c r="Q145" s="18"/>
      <c r="R145" s="24"/>
      <c r="S145" s="18"/>
      <c r="T145" s="18"/>
      <c r="U145" s="18"/>
      <c r="V145" s="18"/>
      <c r="W145" s="19"/>
      <c r="X145" s="18"/>
      <c r="Y145" s="18"/>
      <c r="Z145" s="18"/>
      <c r="AA145" s="18"/>
      <c r="AB145" s="18"/>
      <c r="AC145" s="18"/>
      <c r="AD145" s="18"/>
      <c r="AE145" s="18"/>
      <c r="AF145" s="18"/>
      <c r="AG145" s="20"/>
      <c r="AH145" s="18">
        <v>0.5</v>
      </c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9"/>
      <c r="BI145" s="19"/>
      <c r="BJ145" s="19"/>
      <c r="BK145" s="19"/>
      <c r="BL145" s="19"/>
      <c r="BM145" s="19"/>
      <c r="BN145" s="19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</row>
    <row r="146" spans="1:80" ht="16.2" x14ac:dyDescent="0.4">
      <c r="A146" s="10" t="str">
        <f t="shared" si="14"/>
        <v>lt003_entitygrp_ttl_lblty</v>
      </c>
      <c r="B146" s="11" t="s">
        <v>11</v>
      </c>
      <c r="C146" s="12" t="s">
        <v>11</v>
      </c>
      <c r="D146" s="13" t="s">
        <v>16</v>
      </c>
      <c r="E146" s="23" t="s">
        <v>111</v>
      </c>
      <c r="F146" s="23" t="s">
        <v>141</v>
      </c>
      <c r="G146" s="15" t="s">
        <v>15</v>
      </c>
      <c r="H146" s="17">
        <v>45590</v>
      </c>
      <c r="I146" s="57">
        <v>45611</v>
      </c>
      <c r="J146" s="16"/>
      <c r="K146" s="16">
        <f t="shared" si="15"/>
        <v>45614</v>
      </c>
      <c r="L146" s="29"/>
      <c r="M146" s="27">
        <v>4.0999999999999996</v>
      </c>
      <c r="N146" s="27">
        <f t="shared" si="16"/>
        <v>0.5</v>
      </c>
      <c r="O146" s="27">
        <f t="shared" si="17"/>
        <v>0</v>
      </c>
      <c r="P146" s="18"/>
      <c r="Q146" s="18"/>
      <c r="R146" s="24"/>
      <c r="S146" s="18"/>
      <c r="T146" s="18"/>
      <c r="U146" s="18"/>
      <c r="V146" s="18"/>
      <c r="W146" s="19"/>
      <c r="X146" s="18"/>
      <c r="Y146" s="18"/>
      <c r="Z146" s="18"/>
      <c r="AA146" s="18"/>
      <c r="AB146" s="18"/>
      <c r="AC146" s="18"/>
      <c r="AD146" s="18"/>
      <c r="AE146" s="18"/>
      <c r="AF146" s="18"/>
      <c r="AG146" s="20"/>
      <c r="AH146" s="18">
        <v>0.5</v>
      </c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9"/>
      <c r="BI146" s="19"/>
      <c r="BJ146" s="19"/>
      <c r="BK146" s="19"/>
      <c r="BL146" s="19"/>
      <c r="BM146" s="19"/>
      <c r="BN146" s="19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</row>
    <row r="147" spans="1:80" ht="16.2" x14ac:dyDescent="0.4">
      <c r="A147" s="10" t="str">
        <f t="shared" si="14"/>
        <v>lt003_entityflg_grp_nfrd_applcblty</v>
      </c>
      <c r="B147" s="11" t="s">
        <v>11</v>
      </c>
      <c r="C147" s="12" t="s">
        <v>11</v>
      </c>
      <c r="D147" s="13" t="s">
        <v>16</v>
      </c>
      <c r="E147" s="23" t="s">
        <v>111</v>
      </c>
      <c r="F147" s="23" t="s">
        <v>142</v>
      </c>
      <c r="G147" s="15" t="s">
        <v>15</v>
      </c>
      <c r="H147" s="17">
        <v>45588</v>
      </c>
      <c r="I147" s="56">
        <v>45596</v>
      </c>
      <c r="J147" s="17">
        <v>45596</v>
      </c>
      <c r="K147" s="16">
        <f t="shared" si="15"/>
        <v>45632</v>
      </c>
      <c r="L147" s="29"/>
      <c r="M147" s="27">
        <v>4.0999999999999996</v>
      </c>
      <c r="N147" s="27">
        <f t="shared" si="16"/>
        <v>0.5</v>
      </c>
      <c r="O147" s="27">
        <f t="shared" si="17"/>
        <v>0</v>
      </c>
      <c r="P147" s="24"/>
      <c r="Q147" s="18"/>
      <c r="R147" s="18"/>
      <c r="S147" s="18"/>
      <c r="T147" s="18"/>
      <c r="U147" s="18"/>
      <c r="V147" s="55"/>
      <c r="W147" s="19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20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>
        <v>0.5</v>
      </c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9"/>
      <c r="BI147" s="19"/>
      <c r="BJ147" s="19"/>
      <c r="BK147" s="19"/>
      <c r="BL147" s="19"/>
      <c r="BM147" s="19"/>
      <c r="BN147" s="19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</row>
    <row r="148" spans="1:80" ht="16.2" x14ac:dyDescent="0.4">
      <c r="A148" s="10" t="str">
        <f t="shared" si="14"/>
        <v>lt003_entitygrp_emssns_scp1</v>
      </c>
      <c r="B148" s="11" t="s">
        <v>11</v>
      </c>
      <c r="C148" s="12" t="s">
        <v>11</v>
      </c>
      <c r="D148" s="13" t="s">
        <v>16</v>
      </c>
      <c r="E148" s="23" t="s">
        <v>111</v>
      </c>
      <c r="F148" s="23" t="s">
        <v>143</v>
      </c>
      <c r="G148" s="15" t="s">
        <v>15</v>
      </c>
      <c r="H148" s="17">
        <v>45588</v>
      </c>
      <c r="I148" s="56">
        <v>45596</v>
      </c>
      <c r="J148" s="17">
        <v>45596</v>
      </c>
      <c r="K148" s="16">
        <f t="shared" si="15"/>
        <v>45632</v>
      </c>
      <c r="L148" s="29"/>
      <c r="M148" s="27">
        <v>4.0999999999999996</v>
      </c>
      <c r="N148" s="27">
        <f t="shared" si="16"/>
        <v>0.5</v>
      </c>
      <c r="O148" s="27">
        <f t="shared" si="17"/>
        <v>0</v>
      </c>
      <c r="P148" s="24"/>
      <c r="Q148" s="18"/>
      <c r="R148" s="18"/>
      <c r="S148" s="18"/>
      <c r="T148" s="18"/>
      <c r="U148" s="18"/>
      <c r="V148" s="55"/>
      <c r="W148" s="19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20"/>
      <c r="AN148" s="18"/>
      <c r="AO148" s="18"/>
      <c r="AP148" s="18"/>
      <c r="AQ148" s="18"/>
      <c r="AR148" s="18"/>
      <c r="AS148" s="18"/>
      <c r="AT148" s="18"/>
      <c r="AU148" s="18"/>
      <c r="AV148" s="18">
        <v>0.5</v>
      </c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9"/>
      <c r="BI148" s="19"/>
      <c r="BJ148" s="19"/>
      <c r="BK148" s="19"/>
      <c r="BL148" s="19"/>
      <c r="BM148" s="19"/>
      <c r="BN148" s="19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</row>
    <row r="149" spans="1:80" ht="16.2" x14ac:dyDescent="0.4">
      <c r="A149" s="10" t="str">
        <f t="shared" si="14"/>
        <v>lt003_entitygrp_emssns_scp2</v>
      </c>
      <c r="B149" s="11" t="s">
        <v>11</v>
      </c>
      <c r="C149" s="12" t="s">
        <v>11</v>
      </c>
      <c r="D149" s="13" t="s">
        <v>16</v>
      </c>
      <c r="E149" s="23" t="s">
        <v>111</v>
      </c>
      <c r="F149" s="23" t="s">
        <v>144</v>
      </c>
      <c r="G149" s="15" t="s">
        <v>15</v>
      </c>
      <c r="H149" s="17">
        <v>45588</v>
      </c>
      <c r="I149" s="56">
        <v>45596</v>
      </c>
      <c r="J149" s="17">
        <v>45596</v>
      </c>
      <c r="K149" s="16">
        <f t="shared" si="15"/>
        <v>45635</v>
      </c>
      <c r="L149" s="29"/>
      <c r="M149" s="27">
        <v>4.0999999999999996</v>
      </c>
      <c r="N149" s="27">
        <f t="shared" si="16"/>
        <v>0.5</v>
      </c>
      <c r="O149" s="27">
        <f t="shared" si="17"/>
        <v>0</v>
      </c>
      <c r="P149" s="24"/>
      <c r="Q149" s="18"/>
      <c r="R149" s="18"/>
      <c r="S149" s="18"/>
      <c r="T149" s="18"/>
      <c r="U149" s="18"/>
      <c r="V149" s="55"/>
      <c r="W149" s="19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20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>
        <v>0.5</v>
      </c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9"/>
      <c r="BI149" s="19"/>
      <c r="BJ149" s="19"/>
      <c r="BK149" s="19"/>
      <c r="BL149" s="19"/>
      <c r="BM149" s="19"/>
      <c r="BN149" s="19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</row>
    <row r="150" spans="1:80" ht="16.2" x14ac:dyDescent="0.4">
      <c r="A150" s="10" t="str">
        <f t="shared" si="14"/>
        <v>lt003_entitygrp_emssns_scp3</v>
      </c>
      <c r="B150" s="11" t="s">
        <v>11</v>
      </c>
      <c r="C150" s="12" t="s">
        <v>11</v>
      </c>
      <c r="D150" s="13" t="s">
        <v>16</v>
      </c>
      <c r="E150" s="23" t="s">
        <v>111</v>
      </c>
      <c r="F150" s="23" t="s">
        <v>145</v>
      </c>
      <c r="G150" s="15" t="s">
        <v>15</v>
      </c>
      <c r="H150" s="17">
        <v>45588</v>
      </c>
      <c r="I150" s="56">
        <v>45596</v>
      </c>
      <c r="J150" s="17">
        <v>45596</v>
      </c>
      <c r="K150" s="16">
        <f t="shared" si="15"/>
        <v>45635</v>
      </c>
      <c r="L150" s="29"/>
      <c r="M150" s="27">
        <v>4.0999999999999996</v>
      </c>
      <c r="N150" s="27">
        <f t="shared" si="16"/>
        <v>0.5</v>
      </c>
      <c r="O150" s="27">
        <f t="shared" si="17"/>
        <v>0</v>
      </c>
      <c r="P150" s="24"/>
      <c r="Q150" s="18"/>
      <c r="R150" s="18"/>
      <c r="S150" s="18"/>
      <c r="T150" s="18"/>
      <c r="U150" s="18"/>
      <c r="V150" s="55"/>
      <c r="W150" s="19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20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>
        <v>0.5</v>
      </c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9"/>
      <c r="BI150" s="19"/>
      <c r="BJ150" s="19"/>
      <c r="BK150" s="19"/>
      <c r="BL150" s="19"/>
      <c r="BM150" s="19"/>
      <c r="BN150" s="19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</row>
    <row r="151" spans="1:80" ht="16.2" x14ac:dyDescent="0.4">
      <c r="A151" s="10" t="str">
        <f t="shared" si="14"/>
        <v>lt004_protectiontyp_ep_scr</v>
      </c>
      <c r="B151" s="11" t="s">
        <v>11</v>
      </c>
      <c r="C151" s="12" t="s">
        <v>11</v>
      </c>
      <c r="D151" s="13" t="s">
        <v>16</v>
      </c>
      <c r="E151" s="23" t="s">
        <v>146</v>
      </c>
      <c r="F151" s="23" t="s">
        <v>147</v>
      </c>
      <c r="G151" s="15" t="s">
        <v>15</v>
      </c>
      <c r="H151" s="16">
        <v>45583</v>
      </c>
      <c r="I151" s="56">
        <v>45611</v>
      </c>
      <c r="J151" s="16"/>
      <c r="K151" s="16">
        <f t="shared" si="15"/>
        <v>45621</v>
      </c>
      <c r="L151" s="29"/>
      <c r="M151" s="27">
        <v>4.0999999999999996</v>
      </c>
      <c r="N151" s="27">
        <f t="shared" si="16"/>
        <v>0.5</v>
      </c>
      <c r="O151" s="27">
        <f t="shared" si="17"/>
        <v>0</v>
      </c>
      <c r="P151" s="18"/>
      <c r="Q151" s="18"/>
      <c r="R151" s="18"/>
      <c r="S151" s="18"/>
      <c r="T151" s="18"/>
      <c r="U151" s="18"/>
      <c r="V151" s="18"/>
      <c r="W151" s="19"/>
      <c r="X151" s="18"/>
      <c r="Y151" s="18"/>
      <c r="Z151" s="18"/>
      <c r="AA151" s="18"/>
      <c r="AB151" s="18"/>
      <c r="AC151" s="18"/>
      <c r="AD151" s="18"/>
      <c r="AE151" s="18"/>
      <c r="AF151" s="18"/>
      <c r="AG151" s="20"/>
      <c r="AH151" s="18"/>
      <c r="AI151" s="18"/>
      <c r="AJ151" s="18"/>
      <c r="AK151" s="18"/>
      <c r="AL151" s="18"/>
      <c r="AM151" s="18">
        <v>0.5</v>
      </c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9"/>
      <c r="BI151" s="19"/>
      <c r="BJ151" s="19"/>
      <c r="BK151" s="19"/>
      <c r="BL151" s="19"/>
      <c r="BM151" s="19"/>
      <c r="BN151" s="19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</row>
    <row r="152" spans="1:80" ht="16.2" x14ac:dyDescent="0.4">
      <c r="A152" s="10" t="str">
        <f t="shared" si="14"/>
        <v>lt004_protectionep_scr</v>
      </c>
      <c r="B152" s="11" t="s">
        <v>11</v>
      </c>
      <c r="C152" s="12" t="s">
        <v>11</v>
      </c>
      <c r="D152" s="13" t="s">
        <v>16</v>
      </c>
      <c r="E152" s="23" t="s">
        <v>146</v>
      </c>
      <c r="F152" s="23" t="s">
        <v>148</v>
      </c>
      <c r="G152" s="15" t="s">
        <v>15</v>
      </c>
      <c r="H152" s="16" t="s">
        <v>14</v>
      </c>
      <c r="I152" s="17">
        <v>45596</v>
      </c>
      <c r="J152" s="17">
        <v>45596</v>
      </c>
      <c r="K152" s="16">
        <f t="shared" si="15"/>
        <v>45602</v>
      </c>
      <c r="L152" s="29" t="s">
        <v>199</v>
      </c>
      <c r="M152" s="27">
        <v>4.0999999999999996</v>
      </c>
      <c r="N152" s="27">
        <f t="shared" si="16"/>
        <v>0.5</v>
      </c>
      <c r="O152" s="27">
        <f t="shared" si="17"/>
        <v>0</v>
      </c>
      <c r="P152" s="18"/>
      <c r="Q152" s="18"/>
      <c r="R152" s="18"/>
      <c r="S152" s="18"/>
      <c r="T152" s="18"/>
      <c r="U152" s="18"/>
      <c r="V152" s="55"/>
      <c r="W152" s="19"/>
      <c r="X152" s="18"/>
      <c r="Y152" s="18"/>
      <c r="Z152" s="18">
        <v>0.5</v>
      </c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9"/>
      <c r="BI152" s="19"/>
      <c r="BJ152" s="19"/>
      <c r="BK152" s="19"/>
      <c r="BL152" s="19"/>
      <c r="BM152" s="19"/>
      <c r="BN152" s="19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</row>
    <row r="153" spans="1:80" ht="16.2" x14ac:dyDescent="0.4">
      <c r="A153" s="10" t="str">
        <f t="shared" si="14"/>
        <v>lt004_protectiontyp_epc_lbl</v>
      </c>
      <c r="B153" s="11" t="s">
        <v>11</v>
      </c>
      <c r="C153" s="12" t="s">
        <v>11</v>
      </c>
      <c r="D153" s="13" t="s">
        <v>16</v>
      </c>
      <c r="E153" s="23" t="s">
        <v>146</v>
      </c>
      <c r="F153" s="23" t="s">
        <v>149</v>
      </c>
      <c r="G153" s="15" t="s">
        <v>15</v>
      </c>
      <c r="H153" s="16" t="s">
        <v>14</v>
      </c>
      <c r="I153" s="17">
        <v>45596</v>
      </c>
      <c r="J153" s="17">
        <v>45596</v>
      </c>
      <c r="K153" s="16">
        <f t="shared" si="15"/>
        <v>45602</v>
      </c>
      <c r="L153" s="29" t="s">
        <v>199</v>
      </c>
      <c r="M153" s="27">
        <v>4.0999999999999996</v>
      </c>
      <c r="N153" s="27">
        <f t="shared" si="16"/>
        <v>0.5</v>
      </c>
      <c r="O153" s="27">
        <f t="shared" si="17"/>
        <v>0</v>
      </c>
      <c r="P153" s="18"/>
      <c r="Q153" s="18"/>
      <c r="R153" s="18"/>
      <c r="S153" s="18"/>
      <c r="T153" s="18"/>
      <c r="U153" s="18"/>
      <c r="V153" s="55"/>
      <c r="W153" s="19"/>
      <c r="X153" s="18"/>
      <c r="Y153" s="18"/>
      <c r="Z153" s="18">
        <v>0.5</v>
      </c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9"/>
      <c r="BI153" s="19"/>
      <c r="BJ153" s="19"/>
      <c r="BK153" s="19"/>
      <c r="BL153" s="19"/>
      <c r="BM153" s="19"/>
      <c r="BN153" s="19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</row>
    <row r="154" spans="1:80" ht="16.2" x14ac:dyDescent="0.4">
      <c r="A154" s="10" t="str">
        <f t="shared" si="14"/>
        <v>lt004_protectionepc_lbl</v>
      </c>
      <c r="B154" s="11" t="s">
        <v>11</v>
      </c>
      <c r="C154" s="12" t="s">
        <v>11</v>
      </c>
      <c r="D154" s="13" t="s">
        <v>16</v>
      </c>
      <c r="E154" s="23" t="s">
        <v>146</v>
      </c>
      <c r="F154" s="23" t="s">
        <v>150</v>
      </c>
      <c r="G154" s="15" t="s">
        <v>15</v>
      </c>
      <c r="H154" s="16" t="s">
        <v>14</v>
      </c>
      <c r="I154" s="17">
        <v>45596</v>
      </c>
      <c r="J154" s="17">
        <v>45596</v>
      </c>
      <c r="K154" s="16">
        <f t="shared" si="15"/>
        <v>45603</v>
      </c>
      <c r="L154" s="29" t="s">
        <v>199</v>
      </c>
      <c r="M154" s="27">
        <v>4.0999999999999996</v>
      </c>
      <c r="N154" s="27">
        <f t="shared" si="16"/>
        <v>0.5</v>
      </c>
      <c r="O154" s="27">
        <f t="shared" si="17"/>
        <v>0</v>
      </c>
      <c r="P154" s="18"/>
      <c r="Q154" s="18"/>
      <c r="R154" s="18"/>
      <c r="S154" s="18"/>
      <c r="T154" s="18"/>
      <c r="U154" s="18"/>
      <c r="V154" s="55"/>
      <c r="W154" s="19"/>
      <c r="X154" s="18"/>
      <c r="Y154" s="18"/>
      <c r="Z154" s="18"/>
      <c r="AA154" s="18">
        <v>0.5</v>
      </c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9"/>
      <c r="BI154" s="19"/>
      <c r="BJ154" s="19"/>
      <c r="BK154" s="19"/>
      <c r="BL154" s="19"/>
      <c r="BM154" s="19"/>
      <c r="BN154" s="19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</row>
    <row r="155" spans="1:80" ht="16.2" x14ac:dyDescent="0.4">
      <c r="A155" s="10" t="str">
        <f t="shared" si="14"/>
        <v>lt004_protectionemssns_scp1_prtctn</v>
      </c>
      <c r="B155" s="11" t="s">
        <v>11</v>
      </c>
      <c r="C155" s="12" t="s">
        <v>11</v>
      </c>
      <c r="D155" s="13" t="s">
        <v>16</v>
      </c>
      <c r="E155" s="23" t="s">
        <v>146</v>
      </c>
      <c r="F155" s="23" t="s">
        <v>151</v>
      </c>
      <c r="G155" s="15" t="s">
        <v>15</v>
      </c>
      <c r="H155" s="57">
        <v>45603</v>
      </c>
      <c r="I155" s="17">
        <v>45596</v>
      </c>
      <c r="J155" s="17">
        <v>45596</v>
      </c>
      <c r="K155" s="59">
        <f t="shared" si="15"/>
        <v>45649</v>
      </c>
      <c r="L155" s="29" t="s">
        <v>220</v>
      </c>
      <c r="M155" s="27">
        <v>4.0999999999999996</v>
      </c>
      <c r="N155" s="27">
        <f t="shared" si="16"/>
        <v>0.5</v>
      </c>
      <c r="O155" s="27">
        <f t="shared" si="17"/>
        <v>0</v>
      </c>
      <c r="P155" s="18"/>
      <c r="Q155" s="18"/>
      <c r="R155" s="18"/>
      <c r="S155" s="18"/>
      <c r="T155" s="18"/>
      <c r="U155" s="18"/>
      <c r="V155" s="55"/>
      <c r="W155" s="19"/>
      <c r="X155" s="18"/>
      <c r="Y155" s="18"/>
      <c r="Z155" s="18"/>
      <c r="AA155" s="24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>
        <v>0.5</v>
      </c>
      <c r="BH155" s="19"/>
      <c r="BI155" s="19"/>
      <c r="BJ155" s="19"/>
      <c r="BK155" s="19"/>
      <c r="BL155" s="19"/>
      <c r="BM155" s="19"/>
      <c r="BN155" s="19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</row>
    <row r="156" spans="1:80" ht="16.2" x14ac:dyDescent="0.4">
      <c r="A156" s="10" t="str">
        <f t="shared" si="14"/>
        <v>lt004_protectionemssns_scp2_prtctn</v>
      </c>
      <c r="B156" s="11" t="s">
        <v>11</v>
      </c>
      <c r="C156" s="12" t="s">
        <v>11</v>
      </c>
      <c r="D156" s="13" t="s">
        <v>16</v>
      </c>
      <c r="E156" s="23" t="s">
        <v>146</v>
      </c>
      <c r="F156" s="23" t="s">
        <v>152</v>
      </c>
      <c r="G156" s="15" t="s">
        <v>15</v>
      </c>
      <c r="H156" s="57">
        <v>45603</v>
      </c>
      <c r="I156" s="17">
        <v>45596</v>
      </c>
      <c r="J156" s="17">
        <v>45596</v>
      </c>
      <c r="K156" s="59">
        <f t="shared" si="15"/>
        <v>45649</v>
      </c>
      <c r="L156" s="29" t="s">
        <v>220</v>
      </c>
      <c r="M156" s="27">
        <v>4.0999999999999996</v>
      </c>
      <c r="N156" s="27">
        <f t="shared" si="16"/>
        <v>0.5</v>
      </c>
      <c r="O156" s="27">
        <f t="shared" si="17"/>
        <v>0</v>
      </c>
      <c r="P156" s="18"/>
      <c r="Q156" s="18"/>
      <c r="R156" s="18"/>
      <c r="S156" s="18"/>
      <c r="T156" s="18"/>
      <c r="U156" s="18"/>
      <c r="V156" s="55"/>
      <c r="W156" s="19"/>
      <c r="X156" s="18"/>
      <c r="Y156" s="18"/>
      <c r="Z156" s="18"/>
      <c r="AA156" s="24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>
        <v>0.5</v>
      </c>
      <c r="BH156" s="19"/>
      <c r="BI156" s="19"/>
      <c r="BJ156" s="19"/>
      <c r="BK156" s="19"/>
      <c r="BL156" s="19"/>
      <c r="BM156" s="19"/>
      <c r="BN156" s="19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</row>
    <row r="157" spans="1:80" ht="16.2" x14ac:dyDescent="0.4">
      <c r="A157" s="10" t="str">
        <f t="shared" si="14"/>
        <v>lt004_protectionemssns_scp3_prtctn</v>
      </c>
      <c r="B157" s="11" t="s">
        <v>11</v>
      </c>
      <c r="C157" s="12" t="s">
        <v>11</v>
      </c>
      <c r="D157" s="13" t="s">
        <v>16</v>
      </c>
      <c r="E157" s="23" t="s">
        <v>146</v>
      </c>
      <c r="F157" s="23" t="s">
        <v>153</v>
      </c>
      <c r="G157" s="15" t="s">
        <v>15</v>
      </c>
      <c r="H157" s="57">
        <v>45603</v>
      </c>
      <c r="I157" s="17">
        <v>45596</v>
      </c>
      <c r="J157" s="17">
        <v>45596</v>
      </c>
      <c r="K157" s="59">
        <f t="shared" si="15"/>
        <v>45649</v>
      </c>
      <c r="L157" s="29" t="s">
        <v>220</v>
      </c>
      <c r="M157" s="27">
        <v>4.0999999999999996</v>
      </c>
      <c r="N157" s="27">
        <f t="shared" si="16"/>
        <v>0.5</v>
      </c>
      <c r="O157" s="27">
        <f t="shared" si="17"/>
        <v>0</v>
      </c>
      <c r="P157" s="18"/>
      <c r="Q157" s="18"/>
      <c r="R157" s="18"/>
      <c r="S157" s="18"/>
      <c r="T157" s="18"/>
      <c r="U157" s="18"/>
      <c r="V157" s="55"/>
      <c r="W157" s="19"/>
      <c r="X157" s="18"/>
      <c r="Y157" s="18"/>
      <c r="Z157" s="18"/>
      <c r="AA157" s="24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>
        <v>0.5</v>
      </c>
      <c r="BH157" s="19"/>
      <c r="BI157" s="19"/>
      <c r="BJ157" s="19"/>
      <c r="BK157" s="19"/>
      <c r="BL157" s="19"/>
      <c r="BM157" s="19"/>
      <c r="BN157" s="19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</row>
    <row r="158" spans="1:80" ht="16.2" x14ac:dyDescent="0.4">
      <c r="A158" s="10" t="str">
        <f t="shared" si="14"/>
        <v>lt004_protectionmthd_usd_prtctn_scp_1</v>
      </c>
      <c r="B158" s="11" t="s">
        <v>11</v>
      </c>
      <c r="C158" s="12" t="s">
        <v>11</v>
      </c>
      <c r="D158" s="13" t="s">
        <v>16</v>
      </c>
      <c r="E158" s="23" t="s">
        <v>146</v>
      </c>
      <c r="F158" s="23" t="s">
        <v>154</v>
      </c>
      <c r="G158" s="15" t="s">
        <v>15</v>
      </c>
      <c r="H158" s="57">
        <v>45603</v>
      </c>
      <c r="I158" s="17">
        <v>45596</v>
      </c>
      <c r="J158" s="17">
        <v>45596</v>
      </c>
      <c r="K158" s="59">
        <f t="shared" si="15"/>
        <v>45649</v>
      </c>
      <c r="L158" s="29" t="s">
        <v>220</v>
      </c>
      <c r="M158" s="27">
        <v>4.0999999999999996</v>
      </c>
      <c r="N158" s="27">
        <f t="shared" si="16"/>
        <v>0.5</v>
      </c>
      <c r="O158" s="27">
        <f t="shared" si="17"/>
        <v>0</v>
      </c>
      <c r="P158" s="18"/>
      <c r="Q158" s="18"/>
      <c r="R158" s="18"/>
      <c r="S158" s="18"/>
      <c r="T158" s="18"/>
      <c r="U158" s="18"/>
      <c r="V158" s="55"/>
      <c r="W158" s="19"/>
      <c r="X158" s="18"/>
      <c r="Y158" s="18"/>
      <c r="Z158" s="18"/>
      <c r="AA158" s="24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>
        <v>0.5</v>
      </c>
      <c r="BH158" s="19"/>
      <c r="BI158" s="19"/>
      <c r="BJ158" s="19"/>
      <c r="BK158" s="19"/>
      <c r="BL158" s="19"/>
      <c r="BM158" s="19"/>
      <c r="BN158" s="19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</row>
    <row r="159" spans="1:80" ht="16.2" x14ac:dyDescent="0.4">
      <c r="A159" s="10" t="str">
        <f t="shared" si="14"/>
        <v>lt004_protectionmthd_usd_prtctn_scp_2</v>
      </c>
      <c r="B159" s="11" t="s">
        <v>11</v>
      </c>
      <c r="C159" s="12" t="s">
        <v>11</v>
      </c>
      <c r="D159" s="13" t="s">
        <v>16</v>
      </c>
      <c r="E159" s="23" t="s">
        <v>146</v>
      </c>
      <c r="F159" s="23" t="s">
        <v>155</v>
      </c>
      <c r="G159" s="15" t="s">
        <v>15</v>
      </c>
      <c r="H159" s="57">
        <v>45603</v>
      </c>
      <c r="I159" s="17">
        <v>45596</v>
      </c>
      <c r="J159" s="17">
        <v>45596</v>
      </c>
      <c r="K159" s="59">
        <f t="shared" si="15"/>
        <v>45649</v>
      </c>
      <c r="L159" s="29" t="s">
        <v>220</v>
      </c>
      <c r="M159" s="27">
        <v>4.0999999999999996</v>
      </c>
      <c r="N159" s="27">
        <f t="shared" si="16"/>
        <v>0.5</v>
      </c>
      <c r="O159" s="27">
        <f t="shared" si="17"/>
        <v>0</v>
      </c>
      <c r="P159" s="18"/>
      <c r="Q159" s="18"/>
      <c r="R159" s="18"/>
      <c r="S159" s="18"/>
      <c r="T159" s="18"/>
      <c r="U159" s="18"/>
      <c r="V159" s="55"/>
      <c r="W159" s="19"/>
      <c r="X159" s="18"/>
      <c r="Y159" s="18"/>
      <c r="Z159" s="18"/>
      <c r="AA159" s="24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>
        <v>0.5</v>
      </c>
      <c r="BH159" s="19"/>
      <c r="BI159" s="19"/>
      <c r="BJ159" s="19"/>
      <c r="BK159" s="19"/>
      <c r="BL159" s="19"/>
      <c r="BM159" s="19"/>
      <c r="BN159" s="19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</row>
    <row r="160" spans="1:80" ht="16.2" x14ac:dyDescent="0.4">
      <c r="A160" s="10" t="str">
        <f t="shared" si="14"/>
        <v>lt004_protectionmthd_usd_prtctn_scp_3</v>
      </c>
      <c r="B160" s="11" t="s">
        <v>11</v>
      </c>
      <c r="C160" s="12" t="s">
        <v>11</v>
      </c>
      <c r="D160" s="13" t="s">
        <v>16</v>
      </c>
      <c r="E160" s="23" t="s">
        <v>146</v>
      </c>
      <c r="F160" s="23" t="s">
        <v>156</v>
      </c>
      <c r="G160" s="15" t="s">
        <v>15</v>
      </c>
      <c r="H160" s="57">
        <v>45603</v>
      </c>
      <c r="I160" s="17">
        <v>45596</v>
      </c>
      <c r="J160" s="17">
        <v>45596</v>
      </c>
      <c r="K160" s="59">
        <f t="shared" si="15"/>
        <v>45649</v>
      </c>
      <c r="L160" s="29" t="s">
        <v>220</v>
      </c>
      <c r="M160" s="27">
        <v>4.0999999999999996</v>
      </c>
      <c r="N160" s="27">
        <f t="shared" si="16"/>
        <v>0.5</v>
      </c>
      <c r="O160" s="27">
        <f t="shared" si="17"/>
        <v>0</v>
      </c>
      <c r="P160" s="18"/>
      <c r="Q160" s="18"/>
      <c r="R160" s="18"/>
      <c r="S160" s="18"/>
      <c r="T160" s="18"/>
      <c r="U160" s="18"/>
      <c r="V160" s="55"/>
      <c r="W160" s="19"/>
      <c r="X160" s="18"/>
      <c r="Y160" s="18"/>
      <c r="Z160" s="18"/>
      <c r="AA160" s="24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>
        <v>0.5</v>
      </c>
      <c r="BH160" s="19"/>
      <c r="BI160" s="19"/>
      <c r="BJ160" s="19"/>
      <c r="BK160" s="19"/>
      <c r="BL160" s="19"/>
      <c r="BM160" s="19"/>
      <c r="BN160" s="19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</row>
    <row r="161" spans="1:80" ht="16.2" x14ac:dyDescent="0.4">
      <c r="A161" s="10" t="str">
        <f t="shared" si="14"/>
        <v>lt004_protectionflg_act_physcl_rsk</v>
      </c>
      <c r="B161" s="11" t="s">
        <v>11</v>
      </c>
      <c r="C161" s="12" t="s">
        <v>11</v>
      </c>
      <c r="D161" s="13" t="s">
        <v>16</v>
      </c>
      <c r="E161" s="23" t="s">
        <v>146</v>
      </c>
      <c r="F161" s="23" t="s">
        <v>134</v>
      </c>
      <c r="G161" s="15" t="s">
        <v>15</v>
      </c>
      <c r="H161" s="16" t="s">
        <v>14</v>
      </c>
      <c r="I161" s="17">
        <v>45596</v>
      </c>
      <c r="J161" s="17">
        <v>45596</v>
      </c>
      <c r="K161" s="16">
        <f t="shared" si="15"/>
        <v>45629</v>
      </c>
      <c r="L161" s="29"/>
      <c r="M161" s="27">
        <v>4.0999999999999996</v>
      </c>
      <c r="N161" s="27">
        <f t="shared" si="16"/>
        <v>0.5</v>
      </c>
      <c r="O161" s="27">
        <f t="shared" si="17"/>
        <v>0</v>
      </c>
      <c r="P161" s="18"/>
      <c r="Q161" s="18"/>
      <c r="R161" s="18"/>
      <c r="S161" s="18"/>
      <c r="T161" s="18"/>
      <c r="U161" s="18"/>
      <c r="V161" s="55"/>
      <c r="W161" s="19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20"/>
      <c r="AQ161" s="18"/>
      <c r="AR161" s="18"/>
      <c r="AS161" s="18">
        <v>0.5</v>
      </c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9"/>
      <c r="BI161" s="19"/>
      <c r="BJ161" s="19"/>
      <c r="BK161" s="19"/>
      <c r="BL161" s="19"/>
      <c r="BM161" s="19"/>
      <c r="BN161" s="19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</row>
    <row r="162" spans="1:80" ht="16.2" x14ac:dyDescent="0.4">
      <c r="A162" s="10" t="str">
        <f t="shared" si="14"/>
        <v>lt004_protectionflg_chrnc_physcl_rsk</v>
      </c>
      <c r="B162" s="11" t="s">
        <v>11</v>
      </c>
      <c r="C162" s="12" t="s">
        <v>11</v>
      </c>
      <c r="D162" s="13" t="s">
        <v>16</v>
      </c>
      <c r="E162" s="23" t="s">
        <v>146</v>
      </c>
      <c r="F162" s="23" t="s">
        <v>135</v>
      </c>
      <c r="G162" s="15" t="s">
        <v>15</v>
      </c>
      <c r="H162" s="16" t="s">
        <v>14</v>
      </c>
      <c r="I162" s="17">
        <v>45596</v>
      </c>
      <c r="J162" s="17">
        <v>45596</v>
      </c>
      <c r="K162" s="16">
        <f t="shared" si="15"/>
        <v>45629</v>
      </c>
      <c r="L162" s="29"/>
      <c r="M162" s="27">
        <v>4.0999999999999996</v>
      </c>
      <c r="N162" s="27">
        <f t="shared" si="16"/>
        <v>0.5</v>
      </c>
      <c r="O162" s="27">
        <f t="shared" si="17"/>
        <v>0</v>
      </c>
      <c r="P162" s="18"/>
      <c r="Q162" s="18"/>
      <c r="R162" s="18"/>
      <c r="S162" s="18"/>
      <c r="T162" s="18"/>
      <c r="U162" s="18"/>
      <c r="V162" s="55"/>
      <c r="W162" s="19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20"/>
      <c r="AQ162" s="18"/>
      <c r="AR162" s="18"/>
      <c r="AS162" s="18">
        <v>0.5</v>
      </c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9"/>
      <c r="BI162" s="19"/>
      <c r="BJ162" s="19"/>
      <c r="BK162" s="19"/>
      <c r="BL162" s="19"/>
      <c r="BM162" s="19"/>
      <c r="BN162" s="19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</row>
    <row r="163" spans="1:80" ht="16.2" x14ac:dyDescent="0.4">
      <c r="A163" s="10" t="str">
        <f t="shared" si="14"/>
        <v>lt002_instrumentrsk_mtgtd_cct</v>
      </c>
      <c r="B163" s="11" t="s">
        <v>11</v>
      </c>
      <c r="C163" s="12" t="s">
        <v>11</v>
      </c>
      <c r="D163" s="13" t="s">
        <v>16</v>
      </c>
      <c r="E163" s="23" t="s">
        <v>157</v>
      </c>
      <c r="F163" s="23" t="s">
        <v>158</v>
      </c>
      <c r="G163" s="15" t="s">
        <v>159</v>
      </c>
      <c r="H163" s="17">
        <v>45595</v>
      </c>
      <c r="I163" s="56">
        <v>45611</v>
      </c>
      <c r="J163" s="16"/>
      <c r="K163" s="16">
        <f t="shared" si="15"/>
        <v>45621</v>
      </c>
      <c r="L163" s="29"/>
      <c r="M163" s="27">
        <v>4.0999999999999996</v>
      </c>
      <c r="N163" s="27">
        <f t="shared" si="16"/>
        <v>0.5</v>
      </c>
      <c r="O163" s="27">
        <f t="shared" si="17"/>
        <v>0</v>
      </c>
      <c r="P163" s="18"/>
      <c r="Q163" s="18"/>
      <c r="R163" s="18"/>
      <c r="S163" s="18"/>
      <c r="T163" s="18"/>
      <c r="U163" s="24"/>
      <c r="V163" s="18"/>
      <c r="W163" s="19"/>
      <c r="X163" s="18"/>
      <c r="Y163" s="18"/>
      <c r="Z163" s="18"/>
      <c r="AA163" s="18"/>
      <c r="AB163" s="18"/>
      <c r="AC163" s="18"/>
      <c r="AD163" s="18"/>
      <c r="AE163" s="18"/>
      <c r="AF163" s="18"/>
      <c r="AG163" s="20"/>
      <c r="AH163" s="18"/>
      <c r="AI163" s="18"/>
      <c r="AJ163" s="18"/>
      <c r="AK163" s="18"/>
      <c r="AL163" s="18"/>
      <c r="AM163" s="18">
        <v>0.5</v>
      </c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9"/>
      <c r="BI163" s="19"/>
      <c r="BJ163" s="19"/>
      <c r="BK163" s="19"/>
      <c r="BL163" s="19"/>
      <c r="BM163" s="19"/>
      <c r="BN163" s="19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</row>
    <row r="164" spans="1:80" ht="16.2" x14ac:dyDescent="0.4">
      <c r="A164" s="10" t="str">
        <f t="shared" si="14"/>
        <v>lt002_instrumentrsk_mtgtd_ccp</v>
      </c>
      <c r="B164" s="11" t="s">
        <v>11</v>
      </c>
      <c r="C164" s="12" t="s">
        <v>11</v>
      </c>
      <c r="D164" s="13" t="s">
        <v>16</v>
      </c>
      <c r="E164" s="23" t="s">
        <v>157</v>
      </c>
      <c r="F164" s="23" t="s">
        <v>160</v>
      </c>
      <c r="G164" s="15" t="s">
        <v>159</v>
      </c>
      <c r="H164" s="17">
        <v>45595</v>
      </c>
      <c r="I164" s="56">
        <v>45624</v>
      </c>
      <c r="J164" s="16"/>
      <c r="K164" s="16">
        <f t="shared" si="15"/>
        <v>45645</v>
      </c>
      <c r="L164" s="29"/>
      <c r="M164" s="27">
        <v>4.0999999999999996</v>
      </c>
      <c r="N164" s="27">
        <f t="shared" si="16"/>
        <v>0.5</v>
      </c>
      <c r="O164" s="27">
        <f t="shared" si="17"/>
        <v>0</v>
      </c>
      <c r="P164" s="18"/>
      <c r="Q164" s="18"/>
      <c r="R164" s="18"/>
      <c r="S164" s="18"/>
      <c r="T164" s="18"/>
      <c r="U164" s="24"/>
      <c r="V164" s="18"/>
      <c r="W164" s="19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20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>
        <v>0.5</v>
      </c>
      <c r="BF164" s="18"/>
      <c r="BG164" s="18"/>
      <c r="BH164" s="19"/>
      <c r="BI164" s="19"/>
      <c r="BJ164" s="19"/>
      <c r="BK164" s="19"/>
      <c r="BL164" s="19"/>
      <c r="BM164" s="19"/>
      <c r="BN164" s="19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</row>
    <row r="165" spans="1:80" ht="16.2" x14ac:dyDescent="0.4">
      <c r="A165" s="10" t="str">
        <f t="shared" si="14"/>
        <v>lt007_instr_activityenvrnmntl_objctv</v>
      </c>
      <c r="B165" s="11" t="s">
        <v>11</v>
      </c>
      <c r="C165" s="12" t="s">
        <v>11</v>
      </c>
      <c r="D165" s="13" t="s">
        <v>16</v>
      </c>
      <c r="E165" s="23" t="s">
        <v>216</v>
      </c>
      <c r="F165" s="23" t="s">
        <v>161</v>
      </c>
      <c r="G165" s="15" t="s">
        <v>162</v>
      </c>
      <c r="H165" s="17">
        <v>45593</v>
      </c>
      <c r="I165" s="56">
        <v>45624</v>
      </c>
      <c r="J165" s="16"/>
      <c r="K165" s="16">
        <f t="shared" si="15"/>
        <v>45644</v>
      </c>
      <c r="L165" s="29"/>
      <c r="M165" s="27">
        <v>4.0999999999999996</v>
      </c>
      <c r="N165" s="27">
        <f t="shared" si="16"/>
        <v>0.5</v>
      </c>
      <c r="O165" s="27">
        <f t="shared" si="17"/>
        <v>0</v>
      </c>
      <c r="P165" s="18"/>
      <c r="Q165" s="18"/>
      <c r="R165" s="18"/>
      <c r="S165" s="24"/>
      <c r="T165" s="18"/>
      <c r="U165" s="18"/>
      <c r="V165" s="18"/>
      <c r="W165" s="19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20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>
        <v>0.5</v>
      </c>
      <c r="BE165" s="18"/>
      <c r="BF165" s="18"/>
      <c r="BG165" s="18"/>
      <c r="BH165" s="19"/>
      <c r="BI165" s="19"/>
      <c r="BJ165" s="19"/>
      <c r="BK165" s="19"/>
      <c r="BL165" s="19"/>
      <c r="BM165" s="19"/>
      <c r="BN165" s="19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</row>
    <row r="166" spans="1:80" ht="16.2" x14ac:dyDescent="0.4">
      <c r="A166" s="10" t="str">
        <f t="shared" si="14"/>
        <v>lt007_instr_activitytyp_actvty</v>
      </c>
      <c r="B166" s="11" t="s">
        <v>11</v>
      </c>
      <c r="C166" s="12" t="s">
        <v>11</v>
      </c>
      <c r="D166" s="13" t="s">
        <v>16</v>
      </c>
      <c r="E166" s="23" t="s">
        <v>216</v>
      </c>
      <c r="F166" s="23" t="s">
        <v>163</v>
      </c>
      <c r="G166" s="15" t="s">
        <v>162</v>
      </c>
      <c r="H166" s="17">
        <v>45593</v>
      </c>
      <c r="I166" s="56">
        <v>45624</v>
      </c>
      <c r="J166" s="16"/>
      <c r="K166" s="16">
        <f t="shared" si="15"/>
        <v>45645</v>
      </c>
      <c r="L166" s="29"/>
      <c r="M166" s="27">
        <v>4.0999999999999996</v>
      </c>
      <c r="N166" s="27">
        <f t="shared" si="16"/>
        <v>0.5</v>
      </c>
      <c r="O166" s="27">
        <f t="shared" si="17"/>
        <v>0</v>
      </c>
      <c r="P166" s="18"/>
      <c r="Q166" s="18"/>
      <c r="R166" s="18"/>
      <c r="S166" s="24"/>
      <c r="T166" s="18"/>
      <c r="U166" s="18"/>
      <c r="V166" s="18"/>
      <c r="W166" s="19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20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>
        <v>0.5</v>
      </c>
      <c r="BF166" s="18"/>
      <c r="BG166" s="18"/>
      <c r="BH166" s="19"/>
      <c r="BI166" s="19"/>
      <c r="BJ166" s="19"/>
      <c r="BK166" s="19"/>
      <c r="BL166" s="19"/>
      <c r="BM166" s="19"/>
      <c r="BN166" s="19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</row>
    <row r="167" spans="1:80" ht="16.2" x14ac:dyDescent="0.4">
      <c r="A167" s="10" t="str">
        <f t="shared" si="14"/>
        <v>lt002_instrumentlns_clltrlzd_clssfctn</v>
      </c>
      <c r="B167" s="11" t="s">
        <v>11</v>
      </c>
      <c r="C167" s="12" t="s">
        <v>11</v>
      </c>
      <c r="D167" s="13" t="s">
        <v>16</v>
      </c>
      <c r="E167" s="23" t="s">
        <v>157</v>
      </c>
      <c r="F167" s="23" t="s">
        <v>164</v>
      </c>
      <c r="G167" s="15" t="s">
        <v>165</v>
      </c>
      <c r="H167" s="16">
        <v>45583</v>
      </c>
      <c r="I167" s="17">
        <v>45589</v>
      </c>
      <c r="J167" s="17">
        <v>45589</v>
      </c>
      <c r="K167" s="16">
        <f t="shared" si="15"/>
        <v>45593</v>
      </c>
      <c r="L167" s="29"/>
      <c r="M167" s="27">
        <v>4.0999999999999996</v>
      </c>
      <c r="N167" s="27">
        <f t="shared" si="16"/>
        <v>0.5</v>
      </c>
      <c r="O167" s="27">
        <f t="shared" si="17"/>
        <v>0</v>
      </c>
      <c r="P167" s="18"/>
      <c r="Q167" s="55"/>
      <c r="R167" s="18"/>
      <c r="S167" s="18">
        <v>0.5</v>
      </c>
      <c r="T167" s="18"/>
      <c r="U167" s="18"/>
      <c r="V167" s="18"/>
      <c r="W167" s="19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9"/>
      <c r="BI167" s="19"/>
      <c r="BJ167" s="19"/>
      <c r="BK167" s="19"/>
      <c r="BL167" s="19"/>
      <c r="BM167" s="19"/>
      <c r="BN167" s="19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</row>
    <row r="168" spans="1:80" ht="16.2" x14ac:dyDescent="0.4">
      <c r="A168" s="10" t="str">
        <f t="shared" si="14"/>
        <v>lt002_instrumentmthd_usd_instrmnt_scp_1</v>
      </c>
      <c r="B168" s="11" t="s">
        <v>11</v>
      </c>
      <c r="C168" s="12" t="s">
        <v>11</v>
      </c>
      <c r="D168" s="13" t="s">
        <v>16</v>
      </c>
      <c r="E168" s="23" t="s">
        <v>157</v>
      </c>
      <c r="F168" s="23" t="s">
        <v>166</v>
      </c>
      <c r="G168" s="15" t="s">
        <v>15</v>
      </c>
      <c r="H168" s="61">
        <v>45603</v>
      </c>
      <c r="I168" s="56">
        <v>45611</v>
      </c>
      <c r="J168" s="16"/>
      <c r="K168" s="16">
        <f t="shared" si="15"/>
        <v>45642</v>
      </c>
      <c r="L168" s="29"/>
      <c r="M168" s="27">
        <v>4.0999999999999996</v>
      </c>
      <c r="N168" s="27">
        <f t="shared" si="16"/>
        <v>0.5</v>
      </c>
      <c r="O168" s="27">
        <f t="shared" si="17"/>
        <v>0</v>
      </c>
      <c r="P168" s="18"/>
      <c r="Q168" s="18"/>
      <c r="R168" s="18"/>
      <c r="S168" s="24"/>
      <c r="T168" s="18"/>
      <c r="U168" s="18"/>
      <c r="V168" s="18"/>
      <c r="W168" s="19"/>
      <c r="X168" s="18"/>
      <c r="Y168" s="18"/>
      <c r="Z168" s="18"/>
      <c r="AA168" s="24"/>
      <c r="AB168" s="18"/>
      <c r="AC168" s="18"/>
      <c r="AD168" s="18"/>
      <c r="AE168" s="18"/>
      <c r="AF168" s="18"/>
      <c r="AG168" s="20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>
        <v>0.5</v>
      </c>
      <c r="BC168" s="18"/>
      <c r="BD168" s="18"/>
      <c r="BE168" s="18"/>
      <c r="BF168" s="18"/>
      <c r="BG168" s="18"/>
      <c r="BH168" s="19"/>
      <c r="BI168" s="19"/>
      <c r="BJ168" s="19"/>
      <c r="BK168" s="19"/>
      <c r="BL168" s="19"/>
      <c r="BM168" s="19"/>
      <c r="BN168" s="19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</row>
    <row r="169" spans="1:80" ht="16.2" x14ac:dyDescent="0.4">
      <c r="A169" s="10" t="str">
        <f t="shared" si="14"/>
        <v>lt002_instrumentmthd_usd_instrmnt_scp_2</v>
      </c>
      <c r="B169" s="11" t="s">
        <v>11</v>
      </c>
      <c r="C169" s="12" t="s">
        <v>11</v>
      </c>
      <c r="D169" s="13" t="s">
        <v>16</v>
      </c>
      <c r="E169" s="23" t="s">
        <v>157</v>
      </c>
      <c r="F169" s="23" t="s">
        <v>167</v>
      </c>
      <c r="G169" s="15" t="s">
        <v>15</v>
      </c>
      <c r="H169" s="61">
        <v>45603</v>
      </c>
      <c r="I169" s="56">
        <v>45611</v>
      </c>
      <c r="J169" s="16"/>
      <c r="K169" s="16">
        <f t="shared" si="15"/>
        <v>45643</v>
      </c>
      <c r="L169" s="29"/>
      <c r="M169" s="27">
        <v>4.0999999999999996</v>
      </c>
      <c r="N169" s="27">
        <f t="shared" si="16"/>
        <v>0.5</v>
      </c>
      <c r="O169" s="27">
        <f t="shared" si="17"/>
        <v>0</v>
      </c>
      <c r="P169" s="18"/>
      <c r="Q169" s="18"/>
      <c r="R169" s="18"/>
      <c r="S169" s="24"/>
      <c r="T169" s="18"/>
      <c r="U169" s="18"/>
      <c r="V169" s="18"/>
      <c r="W169" s="19"/>
      <c r="X169" s="18"/>
      <c r="Y169" s="18"/>
      <c r="Z169" s="18"/>
      <c r="AA169" s="24"/>
      <c r="AB169" s="18"/>
      <c r="AC169" s="18"/>
      <c r="AD169" s="18"/>
      <c r="AE169" s="18"/>
      <c r="AF169" s="18"/>
      <c r="AG169" s="20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>
        <v>0.5</v>
      </c>
      <c r="BD169" s="18"/>
      <c r="BE169" s="18"/>
      <c r="BF169" s="18"/>
      <c r="BG169" s="18"/>
      <c r="BH169" s="19"/>
      <c r="BI169" s="19"/>
      <c r="BJ169" s="19"/>
      <c r="BK169" s="19"/>
      <c r="BL169" s="19"/>
      <c r="BM169" s="19"/>
      <c r="BN169" s="19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</row>
    <row r="170" spans="1:80" ht="16.2" x14ac:dyDescent="0.4">
      <c r="A170" s="10" t="str">
        <f t="shared" si="14"/>
        <v>lt002_instrumentmthd_usd_instrmnt_scp_3</v>
      </c>
      <c r="B170" s="11" t="s">
        <v>11</v>
      </c>
      <c r="C170" s="12" t="s">
        <v>11</v>
      </c>
      <c r="D170" s="13" t="s">
        <v>16</v>
      </c>
      <c r="E170" s="23" t="s">
        <v>157</v>
      </c>
      <c r="F170" s="23" t="s">
        <v>168</v>
      </c>
      <c r="G170" s="15" t="s">
        <v>15</v>
      </c>
      <c r="H170" s="61">
        <v>45603</v>
      </c>
      <c r="I170" s="56">
        <v>45611</v>
      </c>
      <c r="J170" s="16"/>
      <c r="K170" s="16">
        <f t="shared" si="15"/>
        <v>45643</v>
      </c>
      <c r="L170" s="29"/>
      <c r="M170" s="27">
        <v>4.0999999999999996</v>
      </c>
      <c r="N170" s="27">
        <f t="shared" si="16"/>
        <v>0.5</v>
      </c>
      <c r="O170" s="27">
        <f t="shared" si="17"/>
        <v>0</v>
      </c>
      <c r="P170" s="18"/>
      <c r="Q170" s="18"/>
      <c r="R170" s="18"/>
      <c r="S170" s="24"/>
      <c r="T170" s="18"/>
      <c r="U170" s="18"/>
      <c r="V170" s="18"/>
      <c r="W170" s="19"/>
      <c r="X170" s="18"/>
      <c r="Y170" s="18"/>
      <c r="Z170" s="18"/>
      <c r="AA170" s="24"/>
      <c r="AB170" s="18"/>
      <c r="AC170" s="18"/>
      <c r="AD170" s="18"/>
      <c r="AE170" s="18"/>
      <c r="AF170" s="18"/>
      <c r="AG170" s="20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>
        <v>0.5</v>
      </c>
      <c r="BD170" s="18"/>
      <c r="BE170" s="18"/>
      <c r="BF170" s="18"/>
      <c r="BG170" s="18"/>
      <c r="BH170" s="19"/>
      <c r="BI170" s="19"/>
      <c r="BJ170" s="19"/>
      <c r="BK170" s="19"/>
      <c r="BL170" s="19"/>
      <c r="BM170" s="19"/>
      <c r="BN170" s="19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</row>
    <row r="171" spans="1:80" ht="16.2" x14ac:dyDescent="0.4">
      <c r="A171" s="10" t="str">
        <f t="shared" si="14"/>
        <v>lt002_instrumentsstnbl_ctgry_txnmy</v>
      </c>
      <c r="B171" s="11" t="s">
        <v>11</v>
      </c>
      <c r="C171" s="12" t="s">
        <v>11</v>
      </c>
      <c r="D171" s="13" t="s">
        <v>16</v>
      </c>
      <c r="E171" s="23" t="s">
        <v>157</v>
      </c>
      <c r="F171" s="23" t="s">
        <v>169</v>
      </c>
      <c r="G171" s="15" t="s">
        <v>15</v>
      </c>
      <c r="H171" s="17">
        <v>45590</v>
      </c>
      <c r="I171" s="56">
        <v>45611</v>
      </c>
      <c r="J171" s="16"/>
      <c r="K171" s="16">
        <f t="shared" si="15"/>
        <v>45614</v>
      </c>
      <c r="L171" s="29"/>
      <c r="M171" s="27">
        <v>4.0999999999999996</v>
      </c>
      <c r="N171" s="27">
        <f t="shared" si="16"/>
        <v>0.5</v>
      </c>
      <c r="O171" s="27">
        <f t="shared" si="17"/>
        <v>0</v>
      </c>
      <c r="P171" s="18"/>
      <c r="Q171" s="18"/>
      <c r="R171" s="24"/>
      <c r="S171" s="18"/>
      <c r="T171" s="18"/>
      <c r="U171" s="18"/>
      <c r="V171" s="18"/>
      <c r="W171" s="19"/>
      <c r="X171" s="18"/>
      <c r="Y171" s="18"/>
      <c r="Z171" s="18"/>
      <c r="AA171" s="18"/>
      <c r="AB171" s="18"/>
      <c r="AC171" s="18"/>
      <c r="AD171" s="18"/>
      <c r="AE171" s="18"/>
      <c r="AF171" s="18"/>
      <c r="AG171" s="20"/>
      <c r="AH171" s="18">
        <v>0.5</v>
      </c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9"/>
      <c r="BI171" s="19"/>
      <c r="BJ171" s="19"/>
      <c r="BK171" s="19"/>
      <c r="BL171" s="19"/>
      <c r="BM171" s="19"/>
      <c r="BN171" s="19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</row>
    <row r="172" spans="1:80" ht="16.2" x14ac:dyDescent="0.4">
      <c r="A172" s="10" t="str">
        <f t="shared" si="14"/>
        <v>lt827_mthd_usd_instrmntambito</v>
      </c>
      <c r="B172" s="11" t="s">
        <v>11</v>
      </c>
      <c r="C172" s="12" t="s">
        <v>11</v>
      </c>
      <c r="D172" s="13" t="s">
        <v>16</v>
      </c>
      <c r="E172" s="23" t="s">
        <v>217</v>
      </c>
      <c r="F172" s="23" t="s">
        <v>171</v>
      </c>
      <c r="G172" s="15" t="s">
        <v>15</v>
      </c>
      <c r="H172" s="61">
        <v>45603</v>
      </c>
      <c r="I172" s="56">
        <v>45611</v>
      </c>
      <c r="J172" s="16"/>
      <c r="K172" s="16">
        <f t="shared" si="15"/>
        <v>45636</v>
      </c>
      <c r="L172" s="29"/>
      <c r="M172" s="27">
        <v>4.0999999999999996</v>
      </c>
      <c r="N172" s="27">
        <f t="shared" si="16"/>
        <v>0.5</v>
      </c>
      <c r="O172" s="27">
        <f t="shared" si="17"/>
        <v>0</v>
      </c>
      <c r="P172" s="18"/>
      <c r="Q172" s="18"/>
      <c r="R172" s="18"/>
      <c r="S172" s="24"/>
      <c r="T172" s="18"/>
      <c r="U172" s="18"/>
      <c r="V172" s="18"/>
      <c r="W172" s="19"/>
      <c r="X172" s="18"/>
      <c r="Y172" s="18"/>
      <c r="Z172" s="18"/>
      <c r="AA172" s="24"/>
      <c r="AB172" s="18"/>
      <c r="AC172" s="18"/>
      <c r="AD172" s="18"/>
      <c r="AE172" s="18"/>
      <c r="AF172" s="18"/>
      <c r="AG172" s="20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>
        <v>0.5</v>
      </c>
      <c r="AY172" s="18"/>
      <c r="AZ172" s="18"/>
      <c r="BA172" s="18"/>
      <c r="BB172" s="18"/>
      <c r="BC172" s="18"/>
      <c r="BD172" s="18"/>
      <c r="BE172" s="18"/>
      <c r="BF172" s="18"/>
      <c r="BG172" s="18"/>
      <c r="BH172" s="19"/>
      <c r="BI172" s="19"/>
      <c r="BJ172" s="19"/>
      <c r="BK172" s="19"/>
      <c r="BL172" s="19"/>
      <c r="BM172" s="19"/>
      <c r="BN172" s="19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</row>
    <row r="173" spans="1:80" ht="16.2" x14ac:dyDescent="0.4">
      <c r="A173" s="10" t="str">
        <f t="shared" si="14"/>
        <v>lt827_mthd_usd_instrmntref_date</v>
      </c>
      <c r="B173" s="11" t="s">
        <v>11</v>
      </c>
      <c r="C173" s="12" t="s">
        <v>11</v>
      </c>
      <c r="D173" s="13" t="s">
        <v>16</v>
      </c>
      <c r="E173" s="23" t="s">
        <v>217</v>
      </c>
      <c r="F173" s="23" t="s">
        <v>110</v>
      </c>
      <c r="G173" s="15" t="s">
        <v>15</v>
      </c>
      <c r="H173" s="61">
        <v>45603</v>
      </c>
      <c r="I173" s="56">
        <v>45611</v>
      </c>
      <c r="J173" s="16"/>
      <c r="K173" s="16">
        <f t="shared" si="15"/>
        <v>45636</v>
      </c>
      <c r="L173" s="29"/>
      <c r="M173" s="27">
        <v>4.0999999999999996</v>
      </c>
      <c r="N173" s="27">
        <f t="shared" si="16"/>
        <v>0.5</v>
      </c>
      <c r="O173" s="27">
        <f t="shared" si="17"/>
        <v>0</v>
      </c>
      <c r="P173" s="18"/>
      <c r="Q173" s="18"/>
      <c r="R173" s="18"/>
      <c r="S173" s="24"/>
      <c r="T173" s="18"/>
      <c r="U173" s="18"/>
      <c r="V173" s="18"/>
      <c r="W173" s="19"/>
      <c r="X173" s="18"/>
      <c r="Y173" s="18"/>
      <c r="Z173" s="18"/>
      <c r="AA173" s="24"/>
      <c r="AB173" s="18"/>
      <c r="AC173" s="18"/>
      <c r="AD173" s="18"/>
      <c r="AE173" s="18"/>
      <c r="AF173" s="18"/>
      <c r="AG173" s="20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>
        <v>0.5</v>
      </c>
      <c r="AY173" s="18"/>
      <c r="AZ173" s="18"/>
      <c r="BA173" s="18"/>
      <c r="BB173" s="18"/>
      <c r="BC173" s="18"/>
      <c r="BD173" s="18"/>
      <c r="BE173" s="18"/>
      <c r="BF173" s="18"/>
      <c r="BG173" s="18"/>
      <c r="BH173" s="19"/>
      <c r="BI173" s="19"/>
      <c r="BJ173" s="19"/>
      <c r="BK173" s="19"/>
      <c r="BL173" s="19"/>
      <c r="BM173" s="19"/>
      <c r="BN173" s="19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</row>
    <row r="174" spans="1:80" ht="16.2" x14ac:dyDescent="0.4">
      <c r="A174" s="10" t="str">
        <f t="shared" si="14"/>
        <v>lt827_mthd_usd_instrmntordem</v>
      </c>
      <c r="B174" s="11" t="s">
        <v>11</v>
      </c>
      <c r="C174" s="12" t="s">
        <v>11</v>
      </c>
      <c r="D174" s="13" t="s">
        <v>16</v>
      </c>
      <c r="E174" s="23" t="s">
        <v>217</v>
      </c>
      <c r="F174" s="23" t="s">
        <v>172</v>
      </c>
      <c r="G174" s="15" t="s">
        <v>15</v>
      </c>
      <c r="H174" s="61">
        <v>45603</v>
      </c>
      <c r="I174" s="56">
        <v>45611</v>
      </c>
      <c r="J174" s="16"/>
      <c r="K174" s="16">
        <f t="shared" si="15"/>
        <v>45637</v>
      </c>
      <c r="L174" s="29"/>
      <c r="M174" s="27">
        <v>4.0999999999999996</v>
      </c>
      <c r="N174" s="27">
        <f t="shared" si="16"/>
        <v>0.5</v>
      </c>
      <c r="O174" s="27">
        <f t="shared" si="17"/>
        <v>0</v>
      </c>
      <c r="P174" s="18"/>
      <c r="Q174" s="18"/>
      <c r="R174" s="18"/>
      <c r="S174" s="24"/>
      <c r="T174" s="18"/>
      <c r="U174" s="18"/>
      <c r="V174" s="18"/>
      <c r="W174" s="19"/>
      <c r="X174" s="18"/>
      <c r="Y174" s="18"/>
      <c r="Z174" s="18"/>
      <c r="AA174" s="24"/>
      <c r="AB174" s="18"/>
      <c r="AC174" s="18"/>
      <c r="AD174" s="18"/>
      <c r="AE174" s="18"/>
      <c r="AF174" s="18"/>
      <c r="AG174" s="20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>
        <v>0.5</v>
      </c>
      <c r="AZ174" s="18"/>
      <c r="BA174" s="18"/>
      <c r="BB174" s="18"/>
      <c r="BC174" s="18"/>
      <c r="BD174" s="18"/>
      <c r="BE174" s="18"/>
      <c r="BF174" s="18"/>
      <c r="BG174" s="18"/>
      <c r="BH174" s="19"/>
      <c r="BI174" s="19"/>
      <c r="BJ174" s="19"/>
      <c r="BK174" s="19"/>
      <c r="BL174" s="19"/>
      <c r="BM174" s="19"/>
      <c r="BN174" s="19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</row>
    <row r="175" spans="1:80" ht="16.2" x14ac:dyDescent="0.4">
      <c r="A175" s="10" t="str">
        <f t="shared" si="14"/>
        <v>lt827_mthd_usd_instrmnttabela</v>
      </c>
      <c r="B175" s="11" t="s">
        <v>11</v>
      </c>
      <c r="C175" s="12" t="s">
        <v>11</v>
      </c>
      <c r="D175" s="13" t="s">
        <v>16</v>
      </c>
      <c r="E175" s="23" t="s">
        <v>217</v>
      </c>
      <c r="F175" s="23" t="s">
        <v>173</v>
      </c>
      <c r="G175" s="15" t="s">
        <v>15</v>
      </c>
      <c r="H175" s="61">
        <v>45603</v>
      </c>
      <c r="I175" s="56">
        <v>45611</v>
      </c>
      <c r="J175" s="16"/>
      <c r="K175" s="16">
        <f t="shared" si="15"/>
        <v>45637</v>
      </c>
      <c r="L175" s="29"/>
      <c r="M175" s="27">
        <v>4.0999999999999996</v>
      </c>
      <c r="N175" s="27">
        <f t="shared" si="16"/>
        <v>0.5</v>
      </c>
      <c r="O175" s="27">
        <f t="shared" si="17"/>
        <v>0</v>
      </c>
      <c r="P175" s="18"/>
      <c r="Q175" s="18"/>
      <c r="R175" s="18"/>
      <c r="S175" s="24"/>
      <c r="T175" s="18"/>
      <c r="U175" s="18"/>
      <c r="V175" s="18"/>
      <c r="W175" s="19"/>
      <c r="X175" s="18"/>
      <c r="Y175" s="18"/>
      <c r="Z175" s="18"/>
      <c r="AA175" s="24"/>
      <c r="AB175" s="18"/>
      <c r="AC175" s="18"/>
      <c r="AD175" s="18"/>
      <c r="AE175" s="18"/>
      <c r="AF175" s="18"/>
      <c r="AG175" s="20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>
        <v>0.5</v>
      </c>
      <c r="AZ175" s="18"/>
      <c r="BA175" s="18"/>
      <c r="BB175" s="18"/>
      <c r="BC175" s="18"/>
      <c r="BD175" s="18"/>
      <c r="BE175" s="18"/>
      <c r="BF175" s="18"/>
      <c r="BG175" s="18"/>
      <c r="BH175" s="19"/>
      <c r="BI175" s="19"/>
      <c r="BJ175" s="19"/>
      <c r="BK175" s="19"/>
      <c r="BL175" s="19"/>
      <c r="BM175" s="19"/>
      <c r="BN175" s="19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</row>
    <row r="176" spans="1:80" ht="16.2" x14ac:dyDescent="0.4">
      <c r="A176" s="10" t="str">
        <f t="shared" si="14"/>
        <v>lt827_mthd_usd_instrmntorigem_scp1_emss</v>
      </c>
      <c r="B176" s="11" t="s">
        <v>11</v>
      </c>
      <c r="C176" s="12" t="s">
        <v>11</v>
      </c>
      <c r="D176" s="13" t="s">
        <v>16</v>
      </c>
      <c r="E176" s="23" t="s">
        <v>217</v>
      </c>
      <c r="F176" s="23" t="s">
        <v>74</v>
      </c>
      <c r="G176" s="15" t="s">
        <v>15</v>
      </c>
      <c r="H176" s="61">
        <v>45603</v>
      </c>
      <c r="I176" s="56">
        <v>45611</v>
      </c>
      <c r="J176" s="16"/>
      <c r="K176" s="16">
        <f t="shared" si="15"/>
        <v>45638</v>
      </c>
      <c r="L176" s="29"/>
      <c r="M176" s="27">
        <v>4.0999999999999996</v>
      </c>
      <c r="N176" s="27">
        <f t="shared" si="16"/>
        <v>0.5</v>
      </c>
      <c r="O176" s="27">
        <f t="shared" si="17"/>
        <v>0</v>
      </c>
      <c r="P176" s="18"/>
      <c r="Q176" s="18"/>
      <c r="R176" s="18"/>
      <c r="S176" s="24"/>
      <c r="T176" s="18"/>
      <c r="U176" s="18"/>
      <c r="V176" s="18"/>
      <c r="W176" s="19"/>
      <c r="X176" s="18"/>
      <c r="Y176" s="18"/>
      <c r="Z176" s="18"/>
      <c r="AA176" s="24"/>
      <c r="AB176" s="18"/>
      <c r="AC176" s="18"/>
      <c r="AD176" s="18"/>
      <c r="AE176" s="18"/>
      <c r="AF176" s="18"/>
      <c r="AG176" s="20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>
        <v>0.5</v>
      </c>
      <c r="BA176" s="18"/>
      <c r="BB176" s="18"/>
      <c r="BC176" s="18"/>
      <c r="BD176" s="18"/>
      <c r="BE176" s="18"/>
      <c r="BF176" s="18"/>
      <c r="BG176" s="18"/>
      <c r="BH176" s="19"/>
      <c r="BI176" s="19"/>
      <c r="BJ176" s="19"/>
      <c r="BK176" s="19"/>
      <c r="BL176" s="19"/>
      <c r="BM176" s="19"/>
      <c r="BN176" s="19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</row>
    <row r="177" spans="1:80" ht="16.2" x14ac:dyDescent="0.4">
      <c r="A177" s="10" t="str">
        <f t="shared" si="14"/>
        <v>lt827_mthd_usd_instrmntorigem_scp2_emss</v>
      </c>
      <c r="B177" s="11" t="s">
        <v>11</v>
      </c>
      <c r="C177" s="12" t="s">
        <v>11</v>
      </c>
      <c r="D177" s="13" t="s">
        <v>16</v>
      </c>
      <c r="E177" s="23" t="s">
        <v>217</v>
      </c>
      <c r="F177" s="23" t="s">
        <v>75</v>
      </c>
      <c r="G177" s="15" t="s">
        <v>15</v>
      </c>
      <c r="H177" s="61">
        <v>45603</v>
      </c>
      <c r="I177" s="56">
        <v>45611</v>
      </c>
      <c r="J177" s="16"/>
      <c r="K177" s="16">
        <f t="shared" si="15"/>
        <v>45638</v>
      </c>
      <c r="L177" s="29"/>
      <c r="M177" s="27">
        <v>4.0999999999999996</v>
      </c>
      <c r="N177" s="27">
        <f t="shared" si="16"/>
        <v>0.5</v>
      </c>
      <c r="O177" s="27">
        <f t="shared" si="17"/>
        <v>0</v>
      </c>
      <c r="P177" s="18"/>
      <c r="Q177" s="18"/>
      <c r="R177" s="18"/>
      <c r="S177" s="24"/>
      <c r="T177" s="18"/>
      <c r="U177" s="18"/>
      <c r="V177" s="18"/>
      <c r="W177" s="19"/>
      <c r="X177" s="18"/>
      <c r="Y177" s="18"/>
      <c r="Z177" s="18"/>
      <c r="AA177" s="24"/>
      <c r="AB177" s="18"/>
      <c r="AC177" s="18"/>
      <c r="AD177" s="18"/>
      <c r="AE177" s="18"/>
      <c r="AF177" s="18"/>
      <c r="AG177" s="20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>
        <v>0.5</v>
      </c>
      <c r="BA177" s="18"/>
      <c r="BB177" s="18"/>
      <c r="BC177" s="18"/>
      <c r="BD177" s="18"/>
      <c r="BE177" s="18"/>
      <c r="BF177" s="18"/>
      <c r="BG177" s="18"/>
      <c r="BH177" s="19"/>
      <c r="BI177" s="19"/>
      <c r="BJ177" s="19"/>
      <c r="BK177" s="19"/>
      <c r="BL177" s="19"/>
      <c r="BM177" s="19"/>
      <c r="BN177" s="19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</row>
    <row r="178" spans="1:80" ht="16.2" x14ac:dyDescent="0.4">
      <c r="A178" s="10" t="str">
        <f t="shared" si="14"/>
        <v>lt827_mthd_usd_instrmntorigem_scp3_emss</v>
      </c>
      <c r="B178" s="11" t="s">
        <v>11</v>
      </c>
      <c r="C178" s="12" t="s">
        <v>11</v>
      </c>
      <c r="D178" s="13" t="s">
        <v>16</v>
      </c>
      <c r="E178" s="23" t="s">
        <v>217</v>
      </c>
      <c r="F178" s="23" t="s">
        <v>76</v>
      </c>
      <c r="G178" s="15" t="s">
        <v>15</v>
      </c>
      <c r="H178" s="61">
        <v>45603</v>
      </c>
      <c r="I178" s="56">
        <v>45611</v>
      </c>
      <c r="J178" s="16"/>
      <c r="K178" s="16">
        <f t="shared" si="15"/>
        <v>45639</v>
      </c>
      <c r="L178" s="29"/>
      <c r="M178" s="27">
        <v>4.0999999999999996</v>
      </c>
      <c r="N178" s="27">
        <f t="shared" si="16"/>
        <v>0.5</v>
      </c>
      <c r="O178" s="27">
        <f t="shared" si="17"/>
        <v>0</v>
      </c>
      <c r="P178" s="18"/>
      <c r="Q178" s="18"/>
      <c r="R178" s="18"/>
      <c r="S178" s="24"/>
      <c r="T178" s="18"/>
      <c r="U178" s="18"/>
      <c r="V178" s="18"/>
      <c r="W178" s="19"/>
      <c r="X178" s="18"/>
      <c r="Y178" s="18"/>
      <c r="Z178" s="18"/>
      <c r="AA178" s="24"/>
      <c r="AB178" s="18"/>
      <c r="AC178" s="18"/>
      <c r="AD178" s="18"/>
      <c r="AE178" s="18"/>
      <c r="AF178" s="18"/>
      <c r="AG178" s="20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>
        <v>0.5</v>
      </c>
      <c r="BB178" s="18"/>
      <c r="BC178" s="18"/>
      <c r="BD178" s="18"/>
      <c r="BE178" s="18"/>
      <c r="BF178" s="18"/>
      <c r="BG178" s="18"/>
      <c r="BH178" s="19"/>
      <c r="BI178" s="19"/>
      <c r="BJ178" s="19"/>
      <c r="BK178" s="19"/>
      <c r="BL178" s="19"/>
      <c r="BM178" s="19"/>
      <c r="BN178" s="19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</row>
    <row r="179" spans="1:80" ht="16.2" x14ac:dyDescent="0.4">
      <c r="A179" s="10" t="str">
        <f t="shared" si="14"/>
        <v>lt827_mthd_usd_instrmntmthd_usd_instrmnt_scp_1</v>
      </c>
      <c r="B179" s="11" t="s">
        <v>11</v>
      </c>
      <c r="C179" s="12" t="s">
        <v>11</v>
      </c>
      <c r="D179" s="13" t="s">
        <v>16</v>
      </c>
      <c r="E179" s="23" t="s">
        <v>217</v>
      </c>
      <c r="F179" s="23" t="s">
        <v>166</v>
      </c>
      <c r="G179" s="15" t="s">
        <v>15</v>
      </c>
      <c r="H179" s="61">
        <v>45603</v>
      </c>
      <c r="I179" s="56">
        <v>45611</v>
      </c>
      <c r="J179" s="16"/>
      <c r="K179" s="16">
        <f t="shared" si="15"/>
        <v>45639</v>
      </c>
      <c r="L179" s="29"/>
      <c r="M179" s="27">
        <v>4.0999999999999996</v>
      </c>
      <c r="N179" s="27">
        <f t="shared" si="16"/>
        <v>0.5</v>
      </c>
      <c r="O179" s="27">
        <f t="shared" si="17"/>
        <v>0</v>
      </c>
      <c r="P179" s="18"/>
      <c r="Q179" s="18"/>
      <c r="R179" s="18"/>
      <c r="S179" s="24"/>
      <c r="T179" s="18"/>
      <c r="U179" s="18"/>
      <c r="V179" s="18"/>
      <c r="W179" s="19"/>
      <c r="X179" s="18"/>
      <c r="Y179" s="18"/>
      <c r="Z179" s="18"/>
      <c r="AA179" s="24"/>
      <c r="AB179" s="18"/>
      <c r="AC179" s="18"/>
      <c r="AD179" s="18"/>
      <c r="AE179" s="18"/>
      <c r="AF179" s="18"/>
      <c r="AG179" s="20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>
        <v>0.5</v>
      </c>
      <c r="BB179" s="18"/>
      <c r="BC179" s="18"/>
      <c r="BD179" s="18"/>
      <c r="BE179" s="18"/>
      <c r="BF179" s="18"/>
      <c r="BG179" s="18"/>
      <c r="BH179" s="19"/>
      <c r="BI179" s="19"/>
      <c r="BJ179" s="19"/>
      <c r="BK179" s="19"/>
      <c r="BL179" s="19"/>
      <c r="BM179" s="19"/>
      <c r="BN179" s="19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</row>
    <row r="180" spans="1:80" ht="16.2" x14ac:dyDescent="0.4">
      <c r="A180" s="10" t="str">
        <f t="shared" si="14"/>
        <v>lt827_mthd_usd_instrmntmthd_usd_instrmnt_scp_2</v>
      </c>
      <c r="B180" s="11" t="s">
        <v>11</v>
      </c>
      <c r="C180" s="12" t="s">
        <v>11</v>
      </c>
      <c r="D180" s="13" t="s">
        <v>16</v>
      </c>
      <c r="E180" s="23" t="s">
        <v>217</v>
      </c>
      <c r="F180" s="23" t="s">
        <v>167</v>
      </c>
      <c r="G180" s="15" t="s">
        <v>15</v>
      </c>
      <c r="H180" s="61">
        <v>45603</v>
      </c>
      <c r="I180" s="56">
        <v>45611</v>
      </c>
      <c r="J180" s="16"/>
      <c r="K180" s="16">
        <f t="shared" si="15"/>
        <v>45642</v>
      </c>
      <c r="L180" s="29"/>
      <c r="M180" s="27">
        <v>4.0999999999999996</v>
      </c>
      <c r="N180" s="27">
        <f t="shared" si="16"/>
        <v>0.5</v>
      </c>
      <c r="O180" s="27">
        <f t="shared" si="17"/>
        <v>0</v>
      </c>
      <c r="P180" s="18"/>
      <c r="Q180" s="18"/>
      <c r="R180" s="18"/>
      <c r="S180" s="24"/>
      <c r="T180" s="18"/>
      <c r="U180" s="18"/>
      <c r="V180" s="18"/>
      <c r="W180" s="19"/>
      <c r="X180" s="18"/>
      <c r="Y180" s="18"/>
      <c r="Z180" s="18"/>
      <c r="AA180" s="24"/>
      <c r="AB180" s="18"/>
      <c r="AC180" s="18"/>
      <c r="AD180" s="18"/>
      <c r="AE180" s="18"/>
      <c r="AF180" s="18"/>
      <c r="AG180" s="20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>
        <v>0.5</v>
      </c>
      <c r="BC180" s="18"/>
      <c r="BD180" s="18"/>
      <c r="BE180" s="18"/>
      <c r="BF180" s="18"/>
      <c r="BG180" s="18"/>
      <c r="BH180" s="19"/>
      <c r="BI180" s="19"/>
      <c r="BJ180" s="19"/>
      <c r="BK180" s="19"/>
      <c r="BL180" s="19"/>
      <c r="BM180" s="19"/>
      <c r="BN180" s="19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</row>
    <row r="181" spans="1:80" ht="16.2" x14ac:dyDescent="0.4">
      <c r="A181" s="10" t="str">
        <f t="shared" si="14"/>
        <v>lt827_mthd_usd_instrmntmthd_usd_instrmnt_scp_3</v>
      </c>
      <c r="B181" s="11" t="s">
        <v>11</v>
      </c>
      <c r="C181" s="12" t="s">
        <v>11</v>
      </c>
      <c r="D181" s="13" t="s">
        <v>16</v>
      </c>
      <c r="E181" s="23" t="s">
        <v>217</v>
      </c>
      <c r="F181" s="23" t="s">
        <v>168</v>
      </c>
      <c r="G181" s="15" t="s">
        <v>15</v>
      </c>
      <c r="H181" s="61">
        <v>45603</v>
      </c>
      <c r="I181" s="56">
        <v>45611</v>
      </c>
      <c r="J181" s="16"/>
      <c r="K181" s="16">
        <f t="shared" si="15"/>
        <v>45642</v>
      </c>
      <c r="L181" s="29"/>
      <c r="M181" s="27">
        <v>4.0999999999999996</v>
      </c>
      <c r="N181" s="27">
        <f t="shared" si="16"/>
        <v>0.5</v>
      </c>
      <c r="O181" s="27">
        <f t="shared" si="17"/>
        <v>0</v>
      </c>
      <c r="P181" s="18"/>
      <c r="Q181" s="18"/>
      <c r="R181" s="18"/>
      <c r="S181" s="24"/>
      <c r="T181" s="18"/>
      <c r="U181" s="18"/>
      <c r="V181" s="18"/>
      <c r="W181" s="19"/>
      <c r="X181" s="18"/>
      <c r="Y181" s="18"/>
      <c r="Z181" s="18"/>
      <c r="AA181" s="24"/>
      <c r="AB181" s="18"/>
      <c r="AC181" s="18"/>
      <c r="AD181" s="18"/>
      <c r="AE181" s="18"/>
      <c r="AF181" s="18"/>
      <c r="AG181" s="20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>
        <v>0.5</v>
      </c>
      <c r="BC181" s="18"/>
      <c r="BD181" s="18"/>
      <c r="BE181" s="18"/>
      <c r="BF181" s="18"/>
      <c r="BG181" s="18"/>
      <c r="BH181" s="19"/>
      <c r="BI181" s="19"/>
      <c r="BJ181" s="19"/>
      <c r="BK181" s="19"/>
      <c r="BL181" s="19"/>
      <c r="BM181" s="19"/>
      <c r="BN181" s="19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</row>
    <row r="182" spans="1:80" ht="16.2" x14ac:dyDescent="0.4">
      <c r="A182" s="10" t="str">
        <f t="shared" si="14"/>
        <v>lt007_instr_activitysstnbl_indctr</v>
      </c>
      <c r="B182" s="11" t="s">
        <v>11</v>
      </c>
      <c r="C182" s="12" t="s">
        <v>11</v>
      </c>
      <c r="D182" s="13" t="s">
        <v>16</v>
      </c>
      <c r="E182" s="23" t="s">
        <v>216</v>
      </c>
      <c r="F182" s="23" t="s">
        <v>174</v>
      </c>
      <c r="G182" s="15" t="s">
        <v>162</v>
      </c>
      <c r="H182" s="17">
        <v>45593</v>
      </c>
      <c r="I182" s="56">
        <v>45624</v>
      </c>
      <c r="J182" s="16"/>
      <c r="K182" s="16">
        <f t="shared" si="15"/>
        <v>45645</v>
      </c>
      <c r="L182" s="29"/>
      <c r="M182" s="60">
        <v>4.0999999999999996</v>
      </c>
      <c r="N182" s="27">
        <f t="shared" si="16"/>
        <v>0.5</v>
      </c>
      <c r="O182" s="27">
        <f t="shared" si="17"/>
        <v>0</v>
      </c>
      <c r="P182" s="18"/>
      <c r="Q182" s="18"/>
      <c r="R182" s="18"/>
      <c r="S182" s="24"/>
      <c r="T182" s="18"/>
      <c r="U182" s="18"/>
      <c r="V182" s="18"/>
      <c r="W182" s="19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20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>
        <v>0.5</v>
      </c>
      <c r="BF182" s="18"/>
      <c r="BG182" s="18"/>
      <c r="BH182" s="19"/>
      <c r="BI182" s="19"/>
      <c r="BJ182" s="19"/>
      <c r="BK182" s="19"/>
      <c r="BL182" s="19"/>
      <c r="BM182" s="19"/>
      <c r="BN182" s="19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</row>
    <row r="183" spans="1:80" ht="16.2" x14ac:dyDescent="0.4">
      <c r="A183" s="10" t="str">
        <f t="shared" si="14"/>
        <v>lt007_instr_activitysstnbl_ctgry</v>
      </c>
      <c r="B183" s="11" t="s">
        <v>11</v>
      </c>
      <c r="C183" s="12" t="s">
        <v>11</v>
      </c>
      <c r="D183" s="13" t="s">
        <v>16</v>
      </c>
      <c r="E183" s="23" t="s">
        <v>216</v>
      </c>
      <c r="F183" s="23" t="s">
        <v>175</v>
      </c>
      <c r="G183" s="15" t="s">
        <v>162</v>
      </c>
      <c r="H183" s="17">
        <v>45593</v>
      </c>
      <c r="I183" s="56">
        <v>45624</v>
      </c>
      <c r="J183" s="16"/>
      <c r="K183" s="16">
        <f t="shared" si="15"/>
        <v>45644</v>
      </c>
      <c r="L183" s="29"/>
      <c r="M183" s="60">
        <v>4.0999999999999996</v>
      </c>
      <c r="N183" s="27">
        <f t="shared" si="16"/>
        <v>0.5</v>
      </c>
      <c r="O183" s="27">
        <f t="shared" si="17"/>
        <v>0</v>
      </c>
      <c r="P183" s="18"/>
      <c r="Q183" s="18"/>
      <c r="R183" s="18"/>
      <c r="S183" s="24"/>
      <c r="T183" s="18"/>
      <c r="U183" s="18"/>
      <c r="V183" s="18"/>
      <c r="W183" s="19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20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>
        <v>0.5</v>
      </c>
      <c r="BE183" s="18"/>
      <c r="BF183" s="18"/>
      <c r="BG183" s="18"/>
      <c r="BH183" s="19"/>
      <c r="BI183" s="19"/>
      <c r="BJ183" s="19"/>
      <c r="BK183" s="19"/>
      <c r="BL183" s="19"/>
      <c r="BM183" s="19"/>
      <c r="BN183" s="19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</row>
    <row r="184" spans="1:80" ht="16.2" x14ac:dyDescent="0.4">
      <c r="A184" s="10" t="str">
        <f t="shared" si="14"/>
        <v>lt002_instrumentgrss_intrst_incm</v>
      </c>
      <c r="B184" s="11" t="s">
        <v>11</v>
      </c>
      <c r="C184" s="12" t="s">
        <v>11</v>
      </c>
      <c r="D184" s="13" t="s">
        <v>16</v>
      </c>
      <c r="E184" s="23" t="s">
        <v>157</v>
      </c>
      <c r="F184" s="23" t="s">
        <v>176</v>
      </c>
      <c r="G184" s="15" t="s">
        <v>165</v>
      </c>
      <c r="H184" s="17" t="s">
        <v>14</v>
      </c>
      <c r="I184" s="17" t="s">
        <v>14</v>
      </c>
      <c r="J184" s="16"/>
      <c r="K184" s="16">
        <f t="shared" si="15"/>
        <v>45610</v>
      </c>
      <c r="L184" s="29"/>
      <c r="M184" s="28">
        <v>8</v>
      </c>
      <c r="N184" s="27">
        <f t="shared" si="16"/>
        <v>1</v>
      </c>
      <c r="O184" s="27">
        <f t="shared" si="17"/>
        <v>0</v>
      </c>
      <c r="P184" s="18"/>
      <c r="Q184" s="18"/>
      <c r="R184" s="18"/>
      <c r="S184" s="18"/>
      <c r="T184" s="18"/>
      <c r="U184" s="18"/>
      <c r="V184" s="18"/>
      <c r="W184" s="19"/>
      <c r="X184" s="18"/>
      <c r="Y184" s="18"/>
      <c r="Z184" s="18"/>
      <c r="AA184" s="18"/>
      <c r="AB184" s="18"/>
      <c r="AC184" s="18"/>
      <c r="AD184" s="18"/>
      <c r="AE184" s="18">
        <v>0.5</v>
      </c>
      <c r="AF184" s="18">
        <v>0.5</v>
      </c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9"/>
      <c r="BI184" s="19"/>
      <c r="BJ184" s="19"/>
      <c r="BK184" s="19"/>
      <c r="BL184" s="19"/>
      <c r="BM184" s="19"/>
      <c r="BN184" s="19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</row>
    <row r="185" spans="1:80" ht="16.2" x14ac:dyDescent="0.4">
      <c r="A185" s="10" t="str">
        <f t="shared" si="14"/>
        <v>lt002_instrumentgrss_cmmssn_incm</v>
      </c>
      <c r="B185" s="11" t="s">
        <v>11</v>
      </c>
      <c r="C185" s="12" t="s">
        <v>11</v>
      </c>
      <c r="D185" s="13" t="s">
        <v>16</v>
      </c>
      <c r="E185" s="23" t="s">
        <v>157</v>
      </c>
      <c r="F185" s="23" t="s">
        <v>177</v>
      </c>
      <c r="G185" s="15" t="s">
        <v>165</v>
      </c>
      <c r="H185" s="17" t="s">
        <v>14</v>
      </c>
      <c r="I185" s="17" t="s">
        <v>14</v>
      </c>
      <c r="J185" s="16"/>
      <c r="K185" s="16">
        <f t="shared" si="15"/>
        <v>45610</v>
      </c>
      <c r="L185" s="29"/>
      <c r="M185" s="28">
        <v>4</v>
      </c>
      <c r="N185" s="27">
        <f t="shared" si="16"/>
        <v>0.5</v>
      </c>
      <c r="O185" s="27">
        <f t="shared" si="17"/>
        <v>0</v>
      </c>
      <c r="P185" s="18"/>
      <c r="Q185" s="18"/>
      <c r="R185" s="18"/>
      <c r="S185" s="18"/>
      <c r="T185" s="18"/>
      <c r="U185" s="18"/>
      <c r="V185" s="18"/>
      <c r="W185" s="19"/>
      <c r="X185" s="18"/>
      <c r="Y185" s="18"/>
      <c r="Z185" s="18"/>
      <c r="AA185" s="18"/>
      <c r="AB185" s="18"/>
      <c r="AC185" s="18"/>
      <c r="AD185" s="18"/>
      <c r="AE185" s="18"/>
      <c r="AF185" s="18">
        <v>0.5</v>
      </c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9"/>
      <c r="BI185" s="19"/>
      <c r="BJ185" s="19"/>
      <c r="BK185" s="19"/>
      <c r="BL185" s="19"/>
      <c r="BM185" s="19"/>
      <c r="BN185" s="19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</row>
    <row r="186" spans="1:80" ht="16.2" x14ac:dyDescent="0.4">
      <c r="A186" s="10" t="str">
        <f t="shared" si="14"/>
        <v>lt002_instrumentgrss_cmmssn_incm_off_blnc</v>
      </c>
      <c r="B186" s="11" t="s">
        <v>11</v>
      </c>
      <c r="C186" s="12" t="s">
        <v>11</v>
      </c>
      <c r="D186" s="13" t="s">
        <v>16</v>
      </c>
      <c r="E186" s="23" t="s">
        <v>157</v>
      </c>
      <c r="F186" s="23" t="s">
        <v>178</v>
      </c>
      <c r="G186" s="15" t="s">
        <v>165</v>
      </c>
      <c r="H186" s="17" t="s">
        <v>14</v>
      </c>
      <c r="I186" s="17" t="s">
        <v>14</v>
      </c>
      <c r="J186" s="16"/>
      <c r="K186" s="16">
        <f t="shared" si="15"/>
        <v>45611</v>
      </c>
      <c r="L186" s="29"/>
      <c r="M186" s="28">
        <v>4</v>
      </c>
      <c r="N186" s="27">
        <f t="shared" si="16"/>
        <v>0.5</v>
      </c>
      <c r="O186" s="27">
        <f t="shared" si="17"/>
        <v>0</v>
      </c>
      <c r="P186" s="18"/>
      <c r="Q186" s="18"/>
      <c r="R186" s="18"/>
      <c r="S186" s="18"/>
      <c r="T186" s="18"/>
      <c r="U186" s="18"/>
      <c r="V186" s="18"/>
      <c r="W186" s="19"/>
      <c r="X186" s="18"/>
      <c r="Y186" s="18"/>
      <c r="Z186" s="18"/>
      <c r="AA186" s="18"/>
      <c r="AB186" s="18"/>
      <c r="AC186" s="18"/>
      <c r="AD186" s="18"/>
      <c r="AE186" s="18"/>
      <c r="AF186" s="18"/>
      <c r="AG186" s="18">
        <v>0.5</v>
      </c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9"/>
      <c r="BI186" s="19"/>
      <c r="BJ186" s="19"/>
      <c r="BK186" s="19"/>
      <c r="BL186" s="19"/>
      <c r="BM186" s="19"/>
      <c r="BN186" s="19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</row>
    <row r="187" spans="1:80" ht="16.2" x14ac:dyDescent="0.4">
      <c r="A187" s="10" t="str">
        <f t="shared" si="14"/>
        <v>lt004_protectionprtctn_id</v>
      </c>
      <c r="B187" s="11" t="s">
        <v>11</v>
      </c>
      <c r="C187" s="12" t="s">
        <v>11</v>
      </c>
      <c r="D187" s="13" t="s">
        <v>16</v>
      </c>
      <c r="E187" s="23" t="s">
        <v>146</v>
      </c>
      <c r="F187" s="23" t="s">
        <v>179</v>
      </c>
      <c r="G187" s="15" t="s">
        <v>15</v>
      </c>
      <c r="H187" s="17">
        <v>45588</v>
      </c>
      <c r="I187" s="56">
        <v>45611</v>
      </c>
      <c r="J187" s="16"/>
      <c r="K187" s="16">
        <f t="shared" si="15"/>
        <v>45614</v>
      </c>
      <c r="L187" s="29"/>
      <c r="M187" s="27">
        <v>0.1</v>
      </c>
      <c r="N187" s="27">
        <f t="shared" si="16"/>
        <v>0</v>
      </c>
      <c r="O187" s="60">
        <f t="shared" si="17"/>
        <v>0.1</v>
      </c>
      <c r="P187" s="24"/>
      <c r="Q187" s="18"/>
      <c r="R187" s="18"/>
      <c r="S187" s="18"/>
      <c r="T187" s="18"/>
      <c r="U187" s="18"/>
      <c r="V187" s="18"/>
      <c r="W187" s="19"/>
      <c r="X187" s="18"/>
      <c r="Y187" s="18"/>
      <c r="Z187" s="18"/>
      <c r="AA187" s="18"/>
      <c r="AB187" s="18"/>
      <c r="AC187" s="18"/>
      <c r="AD187" s="18"/>
      <c r="AE187" s="18"/>
      <c r="AF187" s="18"/>
      <c r="AG187" s="20"/>
      <c r="AH187" s="18">
        <v>0.1</v>
      </c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9"/>
      <c r="BI187" s="19"/>
      <c r="BJ187" s="19"/>
      <c r="BK187" s="19"/>
      <c r="BL187" s="19"/>
      <c r="BM187" s="19"/>
      <c r="BN187" s="19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</row>
    <row r="188" spans="1:80" ht="16.2" x14ac:dyDescent="0.4">
      <c r="A188" s="10" t="str">
        <f t="shared" si="14"/>
        <v>lt004_protectionrl_estt_clltrl_lctn</v>
      </c>
      <c r="B188" s="11" t="s">
        <v>11</v>
      </c>
      <c r="C188" s="12" t="s">
        <v>11</v>
      </c>
      <c r="D188" s="13" t="s">
        <v>16</v>
      </c>
      <c r="E188" s="23" t="s">
        <v>146</v>
      </c>
      <c r="F188" s="23" t="s">
        <v>180</v>
      </c>
      <c r="G188" s="15" t="s">
        <v>15</v>
      </c>
      <c r="H188" s="17">
        <v>45588</v>
      </c>
      <c r="I188" s="56">
        <v>45611</v>
      </c>
      <c r="J188" s="16"/>
      <c r="K188" s="16">
        <f t="shared" si="15"/>
        <v>45614</v>
      </c>
      <c r="L188" s="29"/>
      <c r="M188" s="27">
        <v>0.1</v>
      </c>
      <c r="N188" s="27">
        <f t="shared" si="16"/>
        <v>0</v>
      </c>
      <c r="O188" s="60">
        <f t="shared" si="17"/>
        <v>0.1</v>
      </c>
      <c r="P188" s="24"/>
      <c r="Q188" s="18"/>
      <c r="R188" s="18"/>
      <c r="S188" s="18"/>
      <c r="T188" s="18"/>
      <c r="U188" s="18"/>
      <c r="V188" s="18"/>
      <c r="W188" s="19"/>
      <c r="X188" s="18"/>
      <c r="Y188" s="18"/>
      <c r="Z188" s="18"/>
      <c r="AA188" s="18"/>
      <c r="AB188" s="18"/>
      <c r="AC188" s="18"/>
      <c r="AD188" s="18"/>
      <c r="AE188" s="18"/>
      <c r="AF188" s="18"/>
      <c r="AG188" s="20"/>
      <c r="AH188" s="18">
        <v>0.1</v>
      </c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9"/>
      <c r="BI188" s="19"/>
      <c r="BJ188" s="19"/>
      <c r="BK188" s="19"/>
      <c r="BL188" s="19"/>
      <c r="BM188" s="19"/>
      <c r="BN188" s="19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</row>
    <row r="189" spans="1:80" ht="16.2" x14ac:dyDescent="0.4">
      <c r="A189" s="10" t="str">
        <f t="shared" si="14"/>
        <v>lt004_protectionrl_estt_pst_cd</v>
      </c>
      <c r="B189" s="11" t="s">
        <v>11</v>
      </c>
      <c r="C189" s="12" t="s">
        <v>11</v>
      </c>
      <c r="D189" s="13" t="s">
        <v>16</v>
      </c>
      <c r="E189" s="23" t="s">
        <v>146</v>
      </c>
      <c r="F189" s="23" t="s">
        <v>181</v>
      </c>
      <c r="G189" s="15" t="s">
        <v>15</v>
      </c>
      <c r="H189" s="17">
        <v>45588</v>
      </c>
      <c r="I189" s="56">
        <v>45611</v>
      </c>
      <c r="J189" s="16"/>
      <c r="K189" s="16">
        <f t="shared" si="15"/>
        <v>45614</v>
      </c>
      <c r="L189" s="29"/>
      <c r="M189" s="27">
        <v>0.1</v>
      </c>
      <c r="N189" s="27">
        <f t="shared" si="16"/>
        <v>0</v>
      </c>
      <c r="O189" s="60">
        <f t="shared" si="17"/>
        <v>0.1</v>
      </c>
      <c r="P189" s="24"/>
      <c r="Q189" s="18"/>
      <c r="R189" s="18"/>
      <c r="S189" s="18"/>
      <c r="T189" s="18"/>
      <c r="U189" s="18"/>
      <c r="V189" s="18"/>
      <c r="W189" s="19"/>
      <c r="X189" s="18"/>
      <c r="Y189" s="18"/>
      <c r="Z189" s="18"/>
      <c r="AA189" s="18"/>
      <c r="AB189" s="18"/>
      <c r="AC189" s="18"/>
      <c r="AD189" s="18"/>
      <c r="AE189" s="18"/>
      <c r="AF189" s="18"/>
      <c r="AG189" s="20"/>
      <c r="AH189" s="18">
        <v>0.1</v>
      </c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9"/>
      <c r="BI189" s="19"/>
      <c r="BJ189" s="19"/>
      <c r="BK189" s="19"/>
      <c r="BL189" s="19"/>
      <c r="BM189" s="19"/>
      <c r="BN189" s="19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</row>
    <row r="190" spans="1:80" ht="16.2" x14ac:dyDescent="0.4">
      <c r="A190" s="10" t="str">
        <f t="shared" si="14"/>
        <v>lt004_protectiontyp_prtctn</v>
      </c>
      <c r="B190" s="11" t="s">
        <v>11</v>
      </c>
      <c r="C190" s="12" t="s">
        <v>11</v>
      </c>
      <c r="D190" s="13" t="s">
        <v>16</v>
      </c>
      <c r="E190" s="23" t="s">
        <v>146</v>
      </c>
      <c r="F190" s="23" t="s">
        <v>182</v>
      </c>
      <c r="G190" s="15" t="s">
        <v>162</v>
      </c>
      <c r="H190" s="25">
        <v>45603</v>
      </c>
      <c r="I190" s="25" t="s">
        <v>113</v>
      </c>
      <c r="J190" s="16"/>
      <c r="K190" s="16" t="str">
        <f t="shared" si="15"/>
        <v/>
      </c>
      <c r="L190" s="29"/>
      <c r="M190" s="60">
        <v>4.0999999999999996</v>
      </c>
      <c r="N190" s="27">
        <f t="shared" si="16"/>
        <v>0.5</v>
      </c>
      <c r="O190" s="27">
        <f t="shared" si="17"/>
        <v>0</v>
      </c>
      <c r="P190" s="18"/>
      <c r="Q190" s="18"/>
      <c r="R190" s="18"/>
      <c r="S190" s="18"/>
      <c r="T190" s="18"/>
      <c r="U190" s="24"/>
      <c r="V190" s="18"/>
      <c r="W190" s="19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9"/>
      <c r="BI190" s="19"/>
      <c r="BJ190" s="19"/>
      <c r="BK190" s="19"/>
      <c r="BL190" s="19"/>
      <c r="BM190" s="19"/>
      <c r="BN190" s="19"/>
      <c r="BO190" s="18"/>
      <c r="BP190" s="18"/>
      <c r="BQ190" s="18">
        <v>0.5</v>
      </c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</row>
    <row r="191" spans="1:80" ht="16.2" x14ac:dyDescent="0.4">
      <c r="A191" s="10" t="str">
        <f t="shared" si="14"/>
        <v>lt004_protectionorgnl_prtctn_vl</v>
      </c>
      <c r="B191" s="11" t="s">
        <v>11</v>
      </c>
      <c r="C191" s="12" t="s">
        <v>11</v>
      </c>
      <c r="D191" s="13" t="s">
        <v>16</v>
      </c>
      <c r="E191" s="23" t="s">
        <v>146</v>
      </c>
      <c r="F191" s="23" t="s">
        <v>183</v>
      </c>
      <c r="G191" s="15" t="s">
        <v>159</v>
      </c>
      <c r="H191" s="17">
        <v>45595</v>
      </c>
      <c r="I191" s="56">
        <v>45611</v>
      </c>
      <c r="J191" s="16"/>
      <c r="K191" s="16">
        <f t="shared" si="15"/>
        <v>45614</v>
      </c>
      <c r="L191" s="29"/>
      <c r="M191" s="28">
        <v>1</v>
      </c>
      <c r="N191" s="27">
        <f t="shared" si="16"/>
        <v>0.1</v>
      </c>
      <c r="O191" s="27">
        <f t="shared" si="17"/>
        <v>0</v>
      </c>
      <c r="P191" s="18"/>
      <c r="Q191" s="18"/>
      <c r="R191" s="18"/>
      <c r="S191" s="18"/>
      <c r="T191" s="18"/>
      <c r="U191" s="24"/>
      <c r="V191" s="18"/>
      <c r="W191" s="19"/>
      <c r="X191" s="18"/>
      <c r="Y191" s="18"/>
      <c r="Z191" s="18"/>
      <c r="AA191" s="18"/>
      <c r="AB191" s="18"/>
      <c r="AC191" s="18"/>
      <c r="AD191" s="18"/>
      <c r="AE191" s="18"/>
      <c r="AF191" s="18"/>
      <c r="AG191" s="20"/>
      <c r="AH191" s="18">
        <v>0.1</v>
      </c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9"/>
      <c r="BI191" s="19"/>
      <c r="BJ191" s="19"/>
      <c r="BK191" s="19"/>
      <c r="BL191" s="19"/>
      <c r="BM191" s="19"/>
      <c r="BN191" s="19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</row>
    <row r="192" spans="1:80" ht="16.2" x14ac:dyDescent="0.4">
      <c r="A192" s="10" t="str">
        <f t="shared" si="14"/>
        <v>lt004_protectionprtctn_vl</v>
      </c>
      <c r="B192" s="11" t="s">
        <v>11</v>
      </c>
      <c r="C192" s="12" t="s">
        <v>11</v>
      </c>
      <c r="D192" s="13" t="s">
        <v>16</v>
      </c>
      <c r="E192" s="23" t="s">
        <v>146</v>
      </c>
      <c r="F192" s="23" t="s">
        <v>184</v>
      </c>
      <c r="G192" s="15" t="s">
        <v>15</v>
      </c>
      <c r="H192" s="17">
        <v>45588</v>
      </c>
      <c r="I192" s="56">
        <v>45624</v>
      </c>
      <c r="J192" s="16"/>
      <c r="K192" s="16">
        <f t="shared" si="15"/>
        <v>45646</v>
      </c>
      <c r="L192" s="29"/>
      <c r="M192" s="60">
        <v>4.0999999999999996</v>
      </c>
      <c r="N192" s="27">
        <f t="shared" si="16"/>
        <v>0.5</v>
      </c>
      <c r="O192" s="27">
        <f t="shared" si="17"/>
        <v>0</v>
      </c>
      <c r="P192" s="24"/>
      <c r="Q192" s="18"/>
      <c r="R192" s="18"/>
      <c r="S192" s="18"/>
      <c r="T192" s="18"/>
      <c r="U192" s="18"/>
      <c r="V192" s="18"/>
      <c r="W192" s="19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20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>
        <v>0.5</v>
      </c>
      <c r="BG192" s="18"/>
      <c r="BH192" s="19"/>
      <c r="BI192" s="19"/>
      <c r="BJ192" s="19"/>
      <c r="BK192" s="19"/>
      <c r="BL192" s="19"/>
      <c r="BM192" s="19"/>
      <c r="BN192" s="19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</row>
    <row r="193" spans="1:80" ht="16.2" x14ac:dyDescent="0.4">
      <c r="A193" s="10" t="str">
        <f t="shared" si="14"/>
        <v>lt004_protectionflg_fin</v>
      </c>
      <c r="B193" s="11" t="s">
        <v>11</v>
      </c>
      <c r="C193" s="12" t="s">
        <v>11</v>
      </c>
      <c r="D193" s="13" t="s">
        <v>16</v>
      </c>
      <c r="E193" s="23" t="s">
        <v>146</v>
      </c>
      <c r="F193" s="23" t="s">
        <v>185</v>
      </c>
      <c r="G193" s="15" t="s">
        <v>55</v>
      </c>
      <c r="H193" s="16">
        <v>45593</v>
      </c>
      <c r="I193" s="56">
        <v>45624</v>
      </c>
      <c r="J193" s="16"/>
      <c r="K193" s="16">
        <f t="shared" si="15"/>
        <v>45646</v>
      </c>
      <c r="L193" s="29"/>
      <c r="M193" s="27">
        <v>4.0999999999999996</v>
      </c>
      <c r="N193" s="27">
        <f t="shared" si="16"/>
        <v>0.5</v>
      </c>
      <c r="O193" s="27">
        <f t="shared" si="17"/>
        <v>0</v>
      </c>
      <c r="P193" s="18"/>
      <c r="Q193" s="18"/>
      <c r="R193" s="18"/>
      <c r="S193" s="18"/>
      <c r="T193" s="18"/>
      <c r="U193" s="18"/>
      <c r="V193" s="18"/>
      <c r="W193" s="19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20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>
        <v>0.5</v>
      </c>
      <c r="BG193" s="18"/>
      <c r="BH193" s="19"/>
      <c r="BI193" s="19"/>
      <c r="BJ193" s="19"/>
      <c r="BK193" s="19"/>
      <c r="BL193" s="19"/>
      <c r="BM193" s="19"/>
      <c r="BN193" s="19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</row>
    <row r="194" spans="1:80" ht="16.2" x14ac:dyDescent="0.4">
      <c r="A194" s="10" t="str">
        <f t="shared" si="14"/>
        <v>lt004_protectionflg_exec</v>
      </c>
      <c r="B194" s="11" t="s">
        <v>11</v>
      </c>
      <c r="C194" s="12" t="s">
        <v>11</v>
      </c>
      <c r="D194" s="13" t="s">
        <v>16</v>
      </c>
      <c r="E194" s="23" t="s">
        <v>146</v>
      </c>
      <c r="F194" s="23" t="s">
        <v>186</v>
      </c>
      <c r="G194" s="15" t="s">
        <v>55</v>
      </c>
      <c r="H194" s="16">
        <v>45593</v>
      </c>
      <c r="I194" s="56">
        <v>45624</v>
      </c>
      <c r="J194" s="16"/>
      <c r="K194" s="16">
        <f t="shared" si="15"/>
        <v>45646</v>
      </c>
      <c r="L194" s="29"/>
      <c r="M194" s="27">
        <v>4.0999999999999996</v>
      </c>
      <c r="N194" s="27">
        <f t="shared" si="16"/>
        <v>0.5</v>
      </c>
      <c r="O194" s="27">
        <f t="shared" si="17"/>
        <v>0</v>
      </c>
      <c r="P194" s="18"/>
      <c r="Q194" s="18"/>
      <c r="R194" s="18"/>
      <c r="S194" s="18"/>
      <c r="T194" s="18"/>
      <c r="U194" s="18"/>
      <c r="V194" s="18"/>
      <c r="W194" s="19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20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>
        <v>0.5</v>
      </c>
      <c r="BG194" s="18"/>
      <c r="BH194" s="19"/>
      <c r="BI194" s="19"/>
      <c r="BJ194" s="19"/>
      <c r="BK194" s="19"/>
      <c r="BL194" s="19"/>
      <c r="BM194" s="19"/>
      <c r="BN194" s="19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</row>
    <row r="195" spans="1:80" ht="16.2" x14ac:dyDescent="0.4">
      <c r="A195" s="10" t="str">
        <f t="shared" si="14"/>
        <v>lt004_protectionflg_col</v>
      </c>
      <c r="B195" s="11" t="s">
        <v>11</v>
      </c>
      <c r="C195" s="12" t="s">
        <v>11</v>
      </c>
      <c r="D195" s="13" t="s">
        <v>16</v>
      </c>
      <c r="E195" s="23" t="s">
        <v>146</v>
      </c>
      <c r="F195" s="23" t="s">
        <v>187</v>
      </c>
      <c r="G195" s="15" t="s">
        <v>55</v>
      </c>
      <c r="H195" s="16">
        <v>45593</v>
      </c>
      <c r="I195" s="56">
        <v>45624</v>
      </c>
      <c r="J195" s="16"/>
      <c r="K195" s="16">
        <f t="shared" si="15"/>
        <v>45646</v>
      </c>
      <c r="L195" s="29"/>
      <c r="M195" s="27">
        <v>4.0999999999999996</v>
      </c>
      <c r="N195" s="27">
        <f t="shared" si="16"/>
        <v>0.5</v>
      </c>
      <c r="O195" s="27">
        <f t="shared" si="17"/>
        <v>0</v>
      </c>
      <c r="P195" s="18"/>
      <c r="Q195" s="18"/>
      <c r="R195" s="18"/>
      <c r="S195" s="18"/>
      <c r="T195" s="18"/>
      <c r="U195" s="18"/>
      <c r="V195" s="18"/>
      <c r="W195" s="19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20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>
        <v>0.5</v>
      </c>
      <c r="BG195" s="18"/>
      <c r="BH195" s="19"/>
      <c r="BI195" s="19"/>
      <c r="BJ195" s="19"/>
      <c r="BK195" s="19"/>
      <c r="BL195" s="19"/>
      <c r="BM195" s="19"/>
      <c r="BN195" s="19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</row>
    <row r="196" spans="1:80" ht="16.2" x14ac:dyDescent="0.4">
      <c r="A196" s="10" t="str">
        <f t="shared" si="14"/>
        <v>lt004_protectionflg_pro</v>
      </c>
      <c r="B196" s="11" t="s">
        <v>11</v>
      </c>
      <c r="C196" s="12" t="s">
        <v>11</v>
      </c>
      <c r="D196" s="13" t="s">
        <v>16</v>
      </c>
      <c r="E196" s="23" t="s">
        <v>146</v>
      </c>
      <c r="F196" s="23" t="s">
        <v>188</v>
      </c>
      <c r="G196" s="15" t="s">
        <v>55</v>
      </c>
      <c r="H196" s="16">
        <v>45593</v>
      </c>
      <c r="I196" s="56">
        <v>45624</v>
      </c>
      <c r="J196" s="16"/>
      <c r="K196" s="16">
        <f t="shared" si="15"/>
        <v>45649</v>
      </c>
      <c r="L196" s="29"/>
      <c r="M196" s="27">
        <v>4.0999999999999996</v>
      </c>
      <c r="N196" s="27">
        <f t="shared" si="16"/>
        <v>0.5</v>
      </c>
      <c r="O196" s="27">
        <f t="shared" si="17"/>
        <v>0</v>
      </c>
      <c r="P196" s="18"/>
      <c r="Q196" s="18"/>
      <c r="R196" s="18"/>
      <c r="S196" s="18"/>
      <c r="T196" s="18"/>
      <c r="U196" s="18"/>
      <c r="V196" s="18"/>
      <c r="W196" s="19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20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>
        <v>0.5</v>
      </c>
      <c r="BH196" s="19"/>
      <c r="BI196" s="19"/>
      <c r="BJ196" s="19"/>
      <c r="BK196" s="19"/>
      <c r="BL196" s="19"/>
      <c r="BM196" s="19"/>
      <c r="BN196" s="19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</row>
    <row r="197" spans="1:80" ht="16.2" x14ac:dyDescent="0.4">
      <c r="A197" s="10" t="str">
        <f t="shared" si="14"/>
        <v>munichRetbd</v>
      </c>
      <c r="B197" s="11" t="s">
        <v>11</v>
      </c>
      <c r="C197" s="12" t="s">
        <v>49</v>
      </c>
      <c r="D197" s="13" t="s">
        <v>16</v>
      </c>
      <c r="E197" s="23" t="s">
        <v>218</v>
      </c>
      <c r="F197" s="23" t="s">
        <v>219</v>
      </c>
      <c r="G197" s="15" t="s">
        <v>15</v>
      </c>
      <c r="H197" s="16">
        <v>45574</v>
      </c>
      <c r="I197" s="25"/>
      <c r="J197" s="16"/>
      <c r="K197" s="16" t="str">
        <f t="shared" si="15"/>
        <v/>
      </c>
      <c r="L197" s="29"/>
      <c r="M197" s="27"/>
      <c r="N197" s="27"/>
      <c r="O197" s="27"/>
      <c r="P197" s="18"/>
      <c r="Q197" s="18"/>
      <c r="R197" s="18"/>
      <c r="S197" s="18"/>
      <c r="T197" s="18"/>
      <c r="U197" s="18"/>
      <c r="V197" s="18"/>
      <c r="W197" s="19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9"/>
      <c r="BI197" s="19"/>
      <c r="BJ197" s="19"/>
      <c r="BK197" s="19"/>
      <c r="BL197" s="19"/>
      <c r="BM197" s="19"/>
      <c r="BN197" s="19"/>
      <c r="BO197" s="18">
        <v>3</v>
      </c>
      <c r="BP197" s="18">
        <v>3</v>
      </c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</row>
    <row r="198" spans="1:80" ht="16.2" x14ac:dyDescent="0.4">
      <c r="A198" s="10"/>
      <c r="B198" s="11"/>
      <c r="C198" s="12"/>
      <c r="D198" s="13"/>
      <c r="E198" s="23" t="s">
        <v>221</v>
      </c>
      <c r="F198" s="23"/>
      <c r="G198" s="15"/>
      <c r="H198" s="16"/>
      <c r="I198" s="25"/>
      <c r="J198" s="16"/>
      <c r="K198" s="16" t="str">
        <f t="shared" ref="K198" si="18">IF(COUNTA(P198:BM198)=0,"",_xlfn.MAXIFS($P$7:$BM$7,P198:BM198,"&gt;0"))</f>
        <v/>
      </c>
      <c r="L198" s="29"/>
      <c r="M198" s="27">
        <f>SUM(M8:M197)*0.3</f>
        <v>260.73000000000064</v>
      </c>
      <c r="N198" s="27">
        <f t="shared" si="16"/>
        <v>32.6</v>
      </c>
      <c r="O198" s="27">
        <f>SUM(P198:CB198)-N198</f>
        <v>0.39999999999999858</v>
      </c>
      <c r="P198" s="18"/>
      <c r="Q198" s="18"/>
      <c r="R198" s="18"/>
      <c r="S198" s="18"/>
      <c r="T198" s="18"/>
      <c r="U198" s="18"/>
      <c r="V198" s="18"/>
      <c r="W198" s="19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9"/>
      <c r="BI198" s="19"/>
      <c r="BJ198" s="19"/>
      <c r="BK198" s="19"/>
      <c r="BL198" s="19"/>
      <c r="BM198" s="19"/>
      <c r="BN198" s="19"/>
      <c r="BO198" s="18"/>
      <c r="BP198" s="18"/>
      <c r="BQ198" s="18">
        <v>2</v>
      </c>
      <c r="BR198" s="18">
        <v>3</v>
      </c>
      <c r="BS198" s="18">
        <v>3</v>
      </c>
      <c r="BT198" s="18">
        <v>3</v>
      </c>
      <c r="BU198" s="18">
        <v>3</v>
      </c>
      <c r="BV198" s="18">
        <v>3</v>
      </c>
      <c r="BW198" s="18">
        <v>3</v>
      </c>
      <c r="BX198" s="18">
        <v>3</v>
      </c>
      <c r="BY198" s="18">
        <v>3</v>
      </c>
      <c r="BZ198" s="18">
        <v>3</v>
      </c>
      <c r="CA198" s="18">
        <v>3</v>
      </c>
      <c r="CB198" s="18">
        <v>1</v>
      </c>
    </row>
  </sheetData>
  <autoFilter ref="B7:BM197" xr:uid="{8662D957-3568-4501-9405-CC247558CB63}"/>
  <conditionalFormatting sqref="L3">
    <cfRule type="cellIs" dxfId="8" priority="18" operator="greaterThan">
      <formula>0</formula>
    </cfRule>
  </conditionalFormatting>
  <conditionalFormatting sqref="O8:O198">
    <cfRule type="cellIs" dxfId="7" priority="21" operator="notEqual">
      <formula>0</formula>
    </cfRule>
  </conditionalFormatting>
  <conditionalFormatting sqref="P119:AG127 P129:AG133 P135:V141">
    <cfRule type="cellIs" dxfId="6" priority="10" operator="greaterThan">
      <formula>0</formula>
    </cfRule>
  </conditionalFormatting>
  <conditionalFormatting sqref="P8:BM118">
    <cfRule type="cellIs" dxfId="5" priority="12" operator="greaterThan">
      <formula>0</formula>
    </cfRule>
  </conditionalFormatting>
  <conditionalFormatting sqref="P143:BM197">
    <cfRule type="cellIs" dxfId="4" priority="9" operator="greaterThan">
      <formula>0</formula>
    </cfRule>
  </conditionalFormatting>
  <conditionalFormatting sqref="P198:CB198">
    <cfRule type="cellIs" dxfId="3" priority="8" operator="greaterThan">
      <formula>0</formula>
    </cfRule>
  </conditionalFormatting>
  <conditionalFormatting sqref="R1:CB1">
    <cfRule type="cellIs" dxfId="2" priority="20" operator="notEqual">
      <formula>0</formula>
    </cfRule>
  </conditionalFormatting>
  <conditionalFormatting sqref="AH119:BM132 AK124:AO134 P128:AH128 AI133:AO133 AP133:BM138 P134:AO134 W135:AO137 AS137:AU150 AN138:AO138 W138:AM141 AN139:BM142 AT139:AV150 P142:AM142">
    <cfRule type="cellIs" dxfId="1" priority="22" operator="greaterThan">
      <formula>0</formula>
    </cfRule>
  </conditionalFormatting>
  <conditionalFormatting sqref="BN8:CB197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A2CC-9826-4B1F-936F-241B86A273E2}">
  <dimension ref="B6:F17"/>
  <sheetViews>
    <sheetView showGridLines="0" zoomScale="70" workbookViewId="0">
      <selection activeCell="F14" sqref="F14:F21"/>
    </sheetView>
  </sheetViews>
  <sheetFormatPr defaultRowHeight="13.8" x14ac:dyDescent="0.25"/>
  <cols>
    <col min="2" max="2" width="20.19921875" bestFit="1" customWidth="1"/>
    <col min="3" max="3" width="33.5" bestFit="1" customWidth="1"/>
    <col min="4" max="4" width="21" bestFit="1" customWidth="1"/>
    <col min="5" max="5" width="31.19921875" bestFit="1" customWidth="1"/>
    <col min="6" max="6" width="29.19921875" customWidth="1"/>
  </cols>
  <sheetData>
    <row r="6" spans="2:6" ht="17.399999999999999" x14ac:dyDescent="0.25">
      <c r="B6" s="32" t="s">
        <v>5</v>
      </c>
      <c r="C6" s="33" t="s">
        <v>200</v>
      </c>
      <c r="D6" s="33" t="s">
        <v>201</v>
      </c>
      <c r="E6" s="33" t="s">
        <v>202</v>
      </c>
      <c r="F6" s="34" t="s">
        <v>203</v>
      </c>
    </row>
    <row r="7" spans="2:6" ht="17.399999999999999" x14ac:dyDescent="0.25">
      <c r="B7" s="44" t="s">
        <v>12</v>
      </c>
      <c r="C7" s="45" t="s">
        <v>13</v>
      </c>
      <c r="D7" s="35">
        <v>12</v>
      </c>
      <c r="E7" s="38">
        <v>45624</v>
      </c>
      <c r="F7" s="39">
        <v>45629</v>
      </c>
    </row>
    <row r="8" spans="2:6" ht="17.399999999999999" x14ac:dyDescent="0.25">
      <c r="B8" s="46" t="s">
        <v>29</v>
      </c>
      <c r="C8" s="47" t="s">
        <v>30</v>
      </c>
      <c r="D8" s="36">
        <v>22</v>
      </c>
      <c r="E8" s="40">
        <v>45593</v>
      </c>
      <c r="F8" s="41">
        <v>45608</v>
      </c>
    </row>
    <row r="9" spans="2:6" ht="17.399999999999999" x14ac:dyDescent="0.25">
      <c r="B9" s="46" t="s">
        <v>49</v>
      </c>
      <c r="C9" s="47" t="s">
        <v>50</v>
      </c>
      <c r="D9" s="36">
        <v>16</v>
      </c>
      <c r="E9" s="40">
        <v>45603</v>
      </c>
      <c r="F9" s="41">
        <v>45610</v>
      </c>
    </row>
    <row r="10" spans="2:6" ht="34.799999999999997" x14ac:dyDescent="0.25">
      <c r="B10" s="46" t="s">
        <v>68</v>
      </c>
      <c r="C10" s="47" t="s">
        <v>69</v>
      </c>
      <c r="D10" s="36">
        <v>12</v>
      </c>
      <c r="E10" s="42" t="s">
        <v>204</v>
      </c>
      <c r="F10" s="43" t="s">
        <v>205</v>
      </c>
    </row>
    <row r="11" spans="2:6" ht="73.8" customHeight="1" x14ac:dyDescent="0.25">
      <c r="B11" s="46" t="s">
        <v>68</v>
      </c>
      <c r="C11" s="47" t="s">
        <v>82</v>
      </c>
      <c r="D11" s="36">
        <v>30</v>
      </c>
      <c r="E11" s="42" t="s">
        <v>206</v>
      </c>
      <c r="F11" s="51" t="s">
        <v>207</v>
      </c>
    </row>
    <row r="12" spans="2:6" ht="17.399999999999999" x14ac:dyDescent="0.25">
      <c r="B12" s="46" t="s">
        <v>68</v>
      </c>
      <c r="C12" s="47" t="s">
        <v>104</v>
      </c>
      <c r="D12" s="36">
        <v>7</v>
      </c>
      <c r="E12" s="40">
        <v>45607</v>
      </c>
      <c r="F12" s="41">
        <v>45615</v>
      </c>
    </row>
    <row r="13" spans="2:6" ht="17.399999999999999" x14ac:dyDescent="0.25">
      <c r="B13" s="46" t="s">
        <v>68</v>
      </c>
      <c r="C13" s="47" t="s">
        <v>106</v>
      </c>
      <c r="D13" s="36">
        <v>12</v>
      </c>
      <c r="E13" s="40">
        <v>45624</v>
      </c>
      <c r="F13" s="41">
        <v>45644</v>
      </c>
    </row>
    <row r="14" spans="2:6" ht="52.2" x14ac:dyDescent="0.25">
      <c r="B14" s="46" t="s">
        <v>11</v>
      </c>
      <c r="C14" s="47" t="s">
        <v>111</v>
      </c>
      <c r="D14" s="36">
        <v>32</v>
      </c>
      <c r="E14" s="42" t="s">
        <v>208</v>
      </c>
      <c r="F14" s="52" t="s">
        <v>209</v>
      </c>
    </row>
    <row r="15" spans="2:6" ht="17.399999999999999" x14ac:dyDescent="0.25">
      <c r="B15" s="46" t="s">
        <v>11</v>
      </c>
      <c r="C15" s="47" t="s">
        <v>146</v>
      </c>
      <c r="D15" s="36">
        <v>22</v>
      </c>
      <c r="E15" s="40">
        <v>45596</v>
      </c>
      <c r="F15" s="41">
        <v>45604</v>
      </c>
    </row>
    <row r="16" spans="2:6" ht="17.399999999999999" x14ac:dyDescent="0.25">
      <c r="B16" s="46" t="s">
        <v>11</v>
      </c>
      <c r="C16" s="47" t="s">
        <v>157</v>
      </c>
      <c r="D16" s="36">
        <v>14</v>
      </c>
      <c r="E16" s="40">
        <v>45589</v>
      </c>
      <c r="F16" s="41">
        <v>45600</v>
      </c>
    </row>
    <row r="17" spans="2:6" ht="79.8" customHeight="1" x14ac:dyDescent="0.25">
      <c r="B17" s="48" t="s">
        <v>11</v>
      </c>
      <c r="C17" s="49" t="s">
        <v>170</v>
      </c>
      <c r="D17" s="37">
        <v>10</v>
      </c>
      <c r="E17" s="53" t="s">
        <v>210</v>
      </c>
      <c r="F17" s="50" t="s">
        <v>211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375E9B6A4047927DE3870E45B8D5" ma:contentTypeVersion="15" ma:contentTypeDescription="Create a new document." ma:contentTypeScope="" ma:versionID="e9d23e1a7e76fb010a7a235d00d37e18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a08de57118a7aa6c29331f8892cd35a0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CF7D75-B834-4CD0-9B2C-8CD2867FE11B}"/>
</file>

<file path=customXml/itemProps2.xml><?xml version="1.0" encoding="utf-8"?>
<ds:datastoreItem xmlns:ds="http://schemas.openxmlformats.org/officeDocument/2006/customXml" ds:itemID="{36C91594-4E4B-470F-9BA1-84A2C8BED18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683c779-04fc-4b63-89c9-6c25ffa1c0a4"/>
    <ds:schemaRef ds:uri="6ea7b29d-57ec-408d-9ea9-cf73b04f66d5"/>
  </ds:schemaRefs>
</ds:datastoreItem>
</file>

<file path=customXml/itemProps3.xml><?xml version="1.0" encoding="utf-8"?>
<ds:datastoreItem xmlns:ds="http://schemas.openxmlformats.org/officeDocument/2006/customXml" ds:itemID="{CB61F84A-59D7-4764-A9A9-E7B91501F9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Nádia Genebra Ahmad</dc:creator>
  <cp:lastModifiedBy>Nádia Genebra Ahmad</cp:lastModifiedBy>
  <dcterms:created xsi:type="dcterms:W3CDTF">2024-10-25T15:30:55Z</dcterms:created>
  <dcterms:modified xsi:type="dcterms:W3CDTF">2024-11-08T12:00:08Z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2024-10-25T15:33:33Z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87d77062-9180-438d-a6f3-13b306c2198f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