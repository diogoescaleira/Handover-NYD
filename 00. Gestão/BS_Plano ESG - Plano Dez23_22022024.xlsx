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0. Gestão/"/>
    </mc:Choice>
  </mc:AlternateContent>
  <xr:revisionPtr revIDLastSave="2" documentId="11_9DAD930843AB280807B4347674B39F2F70A451F6" xr6:coauthVersionLast="47" xr6:coauthVersionMax="47" xr10:uidLastSave="{8B993EF6-21AD-4071-9D1C-0605970C67D4}"/>
  <bookViews>
    <workbookView xWindow="-110" yWindow="-110" windowWidth="19420" windowHeight="10300" tabRatio="789" firstSheet="1" activeTab="1" xr2:uid="{00000000-000D-0000-FFFF-FFFF00000000}"/>
  </bookViews>
  <sheets>
    <sheet name="Macroplano" sheetId="13" r:id="rId1"/>
    <sheet name="Macroplano_v2" sheetId="22" r:id="rId2"/>
    <sheet name="Notas HR" sheetId="14" r:id="rId3"/>
    <sheet name="Estimativa - Sat. 79" sheetId="4" r:id="rId4"/>
    <sheet name="Estimativa - Sat. 84" sheetId="5" r:id="rId5"/>
    <sheet name="Estimativa - Sat. 83" sheetId="16" r:id="rId6"/>
    <sheet name="Resumo_old" sheetId="17" state="hidden" r:id="rId7"/>
    <sheet name="Resumo (2)" sheetId="18" state="hidden" r:id="rId8"/>
    <sheet name="Resumo" sheetId="19" r:id="rId9"/>
    <sheet name="Resumo_Calendário" sheetId="21" r:id="rId10"/>
    <sheet name="Resumo (4)" sheetId="20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22" l="1"/>
  <c r="F24" i="22" l="1"/>
  <c r="F84" i="22" l="1"/>
  <c r="M1048555" i="22"/>
  <c r="O1048555" i="22" s="1"/>
  <c r="M1048553" i="22"/>
  <c r="O1048553" i="22" s="1"/>
  <c r="H95" i="22"/>
  <c r="H94" i="22"/>
  <c r="H93" i="22"/>
  <c r="H92" i="22"/>
  <c r="H91" i="22"/>
  <c r="H90" i="22"/>
  <c r="H89" i="22"/>
  <c r="H88" i="22"/>
  <c r="H87" i="22"/>
  <c r="H86" i="22"/>
  <c r="H85" i="22"/>
  <c r="H83" i="22"/>
  <c r="H82" i="22"/>
  <c r="H81" i="22"/>
  <c r="H80" i="22"/>
  <c r="H79" i="22"/>
  <c r="H78" i="22"/>
  <c r="F77" i="22"/>
  <c r="F76" i="22" s="1"/>
  <c r="H75" i="22"/>
  <c r="H74" i="22"/>
  <c r="H73" i="22"/>
  <c r="H72" i="22"/>
  <c r="H71" i="22"/>
  <c r="H70" i="22"/>
  <c r="H69" i="22"/>
  <c r="H68" i="22"/>
  <c r="H67" i="22"/>
  <c r="H66" i="22"/>
  <c r="H65" i="22"/>
  <c r="F64" i="22"/>
  <c r="H63" i="22"/>
  <c r="H62" i="22"/>
  <c r="H61" i="22"/>
  <c r="H60" i="22"/>
  <c r="H59" i="22"/>
  <c r="H58" i="22"/>
  <c r="F57" i="22"/>
  <c r="F56" i="22" s="1"/>
  <c r="H55" i="22"/>
  <c r="H54" i="22"/>
  <c r="H53" i="22"/>
  <c r="H52" i="22"/>
  <c r="H51" i="22"/>
  <c r="H50" i="22"/>
  <c r="H49" i="22"/>
  <c r="H48" i="22"/>
  <c r="H47" i="22"/>
  <c r="H46" i="22"/>
  <c r="H45" i="22"/>
  <c r="H43" i="22"/>
  <c r="H42" i="22"/>
  <c r="H41" i="22"/>
  <c r="H40" i="22"/>
  <c r="H39" i="22"/>
  <c r="H38" i="22"/>
  <c r="F37" i="22"/>
  <c r="F36" i="22" s="1"/>
  <c r="H35" i="22"/>
  <c r="H34" i="22"/>
  <c r="H33" i="22"/>
  <c r="H32" i="22"/>
  <c r="H31" i="22"/>
  <c r="H30" i="22"/>
  <c r="H29" i="22"/>
  <c r="H28" i="22"/>
  <c r="H27" i="22"/>
  <c r="H26" i="22"/>
  <c r="H25" i="22"/>
  <c r="H23" i="22"/>
  <c r="H22" i="22"/>
  <c r="H21" i="22"/>
  <c r="H20" i="22"/>
  <c r="H19" i="22"/>
  <c r="H18" i="22"/>
  <c r="F17" i="22"/>
  <c r="F16" i="22" s="1"/>
  <c r="F15" i="22"/>
  <c r="CQ11" i="22"/>
  <c r="CR11" i="22" s="1"/>
  <c r="CS11" i="22" s="1"/>
  <c r="CT11" i="22" s="1"/>
  <c r="CU11" i="22" s="1"/>
  <c r="CV11" i="22" s="1"/>
  <c r="CW11" i="22" s="1"/>
  <c r="CX11" i="22" s="1"/>
  <c r="CY11" i="22" s="1"/>
  <c r="CZ11" i="22" s="1"/>
  <c r="DA11" i="22" s="1"/>
  <c r="DB11" i="22" s="1"/>
  <c r="DC11" i="22" s="1"/>
  <c r="DD11" i="22" s="1"/>
  <c r="DE11" i="22" s="1"/>
  <c r="DF11" i="22" s="1"/>
  <c r="DG11" i="22" s="1"/>
  <c r="DH11" i="22" s="1"/>
  <c r="DI11" i="22" s="1"/>
  <c r="DJ11" i="22" s="1"/>
  <c r="DK11" i="22" s="1"/>
  <c r="DM11" i="22" s="1"/>
  <c r="DN11" i="22" s="1"/>
  <c r="DO11" i="22" s="1"/>
  <c r="DP11" i="22" s="1"/>
  <c r="DQ11" i="22" s="1"/>
  <c r="DR11" i="22" s="1"/>
  <c r="DS11" i="22" s="1"/>
  <c r="DT11" i="22" s="1"/>
  <c r="DU11" i="22" s="1"/>
  <c r="DV11" i="22" s="1"/>
  <c r="DW11" i="22" s="1"/>
  <c r="DX11" i="22" s="1"/>
  <c r="DY11" i="22" s="1"/>
  <c r="DZ11" i="22" s="1"/>
  <c r="EA11" i="22" s="1"/>
  <c r="EB11" i="22" s="1"/>
  <c r="EC11" i="22" s="1"/>
  <c r="ED11" i="22" s="1"/>
  <c r="EE11" i="22" s="1"/>
  <c r="EF11" i="22" s="1"/>
  <c r="EH11" i="22" s="1"/>
  <c r="EI11" i="22" s="1"/>
  <c r="EJ11" i="22" s="1"/>
  <c r="EK11" i="22" s="1"/>
  <c r="EL11" i="22" s="1"/>
  <c r="EM11" i="22" s="1"/>
  <c r="EN11" i="22" s="1"/>
  <c r="EO11" i="22" s="1"/>
  <c r="EP11" i="22" s="1"/>
  <c r="EQ11" i="22" s="1"/>
  <c r="ER11" i="22" s="1"/>
  <c r="ES11" i="22" s="1"/>
  <c r="ET11" i="22" s="1"/>
  <c r="EU11" i="22" s="1"/>
  <c r="EV11" i="22" s="1"/>
  <c r="EW11" i="22" s="1"/>
  <c r="EX11" i="22" s="1"/>
  <c r="EY11" i="22" s="1"/>
  <c r="EZ11" i="22" s="1"/>
  <c r="FA11" i="22" s="1"/>
  <c r="FB11" i="22" s="1"/>
  <c r="FC11" i="22" s="1"/>
  <c r="FD11" i="22" s="1"/>
  <c r="AQ11" i="22"/>
  <c r="AR11" i="22" s="1"/>
  <c r="AS11" i="22" s="1"/>
  <c r="AT11" i="22" s="1"/>
  <c r="AU11" i="22" s="1"/>
  <c r="AW11" i="22" s="1"/>
  <c r="AX11" i="22" s="1"/>
  <c r="AY11" i="22" s="1"/>
  <c r="AZ11" i="22" s="1"/>
  <c r="BA11" i="22" s="1"/>
  <c r="BB11" i="22" s="1"/>
  <c r="BC11" i="22" s="1"/>
  <c r="BD11" i="22" s="1"/>
  <c r="BE11" i="22" s="1"/>
  <c r="BF11" i="22" s="1"/>
  <c r="BG11" i="22" s="1"/>
  <c r="BH11" i="22" s="1"/>
  <c r="BI11" i="22" s="1"/>
  <c r="BJ11" i="22" s="1"/>
  <c r="BK11" i="22" s="1"/>
  <c r="BL11" i="22" s="1"/>
  <c r="BM11" i="22" s="1"/>
  <c r="BN11" i="22" s="1"/>
  <c r="BO11" i="22" s="1"/>
  <c r="BP11" i="22" s="1"/>
  <c r="BQ11" i="22" s="1"/>
  <c r="BR11" i="22" s="1"/>
  <c r="BT11" i="22" s="1"/>
  <c r="BU11" i="22" s="1"/>
  <c r="BV11" i="22" s="1"/>
  <c r="BW11" i="22" s="1"/>
  <c r="BX11" i="22" s="1"/>
  <c r="BY11" i="22" s="1"/>
  <c r="BZ11" i="22" s="1"/>
  <c r="CA11" i="22" s="1"/>
  <c r="CB11" i="22" s="1"/>
  <c r="CC11" i="22" s="1"/>
  <c r="CD11" i="22" s="1"/>
  <c r="CE11" i="22" s="1"/>
  <c r="CF11" i="22" s="1"/>
  <c r="CG11" i="22" s="1"/>
  <c r="CH11" i="22" s="1"/>
  <c r="CI11" i="22" s="1"/>
  <c r="CJ11" i="22" s="1"/>
  <c r="CK11" i="22" s="1"/>
  <c r="CL11" i="22" s="1"/>
  <c r="CM11" i="22" s="1"/>
  <c r="CN11" i="22" s="1"/>
  <c r="AH11" i="22"/>
  <c r="AI11" i="22" s="1"/>
  <c r="AJ11" i="22" s="1"/>
  <c r="AK11" i="22" s="1"/>
  <c r="AC11" i="22"/>
  <c r="AD11" i="22" s="1"/>
  <c r="AE11" i="22" s="1"/>
  <c r="AF11" i="22" s="1"/>
  <c r="W11" i="22"/>
  <c r="X11" i="22" s="1"/>
  <c r="Y11" i="22" s="1"/>
  <c r="AA11" i="22" s="1"/>
  <c r="R11" i="22"/>
  <c r="S11" i="22" s="1"/>
  <c r="T11" i="22" s="1"/>
  <c r="U11" i="22" s="1"/>
  <c r="M11" i="22"/>
  <c r="N11" i="22" s="1"/>
  <c r="O11" i="22" s="1"/>
  <c r="P11" i="22" s="1"/>
  <c r="J11" i="22"/>
  <c r="K11" i="22" s="1"/>
  <c r="FD6" i="22"/>
  <c r="FC6" i="22"/>
  <c r="FB6" i="22"/>
  <c r="FA6" i="22"/>
  <c r="EZ6" i="22"/>
  <c r="EY6" i="22"/>
  <c r="EX6" i="22"/>
  <c r="EW6" i="22"/>
  <c r="EV6" i="22"/>
  <c r="EU6" i="22"/>
  <c r="ET6" i="22"/>
  <c r="ES6" i="22"/>
  <c r="ER6" i="22"/>
  <c r="EQ6" i="22"/>
  <c r="EP6" i="22"/>
  <c r="EO6" i="22"/>
  <c r="EN6" i="22"/>
  <c r="EM6" i="22"/>
  <c r="EL6" i="22"/>
  <c r="EK6" i="22"/>
  <c r="EJ6" i="22"/>
  <c r="EI6" i="22"/>
  <c r="EH6" i="22"/>
  <c r="EG6" i="22"/>
  <c r="EF6" i="22"/>
  <c r="EE6" i="22"/>
  <c r="ED6" i="22"/>
  <c r="EC6" i="22"/>
  <c r="EB6" i="22"/>
  <c r="EA6" i="22"/>
  <c r="DZ6" i="22"/>
  <c r="DY6" i="22"/>
  <c r="DX6" i="22"/>
  <c r="DW6" i="22"/>
  <c r="DV6" i="22"/>
  <c r="DU6" i="22"/>
  <c r="DT6" i="22"/>
  <c r="DS6" i="22"/>
  <c r="DR6" i="22"/>
  <c r="DQ6" i="22"/>
  <c r="DP6" i="22"/>
  <c r="DO6" i="22"/>
  <c r="DN6" i="22"/>
  <c r="DM6" i="22"/>
  <c r="DL6" i="22"/>
  <c r="DK6" i="22"/>
  <c r="DJ6" i="22"/>
  <c r="DI6" i="22"/>
  <c r="DH6" i="22"/>
  <c r="DG6" i="22"/>
  <c r="DF6" i="22"/>
  <c r="DE6" i="22"/>
  <c r="DD6" i="22"/>
  <c r="DC6" i="22"/>
  <c r="DB6" i="22"/>
  <c r="DA6" i="22"/>
  <c r="CZ6" i="22"/>
  <c r="CY6" i="22"/>
  <c r="CX6" i="22"/>
  <c r="CW6" i="22"/>
  <c r="CV6" i="22"/>
  <c r="CU6" i="22"/>
  <c r="CT6" i="22"/>
  <c r="CS6" i="22"/>
  <c r="CR6" i="22"/>
  <c r="CQ6" i="22"/>
  <c r="CP6" i="22"/>
  <c r="CN6" i="22"/>
  <c r="CM6" i="22"/>
  <c r="CL6" i="22"/>
  <c r="CK6" i="22"/>
  <c r="CJ6" i="22"/>
  <c r="CI6" i="22"/>
  <c r="CH6" i="22"/>
  <c r="CG6" i="22"/>
  <c r="CF6" i="22"/>
  <c r="CE6" i="22"/>
  <c r="CD6" i="22"/>
  <c r="CC6" i="22"/>
  <c r="CB6" i="22"/>
  <c r="CA6" i="22"/>
  <c r="BZ6" i="22"/>
  <c r="BY6" i="22"/>
  <c r="BX6" i="22"/>
  <c r="BW6" i="22"/>
  <c r="BV6" i="22"/>
  <c r="BU6" i="22"/>
  <c r="BT6" i="22"/>
  <c r="BS6" i="22"/>
  <c r="BR6" i="22"/>
  <c r="BQ6" i="22"/>
  <c r="BP6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F24" i="13"/>
  <c r="F84" i="13"/>
  <c r="F64" i="13"/>
  <c r="F44" i="13"/>
  <c r="F37" i="13"/>
  <c r="F77" i="13"/>
  <c r="F76" i="13" s="1"/>
  <c r="F57" i="13"/>
  <c r="B15" i="22"/>
  <c r="B17" i="22"/>
  <c r="B77" i="22"/>
  <c r="B13" i="22"/>
  <c r="B78" i="22"/>
  <c r="B37" i="22"/>
  <c r="B57" i="22"/>
  <c r="B58" i="22" s="1"/>
  <c r="B18" i="22"/>
  <c r="B38" i="22"/>
  <c r="F56" i="13" l="1"/>
  <c r="F36" i="13"/>
  <c r="F17" i="13"/>
  <c r="F16" i="13" s="1"/>
  <c r="F15" i="13"/>
  <c r="B44" i="22"/>
  <c r="B45" i="22" s="1"/>
  <c r="B59" i="22"/>
  <c r="B79" i="22"/>
  <c r="B84" i="22"/>
  <c r="B85" i="22" s="1"/>
  <c r="B86" i="22" s="1"/>
  <c r="B46" i="22"/>
  <c r="B24" i="22"/>
  <c r="B25" i="22" s="1"/>
  <c r="B26" i="22"/>
  <c r="B19" i="22"/>
  <c r="B39" i="22"/>
  <c r="B64" i="22"/>
  <c r="B65" i="22" s="1"/>
  <c r="B66" i="22"/>
  <c r="X10" i="21" l="1"/>
  <c r="X11" i="21"/>
  <c r="Y11" i="21"/>
  <c r="Z11" i="21"/>
  <c r="AA10" i="21"/>
  <c r="AF11" i="21"/>
  <c r="AG10" i="21"/>
  <c r="AL10" i="21"/>
  <c r="AK11" i="21"/>
  <c r="AM11" i="21"/>
  <c r="AN10" i="21"/>
  <c r="AT10" i="21"/>
  <c r="AS11" i="21"/>
  <c r="AV11" i="21"/>
  <c r="AU11" i="21"/>
  <c r="AT11" i="21"/>
  <c r="AR11" i="21"/>
  <c r="AO11" i="21"/>
  <c r="AN11" i="21"/>
  <c r="AL11" i="21"/>
  <c r="AG11" i="21"/>
  <c r="AE11" i="21"/>
  <c r="AD11" i="21"/>
  <c r="AA11" i="21"/>
  <c r="W11" i="21"/>
  <c r="J11" i="21"/>
  <c r="K11" i="21"/>
  <c r="L11" i="21"/>
  <c r="M11" i="21"/>
  <c r="P11" i="21"/>
  <c r="Q11" i="21"/>
  <c r="R11" i="21"/>
  <c r="S11" i="21"/>
  <c r="T11" i="21"/>
  <c r="I11" i="21"/>
  <c r="J10" i="21"/>
  <c r="J12" i="21" s="1"/>
  <c r="K10" i="21"/>
  <c r="K12" i="21" s="1"/>
  <c r="L10" i="21"/>
  <c r="L12" i="21" s="1"/>
  <c r="M10" i="21"/>
  <c r="M12" i="21" s="1"/>
  <c r="P10" i="21"/>
  <c r="P12" i="21" s="1"/>
  <c r="Q10" i="21"/>
  <c r="Q12" i="21" s="1"/>
  <c r="R10" i="21"/>
  <c r="R12" i="21" s="1"/>
  <c r="S10" i="21"/>
  <c r="S12" i="21" s="1"/>
  <c r="T10" i="21"/>
  <c r="T12" i="21" s="1"/>
  <c r="W10" i="21"/>
  <c r="Y10" i="21"/>
  <c r="Z10" i="21"/>
  <c r="AD10" i="21"/>
  <c r="AD12" i="21" s="1"/>
  <c r="AE10" i="21"/>
  <c r="AF10" i="21"/>
  <c r="AK10" i="21"/>
  <c r="AM10" i="21"/>
  <c r="AO10" i="21"/>
  <c r="AO12" i="21" s="1"/>
  <c r="AR10" i="21"/>
  <c r="AR12" i="21" s="1"/>
  <c r="AS10" i="21"/>
  <c r="AU10" i="21"/>
  <c r="AV10" i="21"/>
  <c r="I10" i="21"/>
  <c r="I12" i="21" s="1"/>
  <c r="J43" i="19"/>
  <c r="C6" i="19"/>
  <c r="J43" i="18"/>
  <c r="C6" i="18"/>
  <c r="J43" i="17"/>
  <c r="C6" i="17"/>
  <c r="M28" i="16"/>
  <c r="B27" i="22"/>
  <c r="B80" i="22"/>
  <c r="B20" i="22"/>
  <c r="B87" i="22"/>
  <c r="B60" i="22"/>
  <c r="B47" i="22"/>
  <c r="B67" i="22"/>
  <c r="B40" i="22"/>
  <c r="B30" i="19" l="1"/>
  <c r="C30" i="19" s="1"/>
  <c r="B30" i="18"/>
  <c r="C30" i="18" s="1"/>
  <c r="B30" i="17"/>
  <c r="C30" i="17" s="1"/>
  <c r="AG12" i="21"/>
  <c r="Z12" i="21"/>
  <c r="Y12" i="21"/>
  <c r="AA12" i="21"/>
  <c r="AX10" i="21"/>
  <c r="AX11" i="21"/>
  <c r="AV12" i="21"/>
  <c r="AU12" i="21"/>
  <c r="AT12" i="21"/>
  <c r="AL12" i="21"/>
  <c r="AN12" i="21"/>
  <c r="AE12" i="21"/>
  <c r="AS12" i="21"/>
  <c r="AM12" i="21"/>
  <c r="AK12" i="21"/>
  <c r="AF12" i="21"/>
  <c r="X12" i="21"/>
  <c r="W12" i="21"/>
  <c r="M28" i="4"/>
  <c r="M28" i="5"/>
  <c r="J5" i="16"/>
  <c r="K10" i="16" s="1"/>
  <c r="Q4" i="16"/>
  <c r="B68" i="22"/>
  <c r="B21" i="22"/>
  <c r="B28" i="22"/>
  <c r="B61" i="22"/>
  <c r="B88" i="22"/>
  <c r="B41" i="22"/>
  <c r="B48" i="22"/>
  <c r="B81" i="22"/>
  <c r="B14" i="19" l="1"/>
  <c r="C14" i="19" s="1"/>
  <c r="B14" i="18"/>
  <c r="C14" i="18" s="1"/>
  <c r="B14" i="17"/>
  <c r="C14" i="17" s="1"/>
  <c r="B22" i="19"/>
  <c r="C22" i="19" s="1"/>
  <c r="B22" i="18"/>
  <c r="C22" i="18" s="1"/>
  <c r="B22" i="17"/>
  <c r="C22" i="17" s="1"/>
  <c r="I9" i="16"/>
  <c r="I19" i="16" s="1"/>
  <c r="J9" i="16"/>
  <c r="K9" i="16"/>
  <c r="J8" i="16"/>
  <c r="J17" i="16" s="1"/>
  <c r="L9" i="16"/>
  <c r="K8" i="16"/>
  <c r="L8" i="16"/>
  <c r="H8" i="16"/>
  <c r="L10" i="16"/>
  <c r="I8" i="16"/>
  <c r="M10" i="16"/>
  <c r="M9" i="16"/>
  <c r="H10" i="16"/>
  <c r="M8" i="16"/>
  <c r="I10" i="16"/>
  <c r="H9" i="16"/>
  <c r="J10" i="16"/>
  <c r="B49" i="22"/>
  <c r="B62" i="22"/>
  <c r="B22" i="22"/>
  <c r="B42" i="22"/>
  <c r="B82" i="22"/>
  <c r="B69" i="22"/>
  <c r="B89" i="22"/>
  <c r="B29" i="22"/>
  <c r="H17" i="16" l="1"/>
  <c r="H19" i="16"/>
  <c r="L21" i="16"/>
  <c r="L19" i="16"/>
  <c r="K20" i="16"/>
  <c r="K21" i="16"/>
  <c r="K18" i="16"/>
  <c r="K19" i="16"/>
  <c r="H28" i="16"/>
  <c r="L17" i="16"/>
  <c r="L20" i="16"/>
  <c r="J19" i="16"/>
  <c r="K17" i="16"/>
  <c r="K28" i="16" s="1"/>
  <c r="I28" i="16"/>
  <c r="B90" i="22"/>
  <c r="B70" i="22"/>
  <c r="B83" i="22"/>
  <c r="B50" i="22"/>
  <c r="B30" i="22"/>
  <c r="B63" i="22"/>
  <c r="B23" i="22"/>
  <c r="B43" i="22"/>
  <c r="B26" i="19" l="1"/>
  <c r="C26" i="19" s="1"/>
  <c r="B26" i="18"/>
  <c r="C26" i="18" s="1"/>
  <c r="B26" i="17"/>
  <c r="C26" i="17" s="1"/>
  <c r="B28" i="19"/>
  <c r="C28" i="19" s="1"/>
  <c r="B28" i="18"/>
  <c r="C28" i="18" s="1"/>
  <c r="B28" i="17"/>
  <c r="C28" i="17" s="1"/>
  <c r="B25" i="19"/>
  <c r="C25" i="19" s="1"/>
  <c r="B25" i="18"/>
  <c r="C25" i="18" s="1"/>
  <c r="B25" i="17"/>
  <c r="C25" i="17" s="1"/>
  <c r="B16" i="16"/>
  <c r="B17" i="16"/>
  <c r="J28" i="16"/>
  <c r="L28" i="16"/>
  <c r="B31" i="22"/>
  <c r="B91" i="22"/>
  <c r="B71" i="22"/>
  <c r="B51" i="22"/>
  <c r="B27" i="19" l="1"/>
  <c r="C27" i="19" s="1"/>
  <c r="B27" i="18"/>
  <c r="C27" i="18" s="1"/>
  <c r="B27" i="17"/>
  <c r="C27" i="17" s="1"/>
  <c r="B24" i="19"/>
  <c r="B24" i="18"/>
  <c r="B24" i="17"/>
  <c r="H31" i="16"/>
  <c r="I31" i="16" s="1"/>
  <c r="G30" i="16"/>
  <c r="J5" i="4"/>
  <c r="Q4" i="5"/>
  <c r="H53" i="13"/>
  <c r="H18" i="13"/>
  <c r="B72" i="22"/>
  <c r="B32" i="22"/>
  <c r="B52" i="22"/>
  <c r="B92" i="22"/>
  <c r="CP6" i="13" l="1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CM6" i="13"/>
  <c r="CL6" i="13"/>
  <c r="CK6" i="13"/>
  <c r="CJ6" i="13"/>
  <c r="CI6" i="13"/>
  <c r="CH6" i="13"/>
  <c r="CG6" i="13"/>
  <c r="CN6" i="13"/>
  <c r="M1048555" i="13"/>
  <c r="O1048555" i="13" s="1"/>
  <c r="M1048553" i="13"/>
  <c r="O1048553" i="13" s="1"/>
  <c r="H95" i="13"/>
  <c r="H94" i="13"/>
  <c r="H93" i="13"/>
  <c r="H92" i="13"/>
  <c r="H91" i="13"/>
  <c r="H90" i="13"/>
  <c r="H89" i="13"/>
  <c r="H88" i="13"/>
  <c r="H87" i="13"/>
  <c r="H86" i="13"/>
  <c r="H85" i="13"/>
  <c r="H83" i="13"/>
  <c r="H82" i="13"/>
  <c r="H81" i="13"/>
  <c r="H80" i="13"/>
  <c r="H79" i="13"/>
  <c r="H78" i="13"/>
  <c r="H75" i="13"/>
  <c r="H74" i="13"/>
  <c r="H73" i="13"/>
  <c r="H72" i="13"/>
  <c r="H71" i="13"/>
  <c r="H70" i="13"/>
  <c r="H69" i="13"/>
  <c r="H68" i="13"/>
  <c r="H67" i="13"/>
  <c r="H66" i="13"/>
  <c r="H65" i="13"/>
  <c r="H63" i="13"/>
  <c r="H62" i="13"/>
  <c r="H61" i="13"/>
  <c r="H60" i="13"/>
  <c r="H59" i="13"/>
  <c r="H58" i="13"/>
  <c r="H55" i="13"/>
  <c r="H54" i="13"/>
  <c r="H52" i="13"/>
  <c r="H51" i="13"/>
  <c r="H50" i="13"/>
  <c r="H49" i="13"/>
  <c r="H48" i="13"/>
  <c r="H47" i="13"/>
  <c r="H46" i="13"/>
  <c r="H45" i="13"/>
  <c r="H43" i="13"/>
  <c r="H42" i="13"/>
  <c r="H41" i="13"/>
  <c r="H40" i="13"/>
  <c r="H39" i="13"/>
  <c r="H38" i="13"/>
  <c r="H35" i="13"/>
  <c r="H34" i="13"/>
  <c r="H33" i="13"/>
  <c r="H32" i="13"/>
  <c r="H31" i="13"/>
  <c r="H30" i="13"/>
  <c r="H29" i="13"/>
  <c r="H28" i="13"/>
  <c r="H27" i="13"/>
  <c r="H26" i="13"/>
  <c r="H25" i="13"/>
  <c r="H23" i="13"/>
  <c r="H22" i="13"/>
  <c r="H21" i="13"/>
  <c r="H20" i="13"/>
  <c r="H19" i="13"/>
  <c r="CQ11" i="13"/>
  <c r="CR11" i="13" s="1"/>
  <c r="CS11" i="13" s="1"/>
  <c r="CT11" i="13" s="1"/>
  <c r="CU11" i="13" s="1"/>
  <c r="CV11" i="13" s="1"/>
  <c r="CW11" i="13" s="1"/>
  <c r="CX11" i="13" s="1"/>
  <c r="CY11" i="13" s="1"/>
  <c r="CZ11" i="13" s="1"/>
  <c r="DA11" i="13" s="1"/>
  <c r="DB11" i="13" s="1"/>
  <c r="DC11" i="13" s="1"/>
  <c r="DD11" i="13" s="1"/>
  <c r="DE11" i="13" s="1"/>
  <c r="DF11" i="13" s="1"/>
  <c r="DG11" i="13" s="1"/>
  <c r="DH11" i="13" s="1"/>
  <c r="DI11" i="13" s="1"/>
  <c r="DJ11" i="13" s="1"/>
  <c r="DK11" i="13" s="1"/>
  <c r="DM11" i="13" s="1"/>
  <c r="DN11" i="13" s="1"/>
  <c r="DO11" i="13" s="1"/>
  <c r="DP11" i="13" s="1"/>
  <c r="DQ11" i="13" s="1"/>
  <c r="DR11" i="13" s="1"/>
  <c r="DS11" i="13" s="1"/>
  <c r="DT11" i="13" s="1"/>
  <c r="DU11" i="13" s="1"/>
  <c r="DV11" i="13" s="1"/>
  <c r="DW11" i="13" s="1"/>
  <c r="DX11" i="13" s="1"/>
  <c r="DY11" i="13" s="1"/>
  <c r="DZ11" i="13" s="1"/>
  <c r="EA11" i="13" s="1"/>
  <c r="EB11" i="13" s="1"/>
  <c r="EC11" i="13" s="1"/>
  <c r="ED11" i="13" s="1"/>
  <c r="EE11" i="13" s="1"/>
  <c r="EF11" i="13" s="1"/>
  <c r="EH11" i="13" s="1"/>
  <c r="EI11" i="13" s="1"/>
  <c r="EJ11" i="13" s="1"/>
  <c r="EK11" i="13" s="1"/>
  <c r="EL11" i="13" s="1"/>
  <c r="EM11" i="13" s="1"/>
  <c r="EN11" i="13" s="1"/>
  <c r="EO11" i="13" s="1"/>
  <c r="EP11" i="13" s="1"/>
  <c r="EQ11" i="13" s="1"/>
  <c r="ER11" i="13" s="1"/>
  <c r="ES11" i="13" s="1"/>
  <c r="ET11" i="13" s="1"/>
  <c r="EU11" i="13" s="1"/>
  <c r="EV11" i="13" s="1"/>
  <c r="EW11" i="13" s="1"/>
  <c r="EX11" i="13" s="1"/>
  <c r="EY11" i="13" s="1"/>
  <c r="EZ11" i="13" s="1"/>
  <c r="FA11" i="13" s="1"/>
  <c r="FB11" i="13" s="1"/>
  <c r="FC11" i="13" s="1"/>
  <c r="FD11" i="13" s="1"/>
  <c r="AQ11" i="13"/>
  <c r="AR11" i="13" s="1"/>
  <c r="AS11" i="13" s="1"/>
  <c r="AT11" i="13" s="1"/>
  <c r="AU11" i="13" s="1"/>
  <c r="AW11" i="13" s="1"/>
  <c r="AX11" i="13" s="1"/>
  <c r="AY11" i="13" s="1"/>
  <c r="AZ11" i="13" s="1"/>
  <c r="BA11" i="13" s="1"/>
  <c r="BB11" i="13" s="1"/>
  <c r="BC11" i="13" s="1"/>
  <c r="BD11" i="13" s="1"/>
  <c r="BE11" i="13" s="1"/>
  <c r="BF11" i="13" s="1"/>
  <c r="BG11" i="13" s="1"/>
  <c r="BH11" i="13" s="1"/>
  <c r="BI11" i="13" s="1"/>
  <c r="BJ11" i="13" s="1"/>
  <c r="BK11" i="13" s="1"/>
  <c r="BL11" i="13" s="1"/>
  <c r="BM11" i="13" s="1"/>
  <c r="BN11" i="13" s="1"/>
  <c r="BO11" i="13" s="1"/>
  <c r="BP11" i="13" s="1"/>
  <c r="BQ11" i="13" s="1"/>
  <c r="BR11" i="13" s="1"/>
  <c r="BT11" i="13" s="1"/>
  <c r="BU11" i="13" s="1"/>
  <c r="BV11" i="13" s="1"/>
  <c r="BW11" i="13" s="1"/>
  <c r="BX11" i="13" s="1"/>
  <c r="BY11" i="13" s="1"/>
  <c r="BZ11" i="13" s="1"/>
  <c r="CA11" i="13" s="1"/>
  <c r="CB11" i="13" s="1"/>
  <c r="CC11" i="13" s="1"/>
  <c r="CD11" i="13" s="1"/>
  <c r="CE11" i="13" s="1"/>
  <c r="CF11" i="13" s="1"/>
  <c r="CG11" i="13" s="1"/>
  <c r="CH11" i="13" s="1"/>
  <c r="CI11" i="13" s="1"/>
  <c r="CJ11" i="13" s="1"/>
  <c r="CK11" i="13" s="1"/>
  <c r="CL11" i="13" s="1"/>
  <c r="CM11" i="13" s="1"/>
  <c r="CN11" i="13" s="1"/>
  <c r="AH11" i="13"/>
  <c r="AI11" i="13" s="1"/>
  <c r="AJ11" i="13" s="1"/>
  <c r="AK11" i="13" s="1"/>
  <c r="AC11" i="13"/>
  <c r="AD11" i="13" s="1"/>
  <c r="AE11" i="13" s="1"/>
  <c r="AF11" i="13" s="1"/>
  <c r="W11" i="13"/>
  <c r="X11" i="13" s="1"/>
  <c r="Y11" i="13" s="1"/>
  <c r="AA11" i="13" s="1"/>
  <c r="R11" i="13"/>
  <c r="S11" i="13" s="1"/>
  <c r="T11" i="13" s="1"/>
  <c r="U11" i="13" s="1"/>
  <c r="M11" i="13"/>
  <c r="N11" i="13" s="1"/>
  <c r="O11" i="13" s="1"/>
  <c r="P11" i="13" s="1"/>
  <c r="J11" i="13"/>
  <c r="K11" i="13" s="1"/>
  <c r="B93" i="22"/>
  <c r="B33" i="22"/>
  <c r="B37" i="13"/>
  <c r="B13" i="13"/>
  <c r="B17" i="13"/>
  <c r="B73" i="22"/>
  <c r="B77" i="13"/>
  <c r="B57" i="13"/>
  <c r="B15" i="13"/>
  <c r="B53" i="22"/>
  <c r="J5" i="5" l="1"/>
  <c r="B44" i="13"/>
  <c r="B38" i="13"/>
  <c r="B78" i="13"/>
  <c r="B18" i="13"/>
  <c r="B94" i="22"/>
  <c r="B74" i="22"/>
  <c r="B54" i="22"/>
  <c r="B34" i="22"/>
  <c r="B24" i="13"/>
  <c r="B25" i="13" s="1"/>
  <c r="B26" i="13" s="1"/>
  <c r="B64" i="13"/>
  <c r="B84" i="13"/>
  <c r="B58" i="13"/>
  <c r="H8" i="4" l="1"/>
  <c r="J8" i="4"/>
  <c r="J21" i="4" s="1"/>
  <c r="H9" i="4"/>
  <c r="I9" i="4"/>
  <c r="I10" i="4"/>
  <c r="H10" i="4"/>
  <c r="H18" i="4" s="1"/>
  <c r="I8" i="4"/>
  <c r="M9" i="5"/>
  <c r="I10" i="5"/>
  <c r="I17" i="5" s="1"/>
  <c r="L8" i="5"/>
  <c r="H10" i="5"/>
  <c r="H21" i="5" s="1"/>
  <c r="H19" i="4"/>
  <c r="J9" i="4"/>
  <c r="J23" i="4" s="1"/>
  <c r="K10" i="4"/>
  <c r="K18" i="4" s="1"/>
  <c r="K9" i="4"/>
  <c r="M10" i="4"/>
  <c r="K8" i="4"/>
  <c r="L10" i="4"/>
  <c r="L9" i="4"/>
  <c r="L18" i="4" s="1"/>
  <c r="L8" i="4"/>
  <c r="M9" i="4"/>
  <c r="J10" i="4"/>
  <c r="J18" i="4" s="1"/>
  <c r="M8" i="4"/>
  <c r="M8" i="5"/>
  <c r="H9" i="5"/>
  <c r="H16" i="5" s="1"/>
  <c r="J10" i="5"/>
  <c r="J21" i="5" s="1"/>
  <c r="I9" i="5"/>
  <c r="K10" i="5"/>
  <c r="K21" i="5" s="1"/>
  <c r="H8" i="5"/>
  <c r="J9" i="5"/>
  <c r="J18" i="5" s="1"/>
  <c r="L10" i="5"/>
  <c r="I8" i="5"/>
  <c r="K9" i="5"/>
  <c r="K26" i="5" s="1"/>
  <c r="M10" i="5"/>
  <c r="J8" i="5"/>
  <c r="L9" i="5"/>
  <c r="L21" i="5" s="1"/>
  <c r="K8" i="5"/>
  <c r="B45" i="13"/>
  <c r="B39" i="13"/>
  <c r="B79" i="13"/>
  <c r="B95" i="22"/>
  <c r="B85" i="13"/>
  <c r="B75" i="22"/>
  <c r="B65" i="13"/>
  <c r="B59" i="13"/>
  <c r="B35" i="22"/>
  <c r="B27" i="13"/>
  <c r="B55" i="22"/>
  <c r="B19" i="13"/>
  <c r="J19" i="5" l="1"/>
  <c r="J26" i="5"/>
  <c r="H28" i="4"/>
  <c r="L25" i="5"/>
  <c r="L24" i="5"/>
  <c r="K24" i="5"/>
  <c r="K25" i="5"/>
  <c r="J22" i="4"/>
  <c r="I16" i="5"/>
  <c r="I18" i="5"/>
  <c r="I22" i="5"/>
  <c r="J20" i="5"/>
  <c r="J17" i="5"/>
  <c r="H20" i="5"/>
  <c r="H17" i="5"/>
  <c r="K16" i="5"/>
  <c r="K17" i="5"/>
  <c r="I21" i="5"/>
  <c r="I20" i="5"/>
  <c r="K19" i="5"/>
  <c r="K20" i="5"/>
  <c r="K18" i="5"/>
  <c r="K22" i="5"/>
  <c r="K23" i="5"/>
  <c r="H18" i="5"/>
  <c r="H22" i="5"/>
  <c r="J16" i="5"/>
  <c r="J22" i="5"/>
  <c r="L20" i="5"/>
  <c r="L18" i="5"/>
  <c r="L22" i="5"/>
  <c r="L17" i="5"/>
  <c r="L16" i="5"/>
  <c r="L21" i="4"/>
  <c r="L22" i="4"/>
  <c r="L16" i="4"/>
  <c r="L24" i="4"/>
  <c r="L19" i="4"/>
  <c r="J19" i="4"/>
  <c r="J24" i="4"/>
  <c r="I18" i="4"/>
  <c r="K22" i="4"/>
  <c r="K21" i="4"/>
  <c r="K19" i="4"/>
  <c r="K23" i="4"/>
  <c r="K17" i="4"/>
  <c r="K20" i="4"/>
  <c r="K16" i="4"/>
  <c r="K24" i="4"/>
  <c r="I19" i="4"/>
  <c r="I17" i="4"/>
  <c r="I28" i="4" s="1"/>
  <c r="J17" i="4"/>
  <c r="J28" i="4" s="1"/>
  <c r="B80" i="13"/>
  <c r="B86" i="13"/>
  <c r="B46" i="13"/>
  <c r="B66" i="13"/>
  <c r="B28" i="13"/>
  <c r="B20" i="13"/>
  <c r="B40" i="13"/>
  <c r="B60" i="13"/>
  <c r="B19" i="19" l="1"/>
  <c r="C19" i="19" s="1"/>
  <c r="B19" i="18"/>
  <c r="C19" i="18" s="1"/>
  <c r="B19" i="17"/>
  <c r="C19" i="17" s="1"/>
  <c r="B18" i="19"/>
  <c r="C18" i="19" s="1"/>
  <c r="B18" i="18"/>
  <c r="C18" i="18" s="1"/>
  <c r="B18" i="17"/>
  <c r="C18" i="17" s="1"/>
  <c r="B16" i="4"/>
  <c r="B17" i="4" s="1"/>
  <c r="K28" i="4"/>
  <c r="L28" i="4"/>
  <c r="H28" i="5"/>
  <c r="B16" i="5"/>
  <c r="B16" i="19"/>
  <c r="B17" i="19"/>
  <c r="C17" i="19" s="1"/>
  <c r="B17" i="18"/>
  <c r="C17" i="18" s="1"/>
  <c r="B16" i="18"/>
  <c r="B17" i="17"/>
  <c r="C17" i="17" s="1"/>
  <c r="B16" i="17"/>
  <c r="H34" i="4"/>
  <c r="H35" i="4" s="1"/>
  <c r="L28" i="5"/>
  <c r="I28" i="5"/>
  <c r="B17" i="5"/>
  <c r="J28" i="5"/>
  <c r="K28" i="5"/>
  <c r="B41" i="13"/>
  <c r="B81" i="13"/>
  <c r="B61" i="13"/>
  <c r="B29" i="13"/>
  <c r="B47" i="13"/>
  <c r="B87" i="13"/>
  <c r="B21" i="13"/>
  <c r="B67" i="13"/>
  <c r="B12" i="19" l="1"/>
  <c r="C12" i="19" s="1"/>
  <c r="B12" i="18"/>
  <c r="C12" i="18" s="1"/>
  <c r="B12" i="17"/>
  <c r="C12" i="17" s="1"/>
  <c r="B11" i="19"/>
  <c r="C11" i="19" s="1"/>
  <c r="B11" i="18"/>
  <c r="C11" i="18" s="1"/>
  <c r="B11" i="17"/>
  <c r="C11" i="17" s="1"/>
  <c r="B10" i="19"/>
  <c r="B10" i="18"/>
  <c r="B10" i="17"/>
  <c r="B8" i="19"/>
  <c r="B34" i="19" s="1"/>
  <c r="B9" i="19"/>
  <c r="B9" i="18"/>
  <c r="B8" i="18"/>
  <c r="B34" i="18" s="1"/>
  <c r="B9" i="17"/>
  <c r="B8" i="17"/>
  <c r="B34" i="17" s="1"/>
  <c r="I35" i="5"/>
  <c r="J35" i="5" s="1"/>
  <c r="J31" i="16" s="1"/>
  <c r="H30" i="4"/>
  <c r="B20" i="19"/>
  <c r="C20" i="19" s="1"/>
  <c r="B20" i="18"/>
  <c r="C20" i="18" s="1"/>
  <c r="B20" i="17"/>
  <c r="C20" i="17" s="1"/>
  <c r="B27" i="4"/>
  <c r="C27" i="4" s="1"/>
  <c r="D27" i="4" s="1"/>
  <c r="B19" i="4"/>
  <c r="G30" i="5"/>
  <c r="B48" i="13"/>
  <c r="B62" i="13"/>
  <c r="B22" i="13"/>
  <c r="B68" i="13"/>
  <c r="B30" i="13"/>
  <c r="B88" i="13"/>
  <c r="B82" i="13"/>
  <c r="B42" i="13"/>
  <c r="B63" i="13"/>
  <c r="B49" i="13"/>
  <c r="B69" i="13"/>
  <c r="B31" i="13"/>
  <c r="B89" i="13"/>
  <c r="B43" i="13"/>
  <c r="B83" i="13"/>
  <c r="B23" i="13"/>
  <c r="B90" i="13"/>
  <c r="B32" i="13"/>
  <c r="B70" i="13"/>
  <c r="B50" i="13"/>
  <c r="B51" i="13"/>
  <c r="B71" i="13"/>
  <c r="B33" i="13"/>
  <c r="B91" i="13"/>
  <c r="B92" i="13"/>
  <c r="B34" i="13"/>
  <c r="B72" i="13"/>
  <c r="B52" i="13"/>
  <c r="B53" i="13"/>
  <c r="B73" i="13"/>
  <c r="B35" i="13"/>
  <c r="B93" i="13"/>
  <c r="B94" i="13"/>
  <c r="B74" i="13"/>
  <c r="B54" i="13"/>
  <c r="B55" i="13"/>
  <c r="B75" i="13"/>
  <c r="B95" i="13"/>
  <c r="C9" i="17" l="1"/>
  <c r="B35" i="17"/>
  <c r="C9" i="18"/>
  <c r="B35" i="18"/>
  <c r="B35" i="19"/>
  <c r="C9" i="19"/>
  <c r="C10" i="17"/>
  <c r="B39" i="17"/>
  <c r="B40" i="17" s="1"/>
  <c r="B41" i="17" s="1"/>
  <c r="B39" i="18"/>
  <c r="B40" i="18" s="1"/>
  <c r="B41" i="18" s="1"/>
  <c r="B42" i="18" s="1"/>
  <c r="B43" i="18" s="1"/>
  <c r="C43" i="18" s="1"/>
  <c r="C10" i="18"/>
  <c r="B39" i="19"/>
  <c r="B40" i="19" s="1"/>
  <c r="B41" i="19" s="1"/>
  <c r="B42" i="19" s="1"/>
  <c r="B43" i="19" s="1"/>
  <c r="C43" i="19" s="1"/>
  <c r="C10" i="19"/>
  <c r="B42" i="17" l="1"/>
  <c r="B43" i="17"/>
  <c r="C43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tc={11DBC03A-F4E9-4554-B014-3DA68B46788C}</author>
  </authors>
  <commentList>
    <comment ref="BD11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tc={11DBC03A-F4E9-4555-B014-3DA68B46788C}</author>
  </authors>
  <commentList>
    <comment ref="BD1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tc={AB9DBA90-EA7F-4364-A170-984B7CC7A253}</author>
    <author>tc={E8889D3F-ECFD-46D0-B5A5-865A8822F472}</author>
    <author>tc={BC466744-7B15-4341-A677-FEE6A3BE4D53}</author>
    <author>tc={8A65DC64-4109-413D-9B81-E69F8F25B096}</author>
  </authors>
  <commentList>
    <comment ref="H8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1h</t>
      </text>
    </comment>
    <comment ref="H9" authorId="1" shapeId="0" xr:uid="{00000000-0006-0000-0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2h</t>
      </text>
    </comment>
    <comment ref="H10" authorId="2" shapeId="0" xr:uid="{00000000-0006-0000-03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4h</t>
      </text>
    </comment>
    <comment ref="M15" authorId="3" shapeId="0" xr:uid="{00000000-0006-0000-03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Horas para ajustes manuais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tc={4721BAFB-BD50-4788-91F8-5B6BC4D73EF8}</author>
  </authors>
  <commentList>
    <comment ref="L21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tc={89500042-7C58-464F-B0E2-78344DE261E3}</author>
  </authors>
  <commentList>
    <comment ref="L21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</text>
    </comment>
  </commentList>
</comments>
</file>

<file path=xl/sharedStrings.xml><?xml version="1.0" encoding="utf-8"?>
<sst xmlns="http://schemas.openxmlformats.org/spreadsheetml/2006/main" count="753" uniqueCount="191">
  <si>
    <t>BS - ESG Pilar 3</t>
  </si>
  <si>
    <t xml:space="preserve">Plano de Atividades </t>
  </si>
  <si>
    <t>Novembro</t>
  </si>
  <si>
    <t>Dezembro</t>
  </si>
  <si>
    <t>Janeiro</t>
  </si>
  <si>
    <t>Fevereiro</t>
  </si>
  <si>
    <t>Março</t>
  </si>
  <si>
    <t>Abril</t>
  </si>
  <si>
    <t>Maio</t>
  </si>
  <si>
    <t>ID</t>
  </si>
  <si>
    <t>Atividade</t>
  </si>
  <si>
    <t>Nº dias</t>
  </si>
  <si>
    <t>Data Início</t>
  </si>
  <si>
    <t>Status PPT</t>
  </si>
  <si>
    <t>FTEs (#)</t>
  </si>
  <si>
    <t>x</t>
  </si>
  <si>
    <t>Gestão</t>
  </si>
  <si>
    <t>xxx</t>
  </si>
  <si>
    <t>Gestão e acompanhamento de equipa</t>
  </si>
  <si>
    <t>Importação e prepração de ficheiros</t>
  </si>
  <si>
    <r>
      <t xml:space="preserve">Importação de tabelas </t>
    </r>
    <r>
      <rPr>
        <i/>
        <sz val="9"/>
        <color theme="1"/>
        <rFont val="Muli Light"/>
      </rPr>
      <t>input</t>
    </r>
  </si>
  <si>
    <t>Revisão do processo de obtenção de informação + Implementação de alterações</t>
  </si>
  <si>
    <t>xx</t>
  </si>
  <si>
    <t>Universo Corporativo (Satélites)</t>
  </si>
  <si>
    <t xml:space="preserve">Informação Gloval </t>
  </si>
  <si>
    <t>Universo Corporativo (Idcombs)</t>
  </si>
  <si>
    <t>Métricas (Contrato + Cliente)</t>
  </si>
  <si>
    <t>Métricas (Colaterais)</t>
  </si>
  <si>
    <t xml:space="preserve">Tratamento de adjudicados </t>
  </si>
  <si>
    <t xml:space="preserve">Repartição de Garantias </t>
  </si>
  <si>
    <t>Universo Local</t>
  </si>
  <si>
    <t>Template 1</t>
  </si>
  <si>
    <t>Em sumultâneo</t>
  </si>
  <si>
    <t>Template 2</t>
  </si>
  <si>
    <t>Template 4</t>
  </si>
  <si>
    <t>Template 5</t>
  </si>
  <si>
    <t>Template 6</t>
  </si>
  <si>
    <t>Template 7</t>
  </si>
  <si>
    <t>Template 8</t>
  </si>
  <si>
    <t>Template 9</t>
  </si>
  <si>
    <t>Template 10</t>
  </si>
  <si>
    <t>Template 1 - STE</t>
  </si>
  <si>
    <t>Template 2 - STE</t>
  </si>
  <si>
    <t>Revisão do mapeamento de Satélites + Implementação de alterações</t>
  </si>
  <si>
    <t>Satélite 79</t>
  </si>
  <si>
    <t>Satélite 80</t>
  </si>
  <si>
    <t>Satélite 83</t>
  </si>
  <si>
    <t>Satélite 84</t>
  </si>
  <si>
    <t>Satélite 93</t>
  </si>
  <si>
    <t>Satélite 109</t>
  </si>
  <si>
    <t>Conciliação de informação contabilistica</t>
  </si>
  <si>
    <t>Geração e carregamento de informação</t>
  </si>
  <si>
    <t>Em simultâneo</t>
  </si>
  <si>
    <t>Pressupostos</t>
  </si>
  <si>
    <t>Consideramos 25% de gestão do SC</t>
  </si>
  <si>
    <t>Satelites corporativos são entregues a 15 de Março</t>
  </si>
  <si>
    <t>Templetes locais são entregues a 5 de março (ainda não temos esta data fechada) [Extender até dia 8 prevendo questões]</t>
  </si>
  <si>
    <t>STE é entregue a 15 de março</t>
  </si>
  <si>
    <t>A equipa proposta considera 4 fte</t>
  </si>
  <si>
    <t>Não consideramos esforço para piloto</t>
  </si>
  <si>
    <r>
      <t xml:space="preserve">Não foi considerado esforço para a implementação do satelite 127 ( </t>
    </r>
    <r>
      <rPr>
        <sz val="11"/>
        <color theme="5"/>
        <rFont val="Calibri"/>
        <family val="2"/>
        <scheme val="minor"/>
      </rPr>
      <t>140h</t>
    </r>
    <r>
      <rPr>
        <sz val="11"/>
        <color theme="1"/>
        <rFont val="Calibri"/>
        <family val="2"/>
        <scheme val="minor"/>
      </rPr>
      <t>)</t>
    </r>
  </si>
  <si>
    <r>
      <t>Incluimos esforço para atualização de inputs e templates/ satelites  (</t>
    </r>
    <r>
      <rPr>
        <sz val="11"/>
        <color theme="5"/>
        <rFont val="Calibri"/>
        <family val="2"/>
        <scheme val="minor"/>
      </rPr>
      <t>120 h</t>
    </r>
    <r>
      <rPr>
        <sz val="11"/>
        <rFont val="Calibri"/>
        <family val="2"/>
        <scheme val="minor"/>
      </rPr>
      <t>) &gt; Novos requisitos</t>
    </r>
  </si>
  <si>
    <t>Não temos esforço para a geração 6,7,8 e 9 com dados de junho e as novas guidelines</t>
  </si>
  <si>
    <t>Para a estimativa usamos as guidelines de dia 11 de out mas entretanto no dia 20 de out sairam novas guidelines</t>
  </si>
  <si>
    <t>Não temos esforço para otimizações</t>
  </si>
  <si>
    <t>Riscos</t>
  </si>
  <si>
    <t>Risco elevado entre dia 2 e 15 de janeiro para a entrega dos satelites uma vez que temos muitas dependencias de inputs</t>
  </si>
  <si>
    <t>Informação de carteiras e garantias (receção no dia 5 de jan)</t>
  </si>
  <si>
    <t>Gloval (envio da informação dia 5 e receção da informação no dia 12, 5 dias após o envio)</t>
  </si>
  <si>
    <t>Satelites com dependencia da gloval: 83, 84 e 93</t>
  </si>
  <si>
    <t>Campos</t>
  </si>
  <si>
    <t>Hora</t>
  </si>
  <si>
    <t>Dia</t>
  </si>
  <si>
    <t>Proporção</t>
  </si>
  <si>
    <t>Atividades</t>
  </si>
  <si>
    <t>Complexidade:</t>
  </si>
  <si>
    <t>Estudar</t>
  </si>
  <si>
    <t>Assessment</t>
  </si>
  <si>
    <t>Implementação</t>
  </si>
  <si>
    <t>Teste</t>
  </si>
  <si>
    <t>Conciliação</t>
  </si>
  <si>
    <t>Corporação</t>
  </si>
  <si>
    <t>Estudar guia</t>
  </si>
  <si>
    <t>Baixa</t>
  </si>
  <si>
    <t>Assessment a fontes de informação</t>
  </si>
  <si>
    <t>Média</t>
  </si>
  <si>
    <t>Alta</t>
  </si>
  <si>
    <t>Validações Corporação</t>
  </si>
  <si>
    <t>Campo:</t>
  </si>
  <si>
    <t>Conciliação*</t>
  </si>
  <si>
    <t>Corporação**</t>
  </si>
  <si>
    <t>Comentário</t>
  </si>
  <si>
    <t>Horas Totais</t>
  </si>
  <si>
    <t>Performing ESG</t>
  </si>
  <si>
    <t>Dias Totais**</t>
  </si>
  <si>
    <t>Exc Paris</t>
  </si>
  <si>
    <t>Tempo estimado para inclusão dos clientes não CIB (a Jun23 apenas foi feita ligação para clientes CIB)</t>
  </si>
  <si>
    <t>Env. Sustainable CCM</t>
  </si>
  <si>
    <t>Esta métrica deverá ser conciliada com a equivalente no satélite 84 (não obrigatório a Jun23)</t>
  </si>
  <si>
    <t>Maturity ESG</t>
  </si>
  <si>
    <t>Surgiram alterações no novo guia</t>
  </si>
  <si>
    <t>EU</t>
  </si>
  <si>
    <t>Chronic changes</t>
  </si>
  <si>
    <r>
      <t xml:space="preserve">Alteração caso a corporação envie novo ficheiro </t>
    </r>
    <r>
      <rPr>
        <i/>
        <sz val="9"/>
        <color theme="1"/>
        <rFont val="Muli Light"/>
      </rPr>
      <t>input</t>
    </r>
  </si>
  <si>
    <t>Acute changes</t>
  </si>
  <si>
    <t>Physical risk</t>
  </si>
  <si>
    <t>Alteração caso a corporação altere os países a entrar nesta métrica</t>
  </si>
  <si>
    <t>Nace code ESG</t>
  </si>
  <si>
    <t>Alteração caso a corporação envie novo ficheiro de mapeamento de NACEs.</t>
  </si>
  <si>
    <r>
      <t>* Processo de conciliação incluí apenas conciliação de valores na tabela de universo full + conciliação de valores de métricas com outros satélites</t>
    </r>
    <r>
      <rPr>
        <i/>
        <sz val="10"/>
        <color theme="1"/>
        <rFont val="Muli Light"/>
      </rPr>
      <t xml:space="preserve"> </t>
    </r>
    <r>
      <rPr>
        <sz val="10"/>
        <color theme="1"/>
        <rFont val="Muli Light"/>
      </rPr>
      <t>+ análise de diferenças face a Jun23.</t>
    </r>
  </si>
  <si>
    <t>** Componente "Corporação" inclui ajustes manuais solicitados pela Corporação após submissão do reporte no front para garantir conciliação com Cargabal Masterizado e análises para resposta às questões da Corporação</t>
  </si>
  <si>
    <t>total</t>
  </si>
  <si>
    <t>O satélite 79 exigiu um conjunto muito significativo de ajustes manuais (overlays distribuidos por NACES) e preenchimento de templates de Excluidos de Paris e de Physical Risk para envio à Corporação. 8 horas de ajustes manuais + 3 interações de 4horas</t>
  </si>
  <si>
    <t>General Specific Purpose</t>
  </si>
  <si>
    <t>Campo sofreu alterações face a Jun23. Necessário confirmar entendimento de alguns pontos com a Corporação</t>
  </si>
  <si>
    <t>Dias Totais</t>
  </si>
  <si>
    <t>Purpose ESG</t>
  </si>
  <si>
    <t>Campo sofreu alterações face a Jun23. Necessário confirmar entendimento de alguns pontos com a Corporação. Mudar código do campo e mudar na modelação do IDComb porque tem mais uma hipotese de preenchimento.
Necessário replicar esta alteração no satelite 83</t>
  </si>
  <si>
    <t>NFRD disclosures</t>
  </si>
  <si>
    <t>Campo sofreu alterações face a Jun23. Será necessário implementar cruzamentos supletivos por LEI e GLCS5, à semelhança do realizado para os rácios.</t>
  </si>
  <si>
    <t>European Union</t>
  </si>
  <si>
    <t>Campo sofreu alterações face a Jun23. Agora é aplicável também a Financial Corporations</t>
  </si>
  <si>
    <t>Specific eligible</t>
  </si>
  <si>
    <t>Campo sofreu alterações face a Jun23</t>
  </si>
  <si>
    <t>Specific sustainable</t>
  </si>
  <si>
    <t>Campo sofreu alterações face a Jun23. Necessário pedir campos a áreas internas e confirmar pressupostos com a Corporação. Deixou de depender de CIBs vs Banca Comercial. Não há detalhe sobre tratamento de Pures e Enablings. Carece de esclarecimentos porque é uma alteração significativa da lógica de Construção do campo. Este campo deve estar em linha com Green Dashboard.</t>
  </si>
  <si>
    <t>Specialised lending</t>
  </si>
  <si>
    <t>Originated during period</t>
  </si>
  <si>
    <t>ESG subsector</t>
  </si>
  <si>
    <t>NACE code ESG</t>
  </si>
  <si>
    <t>Rácios</t>
  </si>
  <si>
    <t xml:space="preserve">As functional guidelines referem nomenclaturas distintas das presentes no ficheiro de input de Jun23. Necessário validar se o novo ficheiro de input dos rácios de eligibilidade tem dados para mais rácios do que apenas o TUCCM e CACCM, se tiver é necessário colocar a formula. Validar consistência com o campo NFRD disclosures. </t>
  </si>
  <si>
    <t xml:space="preserve">Horas da "Corporação" </t>
  </si>
  <si>
    <r>
      <t xml:space="preserve">* Processo de conciliação incluí apenas conciliação de valores na tabela de universo full + </t>
    </r>
    <r>
      <rPr>
        <i/>
        <sz val="10"/>
        <color theme="1"/>
        <rFont val="Muli Light"/>
      </rPr>
      <t>Green Dashboard</t>
    </r>
    <r>
      <rPr>
        <sz val="10"/>
        <color theme="1"/>
        <rFont val="Muli Light"/>
      </rPr>
      <t xml:space="preserve"> (não incluí conciliação contabilística de idcombs).</t>
    </r>
  </si>
  <si>
    <t>Alterações</t>
  </si>
  <si>
    <r>
      <t xml:space="preserve">1. Inclusão de </t>
    </r>
    <r>
      <rPr>
        <i/>
        <sz val="11"/>
        <color theme="1"/>
        <rFont val="Muli Light"/>
      </rPr>
      <t>off-balance</t>
    </r>
    <r>
      <rPr>
        <sz val="11"/>
        <color theme="1"/>
        <rFont val="Muli Light"/>
      </rPr>
      <t xml:space="preserve"> (</t>
    </r>
    <r>
      <rPr>
        <i/>
        <sz val="11"/>
        <color theme="1"/>
        <rFont val="Muli Light"/>
      </rPr>
      <t>financial guarantees and assets under management</t>
    </r>
    <r>
      <rPr>
        <sz val="11"/>
        <color theme="1"/>
        <rFont val="Muli Light"/>
      </rPr>
      <t>)</t>
    </r>
  </si>
  <si>
    <t>2. Mapeamento dos seguintes campos:</t>
  </si>
  <si>
    <t>i) General_Specific purpose</t>
  </si>
  <si>
    <t>ii) Purpose ESG</t>
  </si>
  <si>
    <t>iii) Specific eligible</t>
  </si>
  <si>
    <t>iv) Specific sustainable</t>
  </si>
  <si>
    <t>v) Specialised lending</t>
  </si>
  <si>
    <t>vi) NFRD disclosures</t>
  </si>
  <si>
    <t>vii) European Union</t>
  </si>
  <si>
    <t>Campo sofreu alterações face a Jun23. Replicar a alteração efetuada no staelite 84. Pressupõe que a fase de estudo e assessment é comum à do campo homólogo no satélite 84</t>
  </si>
  <si>
    <t>Green Financial Instrument</t>
  </si>
  <si>
    <t>Funding type</t>
  </si>
  <si>
    <t xml:space="preserve">Campo sofreu alterações face a Jun23. </t>
  </si>
  <si>
    <t>Risk mitigated CCT</t>
  </si>
  <si>
    <t>Risk Mitigates CCP</t>
  </si>
  <si>
    <t>1. Inclui atividades de análise do guia, assessment, implementação, testes e suporte Corporação</t>
  </si>
  <si>
    <t>Controlo</t>
  </si>
  <si>
    <t>Set Up de universos</t>
  </si>
  <si>
    <t>HR</t>
  </si>
  <si>
    <t>Especificação funcional</t>
  </si>
  <si>
    <t>FS</t>
  </si>
  <si>
    <t>Especificação técnica</t>
  </si>
  <si>
    <t>RC</t>
  </si>
  <si>
    <t>Testes</t>
  </si>
  <si>
    <t>RC / FS</t>
  </si>
  <si>
    <t>Suporte Corporação</t>
  </si>
  <si>
    <t>FS / RC</t>
  </si>
  <si>
    <t>DE</t>
  </si>
  <si>
    <t>DE / HC</t>
  </si>
  <si>
    <t>FS / DE</t>
  </si>
  <si>
    <t>RC / HC</t>
  </si>
  <si>
    <t>Esforço Global</t>
  </si>
  <si>
    <t>Só implementação</t>
  </si>
  <si>
    <t>RC / HF</t>
  </si>
  <si>
    <t>FS/HF / RC</t>
  </si>
  <si>
    <t>DE / HF</t>
  </si>
  <si>
    <t>FS/ HF / DE</t>
  </si>
  <si>
    <t>Alocação ao Pilar 3</t>
  </si>
  <si>
    <t>Diogo Escaleira</t>
  </si>
  <si>
    <t>T</t>
  </si>
  <si>
    <t>M</t>
  </si>
  <si>
    <t>AP</t>
  </si>
  <si>
    <t>Rita Caguerelho</t>
  </si>
  <si>
    <t>D</t>
  </si>
  <si>
    <t>Horas DE</t>
  </si>
  <si>
    <t>Horas RC</t>
  </si>
  <si>
    <t>Total</t>
  </si>
  <si>
    <t>Legenda:</t>
  </si>
  <si>
    <t>M - Manhã</t>
  </si>
  <si>
    <t>T - Tarde</t>
  </si>
  <si>
    <t>D - Dia completo</t>
  </si>
  <si>
    <t>AP - Apoio pontual aos testes ou para resposta a questões da corporação</t>
  </si>
  <si>
    <t>Análise e especificação funcional</t>
  </si>
  <si>
    <t>Análise e especificação técnica</t>
  </si>
  <si>
    <t>Implementação técnica</t>
  </si>
  <si>
    <t>Suporte Corporação &amp; Fine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</si>
</sst>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dd"/>
    <numFmt numFmtId="166" formatCode="_-* #,##0.0_-;\-* #,##0.0_-;_-* &quot;-&quot;??_-;_-@_-"/>
    <numFmt numFmtId="167" formatCode="_-* #,##0.0\ _€_-;\-* #,##0.0\ _€_-;_-* &quot;-&quot;?\ _€_-;_-@_-"/>
    <numFmt numFmtId="168" formatCode="0.0"/>
    <numFmt numFmtId="169" formatCode="[$-816]d/mmm;@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uli Light"/>
    </font>
    <font>
      <sz val="11"/>
      <color theme="1"/>
      <name val="Muli Light"/>
    </font>
    <font>
      <sz val="10"/>
      <color theme="1"/>
      <name val="Muli Light"/>
    </font>
    <font>
      <sz val="9"/>
      <color theme="1"/>
      <name val="Muli Light"/>
    </font>
    <font>
      <sz val="10"/>
      <color theme="1"/>
      <name val="Trebuchet MS"/>
      <family val="2"/>
    </font>
    <font>
      <sz val="10"/>
      <color theme="1"/>
      <name val="Arial"/>
      <family val="2"/>
    </font>
    <font>
      <sz val="9"/>
      <name val="Muli Light"/>
    </font>
    <font>
      <b/>
      <sz val="9"/>
      <name val="Muli Light"/>
    </font>
    <font>
      <b/>
      <sz val="10"/>
      <color theme="1"/>
      <name val="Muli Light"/>
    </font>
    <font>
      <b/>
      <sz val="9"/>
      <color theme="1"/>
      <name val="Muli Light"/>
    </font>
    <font>
      <sz val="9"/>
      <color theme="1" tint="0.249977111117893"/>
      <name val="Muli Light"/>
    </font>
    <font>
      <sz val="9"/>
      <color theme="0"/>
      <name val="Muli Light"/>
    </font>
    <font>
      <b/>
      <sz val="9"/>
      <color theme="2"/>
      <name val="Muli Light"/>
    </font>
    <font>
      <i/>
      <sz val="9"/>
      <color theme="1"/>
      <name val="Muli Light"/>
    </font>
    <font>
      <sz val="8"/>
      <color theme="1"/>
      <name val="Muli Light"/>
    </font>
    <font>
      <i/>
      <sz val="11"/>
      <color theme="1"/>
      <name val="Muli Light"/>
    </font>
    <font>
      <i/>
      <sz val="10"/>
      <color theme="1"/>
      <name val="Muli Light"/>
    </font>
    <font>
      <sz val="11"/>
      <color rgb="FF0070C0"/>
      <name val="Muli Light"/>
    </font>
    <font>
      <sz val="9"/>
      <color theme="0" tint="-0.14999847407452621"/>
      <name val="Muli Light"/>
    </font>
    <font>
      <sz val="8"/>
      <color theme="0"/>
      <name val="Muli Light"/>
    </font>
    <font>
      <sz val="8"/>
      <color theme="0" tint="-0.14999847407452621"/>
      <name val="Muli Light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rgb="FFFFC000"/>
      <name val="Muli Light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7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Muli Light"/>
    </font>
    <font>
      <sz val="9"/>
      <color theme="3" tint="0.39997558519241921"/>
      <name val="Muli Light"/>
    </font>
    <font>
      <b/>
      <sz val="9"/>
      <color theme="3" tint="0.39997558519241921"/>
      <name val="Muli Light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2499465926084170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 style="thin">
        <color theme="0" tint="-0.2499465926084170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2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3" fillId="0" borderId="3" xfId="0" applyFont="1" applyBorder="1"/>
    <xf numFmtId="0" fontId="4" fillId="0" borderId="4" xfId="0" applyFont="1" applyBorder="1" applyAlignment="1">
      <alignment horizontal="left" indent="1"/>
    </xf>
    <xf numFmtId="0" fontId="3" fillId="0" borderId="5" xfId="0" applyFont="1" applyBorder="1"/>
    <xf numFmtId="0" fontId="3" fillId="0" borderId="6" xfId="0" applyFont="1" applyBorder="1"/>
    <xf numFmtId="0" fontId="2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8" fillId="3" borderId="0" xfId="3" applyFont="1" applyFill="1" applyAlignment="1" applyProtection="1">
      <alignment vertical="center"/>
      <protection locked="0"/>
    </xf>
    <xf numFmtId="0" fontId="9" fillId="3" borderId="0" xfId="3" applyFont="1" applyFill="1" applyAlignment="1" applyProtection="1">
      <alignment horizontal="center" vertical="center"/>
      <protection locked="0"/>
    </xf>
    <xf numFmtId="0" fontId="4" fillId="0" borderId="0" xfId="4" applyFont="1"/>
    <xf numFmtId="0" fontId="8" fillId="3" borderId="0" xfId="3" applyFont="1" applyFill="1" applyAlignment="1" applyProtection="1">
      <alignment horizontal="centerContinuous" vertical="center"/>
      <protection locked="0"/>
    </xf>
    <xf numFmtId="0" fontId="10" fillId="3" borderId="0" xfId="4" applyFont="1" applyFill="1" applyAlignment="1">
      <alignment horizontal="centerContinuous" vertical="center"/>
    </xf>
    <xf numFmtId="0" fontId="11" fillId="3" borderId="0" xfId="3" applyFont="1" applyFill="1" applyAlignment="1" applyProtection="1">
      <alignment horizontal="centerContinuous" vertical="center"/>
      <protection locked="0"/>
    </xf>
    <xf numFmtId="0" fontId="4" fillId="3" borderId="0" xfId="3" applyFont="1" applyFill="1" applyAlignment="1" applyProtection="1">
      <alignment horizontal="centerContinuous" vertical="center"/>
      <protection locked="0"/>
    </xf>
    <xf numFmtId="0" fontId="12" fillId="3" borderId="0" xfId="3" applyFont="1" applyFill="1" applyAlignment="1" applyProtection="1">
      <alignment horizontal="centerContinuous" vertical="center"/>
      <protection locked="0"/>
    </xf>
    <xf numFmtId="0" fontId="13" fillId="4" borderId="0" xfId="3" applyFont="1" applyFill="1" applyAlignment="1" applyProtection="1">
      <alignment vertical="center"/>
      <protection locked="0"/>
    </xf>
    <xf numFmtId="0" fontId="5" fillId="4" borderId="0" xfId="5" applyFont="1" applyFill="1" applyAlignment="1">
      <alignment horizontal="center"/>
    </xf>
    <xf numFmtId="0" fontId="3" fillId="0" borderId="0" xfId="5" applyFont="1"/>
    <xf numFmtId="0" fontId="5" fillId="0" borderId="0" xfId="5" applyFont="1"/>
    <xf numFmtId="0" fontId="14" fillId="5" borderId="14" xfId="5" applyFont="1" applyFill="1" applyBorder="1" applyAlignment="1">
      <alignment horizontal="center" vertical="center" wrapText="1" readingOrder="1"/>
    </xf>
    <xf numFmtId="0" fontId="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 indent="1"/>
    </xf>
    <xf numFmtId="0" fontId="10" fillId="0" borderId="0" xfId="0" applyFont="1"/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4" fillId="0" borderId="0" xfId="1" applyFont="1"/>
    <xf numFmtId="43" fontId="3" fillId="0" borderId="1" xfId="1" applyFont="1" applyBorder="1"/>
    <xf numFmtId="164" fontId="3" fillId="0" borderId="0" xfId="0" applyNumberFormat="1" applyFont="1"/>
    <xf numFmtId="43" fontId="3" fillId="0" borderId="0" xfId="0" applyNumberFormat="1" applyFont="1"/>
    <xf numFmtId="2" fontId="10" fillId="0" borderId="0" xfId="0" applyNumberFormat="1" applyFont="1"/>
    <xf numFmtId="0" fontId="19" fillId="0" borderId="0" xfId="0" applyFont="1"/>
    <xf numFmtId="0" fontId="11" fillId="3" borderId="0" xfId="0" applyFont="1" applyFill="1" applyAlignment="1">
      <alignment horizontal="center" vertical="center"/>
    </xf>
    <xf numFmtId="0" fontId="20" fillId="0" borderId="0" xfId="0" applyFont="1"/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 indent="2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indent="2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 indent="2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2" borderId="0" xfId="0" applyFont="1" applyFill="1"/>
    <xf numFmtId="0" fontId="11" fillId="2" borderId="16" xfId="0" applyFont="1" applyFill="1" applyBorder="1" applyAlignment="1">
      <alignment horizontal="left"/>
    </xf>
    <xf numFmtId="0" fontId="11" fillId="2" borderId="16" xfId="0" applyFont="1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/>
    <xf numFmtId="0" fontId="11" fillId="2" borderId="19" xfId="0" applyFont="1" applyFill="1" applyBorder="1" applyAlignment="1">
      <alignment horizontal="left"/>
    </xf>
    <xf numFmtId="0" fontId="11" fillId="2" borderId="19" xfId="0" applyFont="1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0" borderId="10" xfId="2" applyFont="1" applyBorder="1" applyAlignment="1">
      <alignment horizontal="centerContinuous" vertical="center"/>
    </xf>
    <xf numFmtId="0" fontId="2" fillId="0" borderId="12" xfId="2" applyFont="1" applyBorder="1" applyAlignment="1">
      <alignment horizontal="centerContinuous" vertical="center"/>
    </xf>
    <xf numFmtId="0" fontId="2" fillId="0" borderId="13" xfId="2" applyFont="1" applyBorder="1" applyAlignment="1">
      <alignment horizontal="centerContinuous" vertical="center"/>
    </xf>
    <xf numFmtId="0" fontId="3" fillId="0" borderId="0" xfId="2" applyFont="1" applyAlignment="1">
      <alignment horizontal="left"/>
    </xf>
    <xf numFmtId="165" fontId="3" fillId="0" borderId="20" xfId="2" applyNumberFormat="1" applyFont="1" applyBorder="1" applyAlignment="1">
      <alignment horizontal="center" vertical="center"/>
    </xf>
    <xf numFmtId="165" fontId="3" fillId="0" borderId="21" xfId="2" applyNumberFormat="1" applyFont="1" applyBorder="1" applyAlignment="1">
      <alignment horizontal="center" vertical="center"/>
    </xf>
    <xf numFmtId="0" fontId="5" fillId="0" borderId="2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6" fillId="0" borderId="0" xfId="5" applyFont="1"/>
    <xf numFmtId="0" fontId="14" fillId="5" borderId="30" xfId="5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 indent="2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165" fontId="3" fillId="0" borderId="31" xfId="2" applyNumberFormat="1" applyFont="1" applyBorder="1" applyAlignment="1">
      <alignment horizontal="center" vertical="center"/>
    </xf>
    <xf numFmtId="0" fontId="5" fillId="6" borderId="0" xfId="0" applyFont="1" applyFill="1"/>
    <xf numFmtId="0" fontId="5" fillId="6" borderId="22" xfId="0" applyFont="1" applyFill="1" applyBorder="1"/>
    <xf numFmtId="0" fontId="11" fillId="6" borderId="0" xfId="0" applyFont="1" applyFill="1"/>
    <xf numFmtId="0" fontId="5" fillId="6" borderId="25" xfId="0" applyFont="1" applyFill="1" applyBorder="1"/>
    <xf numFmtId="0" fontId="5" fillId="6" borderId="28" xfId="0" applyFont="1" applyFill="1" applyBorder="1"/>
    <xf numFmtId="0" fontId="21" fillId="5" borderId="0" xfId="5" applyFont="1" applyFill="1" applyAlignment="1">
      <alignment horizontal="centerContinuous"/>
    </xf>
    <xf numFmtId="0" fontId="21" fillId="0" borderId="0" xfId="5" applyFont="1" applyAlignment="1">
      <alignment horizontal="centerContinuous"/>
    </xf>
    <xf numFmtId="0" fontId="2" fillId="0" borderId="0" xfId="2" applyFont="1" applyAlignment="1">
      <alignment horizontal="centerContinuous" vertical="center"/>
    </xf>
    <xf numFmtId="165" fontId="3" fillId="0" borderId="0" xfId="2" applyNumberFormat="1" applyFont="1" applyAlignment="1">
      <alignment horizontal="center" vertical="center"/>
    </xf>
    <xf numFmtId="0" fontId="5" fillId="0" borderId="23" xfId="0" applyFont="1" applyBorder="1"/>
    <xf numFmtId="0" fontId="11" fillId="0" borderId="0" xfId="0" applyFont="1"/>
    <xf numFmtId="0" fontId="5" fillId="0" borderId="32" xfId="0" applyFont="1" applyBorder="1"/>
    <xf numFmtId="0" fontId="2" fillId="0" borderId="11" xfId="2" applyFont="1" applyBorder="1" applyAlignment="1">
      <alignment horizontal="centerContinuous" vertical="center"/>
    </xf>
    <xf numFmtId="0" fontId="5" fillId="7" borderId="0" xfId="0" applyFont="1" applyFill="1"/>
    <xf numFmtId="0" fontId="5" fillId="7" borderId="22" xfId="0" applyFont="1" applyFill="1" applyBorder="1"/>
    <xf numFmtId="0" fontId="11" fillId="7" borderId="0" xfId="0" applyFont="1" applyFill="1"/>
    <xf numFmtId="0" fontId="5" fillId="7" borderId="25" xfId="0" applyFont="1" applyFill="1" applyBorder="1"/>
    <xf numFmtId="0" fontId="5" fillId="7" borderId="28" xfId="0" applyFont="1" applyFill="1" applyBorder="1"/>
    <xf numFmtId="165" fontId="3" fillId="0" borderId="37" xfId="2" applyNumberFormat="1" applyFont="1" applyBorder="1" applyAlignment="1">
      <alignment horizontal="center" vertical="center"/>
    </xf>
    <xf numFmtId="165" fontId="3" fillId="0" borderId="38" xfId="2" applyNumberFormat="1" applyFont="1" applyBorder="1" applyAlignment="1">
      <alignment horizontal="center" vertical="center"/>
    </xf>
    <xf numFmtId="165" fontId="3" fillId="0" borderId="39" xfId="2" applyNumberFormat="1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41" xfId="0" applyFont="1" applyFill="1" applyBorder="1"/>
    <xf numFmtId="0" fontId="5" fillId="0" borderId="42" xfId="0" applyFont="1" applyBorder="1"/>
    <xf numFmtId="0" fontId="5" fillId="0" borderId="43" xfId="0" applyFont="1" applyBorder="1"/>
    <xf numFmtId="0" fontId="11" fillId="3" borderId="40" xfId="0" applyFont="1" applyFill="1" applyBorder="1"/>
    <xf numFmtId="0" fontId="11" fillId="3" borderId="41" xfId="0" applyFont="1" applyFill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165" fontId="3" fillId="6" borderId="37" xfId="2" applyNumberFormat="1" applyFont="1" applyFill="1" applyBorder="1" applyAlignment="1">
      <alignment horizontal="center" vertical="center"/>
    </xf>
    <xf numFmtId="165" fontId="3" fillId="6" borderId="38" xfId="2" applyNumberFormat="1" applyFont="1" applyFill="1" applyBorder="1" applyAlignment="1">
      <alignment horizontal="center" vertical="center"/>
    </xf>
    <xf numFmtId="165" fontId="3" fillId="6" borderId="39" xfId="2" applyNumberFormat="1" applyFont="1" applyFill="1" applyBorder="1" applyAlignment="1">
      <alignment horizontal="center" vertical="center"/>
    </xf>
    <xf numFmtId="0" fontId="5" fillId="6" borderId="40" xfId="0" applyFont="1" applyFill="1" applyBorder="1"/>
    <xf numFmtId="0" fontId="5" fillId="6" borderId="41" xfId="0" applyFont="1" applyFill="1" applyBorder="1"/>
    <xf numFmtId="0" fontId="5" fillId="6" borderId="42" xfId="0" applyFont="1" applyFill="1" applyBorder="1"/>
    <xf numFmtId="0" fontId="5" fillId="6" borderId="43" xfId="0" applyFont="1" applyFill="1" applyBorder="1"/>
    <xf numFmtId="0" fontId="11" fillId="6" borderId="40" xfId="0" applyFont="1" applyFill="1" applyBorder="1"/>
    <xf numFmtId="0" fontId="11" fillId="6" borderId="41" xfId="0" applyFont="1" applyFill="1" applyBorder="1"/>
    <xf numFmtId="0" fontId="5" fillId="6" borderId="44" xfId="0" applyFont="1" applyFill="1" applyBorder="1"/>
    <xf numFmtId="0" fontId="5" fillId="6" borderId="45" xfId="0" applyFont="1" applyFill="1" applyBorder="1"/>
    <xf numFmtId="0" fontId="5" fillId="6" borderId="46" xfId="0" applyFont="1" applyFill="1" applyBorder="1"/>
    <xf numFmtId="0" fontId="5" fillId="6" borderId="47" xfId="0" applyFont="1" applyFill="1" applyBorder="1"/>
    <xf numFmtId="0" fontId="5" fillId="6" borderId="48" xfId="0" applyFont="1" applyFill="1" applyBorder="1"/>
    <xf numFmtId="0" fontId="5" fillId="6" borderId="49" xfId="0" applyFont="1" applyFill="1" applyBorder="1"/>
    <xf numFmtId="0" fontId="5" fillId="6" borderId="50" xfId="0" applyFont="1" applyFill="1" applyBorder="1"/>
    <xf numFmtId="165" fontId="3" fillId="0" borderId="33" xfId="2" applyNumberFormat="1" applyFont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165" fontId="3" fillId="6" borderId="51" xfId="2" applyNumberFormat="1" applyFont="1" applyFill="1" applyBorder="1" applyAlignment="1">
      <alignment horizontal="center" vertical="center"/>
    </xf>
    <xf numFmtId="165" fontId="3" fillId="7" borderId="37" xfId="2" applyNumberFormat="1" applyFont="1" applyFill="1" applyBorder="1" applyAlignment="1">
      <alignment horizontal="center" vertical="center"/>
    </xf>
    <xf numFmtId="0" fontId="5" fillId="7" borderId="40" xfId="0" applyFont="1" applyFill="1" applyBorder="1"/>
    <xf numFmtId="0" fontId="5" fillId="7" borderId="42" xfId="0" applyFont="1" applyFill="1" applyBorder="1"/>
    <xf numFmtId="0" fontId="11" fillId="7" borderId="40" xfId="0" applyFont="1" applyFill="1" applyBorder="1"/>
    <xf numFmtId="0" fontId="5" fillId="7" borderId="44" xfId="0" applyFont="1" applyFill="1" applyBorder="1"/>
    <xf numFmtId="0" fontId="5" fillId="7" borderId="46" xfId="0" applyFont="1" applyFill="1" applyBorder="1"/>
    <xf numFmtId="0" fontId="5" fillId="7" borderId="48" xfId="0" applyFont="1" applyFill="1" applyBorder="1"/>
    <xf numFmtId="165" fontId="3" fillId="0" borderId="52" xfId="2" applyNumberFormat="1" applyFont="1" applyBorder="1" applyAlignment="1">
      <alignment horizontal="center" vertical="center"/>
    </xf>
    <xf numFmtId="0" fontId="5" fillId="0" borderId="53" xfId="0" applyFont="1" applyBorder="1"/>
    <xf numFmtId="165" fontId="3" fillId="7" borderId="38" xfId="2" applyNumberFormat="1" applyFont="1" applyFill="1" applyBorder="1" applyAlignment="1">
      <alignment horizontal="center" vertical="center"/>
    </xf>
    <xf numFmtId="0" fontId="5" fillId="7" borderId="49" xfId="0" applyFont="1" applyFill="1" applyBorder="1"/>
    <xf numFmtId="0" fontId="13" fillId="5" borderId="0" xfId="5" applyFont="1" applyFill="1" applyAlignment="1">
      <alignment horizontal="centerContinuous"/>
    </xf>
    <xf numFmtId="0" fontId="20" fillId="0" borderId="0" xfId="5" applyFont="1"/>
    <xf numFmtId="0" fontId="22" fillId="0" borderId="0" xfId="5" applyFont="1"/>
    <xf numFmtId="0" fontId="5" fillId="0" borderId="25" xfId="0" quotePrefix="1" applyFont="1" applyBorder="1"/>
    <xf numFmtId="0" fontId="24" fillId="0" borderId="0" xfId="0" applyFont="1"/>
    <xf numFmtId="0" fontId="0" fillId="0" borderId="0" xfId="0" applyAlignment="1">
      <alignment horizontal="left" indent="2"/>
    </xf>
    <xf numFmtId="0" fontId="23" fillId="0" borderId="0" xfId="0" applyFont="1"/>
    <xf numFmtId="0" fontId="25" fillId="0" borderId="0" xfId="0" applyFont="1"/>
    <xf numFmtId="0" fontId="26" fillId="0" borderId="0" xfId="0" applyFont="1"/>
    <xf numFmtId="43" fontId="2" fillId="0" borderId="0" xfId="0" applyNumberFormat="1" applyFont="1"/>
    <xf numFmtId="166" fontId="2" fillId="0" borderId="0" xfId="0" applyNumberFormat="1" applyFont="1"/>
    <xf numFmtId="43" fontId="3" fillId="8" borderId="0" xfId="0" applyNumberFormat="1" applyFont="1" applyFill="1"/>
    <xf numFmtId="167" fontId="3" fillId="0" borderId="0" xfId="0" applyNumberFormat="1" applyFont="1"/>
    <xf numFmtId="0" fontId="27" fillId="0" borderId="1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4" fillId="0" borderId="0" xfId="1" applyFont="1" applyFill="1"/>
    <xf numFmtId="166" fontId="3" fillId="0" borderId="0" xfId="0" applyNumberFormat="1" applyFont="1"/>
    <xf numFmtId="2" fontId="3" fillId="0" borderId="0" xfId="0" applyNumberFormat="1" applyFont="1"/>
    <xf numFmtId="0" fontId="0" fillId="9" borderId="0" xfId="0" applyFill="1"/>
    <xf numFmtId="0" fontId="3" fillId="9" borderId="0" xfId="0" applyFont="1" applyFill="1"/>
    <xf numFmtId="0" fontId="29" fillId="0" borderId="0" xfId="0" applyFont="1"/>
    <xf numFmtId="164" fontId="24" fillId="0" borderId="0" xfId="0" applyNumberFormat="1" applyFont="1"/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left"/>
    </xf>
    <xf numFmtId="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28" fillId="9" borderId="0" xfId="0" applyFont="1" applyFill="1" applyAlignment="1">
      <alignment horizontal="center"/>
    </xf>
    <xf numFmtId="168" fontId="24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0" fontId="0" fillId="10" borderId="0" xfId="0" applyFill="1"/>
    <xf numFmtId="0" fontId="28" fillId="10" borderId="0" xfId="0" applyFont="1" applyFill="1" applyAlignment="1">
      <alignment horizontal="center"/>
    </xf>
    <xf numFmtId="1" fontId="30" fillId="10" borderId="0" xfId="0" applyNumberFormat="1" applyFont="1" applyFill="1" applyAlignment="1">
      <alignment horizontal="center" vertical="center"/>
    </xf>
    <xf numFmtId="169" fontId="31" fillId="0" borderId="11" xfId="0" applyNumberFormat="1" applyFont="1" applyBorder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0" fillId="11" borderId="0" xfId="0" applyFill="1"/>
    <xf numFmtId="169" fontId="31" fillId="0" borderId="0" xfId="0" applyNumberFormat="1" applyFont="1" applyAlignment="1">
      <alignment horizontal="center" vertical="center"/>
    </xf>
    <xf numFmtId="0" fontId="32" fillId="9" borderId="0" xfId="0" applyFont="1" applyFill="1"/>
    <xf numFmtId="0" fontId="32" fillId="0" borderId="0" xfId="0" applyFont="1"/>
    <xf numFmtId="0" fontId="28" fillId="8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33" fillId="0" borderId="0" xfId="0" applyFont="1"/>
    <xf numFmtId="169" fontId="34" fillId="0" borderId="11" xfId="0" applyNumberFormat="1" applyFont="1" applyBorder="1" applyAlignment="1">
      <alignment horizontal="center" vertical="center"/>
    </xf>
    <xf numFmtId="0" fontId="35" fillId="0" borderId="0" xfId="0" applyFont="1"/>
    <xf numFmtId="169" fontId="34" fillId="0" borderId="0" xfId="0" applyNumberFormat="1" applyFont="1" applyAlignment="1">
      <alignment horizontal="center" vertical="center"/>
    </xf>
    <xf numFmtId="0" fontId="33" fillId="9" borderId="0" xfId="0" applyFont="1" applyFill="1"/>
    <xf numFmtId="0" fontId="36" fillId="1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33" fillId="10" borderId="0" xfId="0" applyFont="1" applyFill="1"/>
    <xf numFmtId="0" fontId="36" fillId="9" borderId="0" xfId="0" applyFont="1" applyFill="1" applyAlignment="1">
      <alignment horizontal="center"/>
    </xf>
    <xf numFmtId="1" fontId="37" fillId="10" borderId="0" xfId="0" applyNumberFormat="1" applyFont="1" applyFill="1" applyAlignment="1">
      <alignment horizontal="center" vertical="center"/>
    </xf>
    <xf numFmtId="0" fontId="7" fillId="0" borderId="0" xfId="0" applyFont="1"/>
    <xf numFmtId="1" fontId="37" fillId="0" borderId="0" xfId="0" applyNumberFormat="1" applyFont="1" applyAlignment="1">
      <alignment horizontal="center" vertical="center"/>
    </xf>
    <xf numFmtId="0" fontId="38" fillId="9" borderId="0" xfId="0" applyFont="1" applyFill="1"/>
    <xf numFmtId="0" fontId="38" fillId="0" borderId="0" xfId="0" applyFont="1"/>
    <xf numFmtId="168" fontId="37" fillId="0" borderId="0" xfId="0" applyNumberFormat="1" applyFont="1" applyAlignment="1">
      <alignment horizontal="center" vertical="center"/>
    </xf>
    <xf numFmtId="169" fontId="31" fillId="9" borderId="0" xfId="0" applyNumberFormat="1" applyFont="1" applyFill="1" applyAlignment="1">
      <alignment horizontal="center" vertical="center"/>
    </xf>
    <xf numFmtId="0" fontId="39" fillId="0" borderId="0" xfId="0" applyFont="1"/>
    <xf numFmtId="0" fontId="30" fillId="0" borderId="0" xfId="0" applyFont="1"/>
    <xf numFmtId="0" fontId="40" fillId="0" borderId="0" xfId="0" applyFont="1"/>
    <xf numFmtId="0" fontId="41" fillId="10" borderId="0" xfId="0" applyFont="1" applyFill="1" applyAlignment="1">
      <alignment horizontal="center"/>
    </xf>
    <xf numFmtId="1" fontId="30" fillId="0" borderId="0" xfId="0" applyNumberFormat="1" applyFont="1"/>
    <xf numFmtId="1" fontId="40" fillId="0" borderId="0" xfId="0" applyNumberFormat="1" applyFont="1"/>
    <xf numFmtId="10" fontId="11" fillId="3" borderId="0" xfId="6" applyNumberFormat="1" applyFont="1" applyFill="1"/>
    <xf numFmtId="10" fontId="5" fillId="0" borderId="16" xfId="0" applyNumberFormat="1" applyFont="1" applyBorder="1"/>
    <xf numFmtId="10" fontId="5" fillId="2" borderId="19" xfId="6" applyNumberFormat="1" applyFont="1" applyFill="1" applyBorder="1"/>
    <xf numFmtId="10" fontId="11" fillId="2" borderId="19" xfId="6" applyNumberFormat="1" applyFont="1" applyFill="1" applyBorder="1"/>
    <xf numFmtId="0" fontId="42" fillId="0" borderId="25" xfId="0" applyFont="1" applyBorder="1"/>
    <xf numFmtId="0" fontId="42" fillId="0" borderId="45" xfId="0" applyFont="1" applyBorder="1"/>
    <xf numFmtId="0" fontId="42" fillId="0" borderId="44" xfId="0" applyFont="1" applyBorder="1"/>
    <xf numFmtId="0" fontId="42" fillId="0" borderId="28" xfId="0" applyFont="1" applyBorder="1"/>
    <xf numFmtId="0" fontId="42" fillId="0" borderId="47" xfId="0" applyFont="1" applyBorder="1"/>
    <xf numFmtId="0" fontId="42" fillId="0" borderId="46" xfId="0" applyFont="1" applyBorder="1"/>
    <xf numFmtId="0" fontId="42" fillId="0" borderId="32" xfId="0" applyFont="1" applyBorder="1"/>
    <xf numFmtId="0" fontId="43" fillId="0" borderId="25" xfId="0" applyFont="1" applyBorder="1"/>
    <xf numFmtId="0" fontId="43" fillId="0" borderId="45" xfId="0" applyFont="1" applyBorder="1"/>
    <xf numFmtId="0" fontId="43" fillId="0" borderId="44" xfId="0" applyFont="1" applyBorder="1"/>
    <xf numFmtId="0" fontId="43" fillId="0" borderId="32" xfId="0" applyFont="1" applyBorder="1"/>
    <xf numFmtId="0" fontId="43" fillId="7" borderId="25" xfId="0" applyFont="1" applyFill="1" applyBorder="1"/>
    <xf numFmtId="0" fontId="43" fillId="0" borderId="0" xfId="0" applyFont="1"/>
    <xf numFmtId="0" fontId="43" fillId="0" borderId="28" xfId="0" applyFont="1" applyBorder="1"/>
    <xf numFmtId="0" fontId="43" fillId="0" borderId="47" xfId="0" applyFont="1" applyBorder="1"/>
    <xf numFmtId="0" fontId="43" fillId="0" borderId="46" xfId="0" applyFont="1" applyBorder="1"/>
    <xf numFmtId="0" fontId="43" fillId="7" borderId="28" xfId="0" applyFont="1" applyFill="1" applyBorder="1"/>
    <xf numFmtId="0" fontId="44" fillId="3" borderId="0" xfId="0" applyFont="1" applyFill="1"/>
    <xf numFmtId="0" fontId="44" fillId="3" borderId="41" xfId="0" applyFont="1" applyFill="1" applyBorder="1"/>
    <xf numFmtId="0" fontId="44" fillId="3" borderId="40" xfId="0" applyFont="1" applyFill="1" applyBorder="1"/>
    <xf numFmtId="0" fontId="43" fillId="0" borderId="50" xfId="0" applyFont="1" applyBorder="1"/>
    <xf numFmtId="0" fontId="43" fillId="0" borderId="48" xfId="0" applyFont="1" applyBorder="1"/>
    <xf numFmtId="0" fontId="43" fillId="0" borderId="49" xfId="0" applyFont="1" applyBorder="1"/>
  </cellXfs>
  <cellStyles count="7">
    <cellStyle name="Comma" xfId="1" builtinId="3"/>
    <cellStyle name="Normal" xfId="0" builtinId="0"/>
    <cellStyle name="Normal 2" xfId="4" xr:uid="{00000000-0005-0000-0000-000002000000}"/>
    <cellStyle name="Normal 2 18" xfId="3" xr:uid="{00000000-0005-0000-0000-000003000000}"/>
    <cellStyle name="Normal 2 2" xfId="5" xr:uid="{00000000-0005-0000-0000-000004000000}"/>
    <cellStyle name="Normal 36 3 2" xfId="2" xr:uid="{00000000-0005-0000-0000-000005000000}"/>
    <cellStyle name="Percent" xfId="6" builtinId="5"/>
  </cellStyles>
  <dxfs count="12"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ia, Hugo Alexandre" id="{61914E10-313F-40D9-9CD6-184D86E5F8C3}" userId="S::hreia@neyond.pt::dee69c61-2ac7-4b82-bc09-1c91e89a6358" providerId="AD"/>
  <person displayName="Freire, Catarina Lopes" id="{F4FD3984-AF6B-4AD8-B9A4-1328DC004AA6}" userId="S::cfreire@neyond.pt::ddca15c1-05cd-4dd1-99e2-6430845d19b2" providerId="AD"/>
  <person displayName="Caguerelho, Ana Rita" id="{F72D3D92-C764-4541-B5C7-EF1ED822CC63}" userId="S::acaguerelho@neyond.pt::7b95d777-22bb-4b12-8360-afcdb5cf1abd" providerId="AD"/>
</personList>
</file>

<file path=xl/theme/theme1.xml><?xml version="1.0" encoding="utf-8"?>
<a:theme xmlns:a="http://schemas.openxmlformats.org/drawingml/2006/main" name="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11" dT="2023-10-20T09:14:35.34" personId="{F72D3D92-C764-4541-B5C7-EF1ED822CC63}" id="{11DBC03A-F4E9-4554-B014-3DA68B46788C}">
    <text>Info Gloval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D11" dT="2023-10-20T09:14:35.34" personId="{F72D3D92-C764-4541-B5C7-EF1ED822CC63}" id="{11DBC03A-F4E9-4555-B014-3DA68B46788C}">
    <text>Info Gloval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8" dT="2023-10-25T16:24:02.26" personId="{61914E10-313F-40D9-9CD6-184D86E5F8C3}" id="{AB9DBA90-EA7F-4364-A170-984B7CC7A253}">
    <text>1h</text>
  </threadedComment>
  <threadedComment ref="H9" dT="2023-10-25T16:24:29.35" personId="{61914E10-313F-40D9-9CD6-184D86E5F8C3}" id="{E8889D3F-ECFD-46D0-B5A5-865A8822F472}">
    <text>2h</text>
  </threadedComment>
  <threadedComment ref="H10" dT="2023-10-25T16:24:12.04" personId="{61914E10-313F-40D9-9CD6-184D86E5F8C3}" id="{BC466744-7B15-4341-A677-FEE6A3BE4D53}">
    <text>4h</text>
  </threadedComment>
  <threadedComment ref="M15" dT="2023-10-27T17:44:15.64" personId="{F4FD3984-AF6B-4AD8-B9A4-1328DC004AA6}" id="{8A65DC64-4109-413D-9B81-E69F8F25B096}">
    <text>Horas para ajustes manuais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4721BAFB-BD50-4788-91F8-5B6BC4D73EF8}">
    <text>Tem em conta conciliação face a Green Dashboard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89500042-7C58-464F-B0E2-78344DE261E3}">
    <text>Tem em conta conciliação face a Green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FE1048555"/>
  <sheetViews>
    <sheetView showGridLines="0" topLeftCell="AM37" zoomScale="60" zoomScaleNormal="60" workbookViewId="0">
      <selection activeCell="BN45" sqref="BN45:BO54"/>
    </sheetView>
  </sheetViews>
  <sheetFormatPr defaultColWidth="9.1796875" defaultRowHeight="11.5" outlineLevelRow="1"/>
  <cols>
    <col min="1" max="1" width="3.7265625" style="29" customWidth="1"/>
    <col min="2" max="2" width="9.1796875" style="29"/>
    <col min="3" max="3" width="70.7265625" style="29" customWidth="1"/>
    <col min="4" max="4" width="15.7265625" style="29" customWidth="1"/>
    <col min="5" max="5" width="15.7265625" style="29" hidden="1" customWidth="1"/>
    <col min="6" max="6" width="15.7265625" style="29" customWidth="1"/>
    <col min="7" max="7" width="15.7265625" style="29" hidden="1" customWidth="1"/>
    <col min="8" max="8" width="6.54296875" style="29" bestFit="1" customWidth="1"/>
    <col min="9" max="25" width="5.7265625" style="29" hidden="1" customWidth="1"/>
    <col min="26" max="26" width="0.54296875" style="29" hidden="1" customWidth="1"/>
    <col min="27" max="31" width="5.7265625" style="29" hidden="1" customWidth="1"/>
    <col min="32" max="47" width="5.7265625" style="29" customWidth="1"/>
    <col min="48" max="48" width="0.54296875" style="29" customWidth="1"/>
    <col min="49" max="70" width="5.7265625" style="29" customWidth="1"/>
    <col min="71" max="71" width="0.54296875" style="29" customWidth="1"/>
    <col min="72" max="87" width="5.7265625" style="29" customWidth="1"/>
    <col min="88" max="88" width="5.54296875" style="29" customWidth="1"/>
    <col min="89" max="92" width="5.7265625" style="29" customWidth="1"/>
    <col min="93" max="93" width="0.54296875" style="29" customWidth="1"/>
    <col min="94" max="115" width="5.7265625" style="29" customWidth="1"/>
    <col min="116" max="116" width="0.54296875" style="29" customWidth="1"/>
    <col min="117" max="136" width="5.7265625" style="29" customWidth="1"/>
    <col min="137" max="137" width="0.54296875" style="29" customWidth="1"/>
    <col min="138" max="160" width="5.7265625" style="29" customWidth="1"/>
    <col min="161" max="161" width="0.54296875" style="29" customWidth="1"/>
    <col min="162" max="16384" width="9.179687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1</v>
      </c>
      <c r="BL6" s="155" t="b">
        <f t="shared" si="1"/>
        <v>1</v>
      </c>
      <c r="BM6" s="155" t="b">
        <f t="shared" si="1"/>
        <v>1</v>
      </c>
      <c r="BN6" s="155" t="b">
        <f t="shared" si="1"/>
        <v>1</v>
      </c>
      <c r="BO6" s="155" t="b">
        <f t="shared" si="1"/>
        <v>1</v>
      </c>
      <c r="BP6" s="155" t="b">
        <f t="shared" si="1"/>
        <v>1</v>
      </c>
      <c r="BQ6" s="155" t="b">
        <f t="shared" si="1"/>
        <v>1</v>
      </c>
      <c r="BR6" s="155" t="b">
        <f t="shared" si="1"/>
        <v>1</v>
      </c>
      <c r="BS6" s="155" t="b">
        <f t="shared" si="1"/>
        <v>0</v>
      </c>
      <c r="BT6" s="155" t="b">
        <f t="shared" si="1"/>
        <v>1</v>
      </c>
      <c r="BU6" s="155" t="b">
        <f t="shared" ref="BU6:CN6" si="2">SUM(BU13:BU96)=4</f>
        <v>1</v>
      </c>
      <c r="BV6" s="155" t="b">
        <f t="shared" si="2"/>
        <v>1</v>
      </c>
      <c r="BW6" s="155" t="b">
        <f t="shared" si="2"/>
        <v>1</v>
      </c>
      <c r="BX6" s="155" t="b">
        <f t="shared" si="2"/>
        <v>1</v>
      </c>
      <c r="BY6" s="155" t="b">
        <f t="shared" si="2"/>
        <v>1</v>
      </c>
      <c r="BZ6" s="155" t="b">
        <f t="shared" si="2"/>
        <v>1</v>
      </c>
      <c r="CA6" s="155" t="b">
        <f t="shared" si="2"/>
        <v>1</v>
      </c>
      <c r="CB6" s="155" t="b">
        <f t="shared" si="2"/>
        <v>1</v>
      </c>
      <c r="CC6" s="155" t="b">
        <f t="shared" si="2"/>
        <v>1</v>
      </c>
      <c r="CD6" s="155" t="b">
        <f t="shared" si="2"/>
        <v>1</v>
      </c>
      <c r="CE6" s="155" t="b">
        <f t="shared" si="2"/>
        <v>1</v>
      </c>
      <c r="CF6" s="155" t="b">
        <f t="shared" si="2"/>
        <v>1</v>
      </c>
      <c r="CG6" s="155" t="b">
        <f t="shared" si="2"/>
        <v>1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DU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ref="DV6:FD6" si="4">SUM(DV13:DV96)=4</f>
        <v>0</v>
      </c>
      <c r="DW6" s="155" t="b">
        <f t="shared" si="4"/>
        <v>0</v>
      </c>
      <c r="DX6" s="155" t="b">
        <f t="shared" si="4"/>
        <v>0</v>
      </c>
      <c r="DY6" s="155" t="b">
        <f t="shared" si="4"/>
        <v>0</v>
      </c>
      <c r="DZ6" s="155" t="b">
        <f t="shared" si="4"/>
        <v>0</v>
      </c>
      <c r="EA6" s="155" t="b">
        <f t="shared" si="4"/>
        <v>0</v>
      </c>
      <c r="EB6" s="155" t="b">
        <f t="shared" si="4"/>
        <v>0</v>
      </c>
      <c r="EC6" s="155" t="b">
        <f t="shared" si="4"/>
        <v>0</v>
      </c>
      <c r="ED6" s="155" t="b">
        <f t="shared" si="4"/>
        <v>0</v>
      </c>
      <c r="EE6" s="155" t="b">
        <f t="shared" si="4"/>
        <v>0</v>
      </c>
      <c r="EF6" s="155" t="b">
        <f t="shared" si="4"/>
        <v>0</v>
      </c>
      <c r="EG6" s="155" t="b">
        <f t="shared" si="4"/>
        <v>0</v>
      </c>
      <c r="EH6" s="155" t="b">
        <f t="shared" si="4"/>
        <v>0</v>
      </c>
      <c r="EI6" s="155" t="b">
        <f t="shared" si="4"/>
        <v>0</v>
      </c>
      <c r="EJ6" s="155" t="b">
        <f t="shared" si="4"/>
        <v>0</v>
      </c>
      <c r="EK6" s="155" t="b">
        <f t="shared" si="4"/>
        <v>0</v>
      </c>
      <c r="EL6" s="155" t="b">
        <f t="shared" si="4"/>
        <v>0</v>
      </c>
      <c r="EM6" s="155" t="b">
        <f t="shared" si="4"/>
        <v>0</v>
      </c>
      <c r="EN6" s="155" t="b">
        <f t="shared" si="4"/>
        <v>0</v>
      </c>
      <c r="EO6" s="155" t="b">
        <f t="shared" si="4"/>
        <v>0</v>
      </c>
      <c r="EP6" s="155" t="b">
        <f t="shared" si="4"/>
        <v>0</v>
      </c>
      <c r="EQ6" s="155" t="b">
        <f t="shared" si="4"/>
        <v>0</v>
      </c>
      <c r="ER6" s="155" t="b">
        <f t="shared" si="4"/>
        <v>0</v>
      </c>
      <c r="ES6" s="155" t="b">
        <f t="shared" si="4"/>
        <v>0</v>
      </c>
      <c r="ET6" s="155" t="b">
        <f t="shared" si="4"/>
        <v>0</v>
      </c>
      <c r="EU6" s="155" t="b">
        <f t="shared" si="4"/>
        <v>0</v>
      </c>
      <c r="EV6" s="155" t="b">
        <f t="shared" si="4"/>
        <v>0</v>
      </c>
      <c r="EW6" s="155" t="b">
        <f t="shared" si="4"/>
        <v>0</v>
      </c>
      <c r="EX6" s="155" t="b">
        <f t="shared" si="4"/>
        <v>0</v>
      </c>
      <c r="EY6" s="155" t="b">
        <f t="shared" si="4"/>
        <v>0</v>
      </c>
      <c r="EZ6" s="155" t="b">
        <f t="shared" si="4"/>
        <v>0</v>
      </c>
      <c r="FA6" s="155" t="b">
        <f t="shared" si="4"/>
        <v>0</v>
      </c>
      <c r="FB6" s="155" t="b">
        <f t="shared" si="4"/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">
      <c r="A7" s="26"/>
      <c r="B7" s="26"/>
      <c r="C7" s="26"/>
      <c r="D7" s="27"/>
      <c r="E7" s="27"/>
      <c r="F7" s="27"/>
      <c r="G7" s="27"/>
      <c r="H7" s="27"/>
      <c r="I7" s="153" t="s">
        <v>2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3</v>
      </c>
      <c r="AB7" s="153"/>
      <c r="AC7" s="153"/>
      <c r="AD7" s="153"/>
      <c r="AE7" s="153"/>
      <c r="AF7" s="153" t="s">
        <v>3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4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5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6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7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8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4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">
      <c r="B11" s="28" t="s">
        <v>9</v>
      </c>
      <c r="C11" s="28" t="s">
        <v>10</v>
      </c>
      <c r="D11" s="28" t="s">
        <v>11</v>
      </c>
      <c r="E11" s="28" t="s">
        <v>12</v>
      </c>
      <c r="F11" s="28" t="s">
        <v>13</v>
      </c>
      <c r="G11" s="81" t="s">
        <v>14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99999999999999" customHeight="1">
      <c r="A12" s="43" t="s">
        <v>15</v>
      </c>
      <c r="B12" s="57">
        <v>0</v>
      </c>
      <c r="C12" s="58" t="s">
        <v>16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99999999999999" customHeight="1" outlineLevel="1">
      <c r="A13" s="43" t="s">
        <v>17</v>
      </c>
      <c r="B13" s="44" t="str">
        <f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0.1</v>
      </c>
      <c r="C13" s="45" t="s">
        <v>18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99999999999999" customHeight="1">
      <c r="A14" s="43" t="s">
        <v>15</v>
      </c>
      <c r="B14" s="57">
        <v>1</v>
      </c>
      <c r="C14" s="58" t="s">
        <v>19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99999999999999" customHeight="1" outlineLevel="1">
      <c r="A15" s="43" t="s">
        <v>17</v>
      </c>
      <c r="B15" s="44" t="str">
        <f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1.1</v>
      </c>
      <c r="C15" s="45" t="s">
        <v>20</v>
      </c>
      <c r="D15" s="46">
        <v>2</v>
      </c>
      <c r="E15" s="47"/>
      <c r="F15" s="218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99999999999999" customHeight="1">
      <c r="A16" s="43" t="s">
        <v>15</v>
      </c>
      <c r="B16" s="61">
        <v>2</v>
      </c>
      <c r="C16" s="62" t="s">
        <v>21</v>
      </c>
      <c r="D16" s="63"/>
      <c r="E16" s="64"/>
      <c r="F16" s="220">
        <f>(9/(9+14)*F17)+(14/(9+14)*F24)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99999999999999" customHeight="1">
      <c r="A17" s="43" t="s">
        <v>22</v>
      </c>
      <c r="B17" s="30" t="str">
        <f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2.1</v>
      </c>
      <c r="C17" s="32" t="s">
        <v>23</v>
      </c>
      <c r="D17" s="42"/>
      <c r="E17" s="31"/>
      <c r="F17" s="217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99999999999999" customHeight="1" outlineLevel="1">
      <c r="A18" s="43" t="s">
        <v>17</v>
      </c>
      <c r="B18" s="44" t="str">
        <f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2.1.1</v>
      </c>
      <c r="C18" s="45" t="s">
        <v>24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99999999999999" customHeight="1" outlineLevel="1">
      <c r="A19" s="43" t="s">
        <v>17</v>
      </c>
      <c r="B19" s="48" t="str">
        <f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2.1.2</v>
      </c>
      <c r="C19" s="49" t="s">
        <v>25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99999999999999" customHeight="1" outlineLevel="1">
      <c r="A20" s="43" t="s">
        <v>17</v>
      </c>
      <c r="B20" s="48" t="str">
        <f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2.1.3</v>
      </c>
      <c r="C20" s="49" t="s">
        <v>26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99999999999999" customHeight="1" outlineLevel="1">
      <c r="A21" s="43" t="s">
        <v>17</v>
      </c>
      <c r="B21" s="48" t="str">
        <f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2.1.4</v>
      </c>
      <c r="C21" s="49" t="s">
        <v>27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99999999999999" customHeight="1" outlineLevel="1">
      <c r="A22" s="43" t="s">
        <v>17</v>
      </c>
      <c r="B22" s="48" t="str">
        <f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2.1.5</v>
      </c>
      <c r="C22" s="49" t="s">
        <v>28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99999999999999" customHeight="1" outlineLevel="1">
      <c r="A23" s="43" t="s">
        <v>17</v>
      </c>
      <c r="B23" s="52" t="str">
        <f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2.1.6</v>
      </c>
      <c r="C23" s="53" t="s">
        <v>29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99999999999999" customHeight="1">
      <c r="A24" s="43" t="s">
        <v>22</v>
      </c>
      <c r="B24" s="30" t="str">
        <f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2.2</v>
      </c>
      <c r="C24" s="32" t="s">
        <v>30</v>
      </c>
      <c r="D24" s="42"/>
      <c r="E24" s="31"/>
      <c r="F24" s="217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/>
      <c r="BW24" s="112"/>
      <c r="BX24" s="31"/>
      <c r="BY24" s="31"/>
      <c r="BZ24" s="31"/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99999999999999" customHeight="1" outlineLevel="1">
      <c r="A25" s="43" t="s">
        <v>17</v>
      </c>
      <c r="B25" s="44" t="str">
        <f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2.2.1</v>
      </c>
      <c r="C25" s="45" t="s">
        <v>31</v>
      </c>
      <c r="D25" s="46">
        <v>1</v>
      </c>
      <c r="E25" s="65" t="s">
        <v>32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1">
        <v>1</v>
      </c>
      <c r="BK25" s="222"/>
      <c r="BL25" s="223"/>
      <c r="BM25" s="221"/>
      <c r="BN25" s="221"/>
      <c r="BO25" s="75"/>
      <c r="BP25" s="115"/>
      <c r="BQ25" s="114"/>
      <c r="BR25" s="75"/>
      <c r="BS25" s="98"/>
      <c r="BT25" s="75"/>
      <c r="BU25" s="75"/>
      <c r="BV25" s="115"/>
      <c r="BW25" s="114"/>
      <c r="BX25" s="75"/>
      <c r="BY25" s="75"/>
      <c r="BZ25" s="75"/>
      <c r="CA25" s="115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99999999999999" customHeight="1" outlineLevel="1">
      <c r="A26" s="43" t="s">
        <v>17</v>
      </c>
      <c r="B26" s="48" t="str">
        <f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2.2.2</v>
      </c>
      <c r="C26" s="49" t="s">
        <v>33</v>
      </c>
      <c r="D26" s="50">
        <v>1</v>
      </c>
      <c r="E26" s="65" t="s">
        <v>32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1"/>
      <c r="BK26" s="222">
        <v>1</v>
      </c>
      <c r="BL26" s="223"/>
      <c r="BM26" s="221"/>
      <c r="BN26" s="221"/>
      <c r="BO26" s="75"/>
      <c r="BP26" s="115"/>
      <c r="BQ26" s="114"/>
      <c r="BR26" s="75"/>
      <c r="BS26" s="98"/>
      <c r="BT26" s="75"/>
      <c r="BU26" s="75"/>
      <c r="BV26" s="115"/>
      <c r="BW26" s="114"/>
      <c r="BX26" s="75"/>
      <c r="BY26" s="75"/>
      <c r="BZ26" s="75"/>
      <c r="CA26" s="115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99999999999999" customHeight="1" outlineLevel="1">
      <c r="A27" s="43" t="s">
        <v>17</v>
      </c>
      <c r="B27" s="48" t="str">
        <f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2.2.3</v>
      </c>
      <c r="C27" s="49" t="s">
        <v>34</v>
      </c>
      <c r="D27" s="50">
        <v>0</v>
      </c>
      <c r="E27" s="65" t="s">
        <v>32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1"/>
      <c r="BK27" s="222"/>
      <c r="BL27" s="223"/>
      <c r="BM27" s="221"/>
      <c r="BN27" s="221"/>
      <c r="BO27" s="75"/>
      <c r="BP27" s="115"/>
      <c r="BQ27" s="114"/>
      <c r="BR27" s="75"/>
      <c r="BS27" s="98"/>
      <c r="BT27" s="75"/>
      <c r="BU27" s="75"/>
      <c r="BV27" s="115"/>
      <c r="BW27" s="114"/>
      <c r="BX27" s="75"/>
      <c r="BY27" s="75"/>
      <c r="BZ27" s="75"/>
      <c r="CA27" s="115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99999999999999" customHeight="1" outlineLevel="1">
      <c r="A28" s="43" t="s">
        <v>17</v>
      </c>
      <c r="B28" s="48" t="str">
        <f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2.2.4</v>
      </c>
      <c r="C28" s="49" t="s">
        <v>35</v>
      </c>
      <c r="D28" s="50">
        <v>1</v>
      </c>
      <c r="E28" s="65" t="s">
        <v>32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1"/>
      <c r="BK28" s="222">
        <v>1</v>
      </c>
      <c r="BL28" s="223"/>
      <c r="BM28" s="221"/>
      <c r="BN28" s="221"/>
      <c r="BO28" s="75"/>
      <c r="BP28" s="115"/>
      <c r="BQ28" s="114"/>
      <c r="BR28" s="75"/>
      <c r="BS28" s="98"/>
      <c r="BT28" s="75"/>
      <c r="BU28" s="75"/>
      <c r="BV28" s="115"/>
      <c r="BW28" s="114"/>
      <c r="BX28" s="75"/>
      <c r="BY28" s="75"/>
      <c r="BZ28" s="75"/>
      <c r="CA28" s="115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99999999999999" customHeight="1" outlineLevel="1">
      <c r="A29" s="43" t="s">
        <v>17</v>
      </c>
      <c r="B29" s="48" t="str">
        <f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2.2.5</v>
      </c>
      <c r="C29" s="49" t="s">
        <v>36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1"/>
      <c r="BK29" s="222">
        <v>1</v>
      </c>
      <c r="BL29" s="223"/>
      <c r="BM29" s="221">
        <v>1</v>
      </c>
      <c r="BN29" s="221"/>
      <c r="BO29" s="75"/>
      <c r="BP29" s="115"/>
      <c r="BQ29" s="114"/>
      <c r="BR29" s="75"/>
      <c r="BS29" s="98"/>
      <c r="BT29" s="75"/>
      <c r="BU29" s="75"/>
      <c r="BV29" s="115"/>
      <c r="BW29" s="114"/>
      <c r="BX29" s="75"/>
      <c r="BY29" s="75"/>
      <c r="BZ29" s="75"/>
      <c r="CA29" s="115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99999999999999" customHeight="1" outlineLevel="1">
      <c r="A30" s="43" t="s">
        <v>17</v>
      </c>
      <c r="B30" s="48" t="str">
        <f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2.2.6</v>
      </c>
      <c r="C30" s="49" t="s">
        <v>37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1"/>
      <c r="BK30" s="222"/>
      <c r="BL30" s="223"/>
      <c r="BM30" s="221">
        <v>1</v>
      </c>
      <c r="BN30" s="221">
        <v>1</v>
      </c>
      <c r="BO30" s="75"/>
      <c r="BP30" s="115"/>
      <c r="BQ30" s="114"/>
      <c r="BR30" s="75"/>
      <c r="BS30" s="98"/>
      <c r="BT30" s="75"/>
      <c r="BU30" s="75"/>
      <c r="BV30" s="115"/>
      <c r="BW30" s="114"/>
      <c r="BX30" s="75"/>
      <c r="BY30" s="75"/>
      <c r="BZ30" s="75"/>
      <c r="CA30" s="115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99999999999999" customHeight="1" outlineLevel="1">
      <c r="A31" s="43" t="s">
        <v>17</v>
      </c>
      <c r="B31" s="48" t="str">
        <f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2.2.7</v>
      </c>
      <c r="C31" s="49" t="s">
        <v>38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1"/>
      <c r="BK31" s="222"/>
      <c r="BL31" s="223">
        <v>1</v>
      </c>
      <c r="BM31" s="221">
        <v>1</v>
      </c>
      <c r="BN31" s="221"/>
      <c r="BO31" s="75"/>
      <c r="BP31" s="115"/>
      <c r="BQ31" s="114"/>
      <c r="BR31" s="75"/>
      <c r="BS31" s="98"/>
      <c r="BT31" s="75"/>
      <c r="BU31" s="75"/>
      <c r="BV31" s="115"/>
      <c r="BW31" s="114"/>
      <c r="BX31" s="75"/>
      <c r="BY31" s="75"/>
      <c r="BZ31" s="75"/>
      <c r="CA31" s="115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99999999999999" customHeight="1" outlineLevel="1">
      <c r="A32" s="43" t="s">
        <v>17</v>
      </c>
      <c r="B32" s="48" t="str">
        <f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2.2.8</v>
      </c>
      <c r="C32" s="49" t="s">
        <v>39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1"/>
      <c r="BK32" s="222"/>
      <c r="BL32" s="223">
        <v>0.75</v>
      </c>
      <c r="BM32" s="221">
        <v>0.75</v>
      </c>
      <c r="BN32" s="221">
        <v>0.5</v>
      </c>
      <c r="BO32" s="75"/>
      <c r="BP32" s="115"/>
      <c r="BQ32" s="114"/>
      <c r="BR32" s="75"/>
      <c r="BS32" s="98"/>
      <c r="BT32" s="75"/>
      <c r="BU32" s="75"/>
      <c r="BV32" s="115"/>
      <c r="BW32" s="114"/>
      <c r="BX32" s="75"/>
      <c r="BY32" s="75"/>
      <c r="BZ32" s="75"/>
      <c r="CA32" s="115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99999999999999" customHeight="1" outlineLevel="1">
      <c r="A33" s="43" t="s">
        <v>17</v>
      </c>
      <c r="B33" s="48" t="str">
        <f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2.2.9</v>
      </c>
      <c r="C33" s="49" t="s">
        <v>40</v>
      </c>
      <c r="D33" s="50">
        <v>1</v>
      </c>
      <c r="E33" s="65" t="s">
        <v>32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1"/>
      <c r="BK33" s="222"/>
      <c r="BL33" s="223">
        <v>1</v>
      </c>
      <c r="BM33" s="221"/>
      <c r="BN33" s="221"/>
      <c r="BO33" s="75"/>
      <c r="BP33" s="115"/>
      <c r="BQ33" s="114"/>
      <c r="BR33" s="75"/>
      <c r="BS33" s="98"/>
      <c r="BT33" s="75"/>
      <c r="BU33" s="75"/>
      <c r="BV33" s="115"/>
      <c r="BW33" s="114"/>
      <c r="BX33" s="75"/>
      <c r="BY33" s="75"/>
      <c r="BZ33" s="75"/>
      <c r="CA33" s="115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99999999999999" customHeight="1" outlineLevel="1">
      <c r="A34" s="43" t="s">
        <v>17</v>
      </c>
      <c r="B34" s="48" t="str">
        <f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2.2.10</v>
      </c>
      <c r="C34" s="49" t="s">
        <v>41</v>
      </c>
      <c r="D34" s="50">
        <v>1</v>
      </c>
      <c r="E34" s="65" t="s">
        <v>32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1">
        <v>0.25</v>
      </c>
      <c r="BK34" s="222">
        <v>0.75</v>
      </c>
      <c r="BL34" s="223"/>
      <c r="BM34" s="221"/>
      <c r="BN34" s="221"/>
      <c r="BO34" s="75"/>
      <c r="BP34" s="115"/>
      <c r="BQ34" s="114"/>
      <c r="BR34" s="75"/>
      <c r="BS34" s="98"/>
      <c r="BT34" s="75"/>
      <c r="BU34" s="75"/>
      <c r="BV34" s="115"/>
      <c r="BW34" s="114"/>
      <c r="BX34" s="75"/>
      <c r="BY34" s="75"/>
      <c r="BZ34" s="75"/>
      <c r="CA34" s="115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99999999999999" customHeight="1" outlineLevel="1">
      <c r="A35" s="43" t="s">
        <v>17</v>
      </c>
      <c r="B35" s="52" t="str">
        <f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2.2.11</v>
      </c>
      <c r="C35" s="53" t="s">
        <v>42</v>
      </c>
      <c r="D35" s="54">
        <v>1</v>
      </c>
      <c r="E35" s="65" t="s">
        <v>32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4"/>
      <c r="BK35" s="225"/>
      <c r="BL35" s="226">
        <v>1</v>
      </c>
      <c r="BM35" s="224"/>
      <c r="BN35" s="224"/>
      <c r="BO35" s="78"/>
      <c r="BP35" s="117"/>
      <c r="BQ35" s="116"/>
      <c r="BR35" s="78"/>
      <c r="BS35" s="98"/>
      <c r="BT35" s="78"/>
      <c r="BU35" s="78"/>
      <c r="BV35" s="117"/>
      <c r="BW35" s="116"/>
      <c r="BX35" s="78"/>
      <c r="BY35" s="78"/>
      <c r="BZ35" s="78"/>
      <c r="CA35" s="11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99999999999999" customHeight="1">
      <c r="A36" s="43" t="s">
        <v>15</v>
      </c>
      <c r="B36" s="61">
        <v>3</v>
      </c>
      <c r="C36" s="62" t="s">
        <v>43</v>
      </c>
      <c r="D36" s="63"/>
      <c r="E36" s="64"/>
      <c r="F36" s="220">
        <f>(SUM(D38:D43)/SUM(D38:D43,D45:D55)*F44)+(SUM(D45:D55)/SUM(D38:D43,D45:D55)*F37)</f>
        <v>0.80656770130454336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99999999999999" customHeight="1">
      <c r="A37" s="43" t="s">
        <v>22</v>
      </c>
      <c r="B37" s="30" t="str">
        <f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3.1</v>
      </c>
      <c r="C37" s="32" t="s">
        <v>23</v>
      </c>
      <c r="D37" s="42"/>
      <c r="E37" s="31"/>
      <c r="F37" s="217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99999999999999" customHeight="1" outlineLevel="1">
      <c r="A38" s="43" t="s">
        <v>17</v>
      </c>
      <c r="B38" s="44" t="str">
        <f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3.1.1</v>
      </c>
      <c r="C38" s="45" t="s">
        <v>44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99999999999999" customHeight="1" outlineLevel="1">
      <c r="A39" s="43" t="s">
        <v>17</v>
      </c>
      <c r="B39" s="48" t="str">
        <f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3.1.2</v>
      </c>
      <c r="C39" s="49" t="s">
        <v>45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99999999999999" customHeight="1" outlineLevel="1">
      <c r="A40" s="43" t="s">
        <v>17</v>
      </c>
      <c r="B40" s="48" t="str">
        <f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3.1.3</v>
      </c>
      <c r="C40" s="49" t="s">
        <v>46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99999999999999" customHeight="1" outlineLevel="1">
      <c r="A41" s="43" t="s">
        <v>17</v>
      </c>
      <c r="B41" s="48" t="str">
        <f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3.1.4</v>
      </c>
      <c r="C41" s="49" t="s">
        <v>47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99999999999999" customHeight="1" outlineLevel="1">
      <c r="A42" s="43" t="s">
        <v>17</v>
      </c>
      <c r="B42" s="48" t="str">
        <f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3.1.5</v>
      </c>
      <c r="C42" s="49" t="s">
        <v>48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99999999999999" customHeight="1" outlineLevel="1">
      <c r="A43" s="43" t="s">
        <v>17</v>
      </c>
      <c r="B43" s="48" t="str">
        <f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3.1.6</v>
      </c>
      <c r="C43" s="49" t="s">
        <v>49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99999999999999" customHeight="1">
      <c r="A44" s="43" t="s">
        <v>22</v>
      </c>
      <c r="B44" s="30" t="str">
        <f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3.2</v>
      </c>
      <c r="C44" s="32" t="s">
        <v>30</v>
      </c>
      <c r="D44" s="42"/>
      <c r="E44" s="31"/>
      <c r="F44" s="217">
        <f>9/19</f>
        <v>0.47368421052631576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/>
      <c r="CA44" s="113"/>
      <c r="CB44" s="112"/>
      <c r="CC44" s="31"/>
      <c r="CD44" s="31"/>
      <c r="CE44" s="31"/>
      <c r="CF44" s="113"/>
      <c r="CG44" s="112"/>
      <c r="CH44" s="31"/>
      <c r="CI44" s="31"/>
      <c r="CJ44" s="31"/>
      <c r="CK44" s="113"/>
      <c r="CL44" s="112"/>
      <c r="CM44" s="31"/>
      <c r="CN44" s="31"/>
      <c r="CO44" s="97"/>
      <c r="CP44" s="102"/>
      <c r="CQ44" s="113"/>
      <c r="CR44" s="112"/>
      <c r="CS44" s="31"/>
      <c r="CT44" s="31"/>
      <c r="CU44" s="31"/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99999999999999" customHeight="1" outlineLevel="1">
      <c r="A45" s="43" t="s">
        <v>17</v>
      </c>
      <c r="B45" s="44" t="str">
        <f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3.2.1</v>
      </c>
      <c r="C45" s="45" t="s">
        <v>31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1">
        <v>1</v>
      </c>
      <c r="BO45" s="221">
        <v>1</v>
      </c>
      <c r="BP45" s="222">
        <v>1</v>
      </c>
      <c r="BQ45" s="223">
        <v>1</v>
      </c>
      <c r="BR45" s="221"/>
      <c r="BS45" s="227"/>
      <c r="BT45" s="221"/>
      <c r="BU45" s="221"/>
      <c r="BV45" s="222"/>
      <c r="BW45" s="223"/>
      <c r="BX45" s="221"/>
      <c r="BY45" s="221"/>
      <c r="BZ45" s="221"/>
      <c r="CA45" s="222"/>
      <c r="CB45" s="223"/>
      <c r="CC45" s="221"/>
      <c r="CD45" s="221"/>
      <c r="CE45" s="221"/>
      <c r="CF45" s="222"/>
      <c r="CG45" s="223"/>
      <c r="CH45" s="221"/>
      <c r="CI45" s="75"/>
      <c r="CJ45" s="75"/>
      <c r="CK45" s="115"/>
      <c r="CL45" s="114"/>
      <c r="CM45" s="75"/>
      <c r="CN45" s="75"/>
      <c r="CO45" s="98"/>
      <c r="CP45" s="103"/>
      <c r="CQ45" s="115"/>
      <c r="CR45" s="114"/>
      <c r="CS45" s="75"/>
      <c r="CT45" s="75"/>
      <c r="CU45" s="75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99999999999999" customHeight="1" outlineLevel="1">
      <c r="A46" s="43" t="s">
        <v>17</v>
      </c>
      <c r="B46" s="48" t="str">
        <f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3.2.2</v>
      </c>
      <c r="C46" s="49" t="s">
        <v>33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1"/>
      <c r="BO46" s="221">
        <v>1</v>
      </c>
      <c r="BP46" s="222">
        <v>1</v>
      </c>
      <c r="BQ46" s="223"/>
      <c r="BR46" s="221"/>
      <c r="BS46" s="227"/>
      <c r="BT46" s="221"/>
      <c r="BU46" s="221"/>
      <c r="BV46" s="222"/>
      <c r="BW46" s="223"/>
      <c r="BX46" s="221"/>
      <c r="BY46" s="221"/>
      <c r="BZ46" s="221"/>
      <c r="CA46" s="222"/>
      <c r="CB46" s="223"/>
      <c r="CC46" s="221"/>
      <c r="CD46" s="221"/>
      <c r="CE46" s="221"/>
      <c r="CF46" s="222"/>
      <c r="CG46" s="223"/>
      <c r="CH46" s="221"/>
      <c r="CI46" s="75"/>
      <c r="CJ46" s="75"/>
      <c r="CK46" s="115"/>
      <c r="CL46" s="114"/>
      <c r="CM46" s="75"/>
      <c r="CN46" s="75"/>
      <c r="CO46" s="98"/>
      <c r="CP46" s="103"/>
      <c r="CQ46" s="115"/>
      <c r="CR46" s="114"/>
      <c r="CS46" s="75"/>
      <c r="CT46" s="75"/>
      <c r="CU46" s="75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99999999999999" customHeight="1" outlineLevel="1">
      <c r="A47" s="43" t="s">
        <v>17</v>
      </c>
      <c r="B47" s="48" t="str">
        <f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3.2.3</v>
      </c>
      <c r="C47" s="49" t="s">
        <v>34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1"/>
      <c r="BO47" s="221"/>
      <c r="BP47" s="222"/>
      <c r="BQ47" s="223"/>
      <c r="BR47" s="221"/>
      <c r="BS47" s="227">
        <v>1</v>
      </c>
      <c r="BT47" s="221"/>
      <c r="BU47" s="221"/>
      <c r="BV47" s="222"/>
      <c r="BW47" s="223"/>
      <c r="BX47" s="221"/>
      <c r="BY47" s="221"/>
      <c r="BZ47" s="221"/>
      <c r="CA47" s="222"/>
      <c r="CB47" s="223"/>
      <c r="CC47" s="221"/>
      <c r="CD47" s="221"/>
      <c r="CE47" s="221"/>
      <c r="CF47" s="222"/>
      <c r="CG47" s="223"/>
      <c r="CH47" s="221"/>
      <c r="CJ47" s="75"/>
      <c r="CK47" s="115"/>
      <c r="CL47" s="114"/>
      <c r="CM47" s="75"/>
      <c r="CN47" s="75"/>
      <c r="CO47" s="98"/>
      <c r="CP47" s="103"/>
      <c r="CQ47" s="115"/>
      <c r="CR47" s="114"/>
      <c r="CS47" s="75"/>
      <c r="CT47" s="75"/>
      <c r="CU47" s="75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99999999999999" customHeight="1" outlineLevel="1">
      <c r="A48" s="43" t="s">
        <v>17</v>
      </c>
      <c r="B48" s="48" t="str">
        <f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3.2.4</v>
      </c>
      <c r="C48" s="49" t="s">
        <v>35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1">
        <v>1</v>
      </c>
      <c r="BO48" s="221"/>
      <c r="BP48" s="222"/>
      <c r="BQ48" s="223"/>
      <c r="BR48" s="221">
        <v>1</v>
      </c>
      <c r="BS48" s="227"/>
      <c r="BT48" s="221"/>
      <c r="BU48" s="221"/>
      <c r="BV48" s="222"/>
      <c r="BW48" s="223"/>
      <c r="BX48" s="221"/>
      <c r="BY48" s="221"/>
      <c r="BZ48" s="221"/>
      <c r="CA48" s="222"/>
      <c r="CB48" s="223"/>
      <c r="CC48" s="221"/>
      <c r="CD48" s="221"/>
      <c r="CE48" s="221"/>
      <c r="CF48" s="222"/>
      <c r="CG48" s="223"/>
      <c r="CH48" s="221"/>
      <c r="CI48" s="75"/>
      <c r="CJ48" s="75"/>
      <c r="CK48" s="115"/>
      <c r="CL48" s="114"/>
      <c r="CM48" s="75"/>
      <c r="CN48" s="75"/>
      <c r="CO48" s="98"/>
      <c r="CP48" s="103"/>
      <c r="CQ48" s="115"/>
      <c r="CR48" s="114"/>
      <c r="CS48" s="75"/>
      <c r="CT48" s="75"/>
      <c r="CU48" s="75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99999999999999" customHeight="1" outlineLevel="1">
      <c r="A49" s="43" t="s">
        <v>17</v>
      </c>
      <c r="B49" s="48" t="str">
        <f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3.2.5</v>
      </c>
      <c r="C49" s="49" t="s">
        <v>36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1"/>
      <c r="BO49" s="221"/>
      <c r="BP49" s="222"/>
      <c r="BQ49" s="223"/>
      <c r="BR49" s="221">
        <v>1</v>
      </c>
      <c r="BS49" s="227"/>
      <c r="BT49" s="221">
        <v>1</v>
      </c>
      <c r="BU49" s="221">
        <v>1</v>
      </c>
      <c r="BV49" s="222">
        <v>1</v>
      </c>
      <c r="BW49" s="223">
        <v>1</v>
      </c>
      <c r="BX49" s="221">
        <v>1</v>
      </c>
      <c r="BY49" s="221">
        <v>1</v>
      </c>
      <c r="BZ49" s="221">
        <v>1</v>
      </c>
      <c r="CA49" s="222">
        <v>1</v>
      </c>
      <c r="CB49" s="223">
        <v>1</v>
      </c>
      <c r="CC49" s="221">
        <v>1</v>
      </c>
      <c r="CD49" s="221">
        <v>1</v>
      </c>
      <c r="CE49" s="221">
        <v>1</v>
      </c>
      <c r="CF49" s="222">
        <v>1</v>
      </c>
      <c r="CG49" s="223">
        <v>1</v>
      </c>
      <c r="CH49" s="221"/>
      <c r="CI49" s="75"/>
      <c r="CJ49" s="75"/>
      <c r="CK49" s="115"/>
      <c r="CL49" s="114"/>
      <c r="CM49" s="75"/>
      <c r="CN49" s="75"/>
      <c r="CO49" s="98"/>
      <c r="CP49" s="103"/>
      <c r="CQ49" s="115"/>
      <c r="CR49" s="114"/>
      <c r="CS49" s="75"/>
      <c r="CT49" s="75"/>
      <c r="CU49" s="75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99999999999999" customHeight="1" outlineLevel="1">
      <c r="A50" s="43" t="s">
        <v>17</v>
      </c>
      <c r="B50" s="48" t="str">
        <f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3.2.6</v>
      </c>
      <c r="C50" s="49" t="s">
        <v>37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1"/>
      <c r="BO50" s="221"/>
      <c r="BP50" s="222"/>
      <c r="BQ50" s="223">
        <v>1</v>
      </c>
      <c r="BR50" s="221"/>
      <c r="BS50" s="227"/>
      <c r="BT50" s="221">
        <v>1</v>
      </c>
      <c r="BU50" s="221">
        <v>1</v>
      </c>
      <c r="BV50" s="222">
        <v>1</v>
      </c>
      <c r="BW50" s="223">
        <v>1</v>
      </c>
      <c r="BX50" s="221">
        <v>1</v>
      </c>
      <c r="BY50" s="221">
        <v>1</v>
      </c>
      <c r="BZ50" s="221">
        <v>1</v>
      </c>
      <c r="CA50" s="222">
        <v>1</v>
      </c>
      <c r="CB50" s="223">
        <v>1</v>
      </c>
      <c r="CC50" s="221">
        <v>1</v>
      </c>
      <c r="CD50" s="221">
        <v>1</v>
      </c>
      <c r="CE50" s="221">
        <v>1</v>
      </c>
      <c r="CF50" s="222">
        <v>1</v>
      </c>
      <c r="CG50" s="223">
        <v>1</v>
      </c>
      <c r="CH50" s="221"/>
      <c r="CI50" s="75"/>
      <c r="CJ50" s="75"/>
      <c r="CK50" s="115"/>
      <c r="CL50" s="114"/>
      <c r="CM50" s="75"/>
      <c r="CN50" s="75"/>
      <c r="CO50" s="98"/>
      <c r="CP50" s="103"/>
      <c r="CQ50" s="115"/>
      <c r="CR50" s="114"/>
      <c r="CS50" s="75"/>
      <c r="CT50" s="75"/>
      <c r="CU50" s="75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99999999999999" customHeight="1" outlineLevel="1">
      <c r="A51" s="43" t="s">
        <v>17</v>
      </c>
      <c r="B51" s="48" t="str">
        <f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3.2.7</v>
      </c>
      <c r="C51" s="49" t="s">
        <v>38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1"/>
      <c r="BO51" s="221"/>
      <c r="BP51" s="222"/>
      <c r="BQ51" s="223"/>
      <c r="BR51" s="221"/>
      <c r="BS51" s="227"/>
      <c r="BT51" s="221">
        <v>1</v>
      </c>
      <c r="BU51" s="221">
        <v>1</v>
      </c>
      <c r="BV51" s="222">
        <v>1</v>
      </c>
      <c r="BW51" s="223">
        <v>1</v>
      </c>
      <c r="BX51" s="221">
        <v>1</v>
      </c>
      <c r="BY51" s="221">
        <v>1</v>
      </c>
      <c r="BZ51" s="221">
        <v>1</v>
      </c>
      <c r="CA51" s="222">
        <v>1</v>
      </c>
      <c r="CB51" s="223">
        <v>1</v>
      </c>
      <c r="CC51" s="221">
        <v>1</v>
      </c>
      <c r="CD51" s="221">
        <v>1</v>
      </c>
      <c r="CE51" s="221">
        <v>1</v>
      </c>
      <c r="CF51" s="222">
        <v>1</v>
      </c>
      <c r="CG51" s="223">
        <v>1</v>
      </c>
      <c r="CH51" s="221">
        <v>1</v>
      </c>
      <c r="CI51" s="75"/>
      <c r="CJ51" s="75"/>
      <c r="CK51" s="115"/>
      <c r="CL51" s="114"/>
      <c r="CM51" s="75"/>
      <c r="CN51" s="75"/>
      <c r="CO51" s="98"/>
      <c r="CP51" s="103"/>
      <c r="CQ51" s="115"/>
      <c r="CR51" s="114"/>
      <c r="CS51" s="75"/>
      <c r="CT51" s="75"/>
      <c r="CU51" s="75"/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99999999999999" customHeight="1" outlineLevel="1">
      <c r="A52" s="43" t="s">
        <v>17</v>
      </c>
      <c r="B52" s="48" t="str">
        <f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3.2.8</v>
      </c>
      <c r="C52" s="49" t="s">
        <v>39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1">
        <v>0.25</v>
      </c>
      <c r="BO52" s="221">
        <v>0.75</v>
      </c>
      <c r="BP52" s="222">
        <v>0.75</v>
      </c>
      <c r="BQ52" s="223">
        <v>0.75</v>
      </c>
      <c r="BR52" s="221">
        <v>0.75</v>
      </c>
      <c r="BS52" s="227">
        <v>0.75</v>
      </c>
      <c r="BT52" s="221">
        <v>0.75</v>
      </c>
      <c r="BU52" s="221">
        <v>0.75</v>
      </c>
      <c r="BV52" s="222">
        <v>0.75</v>
      </c>
      <c r="BW52" s="223">
        <v>0.75</v>
      </c>
      <c r="BX52" s="221">
        <v>0.75</v>
      </c>
      <c r="BY52" s="221">
        <v>0.75</v>
      </c>
      <c r="BZ52" s="221">
        <v>0.75</v>
      </c>
      <c r="CA52" s="222">
        <v>0.75</v>
      </c>
      <c r="CB52" s="223">
        <v>0.75</v>
      </c>
      <c r="CC52" s="221">
        <v>0.75</v>
      </c>
      <c r="CD52" s="221">
        <v>0.75</v>
      </c>
      <c r="CE52" s="221">
        <v>0.75</v>
      </c>
      <c r="CF52" s="222">
        <v>0.75</v>
      </c>
      <c r="CG52" s="223">
        <v>0.75</v>
      </c>
      <c r="CH52" s="221">
        <v>0.5</v>
      </c>
      <c r="CI52" s="75"/>
      <c r="CJ52" s="75"/>
      <c r="CK52" s="115"/>
      <c r="CL52" s="114"/>
      <c r="CM52" s="75"/>
      <c r="CN52" s="75"/>
      <c r="CO52" s="98"/>
      <c r="CP52" s="103"/>
      <c r="CQ52" s="115"/>
      <c r="CR52" s="114"/>
      <c r="CS52" s="75"/>
      <c r="CT52" s="75"/>
      <c r="CU52" s="75"/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99999999999999" customHeight="1" outlineLevel="1">
      <c r="A53" s="43" t="s">
        <v>17</v>
      </c>
      <c r="B53" s="48" t="str">
        <f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3.2.9</v>
      </c>
      <c r="C53" s="49" t="s">
        <v>40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1"/>
      <c r="BO53" s="221"/>
      <c r="BP53" s="222"/>
      <c r="BQ53" s="223">
        <v>1</v>
      </c>
      <c r="BR53" s="221">
        <v>1</v>
      </c>
      <c r="BS53" s="227"/>
      <c r="BT53" s="221"/>
      <c r="BU53" s="221"/>
      <c r="BV53" s="222"/>
      <c r="BW53" s="223"/>
      <c r="BX53" s="221"/>
      <c r="BY53" s="221"/>
      <c r="BZ53" s="221"/>
      <c r="CA53" s="222"/>
      <c r="CB53" s="223"/>
      <c r="CC53" s="221"/>
      <c r="CD53" s="221"/>
      <c r="CE53" s="221"/>
      <c r="CF53" s="222"/>
      <c r="CG53" s="223"/>
      <c r="CH53" s="221"/>
      <c r="CI53" s="75"/>
      <c r="CJ53" s="75"/>
      <c r="CK53" s="115"/>
      <c r="CL53" s="114"/>
      <c r="CM53" s="75"/>
      <c r="CN53" s="75"/>
      <c r="CO53" s="98"/>
      <c r="CP53" s="103"/>
      <c r="CQ53" s="115"/>
      <c r="CR53" s="114"/>
      <c r="CS53" s="75"/>
      <c r="CT53" s="75"/>
      <c r="CU53" s="75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99999999999999" customHeight="1" outlineLevel="1">
      <c r="A54" s="43" t="s">
        <v>17</v>
      </c>
      <c r="B54" s="48" t="str">
        <f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3.2.10</v>
      </c>
      <c r="C54" s="49" t="s">
        <v>41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1"/>
      <c r="BO54" s="221">
        <v>1</v>
      </c>
      <c r="BP54" s="222">
        <v>1</v>
      </c>
      <c r="BQ54" s="223"/>
      <c r="BR54" s="221"/>
      <c r="BS54" s="227"/>
      <c r="BT54" s="221"/>
      <c r="BU54" s="221"/>
      <c r="BV54" s="222"/>
      <c r="BW54" s="223"/>
      <c r="BX54" s="221"/>
      <c r="BY54" s="221"/>
      <c r="BZ54" s="221"/>
      <c r="CA54" s="222"/>
      <c r="CB54" s="223"/>
      <c r="CC54" s="221"/>
      <c r="CD54" s="221"/>
      <c r="CE54" s="221"/>
      <c r="CF54" s="222"/>
      <c r="CG54" s="223"/>
      <c r="CH54" s="221"/>
      <c r="CI54" s="75"/>
      <c r="CJ54" s="75"/>
      <c r="CK54" s="115"/>
      <c r="CL54" s="114"/>
      <c r="CM54" s="75"/>
      <c r="CN54" s="75"/>
      <c r="CO54" s="98"/>
      <c r="CP54" s="103"/>
      <c r="CQ54" s="115"/>
      <c r="CR54" s="114"/>
      <c r="CS54" s="75"/>
      <c r="CT54" s="75"/>
      <c r="CU54" s="75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99999999999999" customHeight="1" outlineLevel="1">
      <c r="A55" s="43" t="s">
        <v>17</v>
      </c>
      <c r="B55" s="52" t="str">
        <f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3.2.11</v>
      </c>
      <c r="C55" s="53" t="s">
        <v>42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4"/>
      <c r="BO55" s="224"/>
      <c r="BP55" s="225"/>
      <c r="BQ55" s="226"/>
      <c r="BR55" s="224"/>
      <c r="BS55" s="227"/>
      <c r="BT55" s="224"/>
      <c r="BU55" s="224"/>
      <c r="BV55" s="225"/>
      <c r="BW55" s="226"/>
      <c r="BX55" s="224"/>
      <c r="BY55" s="224"/>
      <c r="BZ55" s="224"/>
      <c r="CA55" s="225"/>
      <c r="CB55" s="226"/>
      <c r="CC55" s="224"/>
      <c r="CD55" s="224"/>
      <c r="CE55" s="224"/>
      <c r="CF55" s="225"/>
      <c r="CG55" s="226"/>
      <c r="CH55" s="224">
        <v>1</v>
      </c>
      <c r="CI55" s="78"/>
      <c r="CJ55" s="78"/>
      <c r="CK55" s="117"/>
      <c r="CL55" s="116"/>
      <c r="CM55" s="78"/>
      <c r="CN55" s="78"/>
      <c r="CO55" s="98"/>
      <c r="CP55" s="104"/>
      <c r="CQ55" s="117"/>
      <c r="CR55" s="116"/>
      <c r="CS55" s="78"/>
      <c r="CT55" s="78"/>
      <c r="CU55" s="78"/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99999999999999" customHeight="1">
      <c r="A56" s="43" t="s">
        <v>15</v>
      </c>
      <c r="B56" s="61">
        <v>4</v>
      </c>
      <c r="C56" s="62" t="s">
        <v>50</v>
      </c>
      <c r="D56" s="63"/>
      <c r="E56" s="64"/>
      <c r="F56" s="219">
        <f>(SUM(D58:D63)/SUM(D58:D63,D65:D75)*F64)+(SUM(D65:D75)/SUM(D58:D63,D65:D75)*F57)</f>
        <v>0.27710843373493976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99999999999999" customHeight="1">
      <c r="A57" s="43" t="s">
        <v>22</v>
      </c>
      <c r="B57" s="30" t="str">
        <f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4.1</v>
      </c>
      <c r="C57" s="32" t="s">
        <v>23</v>
      </c>
      <c r="D57" s="42"/>
      <c r="E57" s="31"/>
      <c r="F57" s="217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99999999999999" customHeight="1" outlineLevel="1">
      <c r="A58" s="43" t="s">
        <v>17</v>
      </c>
      <c r="B58" s="44" t="str">
        <f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4.1.1</v>
      </c>
      <c r="C58" s="45" t="s">
        <v>44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99999999999999" customHeight="1" outlineLevel="1">
      <c r="A59" s="43" t="s">
        <v>17</v>
      </c>
      <c r="B59" s="48" t="str">
        <f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4.1.2</v>
      </c>
      <c r="C59" s="49" t="s">
        <v>45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99999999999999" customHeight="1" outlineLevel="1">
      <c r="A60" s="43" t="s">
        <v>17</v>
      </c>
      <c r="B60" s="48" t="str">
        <f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4.1.3</v>
      </c>
      <c r="C60" s="49" t="s">
        <v>46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99999999999999" customHeight="1" outlineLevel="1">
      <c r="A61" s="43" t="s">
        <v>17</v>
      </c>
      <c r="B61" s="48" t="str">
        <f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4.1.4</v>
      </c>
      <c r="C61" s="49" t="s">
        <v>47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99999999999999" customHeight="1" outlineLevel="1">
      <c r="A62" s="43" t="s">
        <v>17</v>
      </c>
      <c r="B62" s="48" t="str">
        <f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4.1.5</v>
      </c>
      <c r="C62" s="49" t="s">
        <v>48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99999999999999" customHeight="1" outlineLevel="1">
      <c r="A63" s="43" t="s">
        <v>17</v>
      </c>
      <c r="B63" s="48" t="str">
        <f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4.1.6</v>
      </c>
      <c r="C63" s="49" t="s">
        <v>49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99999999999999" customHeight="1">
      <c r="A64" s="43" t="s">
        <v>22</v>
      </c>
      <c r="B64" s="30" t="str">
        <f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4.2</v>
      </c>
      <c r="C64" s="32" t="s">
        <v>30</v>
      </c>
      <c r="D64" s="42"/>
      <c r="E64" s="31"/>
      <c r="F64" s="217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>
        <v>1</v>
      </c>
      <c r="CI64" s="31">
        <v>1</v>
      </c>
      <c r="CJ64" s="31">
        <v>1</v>
      </c>
      <c r="CK64" s="113">
        <v>1</v>
      </c>
      <c r="CL64" s="112">
        <v>1</v>
      </c>
      <c r="CM64" s="31">
        <v>1</v>
      </c>
      <c r="CN64" s="31"/>
      <c r="CO64" s="97"/>
      <c r="CP64" s="102"/>
      <c r="CQ64" s="113"/>
      <c r="CR64" s="112"/>
      <c r="CS64" s="31"/>
      <c r="CT64" s="31"/>
      <c r="CU64" s="31"/>
      <c r="CV64" s="113"/>
      <c r="CW64" s="112"/>
      <c r="CX64" s="31"/>
      <c r="CY64" s="31"/>
      <c r="CZ64" s="31"/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99999999999999" customHeight="1" outlineLevel="1">
      <c r="A65" s="43" t="s">
        <v>17</v>
      </c>
      <c r="B65" s="44" t="str">
        <f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4.2.1</v>
      </c>
      <c r="C65" s="45" t="s">
        <v>31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>
        <v>0.75</v>
      </c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75"/>
      <c r="CV65" s="115"/>
      <c r="CW65" s="114"/>
      <c r="CX65" s="75"/>
      <c r="CY65" s="75"/>
      <c r="CZ65" s="75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99999999999999" customHeight="1" outlineLevel="1">
      <c r="A66" s="43" t="s">
        <v>17</v>
      </c>
      <c r="B66" s="48" t="str">
        <f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4.2.2</v>
      </c>
      <c r="C66" s="49" t="s">
        <v>33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>
        <v>0.5</v>
      </c>
      <c r="CJ66" s="75">
        <v>0.25</v>
      </c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75"/>
      <c r="CV66" s="115"/>
      <c r="CW66" s="114"/>
      <c r="CX66" s="75"/>
      <c r="CY66" s="75"/>
      <c r="CZ66" s="75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99999999999999" customHeight="1" outlineLevel="1">
      <c r="A67" s="43" t="s">
        <v>17</v>
      </c>
      <c r="B67" s="48" t="str">
        <f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4.2.3</v>
      </c>
      <c r="C67" s="49" t="s">
        <v>34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>
        <v>0.25</v>
      </c>
      <c r="CI67" s="75">
        <v>0.25</v>
      </c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75"/>
      <c r="CV67" s="115"/>
      <c r="CW67" s="114"/>
      <c r="CX67" s="75"/>
      <c r="CY67" s="75"/>
      <c r="CZ67" s="75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99999999999999" customHeight="1" outlineLevel="1">
      <c r="A68" s="43" t="s">
        <v>17</v>
      </c>
      <c r="B68" s="48" t="str">
        <f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4.2.4</v>
      </c>
      <c r="C68" s="49" t="s">
        <v>35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>
        <v>1</v>
      </c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75"/>
      <c r="CV68" s="115"/>
      <c r="CW68" s="114"/>
      <c r="CX68" s="75"/>
      <c r="CY68" s="75"/>
      <c r="CZ68" s="75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99999999999999" customHeight="1" outlineLevel="1">
      <c r="A69" s="43" t="s">
        <v>17</v>
      </c>
      <c r="B69" s="48" t="str">
        <f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4.2.5</v>
      </c>
      <c r="C69" s="49" t="s">
        <v>36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>
        <v>1</v>
      </c>
      <c r="CK69" s="115">
        <v>0.5</v>
      </c>
      <c r="CL69" s="114"/>
      <c r="CM69" s="75"/>
      <c r="CN69" s="75"/>
      <c r="CO69" s="98"/>
      <c r="CP69" s="103"/>
      <c r="CQ69" s="115"/>
      <c r="CR69" s="114"/>
      <c r="CS69" s="75"/>
      <c r="CT69" s="75"/>
      <c r="CU69" s="75"/>
      <c r="CV69" s="115"/>
      <c r="CW69" s="114"/>
      <c r="CX69" s="75"/>
      <c r="CY69" s="75"/>
      <c r="CZ69" s="75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99999999999999" customHeight="1" outlineLevel="1">
      <c r="A70" s="43" t="s">
        <v>17</v>
      </c>
      <c r="B70" s="48" t="str">
        <f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4.2.6</v>
      </c>
      <c r="C70" s="49" t="s">
        <v>37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>
        <v>1</v>
      </c>
      <c r="CK70" s="115">
        <v>0.5</v>
      </c>
      <c r="CL70" s="114"/>
      <c r="CM70" s="75"/>
      <c r="CN70" s="75"/>
      <c r="CO70" s="98"/>
      <c r="CP70" s="103"/>
      <c r="CQ70" s="115"/>
      <c r="CR70" s="114"/>
      <c r="CS70" s="75"/>
      <c r="CT70" s="75"/>
      <c r="CU70" s="75"/>
      <c r="CV70" s="115"/>
      <c r="CW70" s="114"/>
      <c r="CX70" s="75"/>
      <c r="CY70" s="75"/>
      <c r="CZ70" s="75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99999999999999" customHeight="1" outlineLevel="1">
      <c r="A71" s="43" t="s">
        <v>17</v>
      </c>
      <c r="B71" s="48" t="str">
        <f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4.2.7</v>
      </c>
      <c r="C71" s="49" t="s">
        <v>38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>
        <v>1</v>
      </c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75"/>
      <c r="CV71" s="115"/>
      <c r="CW71" s="114"/>
      <c r="CX71" s="75"/>
      <c r="CY71" s="75"/>
      <c r="CZ71" s="75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99999999999999" customHeight="1" outlineLevel="1">
      <c r="A72" s="43" t="s">
        <v>17</v>
      </c>
      <c r="B72" s="48" t="str">
        <f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4.2.8</v>
      </c>
      <c r="C72" s="49" t="s">
        <v>39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>
        <v>1</v>
      </c>
      <c r="CM72" s="75"/>
      <c r="CN72" s="75"/>
      <c r="CO72" s="98">
        <v>0.5</v>
      </c>
      <c r="CP72" s="103"/>
      <c r="CQ72" s="115"/>
      <c r="CR72" s="114"/>
      <c r="CS72" s="75"/>
      <c r="CT72" s="75"/>
      <c r="CU72" s="75"/>
      <c r="CV72" s="115"/>
      <c r="CW72" s="114"/>
      <c r="CX72" s="75"/>
      <c r="CY72" s="75"/>
      <c r="CZ72" s="75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99999999999999" customHeight="1" outlineLevel="1">
      <c r="A73" s="43" t="s">
        <v>17</v>
      </c>
      <c r="B73" s="48" t="str">
        <f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4.2.9</v>
      </c>
      <c r="C73" s="49" t="s">
        <v>40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>
        <v>1</v>
      </c>
      <c r="CN73" s="75"/>
      <c r="CO73" s="98"/>
      <c r="CP73" s="103"/>
      <c r="CQ73" s="115"/>
      <c r="CR73" s="114"/>
      <c r="CS73" s="75"/>
      <c r="CT73" s="75"/>
      <c r="CU73" s="75"/>
      <c r="CV73" s="115"/>
      <c r="CW73" s="114"/>
      <c r="CX73" s="75"/>
      <c r="CY73" s="75"/>
      <c r="CZ73" s="75"/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99999999999999" customHeight="1" outlineLevel="1">
      <c r="A74" s="43" t="s">
        <v>17</v>
      </c>
      <c r="B74" s="48" t="str">
        <f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4.2.10</v>
      </c>
      <c r="C74" s="49" t="s">
        <v>41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>
        <v>0.75</v>
      </c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75"/>
      <c r="CV74" s="115"/>
      <c r="CW74" s="114"/>
      <c r="CX74" s="75"/>
      <c r="CY74" s="75"/>
      <c r="CZ74" s="75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99999999999999" customHeight="1" outlineLevel="1">
      <c r="A75" s="43" t="s">
        <v>17</v>
      </c>
      <c r="B75" s="52" t="str">
        <f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4.2.11</v>
      </c>
      <c r="C75" s="53" t="s">
        <v>42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>
        <v>0.75</v>
      </c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78"/>
      <c r="CV75" s="117"/>
      <c r="CW75" s="116"/>
      <c r="CX75" s="78"/>
      <c r="CY75" s="78"/>
      <c r="CZ75" s="78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99999999999999" customHeight="1">
      <c r="A76" s="43" t="s">
        <v>15</v>
      </c>
      <c r="B76" s="61">
        <v>5</v>
      </c>
      <c r="C76" s="62" t="s">
        <v>51</v>
      </c>
      <c r="D76" s="63"/>
      <c r="E76" s="64"/>
      <c r="F76" s="219">
        <f>(SUM(D78:D83)/SUM(D78:D83,D85:D95)*F84)+(SUM(D85:D95)/SUM(D78:D83,D85:D95)*F77)</f>
        <v>0.89380530973451322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99999999999999" customHeight="1">
      <c r="A77" s="43" t="s">
        <v>22</v>
      </c>
      <c r="B77" s="30" t="str">
        <f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5.1</v>
      </c>
      <c r="C77" s="32" t="s">
        <v>23</v>
      </c>
      <c r="D77" s="42"/>
      <c r="E77" s="31"/>
      <c r="F77" s="217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99999999999999" customHeight="1" outlineLevel="1">
      <c r="A78" s="43" t="s">
        <v>17</v>
      </c>
      <c r="B78" s="44" t="str">
        <f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5.1.1</v>
      </c>
      <c r="C78" s="45" t="s">
        <v>44</v>
      </c>
      <c r="D78" s="46">
        <v>0.5</v>
      </c>
      <c r="E78" s="47" t="s">
        <v>52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99999999999999" customHeight="1" outlineLevel="1">
      <c r="A79" s="43" t="s">
        <v>17</v>
      </c>
      <c r="B79" s="48" t="str">
        <f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5.1.2</v>
      </c>
      <c r="C79" s="49" t="s">
        <v>45</v>
      </c>
      <c r="D79" s="50">
        <v>0.5</v>
      </c>
      <c r="E79" s="47" t="s">
        <v>52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99999999999999" customHeight="1" outlineLevel="1">
      <c r="A80" s="43" t="s">
        <v>17</v>
      </c>
      <c r="B80" s="48" t="str">
        <f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5.1.3</v>
      </c>
      <c r="C80" s="49" t="s">
        <v>46</v>
      </c>
      <c r="D80" s="50">
        <v>0.5</v>
      </c>
      <c r="E80" s="47" t="s">
        <v>52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99999999999999" customHeight="1" outlineLevel="1">
      <c r="A81" s="43" t="s">
        <v>17</v>
      </c>
      <c r="B81" s="48" t="str">
        <f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5.1.4</v>
      </c>
      <c r="C81" s="49" t="s">
        <v>47</v>
      </c>
      <c r="D81" s="50">
        <v>0.5</v>
      </c>
      <c r="E81" s="47" t="s">
        <v>52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99999999999999" customHeight="1" outlineLevel="1">
      <c r="A82" s="43" t="s">
        <v>17</v>
      </c>
      <c r="B82" s="48" t="str">
        <f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5.1.5</v>
      </c>
      <c r="C82" s="49" t="s">
        <v>48</v>
      </c>
      <c r="D82" s="50">
        <v>0.5</v>
      </c>
      <c r="E82" s="47" t="s">
        <v>52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99999999999999" customHeight="1" outlineLevel="1">
      <c r="A83" s="43" t="s">
        <v>17</v>
      </c>
      <c r="B83" s="48" t="str">
        <f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5.1.6</v>
      </c>
      <c r="C83" s="49" t="s">
        <v>49</v>
      </c>
      <c r="D83" s="50">
        <v>0.5</v>
      </c>
      <c r="E83" s="47" t="s">
        <v>52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99999999999999" customHeight="1">
      <c r="A84" s="43" t="s">
        <v>22</v>
      </c>
      <c r="B84" s="30" t="str">
        <f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5.2</v>
      </c>
      <c r="C84" s="32" t="s">
        <v>30</v>
      </c>
      <c r="D84" s="42"/>
      <c r="E84" s="31"/>
      <c r="F84" s="217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>
        <v>1</v>
      </c>
      <c r="CJ84" s="31">
        <v>1</v>
      </c>
      <c r="CK84" s="113">
        <v>1</v>
      </c>
      <c r="CL84" s="112">
        <v>1</v>
      </c>
      <c r="CM84" s="31">
        <v>1</v>
      </c>
      <c r="CN84" s="31">
        <v>1</v>
      </c>
      <c r="CO84" s="97"/>
      <c r="CP84" s="102">
        <v>1</v>
      </c>
      <c r="CQ84" s="113">
        <v>1</v>
      </c>
      <c r="CR84" s="112">
        <v>1</v>
      </c>
      <c r="CS84" s="31">
        <v>1</v>
      </c>
      <c r="CT84" s="31"/>
      <c r="CU84" s="31"/>
      <c r="CV84" s="113"/>
      <c r="CW84" s="112"/>
      <c r="CX84" s="31"/>
      <c r="CY84" s="31"/>
      <c r="CZ84" s="31"/>
      <c r="DA84" s="113"/>
      <c r="DB84" s="112"/>
      <c r="DC84" s="31"/>
      <c r="DD84" s="31"/>
      <c r="DE84" s="31"/>
      <c r="DF84" s="113"/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99999999999999" customHeight="1" outlineLevel="1">
      <c r="A85" s="43" t="s">
        <v>17</v>
      </c>
      <c r="B85" s="44" t="str">
        <f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5.2.1</v>
      </c>
      <c r="C85" s="45" t="s">
        <v>31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>
        <v>1</v>
      </c>
      <c r="CN85" s="75">
        <v>1</v>
      </c>
      <c r="CO85" s="98"/>
      <c r="CP85" s="103">
        <v>1</v>
      </c>
      <c r="CQ85" s="115"/>
      <c r="CR85" s="114"/>
      <c r="CS85" s="75"/>
      <c r="CT85" s="75"/>
      <c r="CU85" s="75"/>
      <c r="CV85" s="115"/>
      <c r="CW85" s="114"/>
      <c r="CX85" s="75"/>
      <c r="CY85" s="75"/>
      <c r="CZ85" s="75"/>
      <c r="DA85" s="115"/>
      <c r="DB85" s="114"/>
      <c r="DC85" s="75"/>
      <c r="DD85" s="75"/>
      <c r="DE85" s="75"/>
      <c r="DF85" s="115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99999999999999" customHeight="1" outlineLevel="1">
      <c r="A86" s="43" t="s">
        <v>17</v>
      </c>
      <c r="B86" s="48" t="str">
        <f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5.2.2</v>
      </c>
      <c r="C86" s="49" t="s">
        <v>33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>
        <v>0.75</v>
      </c>
      <c r="CJ86" s="75">
        <v>0.25</v>
      </c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115"/>
      <c r="CW86" s="114"/>
      <c r="CX86" s="75"/>
      <c r="CY86" s="75"/>
      <c r="CZ86" s="75"/>
      <c r="DA86" s="115"/>
      <c r="DB86" s="114"/>
      <c r="DC86" s="75"/>
      <c r="DD86" s="75"/>
      <c r="DE86" s="75"/>
      <c r="DF86" s="115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99999999999999" customHeight="1" outlineLevel="1">
      <c r="A87" s="43" t="s">
        <v>17</v>
      </c>
      <c r="B87" s="48" t="str">
        <f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5.2.3</v>
      </c>
      <c r="C87" s="49" t="s">
        <v>34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>
        <v>0.25</v>
      </c>
      <c r="CR87" s="114"/>
      <c r="CS87" s="75"/>
      <c r="CT87" s="75"/>
      <c r="CU87" s="75"/>
      <c r="CV87" s="115"/>
      <c r="CW87" s="114"/>
      <c r="CX87" s="75"/>
      <c r="CY87" s="75"/>
      <c r="CZ87" s="75"/>
      <c r="DA87" s="115"/>
      <c r="DB87" s="114"/>
      <c r="DC87" s="75"/>
      <c r="DD87" s="75"/>
      <c r="DE87" s="75"/>
      <c r="DF87" s="115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99999999999999" customHeight="1" outlineLevel="1">
      <c r="A88" s="43" t="s">
        <v>17</v>
      </c>
      <c r="B88" s="48" t="str">
        <f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5.2.4</v>
      </c>
      <c r="C88" s="49" t="s">
        <v>35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>
        <v>1</v>
      </c>
      <c r="CL88" s="114">
        <v>1</v>
      </c>
      <c r="CM88" s="75"/>
      <c r="CN88" s="75"/>
      <c r="CO88" s="98"/>
      <c r="CP88" s="103"/>
      <c r="CQ88" s="115"/>
      <c r="CR88" s="114"/>
      <c r="CS88" s="75"/>
      <c r="CT88" s="75"/>
      <c r="CU88" s="75"/>
      <c r="CV88" s="115"/>
      <c r="CW88" s="114"/>
      <c r="CX88" s="75"/>
      <c r="CY88" s="75"/>
      <c r="CZ88" s="75"/>
      <c r="DA88" s="115"/>
      <c r="DB88" s="114"/>
      <c r="DC88" s="75"/>
      <c r="DD88" s="75"/>
      <c r="DE88" s="75"/>
      <c r="DF88" s="115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99999999999999" customHeight="1" outlineLevel="1">
      <c r="A89" s="43" t="s">
        <v>17</v>
      </c>
      <c r="B89" s="48" t="str">
        <f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5.2.5</v>
      </c>
      <c r="C89" s="49" t="s">
        <v>36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>
        <v>0.5</v>
      </c>
      <c r="CK89" s="115">
        <v>0.5</v>
      </c>
      <c r="CL89" s="114">
        <v>1</v>
      </c>
      <c r="CM89" s="75"/>
      <c r="CN89" s="75"/>
      <c r="CO89" s="98"/>
      <c r="CP89" s="103"/>
      <c r="CQ89" s="115"/>
      <c r="CR89" s="114"/>
      <c r="CS89" s="75"/>
      <c r="CT89" s="75"/>
      <c r="CU89" s="75"/>
      <c r="CV89" s="115"/>
      <c r="CW89" s="114"/>
      <c r="CX89" s="75"/>
      <c r="CY89" s="75"/>
      <c r="CZ89" s="75"/>
      <c r="DA89" s="115"/>
      <c r="DB89" s="114"/>
      <c r="DC89" s="75"/>
      <c r="DD89" s="75"/>
      <c r="DE89" s="75"/>
      <c r="DF89" s="115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99999999999999" customHeight="1" outlineLevel="1">
      <c r="A90" s="43" t="s">
        <v>17</v>
      </c>
      <c r="B90" s="48" t="str">
        <f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5.2.6</v>
      </c>
      <c r="C90" s="49" t="s">
        <v>37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>
        <v>1</v>
      </c>
      <c r="CN90" s="75">
        <v>1</v>
      </c>
      <c r="CO90" s="98"/>
      <c r="CP90" s="103">
        <v>1</v>
      </c>
      <c r="CQ90" s="115">
        <v>1</v>
      </c>
      <c r="CR90" s="114"/>
      <c r="CS90" s="75"/>
      <c r="CT90" s="75"/>
      <c r="CU90" s="75"/>
      <c r="CV90" s="115"/>
      <c r="CW90" s="114"/>
      <c r="CX90" s="75"/>
      <c r="CY90" s="75"/>
      <c r="CZ90" s="75"/>
      <c r="DA90" s="115"/>
      <c r="DB90" s="114"/>
      <c r="DC90" s="75"/>
      <c r="DD90" s="75"/>
      <c r="DE90" s="75"/>
      <c r="DF90" s="115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99999999999999" customHeight="1" outlineLevel="1">
      <c r="A91" s="43" t="s">
        <v>17</v>
      </c>
      <c r="B91" s="48" t="str">
        <f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5.2.7</v>
      </c>
      <c r="C91" s="49" t="s">
        <v>38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>
        <v>0.25</v>
      </c>
      <c r="CO91" s="98"/>
      <c r="CP91" s="103">
        <v>0.75</v>
      </c>
      <c r="CQ91" s="115">
        <v>0.75</v>
      </c>
      <c r="CR91" s="114">
        <v>0.75</v>
      </c>
      <c r="CS91" s="75">
        <v>0.5</v>
      </c>
      <c r="CT91" s="75"/>
      <c r="CU91" s="75"/>
      <c r="CV91" s="115"/>
      <c r="CW91" s="114"/>
      <c r="CX91" s="75"/>
      <c r="CY91" s="75"/>
      <c r="CZ91" s="75"/>
      <c r="DA91" s="115"/>
      <c r="DB91" s="114"/>
      <c r="DC91" s="75"/>
      <c r="DD91" s="75"/>
      <c r="DE91" s="75"/>
      <c r="DF91" s="115"/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99999999999999" customHeight="1" outlineLevel="1">
      <c r="A92" s="43" t="s">
        <v>17</v>
      </c>
      <c r="B92" s="48" t="str">
        <f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5.2.8</v>
      </c>
      <c r="C92" s="49" t="s">
        <v>39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>
        <v>1</v>
      </c>
      <c r="CO92" s="98"/>
      <c r="CP92" s="103">
        <v>1</v>
      </c>
      <c r="CQ92" s="115">
        <v>0.25</v>
      </c>
      <c r="CR92" s="114">
        <v>1</v>
      </c>
      <c r="CS92" s="75">
        <v>0.75</v>
      </c>
      <c r="CT92" s="75"/>
      <c r="CU92" s="75"/>
      <c r="CV92" s="115"/>
      <c r="CW92" s="114"/>
      <c r="CX92" s="75"/>
      <c r="CY92" s="75"/>
      <c r="CZ92" s="75"/>
      <c r="DA92" s="115"/>
      <c r="DB92" s="114"/>
      <c r="DC92" s="75"/>
      <c r="DD92" s="75"/>
      <c r="DE92" s="75"/>
      <c r="DF92" s="115"/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99999999999999" customHeight="1" outlineLevel="1">
      <c r="A93" s="43" t="s">
        <v>17</v>
      </c>
      <c r="B93" s="48" t="str">
        <f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5.2.9</v>
      </c>
      <c r="C93" s="49" t="s">
        <v>40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>
        <v>1</v>
      </c>
      <c r="CR93" s="114">
        <v>1</v>
      </c>
      <c r="CS93" s="75"/>
      <c r="CT93" s="75"/>
      <c r="CU93" s="75"/>
      <c r="CV93" s="115"/>
      <c r="CW93" s="114"/>
      <c r="CX93" s="75"/>
      <c r="CY93" s="75"/>
      <c r="CZ93" s="75"/>
      <c r="DA93" s="115"/>
      <c r="DB93" s="114"/>
      <c r="DC93" s="75"/>
      <c r="DD93" s="75"/>
      <c r="DE93" s="75"/>
      <c r="DF93" s="115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99999999999999" customHeight="1" outlineLevel="1">
      <c r="A94" s="43" t="s">
        <v>17</v>
      </c>
      <c r="B94" s="48" t="str">
        <f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5.2.10</v>
      </c>
      <c r="C94" s="49" t="s">
        <v>41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>
        <v>0.75</v>
      </c>
      <c r="CK94" s="115">
        <v>0.25</v>
      </c>
      <c r="CL94" s="114">
        <v>0.75</v>
      </c>
      <c r="CM94" s="75">
        <v>0.75</v>
      </c>
      <c r="CN94" s="75">
        <v>0.5</v>
      </c>
      <c r="CO94" s="98"/>
      <c r="CP94" s="103"/>
      <c r="CQ94" s="115"/>
      <c r="CR94" s="114"/>
      <c r="CS94" s="75"/>
      <c r="CT94" s="75"/>
      <c r="CU94" s="75"/>
      <c r="CV94" s="115"/>
      <c r="CW94" s="114"/>
      <c r="CX94" s="75"/>
      <c r="CY94" s="75"/>
      <c r="CZ94" s="75"/>
      <c r="DA94" s="115"/>
      <c r="DB94" s="114"/>
      <c r="DC94" s="75"/>
      <c r="DD94" s="75"/>
      <c r="DE94" s="75"/>
      <c r="DF94" s="115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99999999999999" customHeight="1" outlineLevel="1">
      <c r="A95" s="43" t="s">
        <v>17</v>
      </c>
      <c r="B95" s="82" t="str">
        <f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5.2.11</v>
      </c>
      <c r="C95" s="83" t="s">
        <v>42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>
        <v>0.5</v>
      </c>
      <c r="CR95" s="118">
        <v>0.5</v>
      </c>
      <c r="CS95" s="119"/>
      <c r="CT95" s="119"/>
      <c r="CU95" s="119"/>
      <c r="CV95" s="120"/>
      <c r="CW95" s="118"/>
      <c r="CX95" s="119"/>
      <c r="CY95" s="119"/>
      <c r="CZ95" s="119"/>
      <c r="DA95" s="120"/>
      <c r="DB95" s="118"/>
      <c r="DC95" s="119"/>
      <c r="DD95" s="119"/>
      <c r="DE95" s="119"/>
      <c r="DF95" s="120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I10:FE11">
    <cfRule type="cellIs" dxfId="11" priority="1" operator="equal">
      <formula>-4</formula>
    </cfRule>
    <cfRule type="cellIs" dxfId="10" priority="2" operator="equal">
      <formula>-3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FE1048555"/>
  <sheetViews>
    <sheetView showGridLines="0" tabSelected="1" topLeftCell="A18" zoomScale="80" zoomScaleNormal="80" workbookViewId="0">
      <selection activeCell="F45" sqref="F45"/>
    </sheetView>
  </sheetViews>
  <sheetFormatPr defaultColWidth="9.1796875" defaultRowHeight="11.5" outlineLevelRow="1"/>
  <cols>
    <col min="1" max="1" width="3.7265625" style="29" customWidth="1"/>
    <col min="2" max="2" width="9.1796875" style="29"/>
    <col min="3" max="3" width="70.7265625" style="29" customWidth="1"/>
    <col min="4" max="4" width="15.7265625" style="29" customWidth="1"/>
    <col min="5" max="5" width="15.7265625" style="29" hidden="1" customWidth="1"/>
    <col min="6" max="6" width="15.7265625" style="29" customWidth="1"/>
    <col min="7" max="7" width="15.7265625" style="29" hidden="1" customWidth="1"/>
    <col min="8" max="8" width="6.54296875" style="29" bestFit="1" customWidth="1"/>
    <col min="9" max="25" width="5.7265625" style="29" hidden="1" customWidth="1"/>
    <col min="26" max="26" width="0.54296875" style="29" hidden="1" customWidth="1"/>
    <col min="27" max="31" width="5.7265625" style="29" hidden="1" customWidth="1"/>
    <col min="32" max="47" width="5.7265625" style="29" customWidth="1"/>
    <col min="48" max="48" width="0.54296875" style="29" customWidth="1"/>
    <col min="49" max="70" width="5.7265625" style="29" customWidth="1"/>
    <col min="71" max="71" width="0.54296875" style="29" customWidth="1"/>
    <col min="72" max="87" width="5.7265625" style="29" customWidth="1"/>
    <col min="88" max="88" width="5.54296875" style="29" customWidth="1"/>
    <col min="89" max="92" width="5.7265625" style="29" customWidth="1"/>
    <col min="93" max="93" width="0.54296875" style="29" customWidth="1"/>
    <col min="94" max="115" width="5.7265625" style="29" customWidth="1"/>
    <col min="116" max="116" width="0.54296875" style="29" customWidth="1"/>
    <col min="117" max="136" width="5.7265625" style="29" customWidth="1"/>
    <col min="137" max="137" width="0.54296875" style="29" customWidth="1"/>
    <col min="138" max="160" width="5.7265625" style="29" customWidth="1"/>
    <col min="161" max="161" width="0.54296875" style="29" customWidth="1"/>
    <col min="162" max="16384" width="9.179687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0</v>
      </c>
      <c r="BL6" s="155" t="b">
        <f t="shared" si="1"/>
        <v>0</v>
      </c>
      <c r="BM6" s="155" t="b">
        <f t="shared" si="1"/>
        <v>0</v>
      </c>
      <c r="BN6" s="155" t="b">
        <f t="shared" si="1"/>
        <v>0</v>
      </c>
      <c r="BO6" s="155" t="b">
        <f t="shared" si="1"/>
        <v>0</v>
      </c>
      <c r="BP6" s="155" t="b">
        <f t="shared" si="1"/>
        <v>0</v>
      </c>
      <c r="BQ6" s="155" t="b">
        <f t="shared" si="1"/>
        <v>0</v>
      </c>
      <c r="BR6" s="155" t="b">
        <f t="shared" si="1"/>
        <v>0</v>
      </c>
      <c r="BS6" s="155" t="b">
        <f t="shared" si="1"/>
        <v>0</v>
      </c>
      <c r="BT6" s="155" t="b">
        <f t="shared" si="1"/>
        <v>0</v>
      </c>
      <c r="BU6" s="155" t="b">
        <f t="shared" ref="BU6:CN6" si="2">SUM(BU13:BU96)=4</f>
        <v>0</v>
      </c>
      <c r="BV6" s="155" t="b">
        <f t="shared" si="2"/>
        <v>0</v>
      </c>
      <c r="BW6" s="155" t="b">
        <f t="shared" si="2"/>
        <v>0</v>
      </c>
      <c r="BX6" s="155" t="b">
        <f t="shared" si="2"/>
        <v>0</v>
      </c>
      <c r="BY6" s="155" t="b">
        <f t="shared" si="2"/>
        <v>0</v>
      </c>
      <c r="BZ6" s="155" t="b">
        <f t="shared" si="2"/>
        <v>0</v>
      </c>
      <c r="CA6" s="155" t="b">
        <f t="shared" si="2"/>
        <v>0</v>
      </c>
      <c r="CB6" s="155" t="b">
        <f t="shared" si="2"/>
        <v>0</v>
      </c>
      <c r="CC6" s="155" t="b">
        <f t="shared" si="2"/>
        <v>0</v>
      </c>
      <c r="CD6" s="155" t="b">
        <f t="shared" si="2"/>
        <v>0</v>
      </c>
      <c r="CE6" s="155" t="b">
        <f t="shared" si="2"/>
        <v>0</v>
      </c>
      <c r="CF6" s="155" t="b">
        <f t="shared" si="2"/>
        <v>0</v>
      </c>
      <c r="CG6" s="155" t="b">
        <f t="shared" si="2"/>
        <v>0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FA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si="3"/>
        <v>0</v>
      </c>
      <c r="DW6" s="155" t="b">
        <f t="shared" si="3"/>
        <v>0</v>
      </c>
      <c r="DX6" s="155" t="b">
        <f t="shared" si="3"/>
        <v>0</v>
      </c>
      <c r="DY6" s="155" t="b">
        <f t="shared" si="3"/>
        <v>0</v>
      </c>
      <c r="DZ6" s="155" t="b">
        <f t="shared" si="3"/>
        <v>0</v>
      </c>
      <c r="EA6" s="155" t="b">
        <f t="shared" si="3"/>
        <v>0</v>
      </c>
      <c r="EB6" s="155" t="b">
        <f t="shared" si="3"/>
        <v>0</v>
      </c>
      <c r="EC6" s="155" t="b">
        <f t="shared" si="3"/>
        <v>0</v>
      </c>
      <c r="ED6" s="155" t="b">
        <f t="shared" si="3"/>
        <v>0</v>
      </c>
      <c r="EE6" s="155" t="b">
        <f t="shared" si="3"/>
        <v>0</v>
      </c>
      <c r="EF6" s="155" t="b">
        <f t="shared" si="3"/>
        <v>0</v>
      </c>
      <c r="EG6" s="155" t="b">
        <f t="shared" si="3"/>
        <v>0</v>
      </c>
      <c r="EH6" s="155" t="b">
        <f t="shared" si="3"/>
        <v>0</v>
      </c>
      <c r="EI6" s="155" t="b">
        <f t="shared" si="3"/>
        <v>0</v>
      </c>
      <c r="EJ6" s="155" t="b">
        <f t="shared" si="3"/>
        <v>0</v>
      </c>
      <c r="EK6" s="155" t="b">
        <f t="shared" si="3"/>
        <v>0</v>
      </c>
      <c r="EL6" s="155" t="b">
        <f t="shared" si="3"/>
        <v>0</v>
      </c>
      <c r="EM6" s="155" t="b">
        <f t="shared" si="3"/>
        <v>0</v>
      </c>
      <c r="EN6" s="155" t="b">
        <f t="shared" si="3"/>
        <v>0</v>
      </c>
      <c r="EO6" s="155" t="b">
        <f t="shared" si="3"/>
        <v>0</v>
      </c>
      <c r="EP6" s="155" t="b">
        <f t="shared" si="3"/>
        <v>0</v>
      </c>
      <c r="EQ6" s="155" t="b">
        <f t="shared" si="3"/>
        <v>0</v>
      </c>
      <c r="ER6" s="155" t="b">
        <f t="shared" si="3"/>
        <v>0</v>
      </c>
      <c r="ES6" s="155" t="b">
        <f t="shared" si="3"/>
        <v>0</v>
      </c>
      <c r="ET6" s="155" t="b">
        <f t="shared" si="3"/>
        <v>0</v>
      </c>
      <c r="EU6" s="155" t="b">
        <f t="shared" si="3"/>
        <v>0</v>
      </c>
      <c r="EV6" s="155" t="b">
        <f t="shared" si="3"/>
        <v>0</v>
      </c>
      <c r="EW6" s="155" t="b">
        <f t="shared" si="3"/>
        <v>0</v>
      </c>
      <c r="EX6" s="155" t="b">
        <f t="shared" si="3"/>
        <v>0</v>
      </c>
      <c r="EY6" s="155" t="b">
        <f t="shared" si="3"/>
        <v>0</v>
      </c>
      <c r="EZ6" s="155" t="b">
        <f t="shared" si="3"/>
        <v>0</v>
      </c>
      <c r="FA6" s="155" t="b">
        <f t="shared" si="3"/>
        <v>0</v>
      </c>
      <c r="FB6" s="155" t="b">
        <f t="shared" ref="FB6:FD6" si="4">SUM(FB13:FB96)=4</f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">
      <c r="A7" s="26"/>
      <c r="B7" s="26"/>
      <c r="C7" s="26"/>
      <c r="D7" s="27"/>
      <c r="E7" s="27"/>
      <c r="F7" s="27"/>
      <c r="G7" s="27"/>
      <c r="H7" s="27"/>
      <c r="I7" s="153" t="s">
        <v>2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3</v>
      </c>
      <c r="AB7" s="153"/>
      <c r="AC7" s="153"/>
      <c r="AD7" s="153"/>
      <c r="AE7" s="153"/>
      <c r="AF7" s="153" t="s">
        <v>3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4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5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6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7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8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4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">
      <c r="B11" s="28" t="s">
        <v>9</v>
      </c>
      <c r="C11" s="28" t="s">
        <v>10</v>
      </c>
      <c r="D11" s="28" t="s">
        <v>11</v>
      </c>
      <c r="E11" s="28" t="s">
        <v>12</v>
      </c>
      <c r="F11" s="28" t="s">
        <v>13</v>
      </c>
      <c r="G11" s="81" t="s">
        <v>14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99999999999999" customHeight="1">
      <c r="A12" s="43" t="s">
        <v>15</v>
      </c>
      <c r="B12" s="57">
        <v>0</v>
      </c>
      <c r="C12" s="58" t="s">
        <v>16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99999999999999" customHeight="1" outlineLevel="1">
      <c r="A13" s="43" t="s">
        <v>17</v>
      </c>
      <c r="B13" s="44" t="str">
        <f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0.1</v>
      </c>
      <c r="C13" s="45" t="s">
        <v>18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99999999999999" customHeight="1">
      <c r="A14" s="43" t="s">
        <v>15</v>
      </c>
      <c r="B14" s="57">
        <v>1</v>
      </c>
      <c r="C14" s="58" t="s">
        <v>19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99999999999999" customHeight="1" outlineLevel="1">
      <c r="A15" s="43" t="s">
        <v>17</v>
      </c>
      <c r="B15" s="44" t="str">
        <f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1.1</v>
      </c>
      <c r="C15" s="45" t="s">
        <v>20</v>
      </c>
      <c r="D15" s="46">
        <v>2</v>
      </c>
      <c r="E15" s="47"/>
      <c r="F15" s="218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99999999999999" customHeight="1">
      <c r="A16" s="43" t="s">
        <v>15</v>
      </c>
      <c r="B16" s="61">
        <v>2</v>
      </c>
      <c r="C16" s="62" t="s">
        <v>21</v>
      </c>
      <c r="D16" s="63"/>
      <c r="E16" s="64"/>
      <c r="F16" s="220">
        <f>(SUM(D18:D23)/SUM(D18:D23,D25:D35)*F17)+(SUM(D25:D35)/SUM(D18:D23,D25:D35)*F24)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99999999999999" customHeight="1">
      <c r="A17" s="43" t="s">
        <v>22</v>
      </c>
      <c r="B17" s="30" t="str">
        <f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2.1</v>
      </c>
      <c r="C17" s="32" t="s">
        <v>23</v>
      </c>
      <c r="D17" s="42"/>
      <c r="E17" s="31"/>
      <c r="F17" s="217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99999999999999" customHeight="1" outlineLevel="1">
      <c r="A18" s="43" t="s">
        <v>17</v>
      </c>
      <c r="B18" s="44" t="str">
        <f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2.1.1</v>
      </c>
      <c r="C18" s="45" t="s">
        <v>24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99999999999999" customHeight="1" outlineLevel="1">
      <c r="A19" s="43" t="s">
        <v>17</v>
      </c>
      <c r="B19" s="48" t="str">
        <f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2.1.2</v>
      </c>
      <c r="C19" s="49" t="s">
        <v>25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99999999999999" customHeight="1" outlineLevel="1">
      <c r="A20" s="43" t="s">
        <v>17</v>
      </c>
      <c r="B20" s="48" t="str">
        <f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2.1.3</v>
      </c>
      <c r="C20" s="49" t="s">
        <v>26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99999999999999" customHeight="1" outlineLevel="1">
      <c r="A21" s="43" t="s">
        <v>17</v>
      </c>
      <c r="B21" s="48" t="str">
        <f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2.1.4</v>
      </c>
      <c r="C21" s="49" t="s">
        <v>27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99999999999999" customHeight="1" outlineLevel="1">
      <c r="A22" s="43" t="s">
        <v>17</v>
      </c>
      <c r="B22" s="48" t="str">
        <f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2.1.5</v>
      </c>
      <c r="C22" s="49" t="s">
        <v>28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99999999999999" customHeight="1" outlineLevel="1">
      <c r="A23" s="43" t="s">
        <v>17</v>
      </c>
      <c r="B23" s="52" t="str">
        <f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2.1.6</v>
      </c>
      <c r="C23" s="53" t="s">
        <v>29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99999999999999" customHeight="1">
      <c r="A24" s="43" t="s">
        <v>22</v>
      </c>
      <c r="B24" s="30" t="str">
        <f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2.2</v>
      </c>
      <c r="C24" s="32" t="s">
        <v>30</v>
      </c>
      <c r="D24" s="42"/>
      <c r="E24" s="31"/>
      <c r="F24" s="217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>
        <v>1</v>
      </c>
      <c r="BW24" s="112">
        <v>1</v>
      </c>
      <c r="BX24" s="31">
        <v>1</v>
      </c>
      <c r="BY24" s="31">
        <v>1</v>
      </c>
      <c r="BZ24" s="31">
        <v>1</v>
      </c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99999999999999" customHeight="1" outlineLevel="1">
      <c r="A25" s="43" t="s">
        <v>17</v>
      </c>
      <c r="B25" s="44" t="str">
        <f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2.2.1</v>
      </c>
      <c r="C25" s="45" t="s">
        <v>31</v>
      </c>
      <c r="D25" s="46">
        <v>1</v>
      </c>
      <c r="E25" s="65" t="s">
        <v>32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1"/>
      <c r="BK25" s="222"/>
      <c r="BL25" s="223"/>
      <c r="BM25" s="221"/>
      <c r="BN25" s="221"/>
      <c r="BO25" s="75"/>
      <c r="BP25" s="115"/>
      <c r="BQ25" s="114"/>
      <c r="BR25" s="75"/>
      <c r="BS25" s="98"/>
      <c r="BT25" s="75"/>
      <c r="BU25" s="75"/>
      <c r="BV25" s="229">
        <v>1</v>
      </c>
      <c r="BW25" s="230"/>
      <c r="BX25" s="228"/>
      <c r="BY25" s="228"/>
      <c r="BZ25" s="228"/>
      <c r="CA25" s="229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99999999999999" customHeight="1" outlineLevel="1">
      <c r="A26" s="43" t="s">
        <v>17</v>
      </c>
      <c r="B26" s="48" t="str">
        <f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2.2.2</v>
      </c>
      <c r="C26" s="49" t="s">
        <v>33</v>
      </c>
      <c r="D26" s="50">
        <v>1</v>
      </c>
      <c r="E26" s="65" t="s">
        <v>32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1"/>
      <c r="BK26" s="222"/>
      <c r="BL26" s="223"/>
      <c r="BM26" s="221"/>
      <c r="BN26" s="221"/>
      <c r="BO26" s="75"/>
      <c r="BP26" s="115"/>
      <c r="BQ26" s="114"/>
      <c r="BR26" s="75"/>
      <c r="BS26" s="98"/>
      <c r="BT26" s="75"/>
      <c r="BU26" s="75"/>
      <c r="BV26" s="229"/>
      <c r="BW26" s="230">
        <v>1</v>
      </c>
      <c r="BX26" s="228"/>
      <c r="BY26" s="228"/>
      <c r="BZ26" s="228"/>
      <c r="CA26" s="229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99999999999999" customHeight="1" outlineLevel="1">
      <c r="A27" s="43" t="s">
        <v>17</v>
      </c>
      <c r="B27" s="48" t="str">
        <f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2.2.3</v>
      </c>
      <c r="C27" s="49" t="s">
        <v>34</v>
      </c>
      <c r="D27" s="50">
        <v>0</v>
      </c>
      <c r="E27" s="65" t="s">
        <v>32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1"/>
      <c r="BK27" s="222"/>
      <c r="BL27" s="223"/>
      <c r="BM27" s="221"/>
      <c r="BN27" s="221"/>
      <c r="BO27" s="75"/>
      <c r="BP27" s="115"/>
      <c r="BQ27" s="114"/>
      <c r="BR27" s="75"/>
      <c r="BS27" s="98"/>
      <c r="BT27" s="75"/>
      <c r="BU27" s="75"/>
      <c r="BV27" s="229"/>
      <c r="BW27" s="230"/>
      <c r="BX27" s="228"/>
      <c r="BY27" s="228"/>
      <c r="BZ27" s="228"/>
      <c r="CA27" s="229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99999999999999" customHeight="1" outlineLevel="1">
      <c r="A28" s="43" t="s">
        <v>17</v>
      </c>
      <c r="B28" s="48" t="str">
        <f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2.2.4</v>
      </c>
      <c r="C28" s="49" t="s">
        <v>35</v>
      </c>
      <c r="D28" s="50">
        <v>1</v>
      </c>
      <c r="E28" s="65" t="s">
        <v>32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1"/>
      <c r="BK28" s="222"/>
      <c r="BL28" s="223"/>
      <c r="BM28" s="221"/>
      <c r="BN28" s="221"/>
      <c r="BO28" s="75"/>
      <c r="BP28" s="115"/>
      <c r="BQ28" s="114"/>
      <c r="BR28" s="75"/>
      <c r="BS28" s="98"/>
      <c r="BT28" s="75"/>
      <c r="BU28" s="75"/>
      <c r="BV28" s="229"/>
      <c r="BW28" s="230">
        <v>1</v>
      </c>
      <c r="BX28" s="228"/>
      <c r="BY28" s="228"/>
      <c r="BZ28" s="228"/>
      <c r="CA28" s="229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99999999999999" customHeight="1" outlineLevel="1">
      <c r="A29" s="43" t="s">
        <v>17</v>
      </c>
      <c r="B29" s="48" t="str">
        <f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2.2.5</v>
      </c>
      <c r="C29" s="49" t="s">
        <v>36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1"/>
      <c r="BK29" s="222"/>
      <c r="BL29" s="223"/>
      <c r="BM29" s="221"/>
      <c r="BN29" s="221"/>
      <c r="BO29" s="75"/>
      <c r="BP29" s="115"/>
      <c r="BQ29" s="114"/>
      <c r="BR29" s="75"/>
      <c r="BS29" s="98"/>
      <c r="BT29" s="75"/>
      <c r="BU29" s="75"/>
      <c r="BV29" s="229"/>
      <c r="BW29" s="230">
        <v>1</v>
      </c>
      <c r="BX29" s="228"/>
      <c r="BY29" s="228">
        <v>1</v>
      </c>
      <c r="BZ29" s="228"/>
      <c r="CA29" s="229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99999999999999" customHeight="1" outlineLevel="1">
      <c r="A30" s="43" t="s">
        <v>17</v>
      </c>
      <c r="B30" s="48" t="str">
        <f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2.2.6</v>
      </c>
      <c r="C30" s="49" t="s">
        <v>37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1"/>
      <c r="BK30" s="222"/>
      <c r="BL30" s="223"/>
      <c r="BM30" s="221"/>
      <c r="BN30" s="221"/>
      <c r="BO30" s="75"/>
      <c r="BP30" s="115"/>
      <c r="BQ30" s="114"/>
      <c r="BR30" s="75"/>
      <c r="BS30" s="98"/>
      <c r="BT30" s="75"/>
      <c r="BU30" s="75"/>
      <c r="BV30" s="229"/>
      <c r="BW30" s="230"/>
      <c r="BX30" s="228"/>
      <c r="BY30" s="228">
        <v>1</v>
      </c>
      <c r="BZ30" s="228">
        <v>1</v>
      </c>
      <c r="CA30" s="229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99999999999999" customHeight="1" outlineLevel="1">
      <c r="A31" s="43" t="s">
        <v>17</v>
      </c>
      <c r="B31" s="48" t="str">
        <f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2.2.7</v>
      </c>
      <c r="C31" s="49" t="s">
        <v>38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1"/>
      <c r="BK31" s="222"/>
      <c r="BL31" s="223"/>
      <c r="BM31" s="221"/>
      <c r="BN31" s="221"/>
      <c r="BO31" s="75"/>
      <c r="BP31" s="115"/>
      <c r="BQ31" s="114"/>
      <c r="BR31" s="75"/>
      <c r="BS31" s="98"/>
      <c r="BT31" s="75"/>
      <c r="BU31" s="75"/>
      <c r="BV31" s="229"/>
      <c r="BW31" s="230"/>
      <c r="BX31" s="228">
        <v>1</v>
      </c>
      <c r="BY31" s="228">
        <v>1</v>
      </c>
      <c r="BZ31" s="228"/>
      <c r="CA31" s="229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99999999999999" customHeight="1" outlineLevel="1">
      <c r="A32" s="43" t="s">
        <v>17</v>
      </c>
      <c r="B32" s="48" t="str">
        <f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2.2.8</v>
      </c>
      <c r="C32" s="49" t="s">
        <v>39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1"/>
      <c r="BK32" s="222"/>
      <c r="BL32" s="223"/>
      <c r="BM32" s="221"/>
      <c r="BN32" s="221"/>
      <c r="BO32" s="75"/>
      <c r="BP32" s="115"/>
      <c r="BQ32" s="114"/>
      <c r="BR32" s="75"/>
      <c r="BS32" s="98"/>
      <c r="BT32" s="75"/>
      <c r="BU32" s="75"/>
      <c r="BV32" s="229"/>
      <c r="BW32" s="230"/>
      <c r="BX32" s="228">
        <v>0.75</v>
      </c>
      <c r="BY32" s="228">
        <v>0.75</v>
      </c>
      <c r="BZ32" s="228">
        <v>0.5</v>
      </c>
      <c r="CA32" s="229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99999999999999" customHeight="1" outlineLevel="1">
      <c r="A33" s="43" t="s">
        <v>17</v>
      </c>
      <c r="B33" s="48" t="str">
        <f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2.2.9</v>
      </c>
      <c r="C33" s="49" t="s">
        <v>40</v>
      </c>
      <c r="D33" s="50">
        <v>1</v>
      </c>
      <c r="E33" s="65" t="s">
        <v>32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1"/>
      <c r="BK33" s="222"/>
      <c r="BL33" s="223"/>
      <c r="BM33" s="221"/>
      <c r="BN33" s="221"/>
      <c r="BO33" s="75"/>
      <c r="BP33" s="115"/>
      <c r="BQ33" s="114"/>
      <c r="BR33" s="75"/>
      <c r="BS33" s="98"/>
      <c r="BT33" s="75"/>
      <c r="BU33" s="75"/>
      <c r="BV33" s="229"/>
      <c r="BW33" s="230"/>
      <c r="BX33" s="228">
        <v>1</v>
      </c>
      <c r="BY33" s="228"/>
      <c r="BZ33" s="228"/>
      <c r="CA33" s="229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99999999999999" customHeight="1" outlineLevel="1">
      <c r="A34" s="43" t="s">
        <v>17</v>
      </c>
      <c r="B34" s="48" t="str">
        <f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2.2.10</v>
      </c>
      <c r="C34" s="49" t="s">
        <v>41</v>
      </c>
      <c r="D34" s="50">
        <v>1</v>
      </c>
      <c r="E34" s="65" t="s">
        <v>32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1"/>
      <c r="BK34" s="222"/>
      <c r="BL34" s="223"/>
      <c r="BM34" s="221"/>
      <c r="BN34" s="221"/>
      <c r="BO34" s="75"/>
      <c r="BP34" s="115"/>
      <c r="BQ34" s="114"/>
      <c r="BR34" s="75"/>
      <c r="BS34" s="98"/>
      <c r="BT34" s="75"/>
      <c r="BU34" s="75"/>
      <c r="BV34" s="229">
        <v>0.25</v>
      </c>
      <c r="BW34" s="230">
        <v>0.75</v>
      </c>
      <c r="BX34" s="228"/>
      <c r="BY34" s="228"/>
      <c r="BZ34" s="228"/>
      <c r="CA34" s="229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99999999999999" customHeight="1" outlineLevel="1">
      <c r="A35" s="43" t="s">
        <v>17</v>
      </c>
      <c r="B35" s="52" t="str">
        <f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2.2.11</v>
      </c>
      <c r="C35" s="53" t="s">
        <v>42</v>
      </c>
      <c r="D35" s="54">
        <v>1</v>
      </c>
      <c r="E35" s="65" t="s">
        <v>32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4"/>
      <c r="BK35" s="225"/>
      <c r="BL35" s="226"/>
      <c r="BM35" s="224"/>
      <c r="BN35" s="224"/>
      <c r="BO35" s="78"/>
      <c r="BP35" s="117"/>
      <c r="BQ35" s="116"/>
      <c r="BR35" s="78"/>
      <c r="BS35" s="98"/>
      <c r="BT35" s="78"/>
      <c r="BU35" s="78"/>
      <c r="BV35" s="235"/>
      <c r="BW35" s="236"/>
      <c r="BX35" s="234">
        <v>1</v>
      </c>
      <c r="BY35" s="234"/>
      <c r="BZ35" s="234"/>
      <c r="CA35" s="235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99999999999999" customHeight="1">
      <c r="A36" s="43" t="s">
        <v>15</v>
      </c>
      <c r="B36" s="61">
        <v>3</v>
      </c>
      <c r="C36" s="62" t="s">
        <v>43</v>
      </c>
      <c r="D36" s="63"/>
      <c r="E36" s="64"/>
      <c r="F36" s="220">
        <f>(SUM(D38:D43)/SUM(D38:D43,D45:D55)*F37)+(SUM(D45:D55)/SUM(D38:D43,D45:D55)*F44)</f>
        <v>0.69881969881969885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99999999999999" customHeight="1">
      <c r="A37" s="43" t="s">
        <v>22</v>
      </c>
      <c r="B37" s="30" t="str">
        <f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3.1</v>
      </c>
      <c r="C37" s="32" t="s">
        <v>23</v>
      </c>
      <c r="D37" s="42"/>
      <c r="E37" s="31"/>
      <c r="F37" s="217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99999999999999" customHeight="1" outlineLevel="1">
      <c r="A38" s="43" t="s">
        <v>17</v>
      </c>
      <c r="B38" s="44" t="str">
        <f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3.1.1</v>
      </c>
      <c r="C38" s="45" t="s">
        <v>44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99999999999999" customHeight="1" outlineLevel="1">
      <c r="A39" s="43" t="s">
        <v>17</v>
      </c>
      <c r="B39" s="48" t="str">
        <f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3.1.2</v>
      </c>
      <c r="C39" s="49" t="s">
        <v>45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99999999999999" customHeight="1" outlineLevel="1">
      <c r="A40" s="43" t="s">
        <v>17</v>
      </c>
      <c r="B40" s="48" t="str">
        <f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3.1.3</v>
      </c>
      <c r="C40" s="49" t="s">
        <v>46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99999999999999" customHeight="1" outlineLevel="1">
      <c r="A41" s="43" t="s">
        <v>17</v>
      </c>
      <c r="B41" s="48" t="str">
        <f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3.1.4</v>
      </c>
      <c r="C41" s="49" t="s">
        <v>47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99999999999999" customHeight="1" outlineLevel="1">
      <c r="A42" s="43" t="s">
        <v>17</v>
      </c>
      <c r="B42" s="48" t="str">
        <f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3.1.5</v>
      </c>
      <c r="C42" s="49" t="s">
        <v>48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99999999999999" customHeight="1" outlineLevel="1">
      <c r="A43" s="43" t="s">
        <v>17</v>
      </c>
      <c r="B43" s="48" t="str">
        <f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3.1.6</v>
      </c>
      <c r="C43" s="49" t="s">
        <v>49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99999999999999" customHeight="1">
      <c r="A44" s="43" t="s">
        <v>22</v>
      </c>
      <c r="B44" s="30" t="str">
        <f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3.2</v>
      </c>
      <c r="C44" s="32" t="s">
        <v>30</v>
      </c>
      <c r="D44" s="42"/>
      <c r="E44" s="31"/>
      <c r="F44" s="217">
        <f>11/21</f>
        <v>0.52380952380952384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>
        <v>1</v>
      </c>
      <c r="CA44" s="113">
        <v>1</v>
      </c>
      <c r="CB44" s="112">
        <v>1</v>
      </c>
      <c r="CC44" s="31">
        <v>1</v>
      </c>
      <c r="CD44" s="31">
        <v>1</v>
      </c>
      <c r="CE44" s="31">
        <v>1</v>
      </c>
      <c r="CF44" s="113">
        <v>1</v>
      </c>
      <c r="CG44" s="112">
        <v>1</v>
      </c>
      <c r="CH44" s="31">
        <v>1</v>
      </c>
      <c r="CI44" s="31">
        <v>1</v>
      </c>
      <c r="CJ44" s="31">
        <v>1</v>
      </c>
      <c r="CK44" s="113">
        <v>1</v>
      </c>
      <c r="CL44" s="112">
        <v>1</v>
      </c>
      <c r="CM44" s="31">
        <v>1</v>
      </c>
      <c r="CN44" s="31">
        <v>1</v>
      </c>
      <c r="CO44" s="97"/>
      <c r="CP44" s="102">
        <v>1</v>
      </c>
      <c r="CQ44" s="113">
        <v>1</v>
      </c>
      <c r="CR44" s="112">
        <v>1</v>
      </c>
      <c r="CS44" s="31">
        <v>1</v>
      </c>
      <c r="CT44" s="31">
        <v>1</v>
      </c>
      <c r="CU44" s="31">
        <v>1</v>
      </c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99999999999999" customHeight="1" outlineLevel="1">
      <c r="A45" s="43" t="s">
        <v>17</v>
      </c>
      <c r="B45" s="44" t="str">
        <f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3.2.1</v>
      </c>
      <c r="C45" s="45" t="s">
        <v>31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1"/>
      <c r="BO45" s="221"/>
      <c r="BP45" s="222"/>
      <c r="BQ45" s="223"/>
      <c r="BR45" s="221"/>
      <c r="BS45" s="227"/>
      <c r="BT45" s="221"/>
      <c r="BU45" s="221"/>
      <c r="BV45" s="222"/>
      <c r="BW45" s="223"/>
      <c r="BX45" s="221"/>
      <c r="BY45" s="221"/>
      <c r="BZ45" s="228">
        <v>1</v>
      </c>
      <c r="CA45" s="229">
        <v>1</v>
      </c>
      <c r="CB45" s="230">
        <v>1</v>
      </c>
      <c r="CC45" s="228">
        <v>1</v>
      </c>
      <c r="CD45" s="228"/>
      <c r="CE45" s="228"/>
      <c r="CF45" s="229"/>
      <c r="CG45" s="230"/>
      <c r="CH45" s="228"/>
      <c r="CI45" s="228"/>
      <c r="CJ45" s="228"/>
      <c r="CK45" s="229"/>
      <c r="CL45" s="230"/>
      <c r="CM45" s="228"/>
      <c r="CN45" s="228"/>
      <c r="CO45" s="231"/>
      <c r="CP45" s="232"/>
      <c r="CQ45" s="229"/>
      <c r="CR45" s="230"/>
      <c r="CS45" s="228"/>
      <c r="CT45" s="228"/>
      <c r="CU45" s="228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99999999999999" customHeight="1" outlineLevel="1">
      <c r="A46" s="43" t="s">
        <v>17</v>
      </c>
      <c r="B46" s="48" t="str">
        <f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3.2.2</v>
      </c>
      <c r="C46" s="49" t="s">
        <v>33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1"/>
      <c r="BO46" s="221"/>
      <c r="BP46" s="222"/>
      <c r="BQ46" s="223"/>
      <c r="BR46" s="221"/>
      <c r="BS46" s="227"/>
      <c r="BT46" s="221"/>
      <c r="BU46" s="221"/>
      <c r="BV46" s="222"/>
      <c r="BW46" s="223"/>
      <c r="BX46" s="221"/>
      <c r="BY46" s="221"/>
      <c r="BZ46" s="228"/>
      <c r="CA46" s="229">
        <v>1</v>
      </c>
      <c r="CB46" s="230">
        <v>1</v>
      </c>
      <c r="CC46" s="228"/>
      <c r="CD46" s="228"/>
      <c r="CE46" s="228"/>
      <c r="CF46" s="229"/>
      <c r="CG46" s="230"/>
      <c r="CH46" s="228"/>
      <c r="CI46" s="228"/>
      <c r="CJ46" s="228"/>
      <c r="CK46" s="229"/>
      <c r="CL46" s="230"/>
      <c r="CM46" s="228"/>
      <c r="CN46" s="228"/>
      <c r="CO46" s="231"/>
      <c r="CP46" s="232"/>
      <c r="CQ46" s="229"/>
      <c r="CR46" s="230"/>
      <c r="CS46" s="228"/>
      <c r="CT46" s="228"/>
      <c r="CU46" s="228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99999999999999" customHeight="1" outlineLevel="1">
      <c r="A47" s="43" t="s">
        <v>17</v>
      </c>
      <c r="B47" s="48" t="str">
        <f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3.2.3</v>
      </c>
      <c r="C47" s="49" t="s">
        <v>34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1"/>
      <c r="BO47" s="221"/>
      <c r="BP47" s="222"/>
      <c r="BQ47" s="223"/>
      <c r="BR47" s="221"/>
      <c r="BS47" s="227"/>
      <c r="BT47" s="221"/>
      <c r="BU47" s="221"/>
      <c r="BV47" s="222"/>
      <c r="BW47" s="223"/>
      <c r="BX47" s="221"/>
      <c r="BY47" s="221"/>
      <c r="BZ47" s="228"/>
      <c r="CA47" s="229"/>
      <c r="CB47" s="230"/>
      <c r="CC47" s="228"/>
      <c r="CD47" s="228"/>
      <c r="CE47" s="228">
        <v>1</v>
      </c>
      <c r="CF47" s="229"/>
      <c r="CG47" s="230"/>
      <c r="CH47" s="228"/>
      <c r="CI47" s="233"/>
      <c r="CJ47" s="228"/>
      <c r="CK47" s="229"/>
      <c r="CL47" s="230"/>
      <c r="CM47" s="228"/>
      <c r="CN47" s="228"/>
      <c r="CO47" s="231"/>
      <c r="CP47" s="232"/>
      <c r="CQ47" s="229"/>
      <c r="CR47" s="230"/>
      <c r="CS47" s="228"/>
      <c r="CT47" s="228"/>
      <c r="CU47" s="228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99999999999999" customHeight="1" outlineLevel="1">
      <c r="A48" s="43" t="s">
        <v>17</v>
      </c>
      <c r="B48" s="48" t="str">
        <f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3.2.4</v>
      </c>
      <c r="C48" s="49" t="s">
        <v>35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1"/>
      <c r="BO48" s="221"/>
      <c r="BP48" s="222"/>
      <c r="BQ48" s="223"/>
      <c r="BR48" s="221"/>
      <c r="BS48" s="227"/>
      <c r="BT48" s="221"/>
      <c r="BU48" s="221"/>
      <c r="BV48" s="222"/>
      <c r="BW48" s="223"/>
      <c r="BX48" s="221"/>
      <c r="BY48" s="221"/>
      <c r="BZ48" s="228">
        <v>1</v>
      </c>
      <c r="CA48" s="229"/>
      <c r="CB48" s="230"/>
      <c r="CC48" s="228"/>
      <c r="CD48" s="228">
        <v>1</v>
      </c>
      <c r="CE48" s="228"/>
      <c r="CF48" s="229"/>
      <c r="CG48" s="230"/>
      <c r="CH48" s="228"/>
      <c r="CI48" s="228"/>
      <c r="CJ48" s="228"/>
      <c r="CK48" s="229"/>
      <c r="CL48" s="230"/>
      <c r="CM48" s="228"/>
      <c r="CN48" s="228"/>
      <c r="CO48" s="231"/>
      <c r="CP48" s="232"/>
      <c r="CQ48" s="229"/>
      <c r="CR48" s="230"/>
      <c r="CS48" s="228"/>
      <c r="CT48" s="228"/>
      <c r="CU48" s="228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99999999999999" customHeight="1" outlineLevel="1">
      <c r="A49" s="43" t="s">
        <v>17</v>
      </c>
      <c r="B49" s="48" t="str">
        <f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3.2.5</v>
      </c>
      <c r="C49" s="49" t="s">
        <v>36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1"/>
      <c r="BO49" s="221"/>
      <c r="BP49" s="222"/>
      <c r="BQ49" s="223"/>
      <c r="BR49" s="221"/>
      <c r="BS49" s="227"/>
      <c r="BT49" s="221"/>
      <c r="BU49" s="221"/>
      <c r="BV49" s="222"/>
      <c r="BW49" s="223"/>
      <c r="BX49" s="221"/>
      <c r="BY49" s="221"/>
      <c r="BZ49" s="228"/>
      <c r="CA49" s="229"/>
      <c r="CB49" s="230"/>
      <c r="CC49" s="228"/>
      <c r="CD49" s="228">
        <v>1</v>
      </c>
      <c r="CE49" s="228"/>
      <c r="CF49" s="229">
        <v>1</v>
      </c>
      <c r="CG49" s="230">
        <v>1</v>
      </c>
      <c r="CH49" s="228">
        <v>1</v>
      </c>
      <c r="CI49" s="228">
        <v>1</v>
      </c>
      <c r="CJ49" s="228">
        <v>1</v>
      </c>
      <c r="CK49" s="229">
        <v>1</v>
      </c>
      <c r="CL49" s="230">
        <v>1</v>
      </c>
      <c r="CM49" s="228">
        <v>1</v>
      </c>
      <c r="CN49" s="228">
        <v>1</v>
      </c>
      <c r="CO49" s="231"/>
      <c r="CP49" s="232">
        <v>1</v>
      </c>
      <c r="CQ49" s="229">
        <v>1</v>
      </c>
      <c r="CR49" s="230">
        <v>1</v>
      </c>
      <c r="CS49" s="228">
        <v>1</v>
      </c>
      <c r="CT49" s="228">
        <v>1</v>
      </c>
      <c r="CU49" s="228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99999999999999" customHeight="1" outlineLevel="1">
      <c r="A50" s="43" t="s">
        <v>17</v>
      </c>
      <c r="B50" s="48" t="str">
        <f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3.2.6</v>
      </c>
      <c r="C50" s="49" t="s">
        <v>37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1"/>
      <c r="BO50" s="221"/>
      <c r="BP50" s="222"/>
      <c r="BQ50" s="223"/>
      <c r="BR50" s="221"/>
      <c r="BS50" s="227"/>
      <c r="BT50" s="221"/>
      <c r="BU50" s="221"/>
      <c r="BV50" s="222"/>
      <c r="BW50" s="223"/>
      <c r="BX50" s="221"/>
      <c r="BY50" s="221"/>
      <c r="BZ50" s="228"/>
      <c r="CA50" s="229"/>
      <c r="CB50" s="230"/>
      <c r="CC50" s="228">
        <v>1</v>
      </c>
      <c r="CD50" s="228"/>
      <c r="CE50" s="228"/>
      <c r="CF50" s="229">
        <v>1</v>
      </c>
      <c r="CG50" s="230">
        <v>1</v>
      </c>
      <c r="CH50" s="228">
        <v>1</v>
      </c>
      <c r="CI50" s="228">
        <v>1</v>
      </c>
      <c r="CJ50" s="228">
        <v>1</v>
      </c>
      <c r="CK50" s="229">
        <v>1</v>
      </c>
      <c r="CL50" s="230">
        <v>1</v>
      </c>
      <c r="CM50" s="228">
        <v>1</v>
      </c>
      <c r="CN50" s="228">
        <v>1</v>
      </c>
      <c r="CO50" s="231"/>
      <c r="CP50" s="232">
        <v>1</v>
      </c>
      <c r="CQ50" s="229">
        <v>1</v>
      </c>
      <c r="CR50" s="230">
        <v>1</v>
      </c>
      <c r="CS50" s="228">
        <v>1</v>
      </c>
      <c r="CT50" s="228">
        <v>1</v>
      </c>
      <c r="CU50" s="228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99999999999999" customHeight="1" outlineLevel="1">
      <c r="A51" s="43" t="s">
        <v>17</v>
      </c>
      <c r="B51" s="48" t="str">
        <f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3.2.7</v>
      </c>
      <c r="C51" s="49" t="s">
        <v>38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1"/>
      <c r="BO51" s="221"/>
      <c r="BP51" s="222"/>
      <c r="BQ51" s="223"/>
      <c r="BR51" s="221"/>
      <c r="BS51" s="227"/>
      <c r="BT51" s="221"/>
      <c r="BU51" s="221"/>
      <c r="BV51" s="222"/>
      <c r="BW51" s="223"/>
      <c r="BX51" s="221"/>
      <c r="BY51" s="221"/>
      <c r="BZ51" s="228"/>
      <c r="CA51" s="229"/>
      <c r="CB51" s="230"/>
      <c r="CC51" s="228"/>
      <c r="CD51" s="228"/>
      <c r="CE51" s="228"/>
      <c r="CF51" s="229">
        <v>1</v>
      </c>
      <c r="CG51" s="230">
        <v>1</v>
      </c>
      <c r="CH51" s="228">
        <v>1</v>
      </c>
      <c r="CI51" s="228">
        <v>1</v>
      </c>
      <c r="CJ51" s="228">
        <v>1</v>
      </c>
      <c r="CK51" s="229">
        <v>1</v>
      </c>
      <c r="CL51" s="230">
        <v>1</v>
      </c>
      <c r="CM51" s="228">
        <v>1</v>
      </c>
      <c r="CN51" s="228">
        <v>1</v>
      </c>
      <c r="CO51" s="231"/>
      <c r="CP51" s="232">
        <v>1</v>
      </c>
      <c r="CQ51" s="229">
        <v>1</v>
      </c>
      <c r="CR51" s="230">
        <v>1</v>
      </c>
      <c r="CS51" s="228">
        <v>1</v>
      </c>
      <c r="CT51" s="228">
        <v>1</v>
      </c>
      <c r="CU51" s="228">
        <v>1</v>
      </c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99999999999999" customHeight="1" outlineLevel="1">
      <c r="A52" s="43" t="s">
        <v>17</v>
      </c>
      <c r="B52" s="48" t="str">
        <f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3.2.8</v>
      </c>
      <c r="C52" s="49" t="s">
        <v>39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1"/>
      <c r="BO52" s="221"/>
      <c r="BP52" s="222"/>
      <c r="BQ52" s="223"/>
      <c r="BR52" s="221"/>
      <c r="BS52" s="227"/>
      <c r="BT52" s="221"/>
      <c r="BU52" s="221"/>
      <c r="BV52" s="222"/>
      <c r="BW52" s="223"/>
      <c r="BX52" s="221"/>
      <c r="BY52" s="221"/>
      <c r="BZ52" s="228">
        <v>0.25</v>
      </c>
      <c r="CA52" s="229">
        <v>0.75</v>
      </c>
      <c r="CB52" s="230">
        <v>0.75</v>
      </c>
      <c r="CC52" s="228">
        <v>0.75</v>
      </c>
      <c r="CD52" s="228">
        <v>0.75</v>
      </c>
      <c r="CE52" s="228">
        <v>0.75</v>
      </c>
      <c r="CF52" s="229">
        <v>0.75</v>
      </c>
      <c r="CG52" s="230">
        <v>0.75</v>
      </c>
      <c r="CH52" s="228">
        <v>0.75</v>
      </c>
      <c r="CI52" s="228">
        <v>0.75</v>
      </c>
      <c r="CJ52" s="228">
        <v>0.75</v>
      </c>
      <c r="CK52" s="229">
        <v>0.75</v>
      </c>
      <c r="CL52" s="230">
        <v>0.75</v>
      </c>
      <c r="CM52" s="228">
        <v>0.75</v>
      </c>
      <c r="CN52" s="228">
        <v>0.75</v>
      </c>
      <c r="CO52" s="231"/>
      <c r="CP52" s="232">
        <v>0.75</v>
      </c>
      <c r="CQ52" s="229">
        <v>0.75</v>
      </c>
      <c r="CR52" s="230">
        <v>0.75</v>
      </c>
      <c r="CS52" s="228">
        <v>0.75</v>
      </c>
      <c r="CT52" s="228">
        <v>0.75</v>
      </c>
      <c r="CU52" s="228">
        <v>0.5</v>
      </c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99999999999999" customHeight="1" outlineLevel="1">
      <c r="A53" s="43" t="s">
        <v>17</v>
      </c>
      <c r="B53" s="48" t="str">
        <f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3.2.9</v>
      </c>
      <c r="C53" s="49" t="s">
        <v>40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1"/>
      <c r="BO53" s="221"/>
      <c r="BP53" s="222"/>
      <c r="BQ53" s="223"/>
      <c r="BR53" s="221"/>
      <c r="BS53" s="227"/>
      <c r="BT53" s="221"/>
      <c r="BU53" s="221"/>
      <c r="BV53" s="222"/>
      <c r="BW53" s="223"/>
      <c r="BX53" s="221"/>
      <c r="BY53" s="221"/>
      <c r="BZ53" s="228"/>
      <c r="CA53" s="229"/>
      <c r="CB53" s="230"/>
      <c r="CC53" s="228">
        <v>1</v>
      </c>
      <c r="CD53" s="228">
        <v>1</v>
      </c>
      <c r="CE53" s="228"/>
      <c r="CF53" s="229"/>
      <c r="CG53" s="230"/>
      <c r="CH53" s="228"/>
      <c r="CI53" s="228"/>
      <c r="CJ53" s="228"/>
      <c r="CK53" s="229"/>
      <c r="CL53" s="230"/>
      <c r="CM53" s="228"/>
      <c r="CN53" s="228"/>
      <c r="CO53" s="231"/>
      <c r="CP53" s="232"/>
      <c r="CQ53" s="229"/>
      <c r="CR53" s="230"/>
      <c r="CS53" s="228"/>
      <c r="CT53" s="228"/>
      <c r="CU53" s="228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99999999999999" customHeight="1" outlineLevel="1">
      <c r="A54" s="43" t="s">
        <v>17</v>
      </c>
      <c r="B54" s="48" t="str">
        <f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3.2.10</v>
      </c>
      <c r="C54" s="49" t="s">
        <v>41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1"/>
      <c r="BO54" s="221"/>
      <c r="BP54" s="222"/>
      <c r="BQ54" s="223"/>
      <c r="BR54" s="221"/>
      <c r="BS54" s="227"/>
      <c r="BT54" s="221"/>
      <c r="BU54" s="221"/>
      <c r="BV54" s="222"/>
      <c r="BW54" s="223"/>
      <c r="BX54" s="221"/>
      <c r="BY54" s="221"/>
      <c r="BZ54" s="228"/>
      <c r="CA54" s="229">
        <v>1</v>
      </c>
      <c r="CB54" s="230">
        <v>1</v>
      </c>
      <c r="CC54" s="228"/>
      <c r="CD54" s="228"/>
      <c r="CE54" s="228"/>
      <c r="CF54" s="229"/>
      <c r="CG54" s="230"/>
      <c r="CH54" s="228"/>
      <c r="CI54" s="228"/>
      <c r="CJ54" s="228"/>
      <c r="CK54" s="229"/>
      <c r="CL54" s="230"/>
      <c r="CM54" s="228"/>
      <c r="CN54" s="228"/>
      <c r="CO54" s="231"/>
      <c r="CP54" s="232"/>
      <c r="CQ54" s="229"/>
      <c r="CR54" s="230"/>
      <c r="CS54" s="228"/>
      <c r="CT54" s="228"/>
      <c r="CU54" s="228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99999999999999" customHeight="1" outlineLevel="1">
      <c r="A55" s="43" t="s">
        <v>17</v>
      </c>
      <c r="B55" s="52" t="str">
        <f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3.2.11</v>
      </c>
      <c r="C55" s="53" t="s">
        <v>42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4"/>
      <c r="BO55" s="224"/>
      <c r="BP55" s="225"/>
      <c r="BQ55" s="226"/>
      <c r="BR55" s="224"/>
      <c r="BS55" s="227"/>
      <c r="BT55" s="224"/>
      <c r="BU55" s="224"/>
      <c r="BV55" s="225"/>
      <c r="BW55" s="226"/>
      <c r="BX55" s="224"/>
      <c r="BY55" s="224"/>
      <c r="BZ55" s="234"/>
      <c r="CA55" s="235"/>
      <c r="CB55" s="236"/>
      <c r="CC55" s="234"/>
      <c r="CD55" s="234"/>
      <c r="CE55" s="234"/>
      <c r="CF55" s="235"/>
      <c r="CG55" s="236"/>
      <c r="CH55" s="234"/>
      <c r="CI55" s="234"/>
      <c r="CJ55" s="234"/>
      <c r="CK55" s="235"/>
      <c r="CL55" s="236"/>
      <c r="CM55" s="234"/>
      <c r="CN55" s="234"/>
      <c r="CO55" s="231"/>
      <c r="CP55" s="237"/>
      <c r="CQ55" s="235"/>
      <c r="CR55" s="236"/>
      <c r="CS55" s="234"/>
      <c r="CT55" s="234"/>
      <c r="CU55" s="234">
        <v>1</v>
      </c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99999999999999" customHeight="1">
      <c r="A56" s="43" t="s">
        <v>15</v>
      </c>
      <c r="B56" s="61">
        <v>4</v>
      </c>
      <c r="C56" s="62" t="s">
        <v>50</v>
      </c>
      <c r="D56" s="63"/>
      <c r="E56" s="64"/>
      <c r="F56" s="220">
        <f>(SUM(D58:D63)/SUM(D58:D63,D65:D75)*F57)+(SUM(D65:D75)/SUM(D58:D63,D65:D75)*F64)</f>
        <v>0.72289156626506024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99999999999999" customHeight="1">
      <c r="A57" s="43" t="s">
        <v>22</v>
      </c>
      <c r="B57" s="30" t="str">
        <f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4.1</v>
      </c>
      <c r="C57" s="32" t="s">
        <v>23</v>
      </c>
      <c r="D57" s="42"/>
      <c r="E57" s="31"/>
      <c r="F57" s="217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99999999999999" customHeight="1" outlineLevel="1">
      <c r="A58" s="43" t="s">
        <v>17</v>
      </c>
      <c r="B58" s="44" t="str">
        <f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4.1.1</v>
      </c>
      <c r="C58" s="45" t="s">
        <v>44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99999999999999" customHeight="1" outlineLevel="1">
      <c r="A59" s="43" t="s">
        <v>17</v>
      </c>
      <c r="B59" s="48" t="str">
        <f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4.1.2</v>
      </c>
      <c r="C59" s="49" t="s">
        <v>45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99999999999999" customHeight="1" outlineLevel="1">
      <c r="A60" s="43" t="s">
        <v>17</v>
      </c>
      <c r="B60" s="48" t="str">
        <f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4.1.3</v>
      </c>
      <c r="C60" s="49" t="s">
        <v>46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99999999999999" customHeight="1" outlineLevel="1">
      <c r="A61" s="43" t="s">
        <v>17</v>
      </c>
      <c r="B61" s="48" t="str">
        <f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4.1.4</v>
      </c>
      <c r="C61" s="49" t="s">
        <v>47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99999999999999" customHeight="1" outlineLevel="1">
      <c r="A62" s="43" t="s">
        <v>17</v>
      </c>
      <c r="B62" s="48" t="str">
        <f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4.1.5</v>
      </c>
      <c r="C62" s="49" t="s">
        <v>48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99999999999999" customHeight="1" outlineLevel="1">
      <c r="A63" s="43" t="s">
        <v>17</v>
      </c>
      <c r="B63" s="48" t="str">
        <f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4.1.6</v>
      </c>
      <c r="C63" s="49" t="s">
        <v>49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99999999999999" customHeight="1">
      <c r="A64" s="43" t="s">
        <v>22</v>
      </c>
      <c r="B64" s="30" t="str">
        <f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4.2</v>
      </c>
      <c r="C64" s="32" t="s">
        <v>30</v>
      </c>
      <c r="D64" s="42"/>
      <c r="E64" s="31"/>
      <c r="F64" s="217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/>
      <c r="CI64" s="31"/>
      <c r="CJ64" s="31"/>
      <c r="CK64" s="113"/>
      <c r="CL64" s="112"/>
      <c r="CM64" s="31"/>
      <c r="CN64" s="31"/>
      <c r="CO64" s="97"/>
      <c r="CP64" s="102"/>
      <c r="CQ64" s="113"/>
      <c r="CR64" s="112"/>
      <c r="CS64" s="31"/>
      <c r="CT64" s="31"/>
      <c r="CU64" s="238">
        <v>1</v>
      </c>
      <c r="CV64" s="239">
        <v>1</v>
      </c>
      <c r="CW64" s="240">
        <v>1</v>
      </c>
      <c r="CX64" s="238">
        <v>1</v>
      </c>
      <c r="CY64" s="238">
        <v>1</v>
      </c>
      <c r="CZ64" s="238">
        <v>1</v>
      </c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99999999999999" customHeight="1" outlineLevel="1">
      <c r="A65" s="43" t="s">
        <v>17</v>
      </c>
      <c r="B65" s="44" t="str">
        <f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4.2.1</v>
      </c>
      <c r="C65" s="45" t="s">
        <v>31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/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228"/>
      <c r="CV65" s="229">
        <v>0.75</v>
      </c>
      <c r="CW65" s="230"/>
      <c r="CX65" s="228"/>
      <c r="CY65" s="228"/>
      <c r="CZ65" s="228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99999999999999" customHeight="1" outlineLevel="1">
      <c r="A66" s="43" t="s">
        <v>17</v>
      </c>
      <c r="B66" s="48" t="str">
        <f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4.2.2</v>
      </c>
      <c r="C66" s="49" t="s">
        <v>33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/>
      <c r="CJ66" s="75"/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228"/>
      <c r="CV66" s="229">
        <v>0.5</v>
      </c>
      <c r="CW66" s="230">
        <v>0.25</v>
      </c>
      <c r="CX66" s="228"/>
      <c r="CY66" s="228"/>
      <c r="CZ66" s="228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99999999999999" customHeight="1" outlineLevel="1">
      <c r="A67" s="43" t="s">
        <v>17</v>
      </c>
      <c r="B67" s="48" t="str">
        <f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4.2.3</v>
      </c>
      <c r="C67" s="49" t="s">
        <v>34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/>
      <c r="CI67" s="75"/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228">
        <v>0.25</v>
      </c>
      <c r="CV67" s="229">
        <v>0.25</v>
      </c>
      <c r="CW67" s="230"/>
      <c r="CX67" s="228"/>
      <c r="CY67" s="228"/>
      <c r="CZ67" s="228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99999999999999" customHeight="1" outlineLevel="1">
      <c r="A68" s="43" t="s">
        <v>17</v>
      </c>
      <c r="B68" s="48" t="str">
        <f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4.2.4</v>
      </c>
      <c r="C68" s="49" t="s">
        <v>35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/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228">
        <v>1</v>
      </c>
      <c r="CV68" s="229"/>
      <c r="CW68" s="230"/>
      <c r="CX68" s="228"/>
      <c r="CY68" s="228"/>
      <c r="CZ68" s="228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99999999999999" customHeight="1" outlineLevel="1">
      <c r="A69" s="43" t="s">
        <v>17</v>
      </c>
      <c r="B69" s="48" t="str">
        <f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4.2.5</v>
      </c>
      <c r="C69" s="49" t="s">
        <v>36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/>
      <c r="CK69" s="115"/>
      <c r="CL69" s="114"/>
      <c r="CM69" s="75"/>
      <c r="CN69" s="75"/>
      <c r="CO69" s="98"/>
      <c r="CP69" s="103"/>
      <c r="CQ69" s="115"/>
      <c r="CR69" s="114"/>
      <c r="CS69" s="75"/>
      <c r="CT69" s="75"/>
      <c r="CU69" s="228"/>
      <c r="CV69" s="229"/>
      <c r="CW69" s="230">
        <v>1</v>
      </c>
      <c r="CX69" s="228">
        <v>0.5</v>
      </c>
      <c r="CY69" s="228"/>
      <c r="CZ69" s="228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99999999999999" customHeight="1" outlineLevel="1">
      <c r="A70" s="43" t="s">
        <v>17</v>
      </c>
      <c r="B70" s="48" t="str">
        <f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4.2.6</v>
      </c>
      <c r="C70" s="49" t="s">
        <v>37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/>
      <c r="CK70" s="115"/>
      <c r="CL70" s="114"/>
      <c r="CM70" s="75"/>
      <c r="CN70" s="75"/>
      <c r="CO70" s="98"/>
      <c r="CP70" s="103"/>
      <c r="CQ70" s="115"/>
      <c r="CR70" s="114"/>
      <c r="CS70" s="75"/>
      <c r="CT70" s="75"/>
      <c r="CU70" s="228"/>
      <c r="CV70" s="229"/>
      <c r="CW70" s="230">
        <v>1</v>
      </c>
      <c r="CX70" s="228">
        <v>0.5</v>
      </c>
      <c r="CY70" s="228"/>
      <c r="CZ70" s="228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99999999999999" customHeight="1" outlineLevel="1">
      <c r="A71" s="43" t="s">
        <v>17</v>
      </c>
      <c r="B71" s="48" t="str">
        <f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4.2.7</v>
      </c>
      <c r="C71" s="49" t="s">
        <v>38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/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228"/>
      <c r="CV71" s="229"/>
      <c r="CW71" s="230"/>
      <c r="CX71" s="228">
        <v>1</v>
      </c>
      <c r="CY71" s="228"/>
      <c r="CZ71" s="228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99999999999999" customHeight="1" outlineLevel="1">
      <c r="A72" s="43" t="s">
        <v>17</v>
      </c>
      <c r="B72" s="48" t="str">
        <f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4.2.8</v>
      </c>
      <c r="C72" s="49" t="s">
        <v>39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/>
      <c r="CM72" s="75"/>
      <c r="CN72" s="75"/>
      <c r="CO72" s="98">
        <v>0.5</v>
      </c>
      <c r="CP72" s="103"/>
      <c r="CQ72" s="115"/>
      <c r="CR72" s="114"/>
      <c r="CS72" s="75"/>
      <c r="CT72" s="75"/>
      <c r="CU72" s="228"/>
      <c r="CV72" s="229"/>
      <c r="CW72" s="230"/>
      <c r="CX72" s="228"/>
      <c r="CY72" s="228">
        <v>1</v>
      </c>
      <c r="CZ72" s="228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99999999999999" customHeight="1" outlineLevel="1">
      <c r="A73" s="43" t="s">
        <v>17</v>
      </c>
      <c r="B73" s="48" t="str">
        <f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4.2.9</v>
      </c>
      <c r="C73" s="49" t="s">
        <v>40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/>
      <c r="CN73" s="75"/>
      <c r="CO73" s="98"/>
      <c r="CP73" s="103"/>
      <c r="CQ73" s="115"/>
      <c r="CR73" s="114"/>
      <c r="CS73" s="75"/>
      <c r="CT73" s="75"/>
      <c r="CU73" s="228"/>
      <c r="CV73" s="229"/>
      <c r="CW73" s="230"/>
      <c r="CX73" s="228"/>
      <c r="CY73" s="228"/>
      <c r="CZ73" s="228">
        <v>1</v>
      </c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99999999999999" customHeight="1" outlineLevel="1">
      <c r="A74" s="43" t="s">
        <v>17</v>
      </c>
      <c r="B74" s="48" t="str">
        <f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4.2.10</v>
      </c>
      <c r="C74" s="49" t="s">
        <v>41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/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228"/>
      <c r="CV74" s="229">
        <v>0.75</v>
      </c>
      <c r="CW74" s="230"/>
      <c r="CX74" s="228"/>
      <c r="CY74" s="228"/>
      <c r="CZ74" s="228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99999999999999" customHeight="1" outlineLevel="1">
      <c r="A75" s="43" t="s">
        <v>17</v>
      </c>
      <c r="B75" s="52" t="str">
        <f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4.2.11</v>
      </c>
      <c r="C75" s="53" t="s">
        <v>42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/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234"/>
      <c r="CV75" s="235">
        <v>0.75</v>
      </c>
      <c r="CW75" s="236"/>
      <c r="CX75" s="234"/>
      <c r="CY75" s="234"/>
      <c r="CZ75" s="234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99999999999999" customHeight="1">
      <c r="A76" s="43" t="s">
        <v>15</v>
      </c>
      <c r="B76" s="61">
        <v>5</v>
      </c>
      <c r="C76" s="62" t="s">
        <v>51</v>
      </c>
      <c r="D76" s="63"/>
      <c r="E76" s="64"/>
      <c r="F76" s="219">
        <f>(SUM(D78:D83)/SUM(D78:D83,D85:D95)*F77)+(SUM(D85:D95)/SUM(D78:D83,D85:D95)*F84)</f>
        <v>0.10619469026548672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99999999999999" customHeight="1">
      <c r="A77" s="43" t="s">
        <v>22</v>
      </c>
      <c r="B77" s="30" t="str">
        <f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5.1</v>
      </c>
      <c r="C77" s="32" t="s">
        <v>23</v>
      </c>
      <c r="D77" s="42"/>
      <c r="E77" s="31"/>
      <c r="F77" s="217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99999999999999" customHeight="1" outlineLevel="1">
      <c r="A78" s="43" t="s">
        <v>17</v>
      </c>
      <c r="B78" s="44" t="str">
        <f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5.1.1</v>
      </c>
      <c r="C78" s="45" t="s">
        <v>44</v>
      </c>
      <c r="D78" s="46">
        <v>0.5</v>
      </c>
      <c r="E78" s="47" t="s">
        <v>52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99999999999999" customHeight="1" outlineLevel="1">
      <c r="A79" s="43" t="s">
        <v>17</v>
      </c>
      <c r="B79" s="48" t="str">
        <f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5.1.2</v>
      </c>
      <c r="C79" s="49" t="s">
        <v>45</v>
      </c>
      <c r="D79" s="50">
        <v>0.5</v>
      </c>
      <c r="E79" s="47" t="s">
        <v>52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99999999999999" customHeight="1" outlineLevel="1">
      <c r="A80" s="43" t="s">
        <v>17</v>
      </c>
      <c r="B80" s="48" t="str">
        <f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5.1.3</v>
      </c>
      <c r="C80" s="49" t="s">
        <v>46</v>
      </c>
      <c r="D80" s="50">
        <v>0.5</v>
      </c>
      <c r="E80" s="47" t="s">
        <v>52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99999999999999" customHeight="1" outlineLevel="1">
      <c r="A81" s="43" t="s">
        <v>17</v>
      </c>
      <c r="B81" s="48" t="str">
        <f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5.1.4</v>
      </c>
      <c r="C81" s="49" t="s">
        <v>47</v>
      </c>
      <c r="D81" s="50">
        <v>0.5</v>
      </c>
      <c r="E81" s="47" t="s">
        <v>52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99999999999999" customHeight="1" outlineLevel="1">
      <c r="A82" s="43" t="s">
        <v>17</v>
      </c>
      <c r="B82" s="48" t="str">
        <f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5.1.5</v>
      </c>
      <c r="C82" s="49" t="s">
        <v>48</v>
      </c>
      <c r="D82" s="50">
        <v>0.5</v>
      </c>
      <c r="E82" s="47" t="s">
        <v>52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99999999999999" customHeight="1" outlineLevel="1">
      <c r="A83" s="43" t="s">
        <v>17</v>
      </c>
      <c r="B83" s="48" t="str">
        <f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5.1.6</v>
      </c>
      <c r="C83" s="49" t="s">
        <v>49</v>
      </c>
      <c r="D83" s="50">
        <v>0.5</v>
      </c>
      <c r="E83" s="47" t="s">
        <v>52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99999999999999" customHeight="1">
      <c r="A84" s="43" t="s">
        <v>22</v>
      </c>
      <c r="B84" s="30" t="str">
        <f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5.2</v>
      </c>
      <c r="C84" s="32" t="s">
        <v>30</v>
      </c>
      <c r="D84" s="42"/>
      <c r="E84" s="31"/>
      <c r="F84" s="217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/>
      <c r="CJ84" s="31"/>
      <c r="CK84" s="113"/>
      <c r="CL84" s="112"/>
      <c r="CM84" s="31"/>
      <c r="CN84" s="31"/>
      <c r="CO84" s="97"/>
      <c r="CP84" s="102"/>
      <c r="CQ84" s="113"/>
      <c r="CR84" s="112"/>
      <c r="CS84" s="31"/>
      <c r="CT84" s="31"/>
      <c r="CU84" s="31"/>
      <c r="CV84" s="239">
        <v>1</v>
      </c>
      <c r="CW84" s="240">
        <v>1</v>
      </c>
      <c r="CX84" s="238">
        <v>1</v>
      </c>
      <c r="CY84" s="238">
        <v>1</v>
      </c>
      <c r="CZ84" s="238">
        <v>1</v>
      </c>
      <c r="DA84" s="239">
        <v>1</v>
      </c>
      <c r="DB84" s="240"/>
      <c r="DC84" s="238">
        <v>1</v>
      </c>
      <c r="DD84" s="238">
        <v>1</v>
      </c>
      <c r="DE84" s="238">
        <v>1</v>
      </c>
      <c r="DF84" s="239">
        <v>1</v>
      </c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99999999999999" customHeight="1" outlineLevel="1">
      <c r="A85" s="43" t="s">
        <v>17</v>
      </c>
      <c r="B85" s="44" t="str">
        <f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5.2.1</v>
      </c>
      <c r="C85" s="45" t="s">
        <v>31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/>
      <c r="CN85" s="75"/>
      <c r="CO85" s="98"/>
      <c r="CP85" s="103"/>
      <c r="CQ85" s="115"/>
      <c r="CR85" s="114"/>
      <c r="CS85" s="75"/>
      <c r="CT85" s="75"/>
      <c r="CU85" s="75"/>
      <c r="CV85" s="229"/>
      <c r="CW85" s="230"/>
      <c r="CX85" s="228"/>
      <c r="CY85" s="228"/>
      <c r="CZ85" s="228">
        <v>1</v>
      </c>
      <c r="DA85" s="229">
        <v>1</v>
      </c>
      <c r="DB85" s="230"/>
      <c r="DC85" s="228">
        <v>1</v>
      </c>
      <c r="DD85" s="228"/>
      <c r="DE85" s="228"/>
      <c r="DF85" s="229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99999999999999" customHeight="1" outlineLevel="1">
      <c r="A86" s="43" t="s">
        <v>17</v>
      </c>
      <c r="B86" s="48" t="str">
        <f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5.2.2</v>
      </c>
      <c r="C86" s="49" t="s">
        <v>33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/>
      <c r="CJ86" s="75"/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229">
        <v>0.75</v>
      </c>
      <c r="CW86" s="230">
        <v>0.25</v>
      </c>
      <c r="CX86" s="228"/>
      <c r="CY86" s="228"/>
      <c r="CZ86" s="228"/>
      <c r="DA86" s="229"/>
      <c r="DB86" s="230"/>
      <c r="DC86" s="228"/>
      <c r="DD86" s="228"/>
      <c r="DE86" s="228"/>
      <c r="DF86" s="229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99999999999999" customHeight="1" outlineLevel="1">
      <c r="A87" s="43" t="s">
        <v>17</v>
      </c>
      <c r="B87" s="48" t="str">
        <f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5.2.3</v>
      </c>
      <c r="C87" s="49" t="s">
        <v>34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/>
      <c r="CR87" s="114"/>
      <c r="CS87" s="75"/>
      <c r="CT87" s="75"/>
      <c r="CU87" s="75"/>
      <c r="CV87" s="229"/>
      <c r="CW87" s="230"/>
      <c r="CX87" s="228"/>
      <c r="CY87" s="228"/>
      <c r="CZ87" s="228"/>
      <c r="DA87" s="229"/>
      <c r="DB87" s="230"/>
      <c r="DC87" s="228"/>
      <c r="DD87" s="228">
        <v>0.25</v>
      </c>
      <c r="DE87" s="228"/>
      <c r="DF87" s="229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99999999999999" customHeight="1" outlineLevel="1">
      <c r="A88" s="43" t="s">
        <v>17</v>
      </c>
      <c r="B88" s="48" t="str">
        <f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5.2.4</v>
      </c>
      <c r="C88" s="49" t="s">
        <v>35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/>
      <c r="CL88" s="114"/>
      <c r="CM88" s="75"/>
      <c r="CN88" s="75"/>
      <c r="CO88" s="98"/>
      <c r="CP88" s="103"/>
      <c r="CQ88" s="115"/>
      <c r="CR88" s="114"/>
      <c r="CS88" s="75"/>
      <c r="CT88" s="75"/>
      <c r="CU88" s="75"/>
      <c r="CV88" s="229"/>
      <c r="CW88" s="230"/>
      <c r="CX88" s="228">
        <v>1</v>
      </c>
      <c r="CY88" s="228">
        <v>1</v>
      </c>
      <c r="CZ88" s="228"/>
      <c r="DA88" s="229"/>
      <c r="DB88" s="230"/>
      <c r="DC88" s="228"/>
      <c r="DD88" s="228"/>
      <c r="DE88" s="228"/>
      <c r="DF88" s="229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99999999999999" customHeight="1" outlineLevel="1">
      <c r="A89" s="43" t="s">
        <v>17</v>
      </c>
      <c r="B89" s="48" t="str">
        <f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5.2.5</v>
      </c>
      <c r="C89" s="49" t="s">
        <v>36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/>
      <c r="CK89" s="115"/>
      <c r="CL89" s="114"/>
      <c r="CM89" s="75"/>
      <c r="CN89" s="75"/>
      <c r="CO89" s="98"/>
      <c r="CP89" s="103"/>
      <c r="CQ89" s="115"/>
      <c r="CR89" s="114"/>
      <c r="CS89" s="75"/>
      <c r="CT89" s="75"/>
      <c r="CU89" s="75"/>
      <c r="CV89" s="229"/>
      <c r="CW89" s="230">
        <v>0.5</v>
      </c>
      <c r="CX89" s="228">
        <v>0.5</v>
      </c>
      <c r="CY89" s="228">
        <v>1</v>
      </c>
      <c r="CZ89" s="228"/>
      <c r="DA89" s="229"/>
      <c r="DB89" s="230"/>
      <c r="DC89" s="228"/>
      <c r="DD89" s="228"/>
      <c r="DE89" s="228"/>
      <c r="DF89" s="229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99999999999999" customHeight="1" outlineLevel="1">
      <c r="A90" s="43" t="s">
        <v>17</v>
      </c>
      <c r="B90" s="48" t="str">
        <f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5.2.6</v>
      </c>
      <c r="C90" s="49" t="s">
        <v>37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/>
      <c r="CN90" s="75"/>
      <c r="CO90" s="98"/>
      <c r="CP90" s="103"/>
      <c r="CQ90" s="115"/>
      <c r="CR90" s="114"/>
      <c r="CS90" s="75"/>
      <c r="CT90" s="75"/>
      <c r="CU90" s="75"/>
      <c r="CV90" s="229"/>
      <c r="CW90" s="230"/>
      <c r="CX90" s="228"/>
      <c r="CY90" s="228"/>
      <c r="CZ90" s="228">
        <v>1</v>
      </c>
      <c r="DA90" s="229">
        <v>1</v>
      </c>
      <c r="DB90" s="230"/>
      <c r="DC90" s="228">
        <v>1</v>
      </c>
      <c r="DD90" s="228">
        <v>1</v>
      </c>
      <c r="DE90" s="228"/>
      <c r="DF90" s="229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99999999999999" customHeight="1" outlineLevel="1">
      <c r="A91" s="43" t="s">
        <v>17</v>
      </c>
      <c r="B91" s="48" t="str">
        <f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5.2.7</v>
      </c>
      <c r="C91" s="49" t="s">
        <v>38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/>
      <c r="CO91" s="98"/>
      <c r="CP91" s="103"/>
      <c r="CQ91" s="115"/>
      <c r="CR91" s="114"/>
      <c r="CS91" s="75"/>
      <c r="CT91" s="75"/>
      <c r="CU91" s="75"/>
      <c r="CV91" s="229"/>
      <c r="CW91" s="230"/>
      <c r="CX91" s="228"/>
      <c r="CY91" s="228"/>
      <c r="CZ91" s="228"/>
      <c r="DA91" s="229">
        <v>0.25</v>
      </c>
      <c r="DB91" s="230"/>
      <c r="DC91" s="228">
        <v>0.75</v>
      </c>
      <c r="DD91" s="228">
        <v>0.75</v>
      </c>
      <c r="DE91" s="228">
        <v>0.75</v>
      </c>
      <c r="DF91" s="229">
        <v>0.5</v>
      </c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99999999999999" customHeight="1" outlineLevel="1">
      <c r="A92" s="43" t="s">
        <v>17</v>
      </c>
      <c r="B92" s="48" t="str">
        <f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5.2.8</v>
      </c>
      <c r="C92" s="49" t="s">
        <v>39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/>
      <c r="CO92" s="98"/>
      <c r="CP92" s="103"/>
      <c r="CQ92" s="115"/>
      <c r="CR92" s="114"/>
      <c r="CS92" s="75"/>
      <c r="CT92" s="75"/>
      <c r="CU92" s="75"/>
      <c r="CV92" s="229"/>
      <c r="CW92" s="230"/>
      <c r="CX92" s="228"/>
      <c r="CY92" s="228"/>
      <c r="CZ92" s="228"/>
      <c r="DA92" s="229">
        <v>1</v>
      </c>
      <c r="DB92" s="230"/>
      <c r="DC92" s="228">
        <v>1</v>
      </c>
      <c r="DD92" s="228">
        <v>0.25</v>
      </c>
      <c r="DE92" s="228">
        <v>1</v>
      </c>
      <c r="DF92" s="229">
        <v>0.75</v>
      </c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99999999999999" customHeight="1" outlineLevel="1">
      <c r="A93" s="43" t="s">
        <v>17</v>
      </c>
      <c r="B93" s="48" t="str">
        <f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5.2.9</v>
      </c>
      <c r="C93" s="49" t="s">
        <v>40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/>
      <c r="CR93" s="114"/>
      <c r="CS93" s="75"/>
      <c r="CT93" s="75"/>
      <c r="CU93" s="75"/>
      <c r="CV93" s="229"/>
      <c r="CW93" s="230"/>
      <c r="CX93" s="228"/>
      <c r="CY93" s="228"/>
      <c r="CZ93" s="228"/>
      <c r="DA93" s="229"/>
      <c r="DB93" s="230"/>
      <c r="DC93" s="228"/>
      <c r="DD93" s="228">
        <v>1</v>
      </c>
      <c r="DE93" s="228">
        <v>1</v>
      </c>
      <c r="DF93" s="229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99999999999999" customHeight="1" outlineLevel="1">
      <c r="A94" s="43" t="s">
        <v>17</v>
      </c>
      <c r="B94" s="48" t="str">
        <f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5.2.10</v>
      </c>
      <c r="C94" s="49" t="s">
        <v>41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/>
      <c r="CK94" s="115"/>
      <c r="CL94" s="114"/>
      <c r="CM94" s="75"/>
      <c r="CN94" s="75"/>
      <c r="CO94" s="98"/>
      <c r="CP94" s="103"/>
      <c r="CQ94" s="115"/>
      <c r="CR94" s="114"/>
      <c r="CS94" s="75"/>
      <c r="CT94" s="75"/>
      <c r="CU94" s="75"/>
      <c r="CV94" s="229"/>
      <c r="CW94" s="230">
        <v>0.75</v>
      </c>
      <c r="CX94" s="228">
        <v>0.25</v>
      </c>
      <c r="CY94" s="228">
        <v>0.75</v>
      </c>
      <c r="CZ94" s="228">
        <v>0.75</v>
      </c>
      <c r="DA94" s="229">
        <v>0.5</v>
      </c>
      <c r="DB94" s="230"/>
      <c r="DC94" s="228"/>
      <c r="DD94" s="228"/>
      <c r="DE94" s="228"/>
      <c r="DF94" s="229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99999999999999" customHeight="1" outlineLevel="1">
      <c r="A95" s="43" t="s">
        <v>17</v>
      </c>
      <c r="B95" s="82" t="str">
        <f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5.2.11</v>
      </c>
      <c r="C95" s="83" t="s">
        <v>42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/>
      <c r="CR95" s="118"/>
      <c r="CS95" s="119"/>
      <c r="CT95" s="119"/>
      <c r="CU95" s="119"/>
      <c r="CV95" s="241"/>
      <c r="CW95" s="242"/>
      <c r="CX95" s="243"/>
      <c r="CY95" s="243"/>
      <c r="CZ95" s="243"/>
      <c r="DA95" s="241"/>
      <c r="DB95" s="242"/>
      <c r="DC95" s="243"/>
      <c r="DD95" s="243">
        <v>0.5</v>
      </c>
      <c r="DE95" s="243">
        <v>0.5</v>
      </c>
      <c r="DF95" s="241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I10:FE11">
    <cfRule type="cellIs" dxfId="9" priority="1" operator="equal">
      <formula>-4</formula>
    </cfRule>
    <cfRule type="cellIs" dxfId="8" priority="2" operator="equal">
      <formula>-3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28"/>
  <sheetViews>
    <sheetView topLeftCell="A19" workbookViewId="0">
      <selection activeCell="T40" sqref="T40"/>
    </sheetView>
  </sheetViews>
  <sheetFormatPr defaultRowHeight="14.5"/>
  <cols>
    <col min="1" max="1" width="12.7265625" bestFit="1" customWidth="1"/>
  </cols>
  <sheetData>
    <row r="1" spans="1:1">
      <c r="A1" s="157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s="160" t="s">
        <v>61</v>
      </c>
    </row>
    <row r="11" spans="1:1">
      <c r="A11" s="159" t="s">
        <v>62</v>
      </c>
    </row>
    <row r="12" spans="1:1">
      <c r="A12" s="161" t="s">
        <v>63</v>
      </c>
    </row>
    <row r="13" spans="1:1">
      <c r="A13" t="s">
        <v>64</v>
      </c>
    </row>
    <row r="24" spans="1:1">
      <c r="A24" t="s">
        <v>65</v>
      </c>
    </row>
    <row r="25" spans="1:1">
      <c r="A25" t="s">
        <v>66</v>
      </c>
    </row>
    <row r="26" spans="1:1">
      <c r="A26" s="158" t="s">
        <v>67</v>
      </c>
    </row>
    <row r="27" spans="1:1">
      <c r="A27" s="158" t="s">
        <v>68</v>
      </c>
    </row>
    <row r="28" spans="1:1">
      <c r="A28" s="158" t="s">
        <v>69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B2:N35"/>
  <sheetViews>
    <sheetView showGridLines="0" topLeftCell="A10" workbookViewId="0">
      <selection activeCell="T40" sqref="T40"/>
    </sheetView>
  </sheetViews>
  <sheetFormatPr defaultColWidth="9.1796875" defaultRowHeight="14"/>
  <cols>
    <col min="1" max="1" width="3.7265625" style="2" customWidth="1"/>
    <col min="2" max="2" width="11.54296875" style="2" bestFit="1" customWidth="1"/>
    <col min="3" max="4" width="10.453125" style="2" bestFit="1" customWidth="1"/>
    <col min="5" max="5" width="2.7265625" style="2" customWidth="1"/>
    <col min="6" max="6" width="16.81640625" style="2" bestFit="1" customWidth="1"/>
    <col min="7" max="7" width="17.7265625" style="2" bestFit="1" customWidth="1"/>
    <col min="8" max="8" width="10.453125" style="2" bestFit="1" customWidth="1"/>
    <col min="9" max="9" width="13" style="2" bestFit="1" customWidth="1"/>
    <col min="10" max="10" width="16.453125" style="2" bestFit="1" customWidth="1"/>
    <col min="11" max="11" width="9.54296875" style="2" bestFit="1" customWidth="1"/>
    <col min="12" max="12" width="13.1796875" style="2" bestFit="1" customWidth="1"/>
    <col min="13" max="14" width="12.453125" style="2" bestFit="1" customWidth="1"/>
    <col min="15" max="16384" width="9.1796875" style="2"/>
  </cols>
  <sheetData>
    <row r="2" spans="2:14">
      <c r="B2" s="1" t="s">
        <v>44</v>
      </c>
    </row>
    <row r="3" spans="2:14" ht="2.15" customHeight="1">
      <c r="B3" s="1"/>
    </row>
    <row r="4" spans="2:14">
      <c r="B4" s="2" t="s">
        <v>70</v>
      </c>
      <c r="C4" s="2">
        <v>9</v>
      </c>
      <c r="H4" s="34" t="s">
        <v>71</v>
      </c>
      <c r="I4" s="34" t="s">
        <v>72</v>
      </c>
      <c r="J4" s="34" t="s">
        <v>73</v>
      </c>
    </row>
    <row r="5" spans="2:14">
      <c r="H5" s="35">
        <v>24</v>
      </c>
      <c r="I5" s="35">
        <v>24</v>
      </c>
      <c r="J5" s="35">
        <f>H5/I5</f>
        <v>1</v>
      </c>
    </row>
    <row r="7" spans="2:14">
      <c r="B7" s="13" t="s">
        <v>74</v>
      </c>
      <c r="C7" s="14"/>
      <c r="D7" s="14"/>
      <c r="E7" s="15"/>
      <c r="G7" s="5" t="s">
        <v>75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80</v>
      </c>
      <c r="M7" s="6" t="s">
        <v>81</v>
      </c>
    </row>
    <row r="8" spans="2:14">
      <c r="B8" s="8" t="s">
        <v>82</v>
      </c>
      <c r="E8" s="9"/>
      <c r="G8" s="7" t="s">
        <v>83</v>
      </c>
      <c r="H8" s="37">
        <f>$J$5</f>
        <v>1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4">
      <c r="B9" s="8" t="s">
        <v>84</v>
      </c>
      <c r="E9" s="9"/>
      <c r="G9" s="7" t="s">
        <v>85</v>
      </c>
      <c r="H9" s="37">
        <f>$J$5*2</f>
        <v>2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4">
      <c r="B10" s="8" t="s">
        <v>78</v>
      </c>
      <c r="E10" s="9"/>
      <c r="G10" s="7" t="s">
        <v>86</v>
      </c>
      <c r="H10" s="37">
        <f>$J$5*4</f>
        <v>4</v>
      </c>
      <c r="I10" s="37">
        <f>$J$5*4</f>
        <v>4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4">
      <c r="B11" s="8" t="s">
        <v>79</v>
      </c>
      <c r="E11" s="9"/>
    </row>
    <row r="12" spans="2:14">
      <c r="B12" s="8" t="s">
        <v>80</v>
      </c>
      <c r="E12" s="9"/>
    </row>
    <row r="13" spans="2:14">
      <c r="B13" s="10" t="s">
        <v>87</v>
      </c>
      <c r="C13" s="11"/>
      <c r="D13" s="11"/>
      <c r="E13" s="12"/>
    </row>
    <row r="15" spans="2:14">
      <c r="G15" s="1" t="s">
        <v>88</v>
      </c>
      <c r="H15" s="2" t="s">
        <v>76</v>
      </c>
      <c r="I15" s="2" t="s">
        <v>77</v>
      </c>
      <c r="J15" s="2" t="s">
        <v>78</v>
      </c>
      <c r="K15" s="2" t="s">
        <v>79</v>
      </c>
      <c r="L15" s="2" t="s">
        <v>89</v>
      </c>
      <c r="M15" s="2" t="s">
        <v>90</v>
      </c>
      <c r="N15" s="41" t="s">
        <v>91</v>
      </c>
    </row>
    <row r="16" spans="2:14">
      <c r="B16" s="40">
        <f>SUM(H16:M24)+M28</f>
        <v>70</v>
      </c>
      <c r="C16" s="33" t="s">
        <v>92</v>
      </c>
      <c r="G16" s="3" t="s">
        <v>93</v>
      </c>
      <c r="H16" s="36"/>
      <c r="I16" s="36"/>
      <c r="J16" s="36"/>
      <c r="K16" s="36">
        <f t="shared" ref="K16:L16" si="0">K8</f>
        <v>1</v>
      </c>
      <c r="L16" s="36">
        <f t="shared" si="0"/>
        <v>3</v>
      </c>
      <c r="M16" s="36"/>
    </row>
    <row r="17" spans="2:14">
      <c r="B17" s="40">
        <f>B16/8</f>
        <v>8.75</v>
      </c>
      <c r="C17" s="33" t="s">
        <v>94</v>
      </c>
      <c r="G17" s="3" t="s">
        <v>95</v>
      </c>
      <c r="H17" s="168"/>
      <c r="I17" s="168">
        <f>I9</f>
        <v>2</v>
      </c>
      <c r="J17" s="168">
        <f>J9</f>
        <v>1.5</v>
      </c>
      <c r="K17" s="168">
        <f>K8</f>
        <v>1</v>
      </c>
      <c r="L17" s="36"/>
      <c r="M17" s="36"/>
      <c r="N17" s="29" t="s">
        <v>96</v>
      </c>
    </row>
    <row r="18" spans="2:14">
      <c r="G18" s="3" t="s">
        <v>97</v>
      </c>
      <c r="H18" s="168">
        <f>H10</f>
        <v>4</v>
      </c>
      <c r="I18" s="168">
        <f>I8</f>
        <v>1</v>
      </c>
      <c r="J18" s="168">
        <f>J10</f>
        <v>2</v>
      </c>
      <c r="K18" s="168">
        <f>K10</f>
        <v>2</v>
      </c>
      <c r="L18" s="36">
        <f>L9</f>
        <v>6</v>
      </c>
      <c r="M18" s="36"/>
      <c r="N18" s="29" t="s">
        <v>98</v>
      </c>
    </row>
    <row r="19" spans="2:14">
      <c r="B19" s="170">
        <f>B17+'Estimativa - Sat. 84'!B17+'Estimativa - Sat. 83'!B17</f>
        <v>26.458333333333336</v>
      </c>
      <c r="G19" s="3" t="s">
        <v>99</v>
      </c>
      <c r="H19" s="168">
        <f>H8</f>
        <v>1</v>
      </c>
      <c r="I19" s="168">
        <f>I9</f>
        <v>2</v>
      </c>
      <c r="J19" s="168">
        <f>J8</f>
        <v>1</v>
      </c>
      <c r="K19" s="168">
        <f>K8</f>
        <v>1</v>
      </c>
      <c r="L19" s="36">
        <f>L8</f>
        <v>3</v>
      </c>
      <c r="M19" s="36"/>
      <c r="N19" s="29" t="s">
        <v>100</v>
      </c>
    </row>
    <row r="20" spans="2:14" ht="16.5" customHeight="1">
      <c r="G20" s="3" t="s">
        <v>101</v>
      </c>
      <c r="H20" s="168"/>
      <c r="I20" s="168"/>
      <c r="J20" s="168"/>
      <c r="K20" s="168">
        <f t="shared" ref="K20" si="1">K8</f>
        <v>1</v>
      </c>
      <c r="L20" s="36"/>
      <c r="M20" s="36"/>
    </row>
    <row r="21" spans="2:14" ht="16.5" customHeight="1">
      <c r="G21" s="3" t="s">
        <v>102</v>
      </c>
      <c r="H21" s="168"/>
      <c r="I21" s="168"/>
      <c r="J21" s="168">
        <f>J8</f>
        <v>1</v>
      </c>
      <c r="K21" s="168">
        <f>K8</f>
        <v>1</v>
      </c>
      <c r="L21" s="36">
        <f>L8</f>
        <v>3</v>
      </c>
      <c r="N21" s="29" t="s">
        <v>103</v>
      </c>
    </row>
    <row r="22" spans="2:14" ht="16.5" customHeight="1">
      <c r="G22" s="3" t="s">
        <v>104</v>
      </c>
      <c r="H22" s="168"/>
      <c r="I22" s="168"/>
      <c r="J22" s="168">
        <f>J8</f>
        <v>1</v>
      </c>
      <c r="K22" s="168">
        <f>K8</f>
        <v>1</v>
      </c>
      <c r="L22" s="36">
        <f>L8</f>
        <v>3</v>
      </c>
      <c r="N22" s="29" t="s">
        <v>103</v>
      </c>
    </row>
    <row r="23" spans="2:14" ht="16.5" customHeight="1">
      <c r="G23" s="3" t="s">
        <v>105</v>
      </c>
      <c r="H23" s="168"/>
      <c r="I23" s="168"/>
      <c r="J23" s="168">
        <f>J9</f>
        <v>1.5</v>
      </c>
      <c r="K23" s="168">
        <f t="shared" ref="K23" si="2">K8</f>
        <v>1</v>
      </c>
      <c r="L23" s="36"/>
      <c r="N23" s="29" t="s">
        <v>106</v>
      </c>
    </row>
    <row r="24" spans="2:14" ht="16.5" customHeight="1">
      <c r="G24" s="3" t="s">
        <v>107</v>
      </c>
      <c r="H24" s="168"/>
      <c r="I24" s="168"/>
      <c r="J24" s="168">
        <f t="shared" ref="J24:L24" si="3">J8</f>
        <v>1</v>
      </c>
      <c r="K24" s="168">
        <f t="shared" si="3"/>
        <v>1</v>
      </c>
      <c r="L24" s="36">
        <f t="shared" si="3"/>
        <v>3</v>
      </c>
      <c r="M24" s="39"/>
      <c r="N24" s="29" t="s">
        <v>108</v>
      </c>
    </row>
    <row r="25" spans="2:14" ht="10" customHeight="1"/>
    <row r="26" spans="2:14">
      <c r="G26" s="3" t="s">
        <v>109</v>
      </c>
    </row>
    <row r="27" spans="2:14">
      <c r="B27" s="39">
        <f>SUM(I28:K28,'Estimativa - Sat. 84'!I28:K28,'Estimativa - Sat. 83'!I28:K28)</f>
        <v>85.5</v>
      </c>
      <c r="C27" s="38">
        <f>B27/2</f>
        <v>42.75</v>
      </c>
      <c r="D27" s="38">
        <f>C27/4</f>
        <v>10.6875</v>
      </c>
      <c r="G27" s="2" t="s">
        <v>110</v>
      </c>
    </row>
    <row r="28" spans="2:14">
      <c r="G28" s="2" t="s">
        <v>111</v>
      </c>
      <c r="H28" s="162">
        <f>SUM(H16:H24)</f>
        <v>5</v>
      </c>
      <c r="I28" s="162">
        <f>SUM(I16:I24)</f>
        <v>5</v>
      </c>
      <c r="J28" s="162">
        <f>SUM(J16:J24)</f>
        <v>9</v>
      </c>
      <c r="K28" s="162">
        <f>SUM(K16:K24)</f>
        <v>10</v>
      </c>
      <c r="L28" s="162">
        <f>SUM(L16:L24)</f>
        <v>21</v>
      </c>
      <c r="M28" s="1">
        <f>8+12</f>
        <v>20</v>
      </c>
      <c r="N28" s="29" t="s">
        <v>112</v>
      </c>
    </row>
    <row r="29" spans="2:14">
      <c r="H29" s="39"/>
      <c r="I29" s="39"/>
      <c r="J29" s="39"/>
      <c r="K29" s="39"/>
      <c r="L29" s="39"/>
    </row>
    <row r="30" spans="2:14">
      <c r="H30" s="38">
        <f>SUM(H28:M28)/8</f>
        <v>8.75</v>
      </c>
    </row>
    <row r="34" spans="8:8">
      <c r="H34" s="38">
        <f>H28+I28+J28+K28</f>
        <v>29</v>
      </c>
    </row>
    <row r="35" spans="8:8">
      <c r="H35" s="38">
        <f>H34/8</f>
        <v>3.625</v>
      </c>
    </row>
  </sheetData>
  <conditionalFormatting sqref="I16:I17 D17:E17 G17">
    <cfRule type="cellIs" dxfId="7" priority="5" operator="equal">
      <formula>-4</formula>
    </cfRule>
    <cfRule type="cellIs" dxfId="6" priority="6" operator="equal">
      <formula>-3</formula>
    </cfRule>
  </conditionalFormatting>
  <conditionalFormatting sqref="I20:I24">
    <cfRule type="cellIs" dxfId="5" priority="1" operator="equal">
      <formula>-4</formula>
    </cfRule>
    <cfRule type="cellIs" dxfId="4" priority="2" operator="equal">
      <formula>-3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B2:Q44"/>
  <sheetViews>
    <sheetView showGridLines="0" topLeftCell="A8" workbookViewId="0">
      <selection activeCell="L28" sqref="L28"/>
    </sheetView>
  </sheetViews>
  <sheetFormatPr defaultColWidth="9.1796875" defaultRowHeight="14"/>
  <cols>
    <col min="1" max="1" width="3.7265625" style="2" customWidth="1"/>
    <col min="2" max="2" width="11.54296875" style="2" bestFit="1" customWidth="1"/>
    <col min="3" max="4" width="9.1796875" style="2"/>
    <col min="5" max="5" width="2.7265625" style="2" customWidth="1"/>
    <col min="6" max="6" width="16.81640625" style="2" bestFit="1" customWidth="1"/>
    <col min="7" max="7" width="17.7265625" style="2" bestFit="1" customWidth="1"/>
    <col min="8" max="8" width="8.81640625" style="2" bestFit="1" customWidth="1"/>
    <col min="9" max="9" width="13" style="2" bestFit="1" customWidth="1"/>
    <col min="10" max="10" width="16.453125" style="2" bestFit="1" customWidth="1"/>
    <col min="11" max="11" width="8.1796875" style="2" bestFit="1" customWidth="1"/>
    <col min="12" max="12" width="13.1796875" style="2" bestFit="1" customWidth="1"/>
    <col min="13" max="14" width="12.453125" style="2" bestFit="1" customWidth="1"/>
    <col min="15" max="16384" width="9.1796875" style="2"/>
  </cols>
  <sheetData>
    <row r="2" spans="2:17">
      <c r="B2" s="1" t="s">
        <v>47</v>
      </c>
    </row>
    <row r="3" spans="2:17" ht="2.15" customHeight="1">
      <c r="B3" s="1"/>
    </row>
    <row r="4" spans="2:17">
      <c r="B4" s="2" t="s">
        <v>70</v>
      </c>
      <c r="C4" s="2">
        <v>11</v>
      </c>
      <c r="H4" s="34" t="s">
        <v>71</v>
      </c>
      <c r="I4" s="34" t="s">
        <v>72</v>
      </c>
      <c r="J4" s="34" t="s">
        <v>73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>
      <c r="B7" s="13" t="s">
        <v>74</v>
      </c>
      <c r="C7" s="14"/>
      <c r="D7" s="14"/>
      <c r="E7" s="15"/>
      <c r="G7" s="5" t="s">
        <v>75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80</v>
      </c>
      <c r="M7" s="6" t="s">
        <v>81</v>
      </c>
    </row>
    <row r="8" spans="2:17">
      <c r="B8" s="8" t="s">
        <v>82</v>
      </c>
      <c r="E8" s="9"/>
      <c r="G8" s="7" t="s">
        <v>83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84</v>
      </c>
      <c r="E9" s="9"/>
      <c r="G9" s="7" t="s">
        <v>85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78</v>
      </c>
      <c r="E10" s="9"/>
      <c r="G10" s="7" t="s">
        <v>86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79</v>
      </c>
      <c r="E11" s="9"/>
    </row>
    <row r="12" spans="2:17">
      <c r="B12" s="8" t="s">
        <v>80</v>
      </c>
      <c r="E12" s="9"/>
    </row>
    <row r="13" spans="2:17">
      <c r="B13" s="10" t="s">
        <v>87</v>
      </c>
      <c r="C13" s="11"/>
      <c r="D13" s="11"/>
      <c r="E13" s="12"/>
    </row>
    <row r="15" spans="2:17">
      <c r="G15" s="1" t="s">
        <v>88</v>
      </c>
      <c r="H15" s="2" t="s">
        <v>76</v>
      </c>
      <c r="I15" s="2" t="s">
        <v>77</v>
      </c>
      <c r="J15" s="2" t="s">
        <v>78</v>
      </c>
      <c r="K15" s="2" t="s">
        <v>79</v>
      </c>
      <c r="L15" s="2" t="s">
        <v>89</v>
      </c>
      <c r="M15" s="2" t="s">
        <v>90</v>
      </c>
      <c r="N15" s="41" t="s">
        <v>91</v>
      </c>
    </row>
    <row r="16" spans="2:17" ht="16.5" customHeight="1">
      <c r="B16" s="40">
        <f>SUM(H16:M26)+M28</f>
        <v>104.83333333333334</v>
      </c>
      <c r="C16" s="33" t="s">
        <v>92</v>
      </c>
      <c r="G16" s="3" t="s">
        <v>113</v>
      </c>
      <c r="H16" s="36">
        <f>H9</f>
        <v>1</v>
      </c>
      <c r="I16" s="36">
        <f>I8</f>
        <v>1</v>
      </c>
      <c r="J16" s="36">
        <f>J8</f>
        <v>1</v>
      </c>
      <c r="K16" s="36">
        <f>K9</f>
        <v>1.5</v>
      </c>
      <c r="L16" s="36">
        <f>L8</f>
        <v>3</v>
      </c>
      <c r="M16" s="36"/>
      <c r="N16" s="29" t="s">
        <v>114</v>
      </c>
    </row>
    <row r="17" spans="2:14" ht="16.5" customHeight="1">
      <c r="B17" s="40">
        <f>B16/8</f>
        <v>13.104166666666668</v>
      </c>
      <c r="C17" s="33" t="s">
        <v>115</v>
      </c>
      <c r="G17" s="3" t="s">
        <v>116</v>
      </c>
      <c r="H17" s="36">
        <f>H10</f>
        <v>1.5</v>
      </c>
      <c r="I17" s="36">
        <f>I10</f>
        <v>8</v>
      </c>
      <c r="J17" s="36">
        <f>J9</f>
        <v>1.5</v>
      </c>
      <c r="K17" s="36">
        <f>K9</f>
        <v>1.5</v>
      </c>
      <c r="L17" s="36">
        <f>L8</f>
        <v>3</v>
      </c>
      <c r="M17" s="36"/>
      <c r="N17" s="29" t="s">
        <v>117</v>
      </c>
    </row>
    <row r="18" spans="2:14" ht="16.5" customHeight="1">
      <c r="G18" s="3" t="s">
        <v>118</v>
      </c>
      <c r="H18" s="36">
        <f>H8</f>
        <v>0.66666666666666663</v>
      </c>
      <c r="I18" s="36">
        <f t="shared" ref="I18:L18" si="0">I8</f>
        <v>1</v>
      </c>
      <c r="J18" s="36">
        <f>J9</f>
        <v>1.5</v>
      </c>
      <c r="K18" s="36">
        <f t="shared" si="0"/>
        <v>1</v>
      </c>
      <c r="L18" s="36">
        <f t="shared" si="0"/>
        <v>3</v>
      </c>
      <c r="M18" s="36"/>
      <c r="N18" s="29" t="s">
        <v>119</v>
      </c>
    </row>
    <row r="19" spans="2:14" ht="16.5" customHeight="1">
      <c r="G19" s="3" t="s">
        <v>120</v>
      </c>
      <c r="H19" s="36"/>
      <c r="I19" s="36"/>
      <c r="J19" s="36">
        <f>J8</f>
        <v>1</v>
      </c>
      <c r="K19" s="36">
        <f>K8</f>
        <v>1</v>
      </c>
      <c r="L19" s="36"/>
      <c r="M19" s="36"/>
      <c r="N19" s="29" t="s">
        <v>121</v>
      </c>
    </row>
    <row r="20" spans="2:14" ht="16.5" customHeight="1">
      <c r="G20" s="3" t="s">
        <v>122</v>
      </c>
      <c r="H20" s="36">
        <f>H10</f>
        <v>1.5</v>
      </c>
      <c r="I20" s="36">
        <f>I10</f>
        <v>8</v>
      </c>
      <c r="J20" s="36">
        <f>J9</f>
        <v>1.5</v>
      </c>
      <c r="K20" s="36">
        <f>K8</f>
        <v>1</v>
      </c>
      <c r="L20" s="36">
        <f>L8</f>
        <v>3</v>
      </c>
      <c r="M20" s="36"/>
      <c r="N20" s="29" t="s">
        <v>123</v>
      </c>
    </row>
    <row r="21" spans="2:14" ht="16.5" customHeight="1">
      <c r="G21" s="3" t="s">
        <v>124</v>
      </c>
      <c r="H21" s="36">
        <f>H10</f>
        <v>1.5</v>
      </c>
      <c r="I21" s="36">
        <f>I10</f>
        <v>8</v>
      </c>
      <c r="J21" s="36">
        <f>J10</f>
        <v>2</v>
      </c>
      <c r="K21" s="36">
        <f>K10</f>
        <v>2</v>
      </c>
      <c r="L21" s="36">
        <f>L9</f>
        <v>6</v>
      </c>
      <c r="M21" s="36"/>
      <c r="N21" s="29" t="s">
        <v>125</v>
      </c>
    </row>
    <row r="22" spans="2:14" ht="16.5" customHeight="1">
      <c r="G22" s="3" t="s">
        <v>126</v>
      </c>
      <c r="H22" s="36">
        <f>H8</f>
        <v>0.66666666666666663</v>
      </c>
      <c r="I22" s="36">
        <f>I8</f>
        <v>1</v>
      </c>
      <c r="J22" s="36">
        <f t="shared" ref="J22:L22" si="1">J8</f>
        <v>1</v>
      </c>
      <c r="K22" s="36">
        <f t="shared" si="1"/>
        <v>1</v>
      </c>
      <c r="L22" s="36">
        <f t="shared" si="1"/>
        <v>3</v>
      </c>
      <c r="M22" s="36"/>
      <c r="N22" s="29" t="s">
        <v>123</v>
      </c>
    </row>
    <row r="23" spans="2:14" ht="16.5" customHeight="1">
      <c r="G23" s="3" t="s">
        <v>127</v>
      </c>
      <c r="H23" s="36"/>
      <c r="I23" s="36"/>
      <c r="J23" s="36"/>
      <c r="K23" s="36">
        <f t="shared" ref="K23" si="2">K8</f>
        <v>1</v>
      </c>
      <c r="L23" s="36"/>
      <c r="M23" s="36"/>
      <c r="N23" s="29"/>
    </row>
    <row r="24" spans="2:14" ht="16.5" customHeight="1">
      <c r="G24" s="3" t="s">
        <v>128</v>
      </c>
      <c r="H24" s="36"/>
      <c r="I24" s="36"/>
      <c r="J24" s="36"/>
      <c r="K24" s="36">
        <f>K8</f>
        <v>1</v>
      </c>
      <c r="L24" s="36">
        <f>L8</f>
        <v>3</v>
      </c>
      <c r="M24" s="36"/>
    </row>
    <row r="25" spans="2:14" ht="16.5" customHeight="1">
      <c r="G25" s="3" t="s">
        <v>129</v>
      </c>
      <c r="H25" s="36"/>
      <c r="I25" s="36"/>
      <c r="J25" s="36"/>
      <c r="K25" s="36">
        <f>K8</f>
        <v>1</v>
      </c>
      <c r="L25" s="36">
        <f>L8</f>
        <v>3</v>
      </c>
      <c r="M25" s="36"/>
    </row>
    <row r="26" spans="2:14" ht="16.5" customHeight="1">
      <c r="G26" s="3" t="s">
        <v>130</v>
      </c>
      <c r="H26" s="36"/>
      <c r="I26" s="36"/>
      <c r="J26" s="36">
        <f>J8</f>
        <v>1</v>
      </c>
      <c r="K26" s="36">
        <f>K9</f>
        <v>1.5</v>
      </c>
      <c r="L26" s="36"/>
      <c r="M26" s="36"/>
      <c r="N26" s="29" t="s">
        <v>131</v>
      </c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111</v>
      </c>
      <c r="H28" s="163">
        <f>SUM(H16:H26)</f>
        <v>6.833333333333333</v>
      </c>
      <c r="I28" s="163">
        <f t="shared" ref="I28:L28" si="3">SUM(I16:I26)</f>
        <v>27</v>
      </c>
      <c r="J28" s="163">
        <f t="shared" si="3"/>
        <v>10.5</v>
      </c>
      <c r="K28" s="163">
        <f t="shared" si="3"/>
        <v>13.5</v>
      </c>
      <c r="L28" s="163">
        <f t="shared" si="3"/>
        <v>27</v>
      </c>
      <c r="M28" s="164">
        <f>4+16</f>
        <v>20</v>
      </c>
      <c r="N28" s="29" t="s">
        <v>132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13.104166666666668</v>
      </c>
      <c r="H30" s="36"/>
      <c r="I30" s="36"/>
      <c r="J30" s="36"/>
      <c r="K30" s="36"/>
      <c r="L30" s="36"/>
      <c r="M30" s="36"/>
    </row>
    <row r="31" spans="2:14" ht="10" customHeight="1">
      <c r="G31" s="3"/>
    </row>
    <row r="32" spans="2:14">
      <c r="G32" s="3" t="s">
        <v>133</v>
      </c>
    </row>
    <row r="33" spans="3:10">
      <c r="G33" s="3" t="s">
        <v>110</v>
      </c>
    </row>
    <row r="35" spans="3:10">
      <c r="C35" s="2" t="s">
        <v>134</v>
      </c>
      <c r="I35" s="169">
        <f>SUM(H28:K28)</f>
        <v>57.833333333333336</v>
      </c>
      <c r="J35" s="165">
        <f>I35/8</f>
        <v>7.229166666666667</v>
      </c>
    </row>
    <row r="36" spans="3:10" ht="14.5">
      <c r="C36" s="2" t="s">
        <v>135</v>
      </c>
    </row>
    <row r="37" spans="3:10">
      <c r="C37" s="2" t="s">
        <v>136</v>
      </c>
    </row>
    <row r="38" spans="3:10">
      <c r="C38" s="4" t="s">
        <v>137</v>
      </c>
    </row>
    <row r="39" spans="3:10">
      <c r="C39" s="4" t="s">
        <v>138</v>
      </c>
    </row>
    <row r="40" spans="3:10">
      <c r="C40" s="4" t="s">
        <v>139</v>
      </c>
    </row>
    <row r="41" spans="3:10">
      <c r="C41" s="4" t="s">
        <v>140</v>
      </c>
    </row>
    <row r="42" spans="3:10">
      <c r="C42" s="4" t="s">
        <v>141</v>
      </c>
    </row>
    <row r="43" spans="3:10">
      <c r="C43" s="4" t="s">
        <v>142</v>
      </c>
    </row>
    <row r="44" spans="3:10">
      <c r="C44" s="4" t="s">
        <v>143</v>
      </c>
    </row>
  </sheetData>
  <conditionalFormatting sqref="D17:E17">
    <cfRule type="cellIs" dxfId="3" priority="1" operator="equal">
      <formula>-4</formula>
    </cfRule>
    <cfRule type="cellIs" dxfId="2" priority="2" operator="equal">
      <formula>-3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B2:Q44"/>
  <sheetViews>
    <sheetView showGridLines="0" topLeftCell="A4" workbookViewId="0">
      <selection activeCell="L28" sqref="L28"/>
    </sheetView>
  </sheetViews>
  <sheetFormatPr defaultColWidth="9.1796875" defaultRowHeight="14"/>
  <cols>
    <col min="1" max="1" width="3.7265625" style="2" customWidth="1"/>
    <col min="2" max="2" width="11.54296875" style="2" bestFit="1" customWidth="1"/>
    <col min="3" max="4" width="9.1796875" style="2"/>
    <col min="5" max="5" width="2.7265625" style="2" customWidth="1"/>
    <col min="6" max="6" width="16.81640625" style="2" bestFit="1" customWidth="1"/>
    <col min="7" max="7" width="17.7265625" style="2" bestFit="1" customWidth="1"/>
    <col min="8" max="8" width="8.81640625" style="2" bestFit="1" customWidth="1"/>
    <col min="9" max="9" width="13" style="2" bestFit="1" customWidth="1"/>
    <col min="10" max="10" width="16.453125" style="2" bestFit="1" customWidth="1"/>
    <col min="11" max="11" width="8.1796875" style="2" bestFit="1" customWidth="1"/>
    <col min="12" max="12" width="13.1796875" style="2" bestFit="1" customWidth="1"/>
    <col min="13" max="14" width="12.453125" style="2" bestFit="1" customWidth="1"/>
    <col min="15" max="16384" width="9.1796875" style="2"/>
  </cols>
  <sheetData>
    <row r="2" spans="2:17">
      <c r="B2" s="1" t="s">
        <v>47</v>
      </c>
    </row>
    <row r="3" spans="2:17" ht="2.15" customHeight="1">
      <c r="B3" s="1"/>
    </row>
    <row r="4" spans="2:17">
      <c r="B4" s="2" t="s">
        <v>70</v>
      </c>
      <c r="C4" s="2">
        <v>5</v>
      </c>
      <c r="H4" s="34" t="s">
        <v>71</v>
      </c>
      <c r="I4" s="34" t="s">
        <v>72</v>
      </c>
      <c r="J4" s="34" t="s">
        <v>73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>
      <c r="B7" s="13" t="s">
        <v>74</v>
      </c>
      <c r="C7" s="14"/>
      <c r="D7" s="14"/>
      <c r="E7" s="15"/>
      <c r="G7" s="5" t="s">
        <v>75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80</v>
      </c>
      <c r="M7" s="6" t="s">
        <v>81</v>
      </c>
    </row>
    <row r="8" spans="2:17">
      <c r="B8" s="8" t="s">
        <v>82</v>
      </c>
      <c r="E8" s="9"/>
      <c r="G8" s="7" t="s">
        <v>83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84</v>
      </c>
      <c r="E9" s="9"/>
      <c r="G9" s="7" t="s">
        <v>85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78</v>
      </c>
      <c r="E10" s="9"/>
      <c r="G10" s="7" t="s">
        <v>86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79</v>
      </c>
      <c r="E11" s="9"/>
    </row>
    <row r="12" spans="2:17">
      <c r="B12" s="8" t="s">
        <v>80</v>
      </c>
      <c r="E12" s="9"/>
    </row>
    <row r="13" spans="2:17">
      <c r="B13" s="10" t="s">
        <v>87</v>
      </c>
      <c r="C13" s="11"/>
      <c r="D13" s="11"/>
      <c r="E13" s="12"/>
    </row>
    <row r="15" spans="2:17">
      <c r="G15" s="1" t="s">
        <v>88</v>
      </c>
      <c r="H15" s="2" t="s">
        <v>76</v>
      </c>
      <c r="I15" s="2" t="s">
        <v>77</v>
      </c>
      <c r="J15" s="2" t="s">
        <v>78</v>
      </c>
      <c r="K15" s="2" t="s">
        <v>79</v>
      </c>
      <c r="L15" s="2" t="s">
        <v>89</v>
      </c>
      <c r="M15" s="2" t="s">
        <v>90</v>
      </c>
      <c r="N15" s="41" t="s">
        <v>91</v>
      </c>
    </row>
    <row r="16" spans="2:17" ht="16.5" customHeight="1">
      <c r="B16" s="40">
        <f>SUM(H16:M26)+M28</f>
        <v>36.833333333333329</v>
      </c>
      <c r="C16" s="33" t="s">
        <v>92</v>
      </c>
      <c r="G16" s="3"/>
      <c r="H16" s="36"/>
      <c r="I16" s="36"/>
      <c r="J16" s="36"/>
      <c r="K16" s="36"/>
      <c r="L16" s="36"/>
      <c r="M16" s="36"/>
      <c r="N16" s="29"/>
    </row>
    <row r="17" spans="2:14" ht="16.5" customHeight="1">
      <c r="B17" s="40">
        <f>B16/8</f>
        <v>4.6041666666666661</v>
      </c>
      <c r="C17" s="33" t="s">
        <v>115</v>
      </c>
      <c r="G17" s="3" t="s">
        <v>116</v>
      </c>
      <c r="H17" s="36">
        <f>H8</f>
        <v>0.66666666666666663</v>
      </c>
      <c r="I17" s="36"/>
      <c r="J17" s="36">
        <f>J8</f>
        <v>1</v>
      </c>
      <c r="K17" s="36">
        <f>K9</f>
        <v>1.5</v>
      </c>
      <c r="L17" s="36">
        <f>L8</f>
        <v>3</v>
      </c>
      <c r="M17" s="36"/>
      <c r="N17" s="167" t="s">
        <v>144</v>
      </c>
    </row>
    <row r="18" spans="2:14" ht="16.5" customHeight="1">
      <c r="G18" s="3" t="s">
        <v>145</v>
      </c>
      <c r="H18" s="36"/>
      <c r="I18" s="36"/>
      <c r="J18" s="36"/>
      <c r="K18" s="36">
        <f t="shared" ref="K18" si="0">K8</f>
        <v>1</v>
      </c>
      <c r="L18" s="36"/>
      <c r="M18" s="36"/>
      <c r="N18" s="29"/>
    </row>
    <row r="19" spans="2:14" ht="16.5" customHeight="1">
      <c r="G19" s="3" t="s">
        <v>146</v>
      </c>
      <c r="H19" s="36">
        <f>H8</f>
        <v>0.66666666666666663</v>
      </c>
      <c r="I19" s="36">
        <f>I9</f>
        <v>2</v>
      </c>
      <c r="J19" s="36">
        <f>J8</f>
        <v>1</v>
      </c>
      <c r="K19" s="36">
        <f>K8</f>
        <v>1</v>
      </c>
      <c r="L19" s="36">
        <f>L8</f>
        <v>3</v>
      </c>
      <c r="M19" s="36"/>
      <c r="N19" s="29" t="s">
        <v>147</v>
      </c>
    </row>
    <row r="20" spans="2:14" ht="16.5" customHeight="1">
      <c r="G20" s="3" t="s">
        <v>148</v>
      </c>
      <c r="H20" s="36"/>
      <c r="I20" s="36"/>
      <c r="J20" s="36"/>
      <c r="K20" s="36">
        <f>K9</f>
        <v>1.5</v>
      </c>
      <c r="L20" s="36">
        <f>L8</f>
        <v>3</v>
      </c>
      <c r="M20" s="36"/>
      <c r="N20" s="29"/>
    </row>
    <row r="21" spans="2:14" ht="16.5" customHeight="1">
      <c r="G21" s="3" t="s">
        <v>149</v>
      </c>
      <c r="H21" s="36"/>
      <c r="I21" s="36"/>
      <c r="J21" s="36"/>
      <c r="K21" s="36">
        <f>K9</f>
        <v>1.5</v>
      </c>
      <c r="L21" s="36">
        <f>L8</f>
        <v>3</v>
      </c>
      <c r="M21" s="36"/>
      <c r="N21" s="29"/>
    </row>
    <row r="22" spans="2:14" ht="16.5" customHeight="1">
      <c r="G22" s="3"/>
      <c r="H22" s="36"/>
      <c r="I22" s="36"/>
      <c r="J22" s="36"/>
      <c r="K22" s="36"/>
      <c r="L22" s="36"/>
      <c r="M22" s="36"/>
      <c r="N22" s="29"/>
    </row>
    <row r="23" spans="2:14" ht="16.5" customHeight="1">
      <c r="G23" s="3"/>
      <c r="H23" s="36"/>
      <c r="I23" s="36"/>
      <c r="J23" s="36"/>
      <c r="K23" s="36"/>
      <c r="L23" s="36"/>
      <c r="M23" s="36"/>
      <c r="N23" s="29"/>
    </row>
    <row r="24" spans="2:14" ht="16.5" customHeight="1">
      <c r="G24" s="3"/>
      <c r="H24" s="36"/>
      <c r="I24" s="36"/>
      <c r="J24" s="36"/>
      <c r="K24" s="36"/>
      <c r="L24" s="36"/>
      <c r="M24" s="36"/>
    </row>
    <row r="25" spans="2:14" ht="16.5" customHeight="1">
      <c r="G25" s="3"/>
      <c r="H25" s="36"/>
      <c r="I25" s="36"/>
      <c r="J25" s="36"/>
      <c r="K25" s="36"/>
      <c r="L25" s="36"/>
      <c r="M25" s="36"/>
    </row>
    <row r="26" spans="2:14" ht="16.5" customHeight="1">
      <c r="G26" s="3"/>
      <c r="H26" s="36"/>
      <c r="I26" s="36"/>
      <c r="J26" s="36"/>
      <c r="K26" s="36"/>
      <c r="L26" s="36"/>
      <c r="M26" s="36"/>
      <c r="N26" s="29"/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111</v>
      </c>
      <c r="H28" s="163">
        <f>SUM(H16:H26)</f>
        <v>1.3333333333333333</v>
      </c>
      <c r="I28" s="163">
        <f t="shared" ref="I28:L28" si="1">SUM(I16:I26)</f>
        <v>2</v>
      </c>
      <c r="J28" s="163">
        <f t="shared" si="1"/>
        <v>2</v>
      </c>
      <c r="K28" s="163">
        <f t="shared" si="1"/>
        <v>6.5</v>
      </c>
      <c r="L28" s="163">
        <f t="shared" si="1"/>
        <v>12</v>
      </c>
      <c r="M28" s="164">
        <f>4+9</f>
        <v>13</v>
      </c>
      <c r="N28" s="29" t="s">
        <v>132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4.6041666666666661</v>
      </c>
      <c r="H30" s="36"/>
      <c r="I30" s="36"/>
      <c r="J30" s="36"/>
      <c r="K30" s="36"/>
      <c r="L30" s="36"/>
      <c r="M30" s="36"/>
    </row>
    <row r="31" spans="2:14">
      <c r="G31" s="3"/>
      <c r="H31" s="169">
        <f>SUM(H28:K28)</f>
        <v>11.833333333333332</v>
      </c>
      <c r="I31" s="165">
        <f>H31/8</f>
        <v>1.4791666666666665</v>
      </c>
      <c r="J31" s="165">
        <f>I31+'Estimativa - Sat. 84'!J35+'Estimativa - Sat. 79'!H35</f>
        <v>12.333333333333334</v>
      </c>
    </row>
    <row r="32" spans="2:14">
      <c r="G32" s="3" t="s">
        <v>133</v>
      </c>
    </row>
    <row r="33" spans="3:7">
      <c r="G33" s="3" t="s">
        <v>110</v>
      </c>
    </row>
    <row r="38" spans="3:7">
      <c r="C38" s="4"/>
    </row>
    <row r="39" spans="3:7">
      <c r="C39" s="4"/>
    </row>
    <row r="40" spans="3:7">
      <c r="C40" s="4"/>
    </row>
    <row r="41" spans="3:7">
      <c r="C41" s="4"/>
    </row>
    <row r="42" spans="3:7">
      <c r="C42" s="4"/>
    </row>
    <row r="43" spans="3:7">
      <c r="C43" s="4"/>
    </row>
    <row r="44" spans="3:7">
      <c r="C44" s="4"/>
    </row>
  </sheetData>
  <conditionalFormatting sqref="D17:E17">
    <cfRule type="cellIs" dxfId="1" priority="1" operator="equal">
      <formula>-4</formula>
    </cfRule>
    <cfRule type="cellIs" dxfId="0" priority="2" operator="equal">
      <formula>-3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4.5"/>
  <cols>
    <col min="1" max="1" width="26.7265625" customWidth="1"/>
    <col min="2" max="2" width="11.453125" bestFit="1" customWidth="1"/>
    <col min="3" max="4" width="9.453125" customWidth="1"/>
    <col min="5" max="9" width="4.81640625" bestFit="1" customWidth="1"/>
    <col min="10" max="10" width="6" bestFit="1" customWidth="1"/>
    <col min="11" max="12" width="4.81640625" bestFit="1" customWidth="1"/>
    <col min="13" max="33" width="5.7265625" bestFit="1" customWidth="1"/>
    <col min="34" max="34" width="4.7265625" bestFit="1" customWidth="1"/>
    <col min="35" max="35" width="2.81640625" customWidth="1"/>
  </cols>
  <sheetData>
    <row r="2" spans="1:34">
      <c r="A2" t="s">
        <v>150</v>
      </c>
    </row>
    <row r="5" spans="1:34">
      <c r="C5" s="174" t="s">
        <v>151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152</v>
      </c>
      <c r="C6" s="180">
        <f t="shared" ref="C6" si="0">SUM(E6:AH6)-B6</f>
        <v>5</v>
      </c>
      <c r="D6" s="179" t="s">
        <v>153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47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154</v>
      </c>
      <c r="B9" s="183">
        <f>'Estimativa - Sat. 84'!H28</f>
        <v>6.833333333333333</v>
      </c>
      <c r="C9" s="180">
        <f>SUM(E9:AH9)-B9</f>
        <v>-3.3333333333333215E-2</v>
      </c>
      <c r="D9" s="179" t="s">
        <v>155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156</v>
      </c>
      <c r="B10" s="183">
        <f>'Estimativa - Sat. 84'!I28</f>
        <v>27</v>
      </c>
      <c r="C10" s="180">
        <f t="shared" ref="C10:C12" si="1">SUM(E10:AH10)-B10</f>
        <v>0</v>
      </c>
      <c r="D10" s="179" t="s">
        <v>157</v>
      </c>
      <c r="G10" s="171"/>
      <c r="H10" s="171"/>
      <c r="I10" s="185">
        <v>5</v>
      </c>
      <c r="J10" s="185">
        <v>5</v>
      </c>
      <c r="K10" s="185">
        <v>5</v>
      </c>
      <c r="L10" s="185">
        <v>5</v>
      </c>
      <c r="M10" s="185">
        <v>5</v>
      </c>
      <c r="N10" s="171"/>
      <c r="O10" s="171"/>
      <c r="P10" s="186">
        <v>2</v>
      </c>
      <c r="Q10" s="179"/>
      <c r="R10" s="179"/>
      <c r="S10" s="179"/>
      <c r="T10" s="179"/>
      <c r="U10" s="171"/>
      <c r="V10" s="171"/>
      <c r="W10" s="179"/>
      <c r="X10" s="179"/>
      <c r="Y10" s="179"/>
      <c r="AB10" s="171"/>
      <c r="AC10" s="171"/>
    </row>
    <row r="11" spans="1:34">
      <c r="A11" s="173" t="s">
        <v>78</v>
      </c>
      <c r="B11" s="183">
        <f>'Estimativa - Sat. 84'!J28</f>
        <v>10.5</v>
      </c>
      <c r="C11" s="180">
        <f t="shared" si="1"/>
        <v>0</v>
      </c>
      <c r="D11" s="179" t="s">
        <v>157</v>
      </c>
      <c r="G11" s="171"/>
      <c r="H11" s="171"/>
      <c r="N11" s="171"/>
      <c r="O11" s="171"/>
      <c r="P11" s="186">
        <v>5</v>
      </c>
      <c r="Q11" s="186">
        <v>5</v>
      </c>
      <c r="R11" s="185">
        <v>0.5</v>
      </c>
      <c r="U11" s="171"/>
      <c r="V11" s="171"/>
      <c r="W11" s="179"/>
      <c r="AB11" s="171"/>
      <c r="AC11" s="171"/>
    </row>
    <row r="12" spans="1:34">
      <c r="A12" s="173" t="s">
        <v>158</v>
      </c>
      <c r="B12" s="183">
        <f>'Estimativa - Sat. 84'!K28</f>
        <v>13.5</v>
      </c>
      <c r="C12" s="180">
        <f t="shared" si="1"/>
        <v>0</v>
      </c>
      <c r="D12" s="179" t="s">
        <v>159</v>
      </c>
      <c r="G12" s="171"/>
      <c r="H12" s="171"/>
      <c r="N12" s="171"/>
      <c r="O12" s="171"/>
      <c r="R12" s="185">
        <v>4.5</v>
      </c>
      <c r="S12" s="185">
        <v>5</v>
      </c>
      <c r="T12" s="185">
        <v>4</v>
      </c>
      <c r="U12" s="171"/>
      <c r="V12" s="171"/>
      <c r="AB12" s="171"/>
      <c r="AC12" s="171"/>
    </row>
    <row r="13" spans="1:34">
      <c r="A13" s="173" t="s">
        <v>80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160</v>
      </c>
      <c r="B14" s="175">
        <f>'Estimativa - Sat. 84'!M28</f>
        <v>20</v>
      </c>
      <c r="C14" s="180">
        <f>SUM(E14:AH14)-B14</f>
        <v>0</v>
      </c>
      <c r="D14" s="179" t="s">
        <v>161</v>
      </c>
      <c r="G14" s="171"/>
      <c r="H14" s="171"/>
      <c r="N14" s="171"/>
      <c r="O14" s="171"/>
      <c r="U14" s="171"/>
      <c r="V14" s="171"/>
      <c r="W14" s="185">
        <v>5</v>
      </c>
      <c r="X14" s="185">
        <v>5</v>
      </c>
      <c r="Y14" s="185">
        <v>5</v>
      </c>
      <c r="Z14" s="185">
        <v>5</v>
      </c>
      <c r="AA14" s="184"/>
      <c r="AB14" s="171"/>
      <c r="AC14" s="17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44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154</v>
      </c>
      <c r="B17" s="183">
        <f>'Estimativa - Sat. 79'!H28</f>
        <v>5</v>
      </c>
      <c r="C17" s="180">
        <f t="shared" ref="C17:C20" si="2">SUM(E17:AH17)-B17</f>
        <v>0</v>
      </c>
      <c r="D17" s="179" t="s">
        <v>155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156</v>
      </c>
      <c r="B18" s="183">
        <f>'Estimativa - Sat. 79'!I28</f>
        <v>5</v>
      </c>
      <c r="C18" s="180">
        <f t="shared" si="2"/>
        <v>0</v>
      </c>
      <c r="D18" s="179" t="s">
        <v>162</v>
      </c>
      <c r="G18" s="171"/>
      <c r="H18" s="171"/>
      <c r="I18" s="179"/>
      <c r="L18" s="185">
        <v>4</v>
      </c>
      <c r="M18" s="185">
        <v>1</v>
      </c>
      <c r="N18" s="171"/>
      <c r="O18" s="171"/>
      <c r="U18" s="171"/>
      <c r="V18" s="171"/>
      <c r="AB18" s="171"/>
      <c r="AC18" s="171"/>
    </row>
    <row r="19" spans="1:34">
      <c r="A19" s="173" t="s">
        <v>78</v>
      </c>
      <c r="B19" s="183">
        <f>'Estimativa - Sat. 79'!J28</f>
        <v>9</v>
      </c>
      <c r="C19" s="180">
        <f t="shared" si="2"/>
        <v>0</v>
      </c>
      <c r="D19" s="179" t="s">
        <v>162</v>
      </c>
      <c r="G19" s="171"/>
      <c r="H19" s="171"/>
      <c r="J19" s="179"/>
      <c r="K19" s="179"/>
      <c r="M19" s="185">
        <v>3</v>
      </c>
      <c r="N19" s="171"/>
      <c r="O19" s="17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158</v>
      </c>
      <c r="B20" s="183">
        <f>'Estimativa - Sat. 79'!K28</f>
        <v>10</v>
      </c>
      <c r="C20" s="180">
        <f t="shared" si="2"/>
        <v>0</v>
      </c>
      <c r="D20" s="179" t="s">
        <v>163</v>
      </c>
      <c r="G20" s="171"/>
      <c r="H20" s="171"/>
      <c r="L20" s="179"/>
      <c r="M20" s="179"/>
      <c r="N20" s="171"/>
      <c r="O20" s="171"/>
      <c r="Q20" s="185">
        <v>2</v>
      </c>
      <c r="R20" s="188">
        <v>5</v>
      </c>
      <c r="S20" s="188">
        <v>3</v>
      </c>
      <c r="T20" s="189"/>
      <c r="U20" s="171"/>
      <c r="V20" s="171"/>
      <c r="W20" s="189"/>
      <c r="X20" s="189"/>
      <c r="AB20" s="171"/>
      <c r="AC20" s="171"/>
    </row>
    <row r="21" spans="1:34">
      <c r="A21" s="173" t="s">
        <v>80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160</v>
      </c>
      <c r="B22" s="175">
        <f>'Estimativa - Sat. 79'!M28</f>
        <v>20</v>
      </c>
      <c r="C22" s="180">
        <f>SUM(E22:AH22)-B22</f>
        <v>0</v>
      </c>
      <c r="D22" s="179" t="s">
        <v>164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5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46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154</v>
      </c>
      <c r="B25" s="183">
        <f>'Estimativa - Sat. 83'!H28</f>
        <v>1.3333333333333333</v>
      </c>
      <c r="C25" s="180">
        <f t="shared" ref="C25:C28" si="3">SUM(E25:AH25)-B25</f>
        <v>-3.3333333333333215E-2</v>
      </c>
      <c r="D25" s="179" t="s">
        <v>155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156</v>
      </c>
      <c r="B26" s="183">
        <f>'Estimativa - Sat. 83'!I28</f>
        <v>2</v>
      </c>
      <c r="C26" s="180">
        <f t="shared" si="3"/>
        <v>0</v>
      </c>
      <c r="D26" s="179" t="s">
        <v>157</v>
      </c>
      <c r="G26" s="171"/>
      <c r="H26" s="171"/>
      <c r="J26" s="179"/>
      <c r="N26" s="171"/>
      <c r="O26" s="171"/>
      <c r="U26" s="171"/>
      <c r="V26" s="171"/>
      <c r="W26" s="185">
        <v>2</v>
      </c>
      <c r="AB26" s="171"/>
      <c r="AC26" s="171"/>
    </row>
    <row r="27" spans="1:34">
      <c r="A27" s="173" t="s">
        <v>78</v>
      </c>
      <c r="B27" s="183">
        <f>'Estimativa - Sat. 83'!J28</f>
        <v>2</v>
      </c>
      <c r="C27" s="180">
        <f t="shared" si="3"/>
        <v>0</v>
      </c>
      <c r="D27" s="179" t="s">
        <v>157</v>
      </c>
      <c r="G27" s="171"/>
      <c r="H27" s="171"/>
      <c r="J27" s="179"/>
      <c r="N27" s="171"/>
      <c r="O27" s="171"/>
      <c r="U27" s="171"/>
      <c r="V27" s="171"/>
      <c r="W27" s="185">
        <v>2</v>
      </c>
      <c r="AB27" s="171"/>
      <c r="AC27" s="171"/>
    </row>
    <row r="28" spans="1:34">
      <c r="A28" s="173" t="s">
        <v>158</v>
      </c>
      <c r="B28" s="183">
        <f>'Estimativa - Sat. 83'!K28</f>
        <v>6.5</v>
      </c>
      <c r="C28" s="180">
        <f t="shared" si="3"/>
        <v>0</v>
      </c>
      <c r="D28" s="179" t="s">
        <v>165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85">
        <v>2.5</v>
      </c>
      <c r="Z28" s="189"/>
      <c r="AA28" s="189"/>
      <c r="AB28" s="171"/>
      <c r="AC28" s="171"/>
    </row>
    <row r="29" spans="1:34">
      <c r="A29" s="173" t="s">
        <v>80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160</v>
      </c>
      <c r="B30" s="175">
        <f>'Estimativa - Sat. 83'!M28</f>
        <v>13</v>
      </c>
      <c r="C30" s="180">
        <f>SUM(E30:AH30)-B30</f>
        <v>0</v>
      </c>
      <c r="D30" s="179" t="s">
        <v>161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166</v>
      </c>
      <c r="B34" s="177">
        <f>B16+B24+B8</f>
        <v>151.66666666666669</v>
      </c>
      <c r="C34" s="174"/>
      <c r="D34" s="174"/>
    </row>
    <row r="35" spans="1:29">
      <c r="A35" s="157" t="s">
        <v>167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3*5*3</f>
        <v>45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4.5"/>
  <cols>
    <col min="1" max="1" width="26.7265625" customWidth="1"/>
    <col min="2" max="2" width="11.453125" bestFit="1" customWidth="1"/>
    <col min="3" max="4" width="9.453125" customWidth="1"/>
    <col min="5" max="9" width="4.81640625" bestFit="1" customWidth="1"/>
    <col min="10" max="10" width="6" bestFit="1" customWidth="1"/>
    <col min="11" max="12" width="4.81640625" bestFit="1" customWidth="1"/>
    <col min="13" max="33" width="5.7265625" bestFit="1" customWidth="1"/>
    <col min="34" max="34" width="4.7265625" bestFit="1" customWidth="1"/>
    <col min="35" max="35" width="2.81640625" customWidth="1"/>
  </cols>
  <sheetData>
    <row r="2" spans="1:34">
      <c r="A2" t="s">
        <v>150</v>
      </c>
    </row>
    <row r="5" spans="1:34">
      <c r="C5" s="174" t="s">
        <v>151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152</v>
      </c>
      <c r="C6" s="180">
        <f t="shared" ref="C6" si="0">SUM(E6:AH6)-B6</f>
        <v>5</v>
      </c>
      <c r="D6" s="179" t="s">
        <v>153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47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154</v>
      </c>
      <c r="B9" s="183">
        <f>'Estimativa - Sat. 84'!H28</f>
        <v>6.833333333333333</v>
      </c>
      <c r="C9" s="180">
        <f>SUM(E9:AH9)-B9</f>
        <v>-3.3333333333333215E-2</v>
      </c>
      <c r="D9" s="179" t="s">
        <v>155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156</v>
      </c>
      <c r="B10" s="183">
        <f>'Estimativa - Sat. 84'!I28</f>
        <v>27</v>
      </c>
      <c r="C10" s="180">
        <f>SUM(E10:AH10)-B10</f>
        <v>0</v>
      </c>
      <c r="D10" s="179" t="s">
        <v>157</v>
      </c>
      <c r="G10" s="171"/>
      <c r="H10" s="171"/>
      <c r="I10" s="185">
        <v>5</v>
      </c>
      <c r="J10" s="185">
        <v>5</v>
      </c>
      <c r="L10" s="185">
        <v>5</v>
      </c>
      <c r="N10" s="171"/>
      <c r="O10" s="171"/>
      <c r="P10" s="185">
        <v>6</v>
      </c>
      <c r="Q10" s="185">
        <v>6</v>
      </c>
      <c r="S10" s="179"/>
      <c r="T10" s="179"/>
      <c r="U10" s="171"/>
      <c r="V10" s="171"/>
      <c r="X10" s="179"/>
      <c r="Y10" s="179"/>
      <c r="AB10" s="171"/>
      <c r="AC10" s="171"/>
    </row>
    <row r="11" spans="1:34">
      <c r="A11" s="173" t="s">
        <v>78</v>
      </c>
      <c r="B11" s="183">
        <f>'Estimativa - Sat. 84'!J28</f>
        <v>10.5</v>
      </c>
      <c r="C11" s="180">
        <f>SUM(E11:AH11)-B11</f>
        <v>0</v>
      </c>
      <c r="D11" s="179" t="s">
        <v>157</v>
      </c>
      <c r="G11" s="171"/>
      <c r="H11" s="171"/>
      <c r="N11" s="171"/>
      <c r="O11" s="171"/>
      <c r="T11" s="185">
        <v>5</v>
      </c>
      <c r="U11" s="171"/>
      <c r="V11" s="171"/>
      <c r="W11" s="185">
        <v>5</v>
      </c>
      <c r="X11" s="185">
        <v>0.5</v>
      </c>
      <c r="AB11" s="171"/>
      <c r="AC11" s="171"/>
    </row>
    <row r="12" spans="1:34">
      <c r="A12" s="173" t="s">
        <v>158</v>
      </c>
      <c r="B12" s="183">
        <f>'Estimativa - Sat. 84'!K28</f>
        <v>13.5</v>
      </c>
      <c r="C12" s="180">
        <f>SUM(E12:AH12)-B12</f>
        <v>0</v>
      </c>
      <c r="D12" s="179" t="s">
        <v>168</v>
      </c>
      <c r="G12" s="171"/>
      <c r="H12" s="171"/>
      <c r="N12" s="171"/>
      <c r="O12" s="171"/>
      <c r="U12" s="171"/>
      <c r="V12" s="171"/>
      <c r="X12" s="185">
        <v>4.5</v>
      </c>
      <c r="Y12" s="194">
        <v>5</v>
      </c>
      <c r="Z12" s="194">
        <v>4</v>
      </c>
      <c r="AB12" s="171"/>
      <c r="AC12" s="171"/>
    </row>
    <row r="13" spans="1:34">
      <c r="A13" s="173" t="s">
        <v>80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160</v>
      </c>
      <c r="B14" s="175">
        <f>'Estimativa - Sat. 84'!M28</f>
        <v>20</v>
      </c>
      <c r="C14" s="180">
        <f>SUM(E14:AH14)-B14</f>
        <v>0</v>
      </c>
      <c r="D14" s="179" t="s">
        <v>169</v>
      </c>
      <c r="G14" s="171"/>
      <c r="H14" s="171"/>
      <c r="N14" s="171"/>
      <c r="O14" s="171"/>
      <c r="U14" s="171"/>
      <c r="V14" s="171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44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154</v>
      </c>
      <c r="B17" s="183">
        <f>'Estimativa - Sat. 79'!H28</f>
        <v>5</v>
      </c>
      <c r="C17" s="180">
        <f>SUM(E17:AH17)-B17</f>
        <v>0</v>
      </c>
      <c r="D17" s="179" t="s">
        <v>155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156</v>
      </c>
      <c r="B18" s="183">
        <f>'Estimativa - Sat. 79'!I28</f>
        <v>5</v>
      </c>
      <c r="C18" s="180">
        <f>SUM(E18:AH18)-B18</f>
        <v>0</v>
      </c>
      <c r="D18" s="179" t="s">
        <v>162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</row>
    <row r="19" spans="1:34">
      <c r="A19" s="173" t="s">
        <v>78</v>
      </c>
      <c r="B19" s="183">
        <f>'Estimativa - Sat. 79'!J28</f>
        <v>9</v>
      </c>
      <c r="C19" s="180">
        <f>SUM(E19:AH19)-B19</f>
        <v>0</v>
      </c>
      <c r="D19" s="179" t="s">
        <v>162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158</v>
      </c>
      <c r="B20" s="183">
        <f>'Estimativa - Sat. 79'!K28</f>
        <v>10</v>
      </c>
      <c r="C20" s="180">
        <f>SUM(E20:AH20)-B20</f>
        <v>0</v>
      </c>
      <c r="D20" s="179" t="s">
        <v>170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</row>
    <row r="21" spans="1:34">
      <c r="A21" s="173" t="s">
        <v>80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160</v>
      </c>
      <c r="B22" s="175">
        <f>'Estimativa - Sat. 79'!M28</f>
        <v>20</v>
      </c>
      <c r="C22" s="180">
        <f>SUM(E22:AH22)-B22</f>
        <v>0</v>
      </c>
      <c r="D22" s="179" t="s">
        <v>171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93">
        <v>4</v>
      </c>
      <c r="AE22" s="193">
        <v>4</v>
      </c>
      <c r="AF22" s="193">
        <v>4</v>
      </c>
      <c r="AG22" s="193">
        <v>4</v>
      </c>
      <c r="AH22" s="193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46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154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155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156</v>
      </c>
      <c r="B26" s="183">
        <f>'Estimativa - Sat. 83'!I28</f>
        <v>2</v>
      </c>
      <c r="C26" s="180">
        <f>SUM(E26:AH26)-B26</f>
        <v>0</v>
      </c>
      <c r="D26" s="179" t="s">
        <v>157</v>
      </c>
      <c r="G26" s="171"/>
      <c r="H26" s="171"/>
      <c r="J26" s="179"/>
      <c r="N26" s="171"/>
      <c r="O26" s="171"/>
      <c r="U26" s="171"/>
      <c r="V26" s="171"/>
      <c r="Y26" s="185">
        <v>2</v>
      </c>
      <c r="AB26" s="171"/>
      <c r="AC26" s="171"/>
    </row>
    <row r="27" spans="1:34">
      <c r="A27" s="173" t="s">
        <v>78</v>
      </c>
      <c r="B27" s="183">
        <f>'Estimativa - Sat. 83'!J28</f>
        <v>2</v>
      </c>
      <c r="C27" s="180">
        <f>SUM(E27:AH27)-B27</f>
        <v>0</v>
      </c>
      <c r="D27" s="179" t="s">
        <v>157</v>
      </c>
      <c r="G27" s="171"/>
      <c r="H27" s="171"/>
      <c r="J27" s="179"/>
      <c r="N27" s="171"/>
      <c r="O27" s="171"/>
      <c r="U27" s="171"/>
      <c r="V27" s="171"/>
      <c r="Y27" s="185">
        <v>2</v>
      </c>
      <c r="AB27" s="171"/>
      <c r="AC27" s="171"/>
    </row>
    <row r="28" spans="1:34">
      <c r="A28" s="173" t="s">
        <v>158</v>
      </c>
      <c r="B28" s="183">
        <f>'Estimativa - Sat. 83'!K28</f>
        <v>6.5</v>
      </c>
      <c r="C28" s="180">
        <f>SUM(E28:AH28)-B28</f>
        <v>0</v>
      </c>
      <c r="D28" s="179" t="s">
        <v>168</v>
      </c>
      <c r="G28" s="171"/>
      <c r="H28" s="171"/>
      <c r="L28" s="179"/>
      <c r="N28" s="171"/>
      <c r="O28" s="171"/>
      <c r="P28" s="180"/>
      <c r="U28" s="171"/>
      <c r="V28" s="171"/>
      <c r="Z28" s="185">
        <v>4</v>
      </c>
      <c r="AA28" s="194">
        <v>2.5</v>
      </c>
      <c r="AB28" s="171"/>
      <c r="AC28" s="171"/>
    </row>
    <row r="29" spans="1:34">
      <c r="A29" s="173" t="s">
        <v>80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160</v>
      </c>
      <c r="B30" s="175">
        <f>'Estimativa - Sat. 83'!M28</f>
        <v>13</v>
      </c>
      <c r="C30" s="180">
        <f>SUM(E30:AH30)-B30</f>
        <v>0</v>
      </c>
      <c r="D30" s="179" t="s">
        <v>161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166</v>
      </c>
      <c r="B34" s="177">
        <f>B16+B24+B8</f>
        <v>151.66666666666669</v>
      </c>
      <c r="C34" s="174"/>
      <c r="D34" s="174"/>
    </row>
    <row r="35" spans="1:29">
      <c r="A35" s="157" t="s">
        <v>167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2:AH43"/>
  <sheetViews>
    <sheetView showGridLines="0" workbookViewId="0">
      <selection activeCell="B18" sqref="B18:B19"/>
    </sheetView>
  </sheetViews>
  <sheetFormatPr defaultRowHeight="14.5"/>
  <cols>
    <col min="1" max="1" width="26.7265625" customWidth="1"/>
    <col min="2" max="2" width="11.453125" bestFit="1" customWidth="1"/>
    <col min="3" max="4" width="9.453125" customWidth="1"/>
    <col min="5" max="9" width="4.81640625" bestFit="1" customWidth="1"/>
    <col min="10" max="10" width="6" bestFit="1" customWidth="1"/>
    <col min="11" max="12" width="4.81640625" bestFit="1" customWidth="1"/>
    <col min="13" max="33" width="5.7265625" bestFit="1" customWidth="1"/>
    <col min="34" max="34" width="4.7265625" bestFit="1" customWidth="1"/>
    <col min="35" max="35" width="2.81640625" customWidth="1"/>
  </cols>
  <sheetData>
    <row r="2" spans="1:34">
      <c r="A2" t="s">
        <v>150</v>
      </c>
    </row>
    <row r="5" spans="1:34">
      <c r="C5" s="174" t="s">
        <v>151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152</v>
      </c>
      <c r="C6" s="180">
        <f>SUM(E6:AH6)-B6</f>
        <v>5</v>
      </c>
      <c r="D6" s="179" t="s">
        <v>153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21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210"/>
    </row>
    <row r="8" spans="1:34">
      <c r="A8" s="157" t="s">
        <v>47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  <c r="AH8" s="171"/>
    </row>
    <row r="9" spans="1:34">
      <c r="A9" s="176" t="s">
        <v>154</v>
      </c>
      <c r="B9" s="183">
        <f>'Estimativa - Sat. 84'!H28</f>
        <v>6.833333333333333</v>
      </c>
      <c r="C9" s="180">
        <f>SUM(E9:AH9)-B9</f>
        <v>-3.3333333333333215E-2</v>
      </c>
      <c r="D9" s="179" t="s">
        <v>155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  <c r="AH9" s="171"/>
    </row>
    <row r="10" spans="1:34">
      <c r="A10" s="173" t="s">
        <v>156</v>
      </c>
      <c r="B10" s="183">
        <f>'Estimativa - Sat. 84'!I28</f>
        <v>27</v>
      </c>
      <c r="C10" s="180">
        <f>SUM(E10:AH10)-B10</f>
        <v>0</v>
      </c>
      <c r="D10" s="179" t="s">
        <v>157</v>
      </c>
      <c r="G10" s="171"/>
      <c r="H10" s="171"/>
      <c r="I10" s="185">
        <v>6</v>
      </c>
      <c r="J10" s="185">
        <v>6</v>
      </c>
      <c r="L10" s="185">
        <v>6</v>
      </c>
      <c r="N10" s="171"/>
      <c r="O10" s="171"/>
      <c r="P10" s="185">
        <v>6</v>
      </c>
      <c r="Q10" s="185">
        <v>3</v>
      </c>
      <c r="S10" s="179"/>
      <c r="T10" s="179"/>
      <c r="U10" s="171"/>
      <c r="V10" s="171"/>
      <c r="X10" s="179"/>
      <c r="Y10" s="179"/>
      <c r="AB10" s="171"/>
      <c r="AC10" s="171"/>
      <c r="AH10" s="171"/>
    </row>
    <row r="11" spans="1:34">
      <c r="A11" s="173" t="s">
        <v>78</v>
      </c>
      <c r="B11" s="183">
        <f>'Estimativa - Sat. 84'!J28</f>
        <v>10.5</v>
      </c>
      <c r="C11" s="180">
        <f>SUM(E11:AH11)-B11</f>
        <v>0</v>
      </c>
      <c r="D11" s="179" t="s">
        <v>157</v>
      </c>
      <c r="G11" s="171"/>
      <c r="H11" s="171"/>
      <c r="N11" s="171"/>
      <c r="O11" s="171"/>
      <c r="Q11" s="185">
        <v>5</v>
      </c>
      <c r="T11" s="185">
        <v>5</v>
      </c>
      <c r="U11" s="171"/>
      <c r="V11" s="171"/>
      <c r="W11" s="185">
        <v>0.5</v>
      </c>
      <c r="AB11" s="171"/>
      <c r="AC11" s="171"/>
      <c r="AH11" s="171"/>
    </row>
    <row r="12" spans="1:34">
      <c r="A12" s="173" t="s">
        <v>158</v>
      </c>
      <c r="B12" s="183">
        <f>'Estimativa - Sat. 84'!K28</f>
        <v>13.5</v>
      </c>
      <c r="C12" s="180">
        <f>SUM(E12:AH12)-B12</f>
        <v>0</v>
      </c>
      <c r="D12" s="179" t="s">
        <v>168</v>
      </c>
      <c r="G12" s="171"/>
      <c r="H12" s="171"/>
      <c r="N12" s="171"/>
      <c r="O12" s="171"/>
      <c r="U12" s="171"/>
      <c r="V12" s="171"/>
      <c r="W12" s="185">
        <v>4.5</v>
      </c>
      <c r="X12" s="194">
        <v>5</v>
      </c>
      <c r="Y12" s="194">
        <v>4</v>
      </c>
      <c r="AB12" s="171"/>
      <c r="AC12" s="171"/>
      <c r="AH12" s="171"/>
    </row>
    <row r="13" spans="1:34">
      <c r="A13" s="173" t="s">
        <v>80</v>
      </c>
      <c r="B13" s="175"/>
      <c r="G13" s="171"/>
      <c r="H13" s="171"/>
      <c r="N13" s="171"/>
      <c r="O13" s="171"/>
      <c r="U13" s="171"/>
      <c r="V13" s="171"/>
      <c r="AB13" s="171"/>
      <c r="AC13" s="171"/>
      <c r="AH13" s="171"/>
    </row>
    <row r="14" spans="1:34">
      <c r="A14" s="173" t="s">
        <v>160</v>
      </c>
      <c r="B14" s="175">
        <f>'Estimativa - Sat. 84'!M28</f>
        <v>20</v>
      </c>
      <c r="C14" s="180">
        <f>SUM(E14:AH14)-B14</f>
        <v>0</v>
      </c>
      <c r="D14" s="179" t="s">
        <v>169</v>
      </c>
      <c r="G14" s="171"/>
      <c r="H14" s="171"/>
      <c r="N14" s="171"/>
      <c r="O14" s="171"/>
      <c r="U14" s="171"/>
      <c r="V14" s="171"/>
      <c r="Z14" s="185"/>
      <c r="AA14" s="185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  <c r="AH14" s="18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  <c r="AH15" s="171"/>
    </row>
    <row r="16" spans="1:34">
      <c r="A16" s="157" t="s">
        <v>44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  <c r="AH16" s="171"/>
    </row>
    <row r="17" spans="1:34">
      <c r="A17" s="173" t="s">
        <v>154</v>
      </c>
      <c r="B17" s="183">
        <f>'Estimativa - Sat. 79'!H28</f>
        <v>5</v>
      </c>
      <c r="C17" s="180">
        <f>SUM(E17:AH17)-B17</f>
        <v>0</v>
      </c>
      <c r="D17" s="179" t="s">
        <v>155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  <c r="AH17" s="171"/>
    </row>
    <row r="18" spans="1:34">
      <c r="A18" s="173" t="s">
        <v>156</v>
      </c>
      <c r="B18" s="183">
        <f>'Estimativa - Sat. 79'!I28</f>
        <v>5</v>
      </c>
      <c r="C18" s="180">
        <f>SUM(E18:AH18)-B18</f>
        <v>0</v>
      </c>
      <c r="D18" s="179" t="s">
        <v>162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  <c r="AH18" s="171"/>
    </row>
    <row r="19" spans="1:34">
      <c r="A19" s="173" t="s">
        <v>78</v>
      </c>
      <c r="B19" s="183">
        <f>'Estimativa - Sat. 79'!J28</f>
        <v>9</v>
      </c>
      <c r="C19" s="180">
        <f>SUM(E19:AH19)-B19</f>
        <v>0</v>
      </c>
      <c r="D19" s="179" t="s">
        <v>162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  <c r="AH19" s="171"/>
    </row>
    <row r="20" spans="1:34">
      <c r="A20" s="173" t="s">
        <v>158</v>
      </c>
      <c r="B20" s="183">
        <f>'Estimativa - Sat. 79'!K28</f>
        <v>10</v>
      </c>
      <c r="C20" s="180">
        <f>SUM(E20:AH20)-B20</f>
        <v>0</v>
      </c>
      <c r="D20" s="179" t="s">
        <v>170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  <c r="AH20" s="171"/>
    </row>
    <row r="21" spans="1:34">
      <c r="A21" s="173" t="s">
        <v>80</v>
      </c>
      <c r="G21" s="171"/>
      <c r="H21" s="171"/>
      <c r="N21" s="171"/>
      <c r="O21" s="171"/>
      <c r="U21" s="171"/>
      <c r="V21" s="171"/>
      <c r="AB21" s="171"/>
      <c r="AC21" s="171"/>
      <c r="AH21" s="171"/>
    </row>
    <row r="22" spans="1:34">
      <c r="A22" s="173" t="s">
        <v>160</v>
      </c>
      <c r="B22" s="175">
        <f>'Estimativa - Sat. 79'!M28</f>
        <v>20</v>
      </c>
      <c r="C22" s="180">
        <f>SUM(E22:AH22)-B22</f>
        <v>0</v>
      </c>
      <c r="D22" s="179" t="s">
        <v>171</v>
      </c>
      <c r="G22" s="171"/>
      <c r="H22" s="171"/>
      <c r="N22" s="171"/>
      <c r="O22" s="171"/>
      <c r="U22" s="171"/>
      <c r="V22" s="171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1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  <c r="AH23" s="171"/>
    </row>
    <row r="24" spans="1:34">
      <c r="A24" s="157" t="s">
        <v>46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  <c r="AH24" s="171"/>
    </row>
    <row r="25" spans="1:34">
      <c r="A25" s="173" t="s">
        <v>154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155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  <c r="AH25" s="171"/>
    </row>
    <row r="26" spans="1:34">
      <c r="A26" s="173" t="s">
        <v>156</v>
      </c>
      <c r="B26" s="183">
        <f>'Estimativa - Sat. 83'!I28</f>
        <v>2</v>
      </c>
      <c r="C26" s="180">
        <f>SUM(E26:AH26)-B26</f>
        <v>0</v>
      </c>
      <c r="D26" s="179" t="s">
        <v>157</v>
      </c>
      <c r="G26" s="171"/>
      <c r="H26" s="171"/>
      <c r="J26" s="179"/>
      <c r="N26" s="171"/>
      <c r="O26" s="171"/>
      <c r="U26" s="171"/>
      <c r="V26" s="171"/>
      <c r="W26" s="185">
        <v>2</v>
      </c>
      <c r="AB26" s="171"/>
      <c r="AC26" s="171"/>
      <c r="AH26" s="171"/>
    </row>
    <row r="27" spans="1:34">
      <c r="A27" s="173" t="s">
        <v>78</v>
      </c>
      <c r="B27" s="183">
        <f>'Estimativa - Sat. 83'!J28</f>
        <v>2</v>
      </c>
      <c r="C27" s="180">
        <f>SUM(E27:AH27)-B27</f>
        <v>0</v>
      </c>
      <c r="D27" s="179" t="s">
        <v>157</v>
      </c>
      <c r="G27" s="171"/>
      <c r="H27" s="171"/>
      <c r="J27" s="179"/>
      <c r="N27" s="171"/>
      <c r="O27" s="171"/>
      <c r="U27" s="171"/>
      <c r="V27" s="171"/>
      <c r="W27" s="185">
        <v>2</v>
      </c>
      <c r="AB27" s="171"/>
      <c r="AC27" s="171"/>
      <c r="AH27" s="171"/>
    </row>
    <row r="28" spans="1:34">
      <c r="A28" s="173" t="s">
        <v>158</v>
      </c>
      <c r="B28" s="183">
        <f>'Estimativa - Sat. 83'!K28</f>
        <v>6.5</v>
      </c>
      <c r="C28" s="180">
        <f>SUM(E28:AH28)-B28</f>
        <v>0</v>
      </c>
      <c r="D28" s="179" t="s">
        <v>168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94">
        <v>2.5</v>
      </c>
      <c r="AB28" s="171"/>
      <c r="AC28" s="171"/>
      <c r="AH28" s="171"/>
    </row>
    <row r="29" spans="1:34">
      <c r="A29" s="173" t="s">
        <v>80</v>
      </c>
      <c r="G29" s="171"/>
      <c r="H29" s="171"/>
      <c r="N29" s="171"/>
      <c r="O29" s="171"/>
      <c r="U29" s="171"/>
      <c r="V29" s="171"/>
      <c r="AB29" s="171"/>
      <c r="AC29" s="171"/>
      <c r="AH29" s="171"/>
    </row>
    <row r="30" spans="1:34">
      <c r="A30" s="173" t="s">
        <v>160</v>
      </c>
      <c r="B30" s="175">
        <f>'Estimativa - Sat. 83'!M28</f>
        <v>13</v>
      </c>
      <c r="C30" s="180">
        <f>SUM(E30:AH30)-B30</f>
        <v>0</v>
      </c>
      <c r="D30" s="179" t="s">
        <v>161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1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  <c r="AH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  <c r="AH32" s="171"/>
    </row>
    <row r="33" spans="1:34">
      <c r="G33" s="171"/>
      <c r="H33" s="171"/>
      <c r="N33" s="171"/>
      <c r="O33" s="171"/>
      <c r="U33" s="171"/>
      <c r="V33" s="171"/>
      <c r="AB33" s="171"/>
      <c r="AC33" s="171"/>
      <c r="AH33" s="171"/>
    </row>
    <row r="34" spans="1:34">
      <c r="A34" s="157" t="s">
        <v>166</v>
      </c>
      <c r="B34" s="177">
        <f>B16+B24+B8</f>
        <v>151.66666666666669</v>
      </c>
      <c r="C34" s="174"/>
      <c r="D34" s="174"/>
    </row>
    <row r="35" spans="1:34">
      <c r="A35" s="157" t="s">
        <v>167</v>
      </c>
      <c r="B35" s="177">
        <f>SUM(B9:B12)+SUM(B17:B20)+SUM(B25:B28)</f>
        <v>98.666666666666671</v>
      </c>
    </row>
    <row r="36" spans="1:34">
      <c r="B36" s="175"/>
    </row>
    <row r="37" spans="1:34">
      <c r="B37" s="175"/>
    </row>
    <row r="38" spans="1:34">
      <c r="B38" s="175"/>
    </row>
    <row r="39" spans="1:34">
      <c r="B39" s="175">
        <f>SUM(B10:B12)+SUM(B18:B20)+SUM(B26:B28)</f>
        <v>85.5</v>
      </c>
    </row>
    <row r="40" spans="1:34">
      <c r="B40" s="178">
        <f>B39/3</f>
        <v>28.5</v>
      </c>
    </row>
    <row r="41" spans="1:34">
      <c r="B41" s="178">
        <f>B40/2</f>
        <v>14.25</v>
      </c>
    </row>
    <row r="42" spans="1:34">
      <c r="B42">
        <f>B41-8</f>
        <v>6.25</v>
      </c>
    </row>
    <row r="43" spans="1:34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3:AX18"/>
  <sheetViews>
    <sheetView showGridLines="0" workbookViewId="0">
      <selection activeCell="AE25" sqref="AE25"/>
    </sheetView>
  </sheetViews>
  <sheetFormatPr defaultRowHeight="14.5"/>
  <cols>
    <col min="1" max="1" width="19.7265625" customWidth="1"/>
    <col min="2" max="2" width="11.453125" hidden="1" customWidth="1"/>
    <col min="3" max="3" width="9.453125" hidden="1" customWidth="1"/>
    <col min="4" max="4" width="4.1796875" customWidth="1"/>
    <col min="5" max="9" width="4.81640625" bestFit="1" customWidth="1"/>
    <col min="10" max="10" width="6" bestFit="1" customWidth="1"/>
    <col min="11" max="12" width="4.81640625" bestFit="1" customWidth="1"/>
    <col min="13" max="31" width="5.7265625" bestFit="1" customWidth="1"/>
    <col min="32" max="48" width="5.7265625" customWidth="1"/>
  </cols>
  <sheetData>
    <row r="3" spans="1:50">
      <c r="A3" s="157" t="s">
        <v>172</v>
      </c>
      <c r="C3" s="174" t="s">
        <v>151</v>
      </c>
      <c r="D3" s="174"/>
      <c r="E3" s="187">
        <v>45232</v>
      </c>
      <c r="F3" s="187">
        <v>45233</v>
      </c>
      <c r="G3" s="187">
        <v>45234</v>
      </c>
      <c r="H3" s="187">
        <v>45235</v>
      </c>
      <c r="I3" s="187">
        <v>45236</v>
      </c>
      <c r="J3" s="187">
        <v>45237</v>
      </c>
      <c r="K3" s="187">
        <v>45238</v>
      </c>
      <c r="L3" s="187">
        <v>45239</v>
      </c>
      <c r="M3" s="187">
        <v>45240</v>
      </c>
      <c r="N3" s="187">
        <v>45241</v>
      </c>
      <c r="O3" s="187">
        <v>45242</v>
      </c>
      <c r="P3" s="187">
        <v>45243</v>
      </c>
      <c r="Q3" s="187">
        <v>45244</v>
      </c>
      <c r="R3" s="187">
        <v>45245</v>
      </c>
      <c r="S3" s="187">
        <v>45246</v>
      </c>
      <c r="T3" s="187">
        <v>45247</v>
      </c>
      <c r="U3" s="187">
        <v>45248</v>
      </c>
      <c r="V3" s="187">
        <v>45249</v>
      </c>
      <c r="W3" s="187">
        <v>45250</v>
      </c>
      <c r="X3" s="187">
        <v>45251</v>
      </c>
      <c r="Y3" s="187">
        <v>45252</v>
      </c>
      <c r="Z3" s="187">
        <v>45253</v>
      </c>
      <c r="AA3" s="187">
        <v>45254</v>
      </c>
      <c r="AB3" s="187">
        <v>45255</v>
      </c>
      <c r="AC3" s="187">
        <v>45256</v>
      </c>
      <c r="AD3" s="187">
        <v>45257</v>
      </c>
      <c r="AE3" s="187">
        <v>45258</v>
      </c>
      <c r="AF3" s="187">
        <v>45259</v>
      </c>
      <c r="AG3" s="187">
        <v>45260</v>
      </c>
      <c r="AH3" s="187">
        <v>45261</v>
      </c>
      <c r="AI3" s="187">
        <v>45262</v>
      </c>
      <c r="AJ3" s="187">
        <v>45263</v>
      </c>
      <c r="AK3" s="187">
        <v>45264</v>
      </c>
      <c r="AL3" s="187">
        <v>45265</v>
      </c>
      <c r="AM3" s="187">
        <v>45266</v>
      </c>
      <c r="AN3" s="187">
        <v>45267</v>
      </c>
      <c r="AO3" s="187">
        <v>45268</v>
      </c>
      <c r="AP3" s="187">
        <v>45269</v>
      </c>
      <c r="AQ3" s="187">
        <v>45270</v>
      </c>
      <c r="AR3" s="187">
        <v>45271</v>
      </c>
      <c r="AS3" s="187">
        <v>45272</v>
      </c>
      <c r="AT3" s="187">
        <v>45273</v>
      </c>
      <c r="AU3" s="187">
        <v>45274</v>
      </c>
      <c r="AV3" s="187">
        <v>45275</v>
      </c>
    </row>
    <row r="4" spans="1:50" ht="5.25" customHeight="1">
      <c r="C4" s="174"/>
      <c r="D4" s="174"/>
      <c r="E4" s="190"/>
      <c r="F4" s="190"/>
      <c r="G4" s="171"/>
      <c r="H4" s="171"/>
      <c r="I4" s="190"/>
      <c r="J4" s="190"/>
      <c r="K4" s="190"/>
      <c r="L4" s="190"/>
      <c r="M4" s="190"/>
      <c r="N4" s="171"/>
      <c r="O4" s="171"/>
      <c r="P4" s="190"/>
      <c r="Q4" s="190"/>
      <c r="R4" s="190"/>
      <c r="S4" s="190"/>
      <c r="T4" s="190"/>
      <c r="U4" s="171"/>
      <c r="V4" s="171"/>
      <c r="W4" s="190"/>
      <c r="X4" s="190"/>
      <c r="Y4" s="190"/>
      <c r="Z4" s="190"/>
      <c r="AA4" s="190"/>
      <c r="AB4" s="171"/>
      <c r="AC4" s="171"/>
      <c r="AD4" s="190"/>
      <c r="AE4" s="190"/>
      <c r="AF4" s="190"/>
      <c r="AG4" s="190"/>
      <c r="AH4" s="210"/>
      <c r="AI4" s="210"/>
      <c r="AJ4" s="210"/>
      <c r="AP4" s="210"/>
      <c r="AQ4" s="210"/>
    </row>
    <row r="5" spans="1:50">
      <c r="A5" s="213" t="s">
        <v>173</v>
      </c>
      <c r="C5" s="174"/>
      <c r="D5" s="174"/>
      <c r="G5" s="171"/>
      <c r="H5" s="171"/>
      <c r="L5" s="185" t="s">
        <v>174</v>
      </c>
      <c r="M5" s="185" t="s">
        <v>174</v>
      </c>
      <c r="N5" s="171"/>
      <c r="O5" s="171"/>
      <c r="P5" s="185" t="s">
        <v>175</v>
      </c>
      <c r="Q5" s="185" t="s">
        <v>175</v>
      </c>
      <c r="U5" s="171"/>
      <c r="V5" s="171"/>
      <c r="W5" s="185" t="s">
        <v>176</v>
      </c>
      <c r="X5" s="185" t="s">
        <v>176</v>
      </c>
      <c r="AA5" s="185" t="s">
        <v>176</v>
      </c>
      <c r="AB5" s="171"/>
      <c r="AC5" s="171"/>
      <c r="AG5" s="185" t="s">
        <v>176</v>
      </c>
      <c r="AH5" s="171"/>
      <c r="AI5" s="171"/>
      <c r="AJ5" s="171"/>
      <c r="AL5" s="185" t="s">
        <v>176</v>
      </c>
      <c r="AN5" s="185" t="s">
        <v>176</v>
      </c>
      <c r="AP5" s="171"/>
      <c r="AQ5" s="171"/>
      <c r="AT5" s="185" t="s">
        <v>176</v>
      </c>
    </row>
    <row r="6" spans="1:50" ht="6" customHeight="1">
      <c r="A6" s="213"/>
      <c r="C6" s="174"/>
      <c r="D6" s="174"/>
      <c r="G6" s="171"/>
      <c r="H6" s="171"/>
      <c r="N6" s="171"/>
      <c r="O6" s="171"/>
      <c r="U6" s="171"/>
      <c r="V6" s="171"/>
      <c r="AB6" s="171"/>
      <c r="AC6" s="171"/>
      <c r="AH6" s="171"/>
      <c r="AI6" s="171"/>
      <c r="AJ6" s="171"/>
      <c r="AP6" s="171"/>
      <c r="AQ6" s="171"/>
    </row>
    <row r="7" spans="1:50">
      <c r="A7" s="213" t="s">
        <v>177</v>
      </c>
      <c r="C7" s="180"/>
      <c r="D7" s="179"/>
      <c r="G7" s="171"/>
      <c r="H7" s="171"/>
      <c r="I7" s="185" t="s">
        <v>174</v>
      </c>
      <c r="J7" s="185" t="s">
        <v>174</v>
      </c>
      <c r="L7" s="185" t="s">
        <v>175</v>
      </c>
      <c r="N7" s="171"/>
      <c r="O7" s="171"/>
      <c r="P7" s="185" t="s">
        <v>175</v>
      </c>
      <c r="Q7" s="214" t="s">
        <v>178</v>
      </c>
      <c r="S7" s="179"/>
      <c r="T7" s="185" t="s">
        <v>174</v>
      </c>
      <c r="U7" s="171"/>
      <c r="V7" s="171"/>
      <c r="W7" s="185" t="s">
        <v>174</v>
      </c>
      <c r="X7" s="185" t="s">
        <v>176</v>
      </c>
      <c r="Y7" s="185" t="s">
        <v>176</v>
      </c>
      <c r="Z7" s="185" t="s">
        <v>176</v>
      </c>
      <c r="AB7" s="171"/>
      <c r="AC7" s="171"/>
      <c r="AF7" s="185" t="s">
        <v>176</v>
      </c>
      <c r="AH7" s="171"/>
      <c r="AI7" s="171"/>
      <c r="AJ7" s="171"/>
      <c r="AK7" s="185" t="s">
        <v>176</v>
      </c>
      <c r="AM7" s="185" t="s">
        <v>176</v>
      </c>
      <c r="AP7" s="171"/>
      <c r="AQ7" s="171"/>
      <c r="AS7" s="185" t="s">
        <v>176</v>
      </c>
    </row>
    <row r="8" spans="1:50" ht="7.5" customHeight="1">
      <c r="A8" s="173"/>
      <c r="C8" s="180"/>
      <c r="D8" s="179"/>
      <c r="G8" s="171"/>
      <c r="H8" s="171"/>
      <c r="N8" s="171"/>
      <c r="O8" s="171"/>
      <c r="U8" s="171"/>
      <c r="V8" s="171"/>
      <c r="W8" s="179"/>
      <c r="X8" s="179"/>
      <c r="Y8" s="179"/>
      <c r="AB8" s="171"/>
      <c r="AC8" s="171"/>
      <c r="AH8" s="171"/>
      <c r="AI8" s="171"/>
      <c r="AJ8" s="171"/>
      <c r="AP8" s="171"/>
      <c r="AQ8" s="171"/>
    </row>
    <row r="9" spans="1:50">
      <c r="A9" s="173"/>
      <c r="C9" s="180"/>
    </row>
    <row r="10" spans="1:50" s="212" customFormat="1">
      <c r="A10" s="213" t="s">
        <v>179</v>
      </c>
      <c r="B10"/>
      <c r="I10" s="215">
        <f>SUM(Resumo!I18:I19)</f>
        <v>0</v>
      </c>
      <c r="J10" s="215">
        <f>SUM(Resumo!J18:J19)</f>
        <v>0</v>
      </c>
      <c r="K10" s="215">
        <f>SUM(Resumo!K18:K19)</f>
        <v>0</v>
      </c>
      <c r="L10" s="215">
        <f>SUM(Resumo!L18:L19)</f>
        <v>4</v>
      </c>
      <c r="M10" s="215">
        <f>SUM(Resumo!M18:M19)</f>
        <v>4</v>
      </c>
      <c r="N10" s="215"/>
      <c r="O10" s="215"/>
      <c r="P10" s="215">
        <f>SUM(Resumo!P18:P19)</f>
        <v>4</v>
      </c>
      <c r="Q10" s="215">
        <f>SUM(Resumo!Q18:Q19)</f>
        <v>2</v>
      </c>
      <c r="R10" s="215">
        <f>SUM(Resumo!R18:R19)</f>
        <v>0</v>
      </c>
      <c r="S10" s="215">
        <f>SUM(Resumo!S18:S19)</f>
        <v>0</v>
      </c>
      <c r="T10" s="215">
        <f>SUM(Resumo!T18:T19)</f>
        <v>0</v>
      </c>
      <c r="U10" s="215"/>
      <c r="V10" s="215"/>
      <c r="W10" s="215">
        <f>SUM(Resumo!W18:W19)</f>
        <v>0</v>
      </c>
      <c r="X10" s="215">
        <f>SUM(Resumo!X18:X19)+1</f>
        <v>1</v>
      </c>
      <c r="Y10" s="215">
        <f>SUM(Resumo!Y18:Y19)</f>
        <v>0</v>
      </c>
      <c r="Z10" s="215">
        <f>SUM(Resumo!Z18:Z19)</f>
        <v>0</v>
      </c>
      <c r="AA10" s="215">
        <f>SUM(Resumo!AA18:AA19)+1</f>
        <v>1</v>
      </c>
      <c r="AB10" s="215"/>
      <c r="AC10" s="215"/>
      <c r="AD10" s="215">
        <f>SUM(Resumo!AD18:AD19)</f>
        <v>0</v>
      </c>
      <c r="AE10" s="215">
        <f>SUM(Resumo!AE18:AE19)</f>
        <v>0</v>
      </c>
      <c r="AF10" s="215">
        <f>SUM(Resumo!AF18:AF19)</f>
        <v>0</v>
      </c>
      <c r="AG10" s="215">
        <f>SUM(Resumo!AG18:AG19)+1</f>
        <v>1</v>
      </c>
      <c r="AH10" s="215"/>
      <c r="AI10" s="215"/>
      <c r="AJ10" s="215"/>
      <c r="AK10" s="215">
        <f>SUM(Resumo!AK18:AK19)</f>
        <v>0</v>
      </c>
      <c r="AL10" s="215">
        <f>SUM(Resumo!AL18:AL19)+1</f>
        <v>1</v>
      </c>
      <c r="AM10" s="215">
        <f>SUM(Resumo!AM18:AM19)</f>
        <v>0</v>
      </c>
      <c r="AN10" s="215">
        <f>SUM(Resumo!AN18:AN19)+1</f>
        <v>1</v>
      </c>
      <c r="AO10" s="215">
        <f>SUM(Resumo!AO18:AO19)</f>
        <v>0</v>
      </c>
      <c r="AP10" s="215"/>
      <c r="AQ10" s="215"/>
      <c r="AR10" s="215">
        <f>SUM(Resumo!AR18:AR19)</f>
        <v>0</v>
      </c>
      <c r="AS10" s="215">
        <f>SUM(Resumo!AS18:AS19)</f>
        <v>0</v>
      </c>
      <c r="AT10" s="215">
        <f>SUM(Resumo!AT18:AT19)+1</f>
        <v>1</v>
      </c>
      <c r="AU10" s="215">
        <f>SUM(Resumo!AU18:AU19)</f>
        <v>0</v>
      </c>
      <c r="AV10" s="215">
        <f>SUM(Resumo!AV18:AV19)</f>
        <v>0</v>
      </c>
      <c r="AX10" s="212">
        <f>SUM(E10:AV10)</f>
        <v>20</v>
      </c>
    </row>
    <row r="11" spans="1:50" s="212" customFormat="1">
      <c r="A11" s="213" t="s">
        <v>180</v>
      </c>
      <c r="B11"/>
      <c r="I11" s="212">
        <f>SUM(Resumo!I10:I11,Resumo!I26:I27)</f>
        <v>6</v>
      </c>
      <c r="J11" s="212">
        <f>SUM(Resumo!J10:J11,Resumo!J26:J27)</f>
        <v>6</v>
      </c>
      <c r="K11" s="212">
        <f>SUM(Resumo!K10:K11,Resumo!K26:K27)</f>
        <v>0</v>
      </c>
      <c r="L11" s="212">
        <f>SUM(Resumo!L10:L11,Resumo!L26:L27)</f>
        <v>6</v>
      </c>
      <c r="M11" s="212">
        <f>SUM(Resumo!M10:M11,Resumo!M26:M27)</f>
        <v>0</v>
      </c>
      <c r="P11" s="212">
        <f>SUM(Resumo!P10:P11,Resumo!P26:P27)</f>
        <v>6</v>
      </c>
      <c r="Q11" s="212">
        <f>SUM(Resumo!Q10:Q11,Resumo!Q26:Q27)</f>
        <v>8</v>
      </c>
      <c r="R11" s="212">
        <f>SUM(Resumo!R10:R11,Resumo!R26:R27)</f>
        <v>0</v>
      </c>
      <c r="S11" s="212">
        <f>SUM(Resumo!S10:S11,Resumo!S26:S27)</f>
        <v>0</v>
      </c>
      <c r="T11" s="212">
        <f>SUM(Resumo!T10:T11,Resumo!T26:T27)</f>
        <v>5</v>
      </c>
      <c r="W11" s="212">
        <f>SUM(Resumo!W10:W11,Resumo!W26:W27)</f>
        <v>4.5</v>
      </c>
      <c r="X11" s="215">
        <f>SUM(Resumo!X10:X11,Resumo!X26:X27)+1</f>
        <v>1</v>
      </c>
      <c r="Y11" s="215">
        <f>SUM(Resumo!Y10:Y11,Resumo!Y26:Y27)+1</f>
        <v>1</v>
      </c>
      <c r="Z11" s="212">
        <f>SUM(Resumo!Z10:Z11,Resumo!Z26:Z27)+1</f>
        <v>1</v>
      </c>
      <c r="AA11" s="212">
        <f>SUM(Resumo!AA10:AA11,Resumo!AA26:AA27)</f>
        <v>0</v>
      </c>
      <c r="AD11" s="212">
        <f>SUM(Resumo!AD10:AD11,Resumo!AD26:AD27)</f>
        <v>0</v>
      </c>
      <c r="AE11" s="212">
        <f>SUM(Resumo!AE10:AE11,Resumo!AE26:AE27)</f>
        <v>0</v>
      </c>
      <c r="AF11" s="212">
        <f>SUM(Resumo!AF10:AF11,Resumo!AF26:AF27)+1</f>
        <v>1</v>
      </c>
      <c r="AG11" s="212">
        <f>SUM(Resumo!AG10:AG11,Resumo!AG26:AG27)</f>
        <v>0</v>
      </c>
      <c r="AK11" s="212">
        <f>SUM(Resumo!AK10:AK11,Resumo!AK26:AK27)+1</f>
        <v>1</v>
      </c>
      <c r="AL11" s="212">
        <f>SUM(Resumo!AL10:AL11,Resumo!AL26:AL27)</f>
        <v>0</v>
      </c>
      <c r="AM11" s="212">
        <f>SUM(Resumo!AM10:AM11,Resumo!AM26:AM27)+1</f>
        <v>1</v>
      </c>
      <c r="AN11" s="212">
        <f>SUM(Resumo!AN10:AN11,Resumo!AN26:AN27)</f>
        <v>0</v>
      </c>
      <c r="AO11" s="212">
        <f>SUM(Resumo!AO10:AO11,Resumo!AO26:AO27)</f>
        <v>0</v>
      </c>
      <c r="AR11" s="212">
        <f>SUM(Resumo!AR10:AR11,Resumo!AR26:AR27)</f>
        <v>0</v>
      </c>
      <c r="AS11" s="212">
        <f>SUM(Resumo!AS10:AS11,Resumo!AS26:AS27)+1</f>
        <v>1</v>
      </c>
      <c r="AT11" s="212">
        <f>SUM(Resumo!AT10:AT11,Resumo!AT26:AT27)</f>
        <v>0</v>
      </c>
      <c r="AU11" s="212">
        <f>SUM(Resumo!AU10:AU11,Resumo!AU26:AU27)</f>
        <v>0</v>
      </c>
      <c r="AV11" s="212">
        <f>SUM(Resumo!AV10:AV11,Resumo!AV26:AV27)</f>
        <v>0</v>
      </c>
      <c r="AX11" s="212">
        <f>SUM(E11:AV11)</f>
        <v>48.5</v>
      </c>
    </row>
    <row r="12" spans="1:50" s="212" customFormat="1">
      <c r="A12" s="213" t="s">
        <v>181</v>
      </c>
      <c r="B12"/>
      <c r="I12" s="216">
        <f>I10+I11</f>
        <v>6</v>
      </c>
      <c r="J12" s="216">
        <f t="shared" ref="J12:AV12" si="0">J10+J11</f>
        <v>6</v>
      </c>
      <c r="K12" s="216">
        <f t="shared" si="0"/>
        <v>0</v>
      </c>
      <c r="L12" s="216">
        <f t="shared" si="0"/>
        <v>10</v>
      </c>
      <c r="M12" s="216">
        <f t="shared" si="0"/>
        <v>4</v>
      </c>
      <c r="N12" s="216"/>
      <c r="O12" s="216"/>
      <c r="P12" s="216">
        <f t="shared" si="0"/>
        <v>10</v>
      </c>
      <c r="Q12" s="216">
        <f t="shared" si="0"/>
        <v>10</v>
      </c>
      <c r="R12" s="216">
        <f t="shared" si="0"/>
        <v>0</v>
      </c>
      <c r="S12" s="216">
        <f t="shared" si="0"/>
        <v>0</v>
      </c>
      <c r="T12" s="216">
        <f t="shared" si="0"/>
        <v>5</v>
      </c>
      <c r="U12" s="216"/>
      <c r="V12" s="216"/>
      <c r="W12" s="216">
        <f t="shared" si="0"/>
        <v>4.5</v>
      </c>
      <c r="X12" s="216">
        <f t="shared" si="0"/>
        <v>2</v>
      </c>
      <c r="Y12" s="216">
        <f t="shared" si="0"/>
        <v>1</v>
      </c>
      <c r="Z12" s="216">
        <f t="shared" si="0"/>
        <v>1</v>
      </c>
      <c r="AA12" s="216">
        <f t="shared" si="0"/>
        <v>1</v>
      </c>
      <c r="AB12" s="216"/>
      <c r="AC12" s="216"/>
      <c r="AD12" s="216">
        <f t="shared" si="0"/>
        <v>0</v>
      </c>
      <c r="AE12" s="216">
        <f t="shared" si="0"/>
        <v>0</v>
      </c>
      <c r="AF12" s="216">
        <f t="shared" si="0"/>
        <v>1</v>
      </c>
      <c r="AG12" s="216">
        <f t="shared" si="0"/>
        <v>1</v>
      </c>
      <c r="AH12" s="216"/>
      <c r="AI12" s="216"/>
      <c r="AJ12" s="216"/>
      <c r="AK12" s="216">
        <f t="shared" si="0"/>
        <v>1</v>
      </c>
      <c r="AL12" s="216">
        <f t="shared" si="0"/>
        <v>1</v>
      </c>
      <c r="AM12" s="216">
        <f t="shared" si="0"/>
        <v>1</v>
      </c>
      <c r="AN12" s="216">
        <f t="shared" si="0"/>
        <v>1</v>
      </c>
      <c r="AO12" s="216">
        <f t="shared" si="0"/>
        <v>0</v>
      </c>
      <c r="AP12" s="216"/>
      <c r="AQ12" s="216"/>
      <c r="AR12" s="216">
        <f t="shared" si="0"/>
        <v>0</v>
      </c>
      <c r="AS12" s="216">
        <f t="shared" si="0"/>
        <v>1</v>
      </c>
      <c r="AT12" s="216">
        <f t="shared" si="0"/>
        <v>1</v>
      </c>
      <c r="AU12" s="216">
        <f t="shared" si="0"/>
        <v>0</v>
      </c>
      <c r="AV12" s="216">
        <f t="shared" si="0"/>
        <v>0</v>
      </c>
    </row>
    <row r="14" spans="1:50">
      <c r="A14" s="211" t="s">
        <v>182</v>
      </c>
    </row>
    <row r="15" spans="1:50">
      <c r="A15" s="173" t="s">
        <v>183</v>
      </c>
    </row>
    <row r="16" spans="1:50">
      <c r="A16" s="173" t="s">
        <v>184</v>
      </c>
    </row>
    <row r="17" spans="1:1">
      <c r="A17" s="173" t="s">
        <v>185</v>
      </c>
    </row>
    <row r="18" spans="1:1">
      <c r="A18" s="173" t="s">
        <v>186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A2:AD24"/>
  <sheetViews>
    <sheetView showGridLines="0" workbookViewId="0">
      <selection activeCell="G27" sqref="G27"/>
    </sheetView>
  </sheetViews>
  <sheetFormatPr defaultRowHeight="14.5"/>
  <cols>
    <col min="1" max="1" width="30.1796875" bestFit="1" customWidth="1"/>
    <col min="2" max="9" width="5.1796875" bestFit="1" customWidth="1"/>
    <col min="10" max="30" width="6" bestFit="1" customWidth="1"/>
    <col min="31" max="31" width="2.81640625" customWidth="1"/>
  </cols>
  <sheetData>
    <row r="2" spans="1:30">
      <c r="A2" s="195"/>
      <c r="B2" s="196">
        <v>45232</v>
      </c>
      <c r="C2" s="196">
        <v>45233</v>
      </c>
      <c r="D2" s="196">
        <v>45234</v>
      </c>
      <c r="E2" s="196">
        <v>45235</v>
      </c>
      <c r="F2" s="196">
        <v>45236</v>
      </c>
      <c r="G2" s="196">
        <v>45237</v>
      </c>
      <c r="H2" s="196">
        <v>45238</v>
      </c>
      <c r="I2" s="196">
        <v>45239</v>
      </c>
      <c r="J2" s="196">
        <v>45240</v>
      </c>
      <c r="K2" s="196">
        <v>45241</v>
      </c>
      <c r="L2" s="196">
        <v>45242</v>
      </c>
      <c r="M2" s="196">
        <v>45243</v>
      </c>
      <c r="N2" s="196">
        <v>45244</v>
      </c>
      <c r="O2" s="196">
        <v>45245</v>
      </c>
      <c r="P2" s="196">
        <v>45246</v>
      </c>
      <c r="Q2" s="196">
        <v>45247</v>
      </c>
      <c r="R2" s="196">
        <v>45248</v>
      </c>
      <c r="S2" s="196">
        <v>45249</v>
      </c>
      <c r="T2" s="196">
        <v>45250</v>
      </c>
      <c r="U2" s="196">
        <v>45251</v>
      </c>
      <c r="V2" s="196">
        <v>45252</v>
      </c>
      <c r="W2" s="196">
        <v>45253</v>
      </c>
      <c r="X2" s="196">
        <v>45254</v>
      </c>
      <c r="Y2" s="196">
        <v>45255</v>
      </c>
      <c r="Z2" s="196">
        <v>45256</v>
      </c>
      <c r="AA2" s="196">
        <v>45257</v>
      </c>
      <c r="AB2" s="196">
        <v>45258</v>
      </c>
      <c r="AC2" s="196">
        <v>45259</v>
      </c>
      <c r="AD2" s="196">
        <v>45260</v>
      </c>
    </row>
    <row r="3" spans="1:30">
      <c r="A3" s="197" t="s">
        <v>152</v>
      </c>
      <c r="B3" s="198"/>
      <c r="C3" s="198"/>
      <c r="D3" s="199"/>
      <c r="E3" s="199"/>
      <c r="F3" s="200"/>
      <c r="G3" s="198"/>
      <c r="H3" s="198"/>
      <c r="I3" s="198"/>
      <c r="J3" s="198"/>
      <c r="K3" s="199"/>
      <c r="L3" s="199"/>
      <c r="M3" s="198"/>
      <c r="N3" s="198"/>
      <c r="O3" s="198"/>
      <c r="P3" s="198"/>
      <c r="Q3" s="198"/>
      <c r="R3" s="199"/>
      <c r="S3" s="199"/>
      <c r="T3" s="198"/>
      <c r="U3" s="198"/>
      <c r="V3" s="198"/>
      <c r="W3" s="198"/>
      <c r="X3" s="198"/>
      <c r="Y3" s="199"/>
      <c r="Z3" s="199"/>
      <c r="AA3" s="198"/>
      <c r="AB3" s="198"/>
      <c r="AC3" s="198"/>
      <c r="AD3" s="198"/>
    </row>
    <row r="4" spans="1:30">
      <c r="A4" s="195"/>
      <c r="B4" s="198"/>
      <c r="C4" s="198"/>
      <c r="D4" s="199"/>
      <c r="E4" s="199"/>
      <c r="F4" s="198"/>
      <c r="G4" s="198"/>
      <c r="H4" s="198"/>
      <c r="I4" s="198"/>
      <c r="J4" s="198"/>
      <c r="K4" s="199"/>
      <c r="L4" s="199"/>
      <c r="M4" s="198"/>
      <c r="N4" s="198"/>
      <c r="O4" s="198"/>
      <c r="P4" s="198"/>
      <c r="Q4" s="198"/>
      <c r="R4" s="199"/>
      <c r="S4" s="199"/>
      <c r="T4" s="198"/>
      <c r="U4" s="198"/>
      <c r="V4" s="198"/>
      <c r="W4" s="198"/>
      <c r="X4" s="198"/>
      <c r="Y4" s="199"/>
      <c r="Z4" s="199"/>
      <c r="AA4" s="198"/>
      <c r="AB4" s="198"/>
      <c r="AC4" s="198"/>
      <c r="AD4" s="198"/>
    </row>
    <row r="5" spans="1:30">
      <c r="A5" s="197" t="s">
        <v>47</v>
      </c>
      <c r="B5" s="195"/>
      <c r="C5" s="195"/>
      <c r="D5" s="199"/>
      <c r="E5" s="199"/>
      <c r="F5" s="195"/>
      <c r="G5" s="195"/>
      <c r="H5" s="195"/>
      <c r="I5" s="195"/>
      <c r="J5" s="195"/>
      <c r="K5" s="199"/>
      <c r="L5" s="199"/>
      <c r="M5" s="195"/>
      <c r="N5" s="195"/>
      <c r="O5" s="195"/>
      <c r="P5" s="195"/>
      <c r="Q5" s="195"/>
      <c r="R5" s="199"/>
      <c r="S5" s="199"/>
      <c r="T5" s="195"/>
      <c r="U5" s="195"/>
      <c r="V5" s="195"/>
      <c r="W5" s="195"/>
      <c r="X5" s="195"/>
      <c r="Y5" s="199"/>
      <c r="Z5" s="199"/>
      <c r="AA5" s="195"/>
      <c r="AB5" s="195"/>
      <c r="AC5" s="195"/>
      <c r="AD5" s="195"/>
    </row>
    <row r="6" spans="1:30">
      <c r="A6" s="201" t="s">
        <v>187</v>
      </c>
      <c r="B6" s="202"/>
      <c r="C6" s="200"/>
      <c r="D6" s="203"/>
      <c r="E6" s="203"/>
      <c r="F6" s="200"/>
      <c r="G6" s="204"/>
      <c r="H6" s="195"/>
      <c r="I6" s="195"/>
      <c r="J6" s="195"/>
      <c r="K6" s="199"/>
      <c r="L6" s="199"/>
      <c r="M6" s="195"/>
      <c r="N6" s="195"/>
      <c r="O6" s="195"/>
      <c r="P6" s="195"/>
      <c r="Q6" s="195"/>
      <c r="R6" s="199"/>
      <c r="S6" s="199"/>
      <c r="T6" s="195"/>
      <c r="U6" s="195"/>
      <c r="V6" s="195"/>
      <c r="W6" s="195"/>
      <c r="X6" s="195"/>
      <c r="Y6" s="199"/>
      <c r="Z6" s="199"/>
      <c r="AA6" s="195"/>
      <c r="AB6" s="195"/>
      <c r="AC6" s="195"/>
      <c r="AD6" s="195"/>
    </row>
    <row r="7" spans="1:30">
      <c r="A7" s="205" t="s">
        <v>188</v>
      </c>
      <c r="B7" s="195"/>
      <c r="C7" s="195"/>
      <c r="D7" s="199"/>
      <c r="E7" s="199"/>
      <c r="F7" s="200"/>
      <c r="G7" s="200"/>
      <c r="H7" s="200"/>
      <c r="I7" s="200"/>
      <c r="J7" s="200"/>
      <c r="K7" s="199"/>
      <c r="L7" s="199"/>
      <c r="M7" s="200"/>
      <c r="N7" s="200"/>
      <c r="O7" s="195"/>
      <c r="P7" s="206"/>
      <c r="Q7" s="206"/>
      <c r="R7" s="199"/>
      <c r="S7" s="199"/>
      <c r="T7" s="195"/>
      <c r="U7" s="206"/>
      <c r="V7" s="206"/>
      <c r="W7" s="195"/>
      <c r="X7" s="195"/>
      <c r="Y7" s="199"/>
      <c r="Z7" s="199"/>
      <c r="AA7" s="195"/>
      <c r="AB7" s="195"/>
      <c r="AC7" s="195"/>
      <c r="AD7" s="195"/>
    </row>
    <row r="8" spans="1:30">
      <c r="A8" s="205" t="s">
        <v>189</v>
      </c>
      <c r="B8" s="195"/>
      <c r="C8" s="195"/>
      <c r="D8" s="199"/>
      <c r="E8" s="199"/>
      <c r="F8" s="195"/>
      <c r="G8" s="195"/>
      <c r="H8" s="195"/>
      <c r="I8" s="195"/>
      <c r="J8" s="195"/>
      <c r="K8" s="199"/>
      <c r="L8" s="199"/>
      <c r="M8" s="195"/>
      <c r="N8" s="200"/>
      <c r="O8" s="200"/>
      <c r="P8" s="200"/>
      <c r="Q8" s="200"/>
      <c r="R8" s="199"/>
      <c r="S8" s="199"/>
      <c r="T8" s="200"/>
      <c r="U8" s="195"/>
      <c r="V8" s="195"/>
      <c r="W8" s="195"/>
      <c r="X8" s="195"/>
      <c r="Y8" s="199"/>
      <c r="Z8" s="199"/>
      <c r="AA8" s="195"/>
      <c r="AB8" s="195"/>
      <c r="AC8" s="195"/>
      <c r="AD8" s="195"/>
    </row>
    <row r="9" spans="1:30">
      <c r="A9" s="205" t="s">
        <v>158</v>
      </c>
      <c r="B9" s="195"/>
      <c r="C9" s="195"/>
      <c r="D9" s="199"/>
      <c r="E9" s="199"/>
      <c r="F9" s="195"/>
      <c r="G9" s="195"/>
      <c r="H9" s="195"/>
      <c r="I9" s="195"/>
      <c r="J9" s="195"/>
      <c r="K9" s="199"/>
      <c r="L9" s="199"/>
      <c r="M9" s="195"/>
      <c r="N9" s="195"/>
      <c r="O9" s="195"/>
      <c r="P9" s="195"/>
      <c r="Q9" s="195"/>
      <c r="R9" s="199"/>
      <c r="S9" s="199"/>
      <c r="T9" s="200"/>
      <c r="U9" s="200"/>
      <c r="V9" s="200"/>
      <c r="W9" s="195"/>
      <c r="X9" s="195"/>
      <c r="Y9" s="199"/>
      <c r="Z9" s="199"/>
      <c r="AA9" s="195"/>
      <c r="AB9" s="195"/>
      <c r="AC9" s="195"/>
      <c r="AD9" s="195"/>
    </row>
    <row r="10" spans="1:30">
      <c r="A10" s="205" t="s">
        <v>190</v>
      </c>
      <c r="B10" s="195"/>
      <c r="C10" s="195"/>
      <c r="D10" s="199"/>
      <c r="E10" s="199"/>
      <c r="F10" s="195"/>
      <c r="G10" s="195"/>
      <c r="H10" s="195"/>
      <c r="I10" s="195"/>
      <c r="J10" s="195"/>
      <c r="K10" s="199"/>
      <c r="L10" s="199"/>
      <c r="M10" s="195"/>
      <c r="N10" s="195"/>
      <c r="O10" s="195"/>
      <c r="P10" s="195"/>
      <c r="Q10" s="195"/>
      <c r="R10" s="199"/>
      <c r="S10" s="199"/>
      <c r="T10" s="195"/>
      <c r="U10" s="195"/>
      <c r="V10" s="195"/>
      <c r="W10" s="200"/>
      <c r="X10" s="200"/>
      <c r="Y10" s="199"/>
      <c r="Z10" s="199"/>
      <c r="AA10" s="200"/>
      <c r="AB10" s="200"/>
      <c r="AC10" s="200"/>
      <c r="AD10" s="200"/>
    </row>
    <row r="11" spans="1:30">
      <c r="A11" s="205"/>
      <c r="B11" s="195"/>
      <c r="C11" s="195"/>
      <c r="D11" s="199"/>
      <c r="E11" s="199"/>
      <c r="F11" s="195"/>
      <c r="G11" s="195"/>
      <c r="H11" s="195"/>
      <c r="I11" s="195"/>
      <c r="J11" s="195"/>
      <c r="K11" s="199"/>
      <c r="L11" s="199"/>
      <c r="M11" s="195"/>
      <c r="N11" s="195"/>
      <c r="O11" s="195"/>
      <c r="P11" s="195"/>
      <c r="Q11" s="195"/>
      <c r="R11" s="199"/>
      <c r="S11" s="199"/>
      <c r="T11" s="195"/>
      <c r="U11" s="195"/>
      <c r="V11" s="195"/>
      <c r="W11" s="195"/>
      <c r="X11" s="195"/>
      <c r="Y11" s="199"/>
      <c r="Z11" s="199"/>
      <c r="AA11" s="195"/>
      <c r="AB11" s="195"/>
      <c r="AC11" s="195"/>
      <c r="AD11" s="195"/>
    </row>
    <row r="12" spans="1:30">
      <c r="A12" s="197" t="s">
        <v>44</v>
      </c>
      <c r="B12" s="195"/>
      <c r="C12" s="195"/>
      <c r="D12" s="199"/>
      <c r="E12" s="199"/>
      <c r="F12" s="195"/>
      <c r="G12" s="195"/>
      <c r="H12" s="195"/>
      <c r="I12" s="195"/>
      <c r="J12" s="195"/>
      <c r="K12" s="199"/>
      <c r="L12" s="199"/>
      <c r="M12" s="195"/>
      <c r="N12" s="195"/>
      <c r="O12" s="195"/>
      <c r="P12" s="195"/>
      <c r="Q12" s="195"/>
      <c r="R12" s="199"/>
      <c r="S12" s="199"/>
      <c r="T12" s="195"/>
      <c r="U12" s="195"/>
      <c r="V12" s="195"/>
      <c r="W12" s="195"/>
      <c r="X12" s="195"/>
      <c r="Y12" s="199"/>
      <c r="Z12" s="199"/>
      <c r="AA12" s="195"/>
      <c r="AB12" s="195"/>
      <c r="AC12" s="195"/>
      <c r="AD12" s="195"/>
    </row>
    <row r="13" spans="1:30">
      <c r="A13" s="201" t="s">
        <v>187</v>
      </c>
      <c r="B13" s="195"/>
      <c r="C13" s="206"/>
      <c r="D13" s="199"/>
      <c r="E13" s="199"/>
      <c r="F13" s="195"/>
      <c r="G13" s="200"/>
      <c r="H13" s="200"/>
      <c r="I13" s="195"/>
      <c r="J13" s="195"/>
      <c r="K13" s="199"/>
      <c r="L13" s="199"/>
      <c r="M13" s="195"/>
      <c r="N13" s="195"/>
      <c r="O13" s="195"/>
      <c r="P13" s="195"/>
      <c r="Q13" s="195"/>
      <c r="R13" s="199"/>
      <c r="S13" s="199"/>
      <c r="T13" s="195"/>
      <c r="U13" s="195"/>
      <c r="V13" s="195"/>
      <c r="W13" s="195"/>
      <c r="X13" s="195"/>
      <c r="Y13" s="199"/>
      <c r="Z13" s="199"/>
      <c r="AA13" s="195"/>
      <c r="AB13" s="195"/>
      <c r="AC13" s="195"/>
      <c r="AD13" s="195"/>
    </row>
    <row r="14" spans="1:30">
      <c r="A14" s="205" t="s">
        <v>188</v>
      </c>
      <c r="B14" s="195"/>
      <c r="C14" s="195"/>
      <c r="D14" s="199"/>
      <c r="E14" s="199"/>
      <c r="F14" s="206"/>
      <c r="G14" s="195"/>
      <c r="H14" s="195"/>
      <c r="I14" s="200"/>
      <c r="J14" s="200"/>
      <c r="K14" s="207"/>
      <c r="L14" s="207"/>
      <c r="M14" s="208"/>
      <c r="N14" s="208"/>
      <c r="O14" s="195"/>
      <c r="P14" s="195"/>
      <c r="Q14" s="195"/>
      <c r="R14" s="199"/>
      <c r="S14" s="199"/>
      <c r="T14" s="195"/>
      <c r="U14" s="195"/>
      <c r="V14" s="195"/>
      <c r="W14" s="195"/>
      <c r="X14" s="195"/>
      <c r="Y14" s="199"/>
      <c r="Z14" s="199"/>
      <c r="AA14" s="195"/>
      <c r="AB14" s="195"/>
      <c r="AC14" s="195"/>
      <c r="AD14" s="195"/>
    </row>
    <row r="15" spans="1:30">
      <c r="A15" s="205" t="s">
        <v>189</v>
      </c>
      <c r="B15" s="195"/>
      <c r="C15" s="195"/>
      <c r="D15" s="199"/>
      <c r="E15" s="199"/>
      <c r="F15" s="195"/>
      <c r="G15" s="206"/>
      <c r="H15" s="206"/>
      <c r="I15" s="208"/>
      <c r="J15" s="200"/>
      <c r="K15" s="207"/>
      <c r="L15" s="207"/>
      <c r="M15" s="200"/>
      <c r="N15" s="200"/>
      <c r="O15" s="195"/>
      <c r="P15" s="195"/>
      <c r="Q15" s="195"/>
      <c r="R15" s="199"/>
      <c r="S15" s="199"/>
      <c r="T15" s="195"/>
      <c r="U15" s="195"/>
      <c r="V15" s="195"/>
      <c r="W15" s="195"/>
      <c r="X15" s="195"/>
      <c r="Y15" s="199"/>
      <c r="Z15" s="199"/>
      <c r="AA15" s="195"/>
      <c r="AB15" s="195"/>
      <c r="AC15" s="195"/>
      <c r="AD15" s="195"/>
    </row>
    <row r="16" spans="1:30">
      <c r="A16" s="205" t="s">
        <v>158</v>
      </c>
      <c r="B16" s="195"/>
      <c r="C16" s="195"/>
      <c r="D16" s="199"/>
      <c r="E16" s="199"/>
      <c r="F16" s="195"/>
      <c r="G16" s="195"/>
      <c r="H16" s="195"/>
      <c r="I16" s="206"/>
      <c r="J16" s="206"/>
      <c r="K16" s="199"/>
      <c r="L16" s="199"/>
      <c r="M16" s="195"/>
      <c r="N16" s="200"/>
      <c r="O16" s="200"/>
      <c r="P16" s="200"/>
      <c r="Q16" s="200"/>
      <c r="R16" s="199"/>
      <c r="S16" s="199"/>
      <c r="T16" s="200"/>
      <c r="U16" s="200"/>
      <c r="V16" s="195"/>
      <c r="W16" s="195"/>
      <c r="X16" s="195"/>
      <c r="Y16" s="199"/>
      <c r="Z16" s="199"/>
      <c r="AA16" s="195"/>
      <c r="AB16" s="195"/>
      <c r="AC16" s="195"/>
      <c r="AD16" s="195"/>
    </row>
    <row r="17" spans="1:30">
      <c r="A17" s="205" t="s">
        <v>190</v>
      </c>
      <c r="B17" s="195"/>
      <c r="C17" s="195"/>
      <c r="D17" s="199"/>
      <c r="E17" s="199"/>
      <c r="F17" s="195"/>
      <c r="G17" s="195"/>
      <c r="H17" s="195"/>
      <c r="I17" s="195"/>
      <c r="J17" s="195"/>
      <c r="K17" s="199"/>
      <c r="L17" s="199"/>
      <c r="M17" s="195"/>
      <c r="N17" s="195"/>
      <c r="O17" s="195"/>
      <c r="P17" s="195"/>
      <c r="Q17" s="195"/>
      <c r="R17" s="199"/>
      <c r="S17" s="199"/>
      <c r="T17" s="195"/>
      <c r="U17" s="195"/>
      <c r="V17" s="200"/>
      <c r="W17" s="200"/>
      <c r="X17" s="200"/>
      <c r="Y17" s="199"/>
      <c r="Z17" s="199"/>
      <c r="AA17" s="200"/>
      <c r="AB17" s="200"/>
      <c r="AC17" s="200"/>
      <c r="AD17" s="200"/>
    </row>
    <row r="18" spans="1:30">
      <c r="A18" s="205"/>
      <c r="B18" s="195"/>
      <c r="C18" s="195"/>
      <c r="D18" s="199"/>
      <c r="E18" s="199"/>
      <c r="F18" s="195"/>
      <c r="G18" s="195"/>
      <c r="H18" s="195"/>
      <c r="I18" s="195"/>
      <c r="J18" s="195"/>
      <c r="K18" s="199"/>
      <c r="L18" s="199"/>
      <c r="M18" s="195"/>
      <c r="N18" s="195"/>
      <c r="O18" s="195"/>
      <c r="P18" s="195"/>
      <c r="Q18" s="195"/>
      <c r="R18" s="199"/>
      <c r="S18" s="199"/>
      <c r="T18" s="195"/>
      <c r="U18" s="195"/>
      <c r="V18" s="195"/>
      <c r="W18" s="195"/>
      <c r="X18" s="195"/>
      <c r="Y18" s="199"/>
      <c r="Z18" s="199"/>
      <c r="AA18" s="195"/>
      <c r="AB18" s="195"/>
      <c r="AC18" s="195"/>
      <c r="AD18" s="195"/>
    </row>
    <row r="19" spans="1:30">
      <c r="A19" s="197" t="s">
        <v>46</v>
      </c>
      <c r="B19" s="195"/>
      <c r="C19" s="195"/>
      <c r="D19" s="199"/>
      <c r="E19" s="199"/>
      <c r="F19" s="195"/>
      <c r="G19" s="195"/>
      <c r="H19" s="195"/>
      <c r="I19" s="195"/>
      <c r="J19" s="195"/>
      <c r="K19" s="199"/>
      <c r="L19" s="199"/>
      <c r="M19" s="195"/>
      <c r="N19" s="195"/>
      <c r="O19" s="195"/>
      <c r="P19" s="195"/>
      <c r="Q19" s="195"/>
      <c r="R19" s="199"/>
      <c r="S19" s="199"/>
      <c r="T19" s="195"/>
      <c r="U19" s="195"/>
      <c r="V19" s="195"/>
      <c r="W19" s="195"/>
      <c r="X19" s="195"/>
      <c r="Y19" s="199"/>
      <c r="Z19" s="199"/>
      <c r="AA19" s="195"/>
      <c r="AB19" s="195"/>
      <c r="AC19" s="195"/>
      <c r="AD19" s="195"/>
    </row>
    <row r="20" spans="1:30">
      <c r="A20" s="201" t="s">
        <v>187</v>
      </c>
      <c r="B20" s="195"/>
      <c r="C20" s="195"/>
      <c r="D20" s="199"/>
      <c r="E20" s="199"/>
      <c r="F20" s="206"/>
      <c r="G20" s="195"/>
      <c r="H20" s="195"/>
      <c r="I20" s="195"/>
      <c r="J20" s="195"/>
      <c r="K20" s="199"/>
      <c r="L20" s="199"/>
      <c r="M20" s="195"/>
      <c r="N20" s="195"/>
      <c r="O20" s="195"/>
      <c r="P20" s="195"/>
      <c r="Q20" s="200"/>
      <c r="R20" s="199"/>
      <c r="S20" s="199"/>
      <c r="T20" s="195"/>
      <c r="U20" s="195"/>
      <c r="V20" s="195"/>
      <c r="W20" s="195"/>
      <c r="X20" s="195"/>
      <c r="Y20" s="199"/>
      <c r="Z20" s="199"/>
      <c r="AA20" s="195"/>
      <c r="AB20" s="195"/>
      <c r="AC20" s="195"/>
      <c r="AD20" s="195"/>
    </row>
    <row r="21" spans="1:30">
      <c r="A21" s="205" t="s">
        <v>188</v>
      </c>
      <c r="B21" s="195"/>
      <c r="C21" s="195"/>
      <c r="D21" s="199"/>
      <c r="E21" s="199"/>
      <c r="F21" s="195"/>
      <c r="G21" s="206"/>
      <c r="H21" s="195"/>
      <c r="I21" s="195"/>
      <c r="J21" s="195"/>
      <c r="K21" s="199"/>
      <c r="L21" s="199"/>
      <c r="M21" s="195"/>
      <c r="N21" s="195"/>
      <c r="O21" s="195"/>
      <c r="P21" s="195"/>
      <c r="Q21" s="195"/>
      <c r="R21" s="199"/>
      <c r="S21" s="199"/>
      <c r="T21" s="200"/>
      <c r="U21" s="195"/>
      <c r="V21" s="195"/>
      <c r="W21" s="195"/>
      <c r="X21" s="195"/>
      <c r="Y21" s="199"/>
      <c r="Z21" s="199"/>
      <c r="AA21" s="195"/>
      <c r="AB21" s="195"/>
      <c r="AC21" s="195"/>
      <c r="AD21" s="195"/>
    </row>
    <row r="22" spans="1:30">
      <c r="A22" s="205" t="s">
        <v>189</v>
      </c>
      <c r="B22" s="195"/>
      <c r="C22" s="195"/>
      <c r="D22" s="199"/>
      <c r="E22" s="199"/>
      <c r="F22" s="195"/>
      <c r="G22" s="206"/>
      <c r="H22" s="195"/>
      <c r="I22" s="195"/>
      <c r="J22" s="195"/>
      <c r="K22" s="199"/>
      <c r="L22" s="199"/>
      <c r="M22" s="195"/>
      <c r="N22" s="195"/>
      <c r="O22" s="195"/>
      <c r="P22" s="195"/>
      <c r="Q22" s="195"/>
      <c r="R22" s="199"/>
      <c r="S22" s="199"/>
      <c r="T22" s="200"/>
      <c r="U22" s="195"/>
      <c r="V22" s="195"/>
      <c r="W22" s="195"/>
      <c r="X22" s="195"/>
      <c r="Y22" s="199"/>
      <c r="Z22" s="199"/>
      <c r="AA22" s="195"/>
      <c r="AB22" s="195"/>
      <c r="AC22" s="195"/>
      <c r="AD22" s="195"/>
    </row>
    <row r="23" spans="1:30">
      <c r="A23" s="205" t="s">
        <v>158</v>
      </c>
      <c r="B23" s="195"/>
      <c r="C23" s="195"/>
      <c r="D23" s="199"/>
      <c r="E23" s="199"/>
      <c r="F23" s="195"/>
      <c r="G23" s="195"/>
      <c r="H23" s="195"/>
      <c r="I23" s="206"/>
      <c r="J23" s="195"/>
      <c r="K23" s="199"/>
      <c r="L23" s="199"/>
      <c r="M23" s="209"/>
      <c r="N23" s="195"/>
      <c r="O23" s="195"/>
      <c r="P23" s="195"/>
      <c r="Q23" s="195"/>
      <c r="R23" s="199"/>
      <c r="S23" s="199"/>
      <c r="T23" s="195"/>
      <c r="U23" s="200"/>
      <c r="V23" s="200"/>
      <c r="W23" s="195"/>
      <c r="X23" s="195"/>
      <c r="Y23" s="199"/>
      <c r="Z23" s="199"/>
      <c r="AA23" s="195"/>
      <c r="AB23" s="195"/>
      <c r="AC23" s="195"/>
      <c r="AD23" s="195"/>
    </row>
    <row r="24" spans="1:30">
      <c r="A24" s="205" t="s">
        <v>190</v>
      </c>
      <c r="B24" s="195"/>
      <c r="C24" s="195"/>
      <c r="D24" s="199"/>
      <c r="E24" s="199"/>
      <c r="F24" s="195"/>
      <c r="G24" s="195"/>
      <c r="H24" s="195"/>
      <c r="I24" s="195"/>
      <c r="J24" s="195"/>
      <c r="K24" s="199"/>
      <c r="L24" s="199"/>
      <c r="M24" s="195"/>
      <c r="N24" s="195"/>
      <c r="O24" s="195"/>
      <c r="P24" s="195"/>
      <c r="Q24" s="195"/>
      <c r="R24" s="199"/>
      <c r="S24" s="199"/>
      <c r="T24" s="195"/>
      <c r="U24" s="195"/>
      <c r="V24" s="195"/>
      <c r="W24" s="200"/>
      <c r="X24" s="200"/>
      <c r="Y24" s="199"/>
      <c r="Z24" s="199"/>
      <c r="AA24" s="200"/>
      <c r="AB24" s="200"/>
      <c r="AC24" s="200"/>
      <c r="AD24" s="20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fe252bcd525f066b634263ee1147ed7a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4b5d95a38c72644d80c578464f397138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00C4FC-986E-426E-8765-6EC2EAB6606B}"/>
</file>

<file path=customXml/itemProps2.xml><?xml version="1.0" encoding="utf-8"?>
<ds:datastoreItem xmlns:ds="http://schemas.openxmlformats.org/officeDocument/2006/customXml" ds:itemID="{1EEFF07F-8642-4A22-864E-E86E846094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21394-D6D7-493A-99C5-4B31215EDD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f788909-93b9-4481-96a4-a6ab2493c341"/>
    <ds:schemaRef ds:uri="767d911d-09c2-43d9-a326-6ded42ddcc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Macroplano</vt:lpstr>
      <vt:lpstr>Macroplano_v2</vt:lpstr>
      <vt:lpstr>Notas HR</vt:lpstr>
      <vt:lpstr>Estimativa - Sat. 79</vt:lpstr>
      <vt:lpstr>Estimativa - Sat. 84</vt:lpstr>
      <vt:lpstr>Estimativa - Sat. 83</vt:lpstr>
      <vt:lpstr>Resumo_old</vt:lpstr>
      <vt:lpstr>Resumo (2)</vt:lpstr>
      <vt:lpstr>Resumo</vt:lpstr>
      <vt:lpstr>Resumo_Calendário</vt:lpstr>
      <vt:lpstr>Resumo (4)</vt:lpstr>
    </vt:vector>
  </TitlesOfParts>
  <Manager/>
  <Company>Neyond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Caguerelho, Ana Rita</dc:creator>
  <cp:keywords/>
  <dc:description/>
  <cp:lastModifiedBy>Ana Rita Geraldo de Caguerelho</cp:lastModifiedBy>
  <cp:revision/>
  <dcterms:created xsi:type="dcterms:W3CDTF">2023-10-16T09:30:09Z</dcterms:created>
  <dcterms:modified xsi:type="dcterms:W3CDTF">2025-11-27T15:13:35Z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2024-02-05T12:09:18Z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e8d1741e-a54c-4ffb-b740-380afff5539f</vt:lpwstr>
  </property>
  <property fmtid="{D5CDD505-2E9C-101B-9397-08002B2CF9AE}" pid="9" name="MSIP_Label_0c2abd79-57a9-4473-8700-c843f76a1e37_ContentBits">
    <vt:lpwstr>0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MediaServiceImageTags">
    <vt:lpwstr/>
  </property>
</Properties>
</file>