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BSReporteAMLA/Shared Documents/Geral/01.Recebida/"/>
    </mc:Choice>
  </mc:AlternateContent>
  <xr:revisionPtr revIDLastSave="215" documentId="13_ncr:1_{80F31107-6E8E-4841-ADBD-F238358C0AF6}" xr6:coauthVersionLast="47" xr6:coauthVersionMax="47" xr10:uidLastSave="{EA548C59-E829-4DFD-BC77-FA79171645FF}"/>
  <bookViews>
    <workbookView xWindow="-60" yWindow="-16320" windowWidth="29040" windowHeight="15720" tabRatio="911" activeTab="3" xr2:uid="{DA549795-8A66-40CA-B2DC-3E0BC29FD51B}"/>
  </bookViews>
  <sheets>
    <sheet name="Templates Matrix" sheetId="33" r:id="rId1"/>
    <sheet name="AML.01.01" sheetId="50" r:id="rId2"/>
    <sheet name="AML.01.02" sheetId="51" r:id="rId3"/>
    <sheet name="AML.02.01" sheetId="34" r:id="rId4"/>
    <sheet name="AML.03.01" sheetId="35" r:id="rId5"/>
    <sheet name="AML.03.02" sheetId="37" r:id="rId6"/>
    <sheet name="AML.03.03" sheetId="38" r:id="rId7"/>
    <sheet name="AML.03.04" sheetId="39" r:id="rId8"/>
    <sheet name="AML.03.05" sheetId="40" r:id="rId9"/>
    <sheet name="AML.03.06" sheetId="43" r:id="rId10"/>
    <sheet name="AML.04.01" sheetId="41" r:id="rId11"/>
    <sheet name="AML.04.02" sheetId="42" r:id="rId12"/>
    <sheet name="AML.04.03" sheetId="44" r:id="rId13"/>
    <sheet name="AML.04.04" sheetId="46" r:id="rId14"/>
    <sheet name="AML.04.05" sheetId="47" r:id="rId15"/>
    <sheet name="AML.04.06" sheetId="48" r:id="rId16"/>
    <sheet name="AML.04.07" sheetId="49" r:id="rId17"/>
    <sheet name="AML.04.08" sheetId="52" r:id="rId18"/>
    <sheet name="AML.04.09" sheetId="55" r:id="rId19"/>
    <sheet name="AML.04.10" sheetId="53" r:id="rId20"/>
    <sheet name="AML.04.11" sheetId="56" r:id="rId21"/>
    <sheet name="AML.04.12" sheetId="57" r:id="rId22"/>
    <sheet name="AML.04.13" sheetId="59" r:id="rId23"/>
    <sheet name="AML.04.14" sheetId="60" r:id="rId24"/>
    <sheet name="AML.05.01" sheetId="62" r:id="rId25"/>
    <sheet name="AML.06.01" sheetId="63" r:id="rId26"/>
    <sheet name="AML.07.01" sheetId="64" r:id="rId27"/>
    <sheet name="AML.07.02" sheetId="65" r:id="rId28"/>
    <sheet name="AML.07.03" sheetId="66" r:id="rId29"/>
    <sheet name="AML.07.04" sheetId="67" r:id="rId30"/>
    <sheet name="AML.07.05" sheetId="68" r:id="rId31"/>
    <sheet name="AML.07.06" sheetId="69" r:id="rId32"/>
    <sheet name="AML.07.07" sheetId="70" r:id="rId33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9" i="33" l="1"/>
  <c r="N39" i="33"/>
  <c r="M39" i="33"/>
  <c r="L39" i="33"/>
  <c r="K39" i="33"/>
  <c r="J39" i="33"/>
  <c r="I39" i="33"/>
  <c r="H39" i="33"/>
  <c r="G39" i="33"/>
  <c r="O38" i="33"/>
  <c r="N38" i="33"/>
  <c r="M38" i="33"/>
  <c r="L38" i="33"/>
  <c r="K38" i="33"/>
  <c r="J38" i="33"/>
  <c r="I38" i="33"/>
  <c r="H38" i="33"/>
  <c r="G38" i="33"/>
  <c r="O37" i="33"/>
  <c r="N37" i="33"/>
  <c r="M37" i="33"/>
  <c r="L37" i="33"/>
  <c r="K37" i="33"/>
  <c r="J37" i="33"/>
  <c r="I37" i="33"/>
  <c r="H37" i="33"/>
  <c r="G37" i="33"/>
  <c r="O36" i="33"/>
  <c r="N36" i="33"/>
  <c r="M36" i="33"/>
  <c r="L36" i="33"/>
  <c r="K36" i="33"/>
  <c r="J36" i="33"/>
  <c r="I36" i="33"/>
  <c r="H36" i="33"/>
  <c r="G36" i="33"/>
  <c r="O35" i="33"/>
  <c r="N35" i="33"/>
  <c r="M35" i="33"/>
  <c r="L35" i="33"/>
  <c r="K35" i="33"/>
  <c r="J35" i="33"/>
  <c r="I35" i="33"/>
  <c r="H35" i="33"/>
  <c r="G35" i="33"/>
  <c r="F39" i="33"/>
  <c r="F38" i="33"/>
  <c r="F37" i="33"/>
  <c r="F36" i="33"/>
  <c r="F35" i="33"/>
  <c r="F34" i="33"/>
  <c r="O34" i="33"/>
  <c r="N34" i="33"/>
  <c r="M34" i="33"/>
  <c r="L34" i="33"/>
  <c r="K34" i="33"/>
  <c r="J34" i="33"/>
  <c r="I34" i="33"/>
  <c r="H34" i="33"/>
  <c r="G34" i="33"/>
  <c r="O33" i="33"/>
  <c r="N33" i="33"/>
  <c r="M33" i="33"/>
  <c r="L33" i="33"/>
  <c r="K33" i="33"/>
  <c r="J33" i="33"/>
  <c r="I33" i="33"/>
  <c r="H33" i="33"/>
  <c r="G33" i="33"/>
  <c r="F33" i="33"/>
  <c r="O32" i="33"/>
  <c r="N32" i="33"/>
  <c r="L32" i="33"/>
  <c r="J32" i="33"/>
  <c r="I32" i="33"/>
  <c r="H32" i="33"/>
  <c r="G32" i="33"/>
  <c r="F32" i="33"/>
  <c r="O31" i="33"/>
  <c r="N31" i="33"/>
  <c r="M31" i="33"/>
  <c r="L31" i="33"/>
  <c r="K31" i="33"/>
  <c r="J31" i="33"/>
  <c r="I31" i="33"/>
  <c r="H31" i="33"/>
  <c r="G31" i="33"/>
  <c r="F31" i="33"/>
  <c r="N30" i="33"/>
  <c r="J30" i="33"/>
  <c r="I30" i="33"/>
  <c r="H30" i="33"/>
  <c r="G30" i="33"/>
  <c r="F30" i="33"/>
  <c r="N29" i="33"/>
  <c r="L29" i="33"/>
  <c r="J29" i="33"/>
  <c r="I29" i="33"/>
  <c r="G29" i="33"/>
  <c r="F29" i="33"/>
  <c r="F28" i="33"/>
  <c r="M27" i="33"/>
  <c r="N26" i="33"/>
  <c r="L26" i="33"/>
  <c r="J26" i="33"/>
  <c r="I26" i="33"/>
  <c r="F26" i="33"/>
  <c r="J24" i="33"/>
  <c r="I24" i="33"/>
  <c r="F24" i="33"/>
  <c r="L23" i="33"/>
  <c r="N25" i="33"/>
  <c r="J25" i="33"/>
  <c r="I25" i="33"/>
  <c r="F25" i="33"/>
  <c r="F23" i="33"/>
  <c r="O9" i="33"/>
  <c r="N9" i="33"/>
  <c r="M9" i="33"/>
  <c r="L9" i="33"/>
  <c r="K9" i="33"/>
  <c r="J9" i="33"/>
  <c r="I9" i="33"/>
  <c r="H9" i="33"/>
  <c r="G9" i="33"/>
  <c r="F9" i="33"/>
  <c r="O8" i="33"/>
  <c r="N8" i="33"/>
  <c r="M8" i="33"/>
  <c r="L8" i="33"/>
  <c r="K8" i="33"/>
  <c r="J8" i="33"/>
  <c r="I8" i="33"/>
  <c r="H8" i="33"/>
  <c r="G8" i="33"/>
  <c r="F8" i="33"/>
  <c r="I22" i="33"/>
  <c r="F22" i="33"/>
  <c r="G21" i="33"/>
  <c r="F21" i="33"/>
  <c r="N20" i="33"/>
  <c r="J20" i="33"/>
  <c r="F20" i="33"/>
  <c r="N19" i="33"/>
  <c r="L19" i="33"/>
  <c r="H19" i="33"/>
  <c r="F19" i="33"/>
  <c r="K16" i="33"/>
  <c r="J16" i="33"/>
  <c r="I16" i="33"/>
  <c r="F16" i="33"/>
  <c r="J18" i="33"/>
  <c r="I18" i="33"/>
  <c r="F18" i="33"/>
  <c r="H15" i="33"/>
  <c r="M17" i="33"/>
  <c r="L17" i="33"/>
  <c r="F17" i="33"/>
  <c r="F10" i="33"/>
  <c r="G14" i="33"/>
  <c r="F14" i="33"/>
  <c r="J12" i="33"/>
  <c r="I12" i="33"/>
  <c r="N13" i="33"/>
  <c r="J13" i="33"/>
  <c r="I13" i="33"/>
  <c r="F13" i="33"/>
  <c r="F12" i="33"/>
  <c r="O11" i="33"/>
  <c r="N11" i="33"/>
  <c r="M11" i="33"/>
  <c r="L11" i="33"/>
  <c r="K11" i="33"/>
  <c r="J11" i="33"/>
  <c r="I11" i="33"/>
  <c r="H11" i="33"/>
  <c r="G11" i="33"/>
  <c r="F11" i="33"/>
  <c r="O10" i="33"/>
  <c r="N10" i="33"/>
  <c r="M10" i="33"/>
  <c r="L10" i="33"/>
  <c r="K10" i="33"/>
  <c r="J10" i="33"/>
  <c r="I10" i="33"/>
  <c r="H10" i="33"/>
  <c r="G10" i="33"/>
</calcChain>
</file>

<file path=xl/sharedStrings.xml><?xml version="1.0" encoding="utf-8"?>
<sst xmlns="http://schemas.openxmlformats.org/spreadsheetml/2006/main" count="852" uniqueCount="462">
  <si>
    <t>Templates Applicability Matrix</t>
  </si>
  <si>
    <t>Template Code</t>
  </si>
  <si>
    <t>Section</t>
  </si>
  <si>
    <t>CI</t>
  </si>
  <si>
    <t>CP</t>
  </si>
  <si>
    <t>LI</t>
  </si>
  <si>
    <t>EMI</t>
  </si>
  <si>
    <t>PI</t>
  </si>
  <si>
    <t>BC</t>
  </si>
  <si>
    <t>IF</t>
  </si>
  <si>
    <t>AMC</t>
  </si>
  <si>
    <t>CASP</t>
  </si>
  <si>
    <t>O</t>
  </si>
  <si>
    <t>AML.01.01</t>
  </si>
  <si>
    <t>Cover page</t>
  </si>
  <si>
    <t>Basic Information</t>
  </si>
  <si>
    <t>AML.01.02</t>
  </si>
  <si>
    <t>Comments</t>
  </si>
  <si>
    <t>AML.02.01</t>
  </si>
  <si>
    <t>Customers</t>
  </si>
  <si>
    <t>AML.03.01</t>
  </si>
  <si>
    <t>Products</t>
  </si>
  <si>
    <t>Payment accounts</t>
  </si>
  <si>
    <t>AML.03.02</t>
  </si>
  <si>
    <t>Virtual IBANs</t>
  </si>
  <si>
    <t>AML.03.03</t>
  </si>
  <si>
    <t>Prepaid cards</t>
  </si>
  <si>
    <t>AML.03.04</t>
  </si>
  <si>
    <t>Lending and Factoring</t>
  </si>
  <si>
    <t>AML.03.05</t>
  </si>
  <si>
    <t>Life insurance contracts</t>
  </si>
  <si>
    <t>AML.03.06</t>
  </si>
  <si>
    <t>Currency exchange (involving cash)</t>
  </si>
  <si>
    <t>AML.04.01</t>
  </si>
  <si>
    <t>Sevices</t>
  </si>
  <si>
    <t>Investment services</t>
  </si>
  <si>
    <t>AML.04.02</t>
  </si>
  <si>
    <t>Money remittance</t>
  </si>
  <si>
    <t>AML.04.03</t>
  </si>
  <si>
    <t>Wealth management</t>
  </si>
  <si>
    <t>AML.04.04</t>
  </si>
  <si>
    <t>Correspondence services</t>
  </si>
  <si>
    <t>AML.04.05</t>
  </si>
  <si>
    <t>Trade finance</t>
  </si>
  <si>
    <t>AML.04.06</t>
  </si>
  <si>
    <t>E-money</t>
  </si>
  <si>
    <t>AML.04.07</t>
  </si>
  <si>
    <t>TCSP services</t>
  </si>
  <si>
    <t>AML.04.08</t>
  </si>
  <si>
    <t>Crypto fiat cards</t>
  </si>
  <si>
    <t>AML.04.09</t>
  </si>
  <si>
    <t>Custody of crypto assets</t>
  </si>
  <si>
    <t>AML.04.10</t>
  </si>
  <si>
    <t>Crypto Services</t>
  </si>
  <si>
    <t>AML.04.11</t>
  </si>
  <si>
    <t>Management of UCITS/AIFS</t>
  </si>
  <si>
    <t>AML.04.12</t>
  </si>
  <si>
    <t>Safe custody services</t>
  </si>
  <si>
    <t>AML.04.13</t>
  </si>
  <si>
    <t>Crowdfunding</t>
  </si>
  <si>
    <t>AML.04.14</t>
  </si>
  <si>
    <t>Cash transactions</t>
  </si>
  <si>
    <t>AML.05.01</t>
  </si>
  <si>
    <t>Geographies</t>
  </si>
  <si>
    <t>AML.06.01</t>
  </si>
  <si>
    <t>Distribution</t>
  </si>
  <si>
    <t>Distribution channels</t>
  </si>
  <si>
    <t>AML.07.01</t>
  </si>
  <si>
    <t>AML/CFT Control</t>
  </si>
  <si>
    <t>Governance/Culture and Compliance Function</t>
  </si>
  <si>
    <t>AML.07.02</t>
  </si>
  <si>
    <t>Internal Controls and outsourcing</t>
  </si>
  <si>
    <t>AML.07.03</t>
  </si>
  <si>
    <t>Risk Assessment</t>
  </si>
  <si>
    <t>AML.07.04</t>
  </si>
  <si>
    <t>Customer Due Diligence and Monitoring</t>
  </si>
  <si>
    <t>AML.07.05</t>
  </si>
  <si>
    <t>Transaction Monitoring and Suspicious Activity Monitoring</t>
  </si>
  <si>
    <t>AML.07.06</t>
  </si>
  <si>
    <t>Targeted Financial Sanctions and Compliance with Fund Transfers Regulation</t>
  </si>
  <si>
    <t>AML.07.07</t>
  </si>
  <si>
    <t>Group-wide AML/CFT Framework</t>
  </si>
  <si>
    <t>List of Elegible Entites</t>
  </si>
  <si>
    <t>AML.01.01 Basic Information</t>
  </si>
  <si>
    <t>Ver 0.1</t>
  </si>
  <si>
    <t>Entity Identification</t>
  </si>
  <si>
    <t>Products Offered</t>
  </si>
  <si>
    <t>Services Offered</t>
  </si>
  <si>
    <t>Column name</t>
  </si>
  <si>
    <t>Legal Entity Identifier</t>
  </si>
  <si>
    <t>National Code Attributed by the National Competent Authority</t>
  </si>
  <si>
    <t>Legal Name of the Entity</t>
  </si>
  <si>
    <t>Entity Name in English</t>
  </si>
  <si>
    <t>Type of entity</t>
  </si>
  <si>
    <t>Country of the entity</t>
  </si>
  <si>
    <t>Offer payment accounts</t>
  </si>
  <si>
    <t>Offer virtual IBANS</t>
  </si>
  <si>
    <t>Offer prepaid cards</t>
  </si>
  <si>
    <t>Offer lending/ factoring</t>
  </si>
  <si>
    <t>Offer life insurance contracts</t>
  </si>
  <si>
    <t>Offer currency exchange involving cash</t>
  </si>
  <si>
    <t>Offer custody of crypto assets</t>
  </si>
  <si>
    <t>Offer investment services</t>
  </si>
  <si>
    <t>Offer money remittance</t>
  </si>
  <si>
    <t>Offer wealth management</t>
  </si>
  <si>
    <t>Offer correspondent services</t>
  </si>
  <si>
    <t>Offer trade finance</t>
  </si>
  <si>
    <t>Offer e-money</t>
  </si>
  <si>
    <t>Offer TCSP services</t>
  </si>
  <si>
    <t>Offer Crypto services (exchange, transfer)</t>
  </si>
  <si>
    <t>Offer management of UCITS/AIFS</t>
  </si>
  <si>
    <t>Offer safe custody services</t>
  </si>
  <si>
    <t>Offer crowdfunding</t>
  </si>
  <si>
    <t>Offer cash transactions</t>
  </si>
  <si>
    <t>Column code</t>
  </si>
  <si>
    <t>C0010</t>
  </si>
  <si>
    <t>C0020</t>
  </si>
  <si>
    <t>C0030</t>
  </si>
  <si>
    <t>C0040</t>
  </si>
  <si>
    <t>C0050</t>
  </si>
  <si>
    <t>C0060</t>
  </si>
  <si>
    <t>C0070</t>
  </si>
  <si>
    <t>C0080</t>
  </si>
  <si>
    <t>C0090</t>
  </si>
  <si>
    <t>C0100</t>
  </si>
  <si>
    <t>C0110</t>
  </si>
  <si>
    <t>C0120</t>
  </si>
  <si>
    <t>C0130</t>
  </si>
  <si>
    <t>C0140</t>
  </si>
  <si>
    <t>C0150</t>
  </si>
  <si>
    <t>C0160</t>
  </si>
  <si>
    <t>C0170</t>
  </si>
  <si>
    <t>C0180</t>
  </si>
  <si>
    <t>C0190</t>
  </si>
  <si>
    <t>C0200</t>
  </si>
  <si>
    <t>C0210</t>
  </si>
  <si>
    <t>C0220</t>
  </si>
  <si>
    <t>C0230</t>
  </si>
  <si>
    <t>C0240</t>
  </si>
  <si>
    <t>C0250</t>
  </si>
  <si>
    <t>AML.01.02 Comments</t>
  </si>
  <si>
    <t>Template to which comment relates</t>
  </si>
  <si>
    <t>Column to which comment relates</t>
  </si>
  <si>
    <t>Country line to which comment relates</t>
  </si>
  <si>
    <t>Comment</t>
  </si>
  <si>
    <t>Corrected Column name</t>
  </si>
  <si>
    <t>****</t>
  </si>
  <si>
    <t>AML.02.01 Customers</t>
  </si>
  <si>
    <t>Total number of customers</t>
  </si>
  <si>
    <t>Number of customers which are Natural Persons (NP)</t>
  </si>
  <si>
    <t>Number of customers which are Legal Entities (LE)</t>
  </si>
  <si>
    <t>Number of customers NP who are PEPs_x000B_</t>
  </si>
  <si>
    <t>Number of customers LE whose BO are PEPs</t>
  </si>
  <si>
    <t>Number of customers with at least one transaction</t>
  </si>
  <si>
    <t>Number of new customers</t>
  </si>
  <si>
    <t>Number of customers which are legal entities with complex corporate structure</t>
  </si>
  <si>
    <t>Number of customers with high-risk activities</t>
  </si>
  <si>
    <t>Number of legal entities with at least 1 Beneficial Owner located in non-EEA countries (residence)</t>
  </si>
  <si>
    <t>Number of customers with cross border transactions involving non-EEA countries</t>
  </si>
  <si>
    <t>Number of walk-in customers</t>
  </si>
  <si>
    <t>Number of occasional transactions carried out by walk in customers</t>
  </si>
  <si>
    <t>Number of customers with requests from FIU</t>
  </si>
  <si>
    <t>AML.03.01 Payment Accounts</t>
  </si>
  <si>
    <t>Payment Accounts</t>
  </si>
  <si>
    <t>Number of payment accounts</t>
  </si>
  <si>
    <t>Total Value (EUR) of incoming transactions</t>
  </si>
  <si>
    <t>Number of incoming transactions</t>
  </si>
  <si>
    <t>Total Value of outgoing transactions</t>
  </si>
  <si>
    <t>Number of outgoing transactions</t>
  </si>
  <si>
    <t>AML.03.02 Virtual IBANs</t>
  </si>
  <si>
    <t>Total Number of master accounts with linked vIBANS</t>
  </si>
  <si>
    <t>Number of transactions on Virtual IBANs (incoming)</t>
  </si>
  <si>
    <t>Total Value (EUR) of transactions on Virtual IBANs (incoming)</t>
  </si>
  <si>
    <t>Number of transactions on Virtual IBANs (outgoing)</t>
  </si>
  <si>
    <t>Total Value (EUR) of transactions on Virtual IBANs (outgoing)</t>
  </si>
  <si>
    <t>Total Number of re-issued IBANs</t>
  </si>
  <si>
    <t>Total Number of re-issued IBANs where the end-user is not a customer of the obliged entity</t>
  </si>
  <si>
    <t>AML.03.03 Prepaid Cards</t>
  </si>
  <si>
    <t>Prepaid Cards</t>
  </si>
  <si>
    <t>Total Number of Prepaid Cards issued</t>
  </si>
  <si>
    <t>Total Value (EUR) of the issued prepaid cards</t>
  </si>
  <si>
    <t>Total Value (EUR) outstanding on prepaid cards issued</t>
  </si>
  <si>
    <t>Total number of customers using prepaid cards</t>
  </si>
  <si>
    <t>Total number of customers using prepaid cards with more than 3 prepaid cards</t>
  </si>
  <si>
    <t>AML.03.04 Lending and Factoring</t>
  </si>
  <si>
    <t>Lending</t>
  </si>
  <si>
    <t>Factoring</t>
  </si>
  <si>
    <t>Total Number of outstanding loans</t>
  </si>
  <si>
    <t>Total Value (EUR) of outstanding loans</t>
  </si>
  <si>
    <t>Total Number of outstanding real estate loans</t>
  </si>
  <si>
    <t>Total Number of outstanding real estate loans with third party payments</t>
  </si>
  <si>
    <t>Total Value (EUR) of loans granted</t>
  </si>
  <si>
    <t>Total Number of outstanding asset backed loans with cash collateral</t>
  </si>
  <si>
    <t>Total Number of loan repayments</t>
  </si>
  <si>
    <t>Total Number of prematurely repaid loans</t>
  </si>
  <si>
    <t>Total Number of loan repayments from non-EEA countries</t>
  </si>
  <si>
    <t>Total Number of consumer loans granted that are not associated to the acquisition of any product/service</t>
  </si>
  <si>
    <t>Total Number of factoring contracts granted</t>
  </si>
  <si>
    <t>Total Value (EUR) of factoring contracts granted</t>
  </si>
  <si>
    <t>Total Value (EUR) of factoring contracts granted to obligors established in non-EEA countries</t>
  </si>
  <si>
    <t>AML.03.05 Life Insurance Contracts</t>
  </si>
  <si>
    <t>Life Insurance Contracts</t>
  </si>
  <si>
    <t>total amount (EUR) of gross written premiums (incoming)</t>
  </si>
  <si>
    <t>total of amount (EUR) of surrender value of the insurance contracts</t>
  </si>
  <si>
    <t>Percentage of all gross written premium (amount in EUR) paid directly to the life insurance broker</t>
  </si>
  <si>
    <t>Number of insurance contracts that are not used for low risk contracts</t>
  </si>
  <si>
    <t>AML.03.06 Currency Exchange (Involving Cash)</t>
  </si>
  <si>
    <t>Currency Exchange (Involving Cash)</t>
  </si>
  <si>
    <t>Number of currency exchange transactions carried out (sell)</t>
  </si>
  <si>
    <t>Number of currency exchange transactions carried out (buy)</t>
  </si>
  <si>
    <t>Number of currency exchange transactions carried out, where the transaction is above 1000 euros (sell)</t>
  </si>
  <si>
    <t>Number of currency exchange transactions carried out, where the transaction is above 1000 euros (buy)</t>
  </si>
  <si>
    <t>Total Value (EUR) of currency exchange transactions carried out (sell)</t>
  </si>
  <si>
    <t>Total Value (EUR) of currency exchange transactions carried out (buy)</t>
  </si>
  <si>
    <t>Value (EUR) of currency exchange transactions cash-to-cash carried out</t>
  </si>
  <si>
    <t>AML.04.01 Investment Services</t>
  </si>
  <si>
    <t>Invest. Services and Activities - Reception and Transmission of Orders</t>
  </si>
  <si>
    <t>Invest. Services and Activities - Custody Account Keeping</t>
  </si>
  <si>
    <t>Invest. Services and Activities - Portfolio Management</t>
  </si>
  <si>
    <t>number of retail clients</t>
  </si>
  <si>
    <t>number of professional clients</t>
  </si>
  <si>
    <t>Number of AML/CFT regulated customers outside the EEA</t>
  </si>
  <si>
    <t>Percentage of assets under custody for which the obliged entity does not have a direct business relationship with the final investor</t>
  </si>
  <si>
    <t>total assets under management</t>
  </si>
  <si>
    <t>Number of customers for which customer holding total assets with a value of at least EUR 5 000 000</t>
  </si>
  <si>
    <t>AML.04.02 Money Remittance</t>
  </si>
  <si>
    <t>Money Remittance</t>
  </si>
  <si>
    <t>Total Number of money remittance payments (incoming)</t>
  </si>
  <si>
    <t>Total Number of money remittance payments (outgoing)</t>
  </si>
  <si>
    <t>Total Value (EUR) of remittance payments (incoming)</t>
  </si>
  <si>
    <t>Total Value (EUR) of remittance payments (outgoing)</t>
  </si>
  <si>
    <t>Total Number of money remittance transactions above 1000 euro (incoming)</t>
  </si>
  <si>
    <t>Total Number of money remittance transactions above 1000 euro (outgoing)</t>
  </si>
  <si>
    <t>AML.04.03 Wealth Management</t>
  </si>
  <si>
    <t>Wealth Management</t>
  </si>
  <si>
    <t>Total Number of customers (NP) with total assets under management over a value of at least EUR 5,000,000 AND with total assets over a value of at least EUR 50,000,000</t>
  </si>
  <si>
    <t>Total Number of customers (NP) that fall under the definition of private banking (EBA Risk Factor Guidelines)</t>
  </si>
  <si>
    <t>AML.04.04 Correspondent Services</t>
  </si>
  <si>
    <t>Correspondent Services</t>
  </si>
  <si>
    <t>Total Value (EUR) of transactions executed on behalf of the respondent client (incoming)</t>
  </si>
  <si>
    <t>Total Value (EUR) of transactions executed on behalf of the respondent client (outgoing)</t>
  </si>
  <si>
    <t>Total Value (EUR) of transactions going through payable through accounts (incoming)</t>
  </si>
  <si>
    <t>Total Value (EUR) of transactions going through payable through accounts (outgoing)</t>
  </si>
  <si>
    <t>Total Value (EUR) of transactions going through nested accounts (incoming)</t>
  </si>
  <si>
    <t>Total Value (EUR) of transactions going through nested accounts (outgoing)</t>
  </si>
  <si>
    <t>AML.04.05 Trade Finance</t>
  </si>
  <si>
    <t>Trade Finance</t>
  </si>
  <si>
    <t>Total Number of trade finance customers</t>
  </si>
  <si>
    <t>Total Number of trade finance transactions (incoming)</t>
  </si>
  <si>
    <t>Total Number of trade finance transactions (outgoing)</t>
  </si>
  <si>
    <t>Total Value (EUR) of trade finance transactions (incoming)</t>
  </si>
  <si>
    <t>Total Value (EUR) of trade finance transactions (outgoing)</t>
  </si>
  <si>
    <t>AML.04.06 E-Money</t>
  </si>
  <si>
    <t>E-Money</t>
  </si>
  <si>
    <t>Number of e-money payment transactions (incoming)</t>
  </si>
  <si>
    <t>Number of e-money payment transactions (outgoing)</t>
  </si>
  <si>
    <t>Total Value (EUR) of e-money payment transactions (incoming)</t>
  </si>
  <si>
    <t>Total Value (EUR) of e-money payment transactions (outgoing)</t>
  </si>
  <si>
    <t>Value (EUR) of e-money payment transactions by non-identified customers</t>
  </si>
  <si>
    <t>AML.04.07 TCSP Services</t>
  </si>
  <si>
    <t>Custody of Crypto Assets</t>
  </si>
  <si>
    <t>Total Number of legal entity customers using TCSP services</t>
  </si>
  <si>
    <t>AML.04.08 CRYPTO FIAT CARDS</t>
  </si>
  <si>
    <t>CRYPTO FIAT CARDS</t>
  </si>
  <si>
    <t>Number of non-EEA crypto companies for which the obliged entity acts as a BIN-sponsor</t>
  </si>
  <si>
    <t>AML.04.09 PROVIDING CUSTODY AND ADMINISTRATION OF CRYPTO-ASSETS ON BEHALF OF CLIENTS</t>
  </si>
  <si>
    <t>PROVIDING CUSTODY AND ADMINISTRATION OF CRYPTO-ASSETS ON BEHALF OF CLIENTS</t>
  </si>
  <si>
    <t>Number of customers owning crypto-assets</t>
  </si>
  <si>
    <t>Total value (EUR) of crypto assets held on customer custody wallets</t>
  </si>
  <si>
    <t>AML.04.10 CRYPTO SERVICES</t>
  </si>
  <si>
    <t>Exchange Funds for Crypto-Assets</t>
  </si>
  <si>
    <t>Exchange Crypto-Assets for Funds</t>
  </si>
  <si>
    <t>EXCHANGE OF CRYPTO-ASSETS FOR OTHER CRYPTO-ASSETS</t>
  </si>
  <si>
    <t>PROVIDING TRANSFER SERVICES FOR CRYPTO-ASSETS ON BEHALF OF CLIENTS</t>
  </si>
  <si>
    <t>Total amount funds-crypto</t>
  </si>
  <si>
    <t>Total number of transactions funds-crypto</t>
  </si>
  <si>
    <t>Number of customers using this type of service</t>
  </si>
  <si>
    <t>Total number of transactions funds-crypto to self-hosted address</t>
  </si>
  <si>
    <t>Total amount (EUR) crypto-funds</t>
  </si>
  <si>
    <t>Total number of transactions crypto-funds</t>
  </si>
  <si>
    <t>Total number of transactions crypto-funds from self-hosted address</t>
  </si>
  <si>
    <t>Total amount (EUR) crypto-crypto</t>
  </si>
  <si>
    <t>Total number of transactions crypto-crypto</t>
  </si>
  <si>
    <t>Total number of transactions crypto-crypto to self-hosted address</t>
  </si>
  <si>
    <t>Total number of transactions crypto-crypto from self-hosted address</t>
  </si>
  <si>
    <t>Total amount (EUR) that customers transferred</t>
  </si>
  <si>
    <t>Total number of transfers of crypto-assets</t>
  </si>
  <si>
    <t>Total number of transfers to self-hosted address</t>
  </si>
  <si>
    <t>Total number of transfers from self-hosted address</t>
  </si>
  <si>
    <t>AML.04.11 MANAGEMENT OF UCITS AND AIFs</t>
  </si>
  <si>
    <t>Management of UCITS</t>
  </si>
  <si>
    <t>Management of AIFs</t>
  </si>
  <si>
    <t>Number of retail investor customers</t>
  </si>
  <si>
    <t>Number of professional investor customers</t>
  </si>
  <si>
    <t>Total assets under management of UCITSs</t>
  </si>
  <si>
    <t>Number of open-ended funds</t>
  </si>
  <si>
    <t>Number of closed-ended funds</t>
  </si>
  <si>
    <t>Total assets under management</t>
  </si>
  <si>
    <t>Total assets under management in unlisted assets</t>
  </si>
  <si>
    <t>AML.04.12 SAFE CUSTODY SERVICES</t>
  </si>
  <si>
    <t>Total Number of customers using safe deposit boxes</t>
  </si>
  <si>
    <t>AML.04.13 CROWFUNDING</t>
  </si>
  <si>
    <t>Total Value (EUR) of funding projects in the reference year</t>
  </si>
  <si>
    <t>Total Number of projects being funded in the reference year</t>
  </si>
  <si>
    <t>Total Number of donors from high-risk countries</t>
  </si>
  <si>
    <t>Total Number of projects where the owner is from a high-risk country</t>
  </si>
  <si>
    <t>AML.04.14 CASH TRANSACTIONS</t>
  </si>
  <si>
    <t>Cash Transactions</t>
  </si>
  <si>
    <t>Number of cash transactions (withdrawals)</t>
  </si>
  <si>
    <t>Number of cash transactions (deposits)</t>
  </si>
  <si>
    <t>Total Value (EUR) of cash transactions (withdrawals)</t>
  </si>
  <si>
    <t>Total Value (EUR) of cash transactions (deposits)</t>
  </si>
  <si>
    <t>Total Number of natural persons totalling cash transactions over 20 000 EUR</t>
  </si>
  <si>
    <t>AML.05.01 GEOGRAPHIES</t>
  </si>
  <si>
    <t>Country</t>
  </si>
  <si>
    <t>Number of customers which are Natural Persons (NP) per country</t>
  </si>
  <si>
    <t>Number of customers which are Legal Entities (LE) per country</t>
  </si>
  <si>
    <t>Number of customers NP who are PEPs per country_x000B_</t>
  </si>
  <si>
    <t>Number of customers LE whose Beneficial Owners are PEPs per country</t>
  </si>
  <si>
    <t>Number of incoming transactions in the previous year by country</t>
  </si>
  <si>
    <t>Total value (EUR) of incoming transactions in the previous year by country</t>
  </si>
  <si>
    <t>Number of outgoing transactions in the previous year by country</t>
  </si>
  <si>
    <t>Total value (EUR) of outgoing transactions in the previous year by country</t>
  </si>
  <si>
    <t>Total value (EUR) of entity's investment undertakings (CIUs) by country</t>
  </si>
  <si>
    <t>Number of investors by country (for AMCs)</t>
  </si>
  <si>
    <t>Total value (EUR) of assets under management by country (for AMCs)</t>
  </si>
  <si>
    <t>Number of institutions established in foreign countries to whom you provide correspondent services (by country)</t>
  </si>
  <si>
    <t>Total value of incoming funds moved on behalf of the respondent's clients by country of respondent's establishment</t>
  </si>
  <si>
    <t>Total value of outgoing funds moved on behalf of the respondent's clients by country of respondent's establishment</t>
  </si>
  <si>
    <t>Number of branches by country</t>
  </si>
  <si>
    <t>Number of subsidiaries by country</t>
  </si>
  <si>
    <t>AML.06.01 DISTRIBUTION CHANNELS</t>
  </si>
  <si>
    <t>Distribution Channels</t>
  </si>
  <si>
    <t>Number of new customers onboarded remotely in the reference year</t>
  </si>
  <si>
    <t>Number of new customers onboarded in the reference year by third parties</t>
  </si>
  <si>
    <t>Number of customers onboarded in the previous year by third parties not directly subject to AML/CFT supervision</t>
  </si>
  <si>
    <t>Number of agents by country</t>
  </si>
  <si>
    <t>Number of distributors by country</t>
  </si>
  <si>
    <t>Total value of gross written premiums through insurance contracts issued through brokers, broken down by country the brokers are established</t>
  </si>
  <si>
    <t>Number of white labelling partners by country of establishment</t>
  </si>
  <si>
    <t>AML.07.01 Governance/Culture and Compliance Function</t>
  </si>
  <si>
    <t>Date of last “In Compliance check” of the AML/CFT framework</t>
  </si>
  <si>
    <t>Number of dedicated AML/CFT compliance staff (in FTE)</t>
  </si>
  <si>
    <t>Percentage of AML/CFT compliance personnel who have received AML training during the reference period</t>
  </si>
  <si>
    <t>Percentage of non-AML/CFT compliance personnel who have received AML training during the reference year</t>
  </si>
  <si>
    <t>Percentage of Agents and Distributors who have received AML training during the reference year</t>
  </si>
  <si>
    <t>Percentage of Board members / non-executive directors who have received AML training during the reference year</t>
  </si>
  <si>
    <t>AML.07.02 Internal Controls and outsourcing</t>
  </si>
  <si>
    <t>Frequency of AML reporting to the management body</t>
  </si>
  <si>
    <t>CDD tasks outsourced to service providers</t>
  </si>
  <si>
    <t>Training tasks outsourced to service providers</t>
  </si>
  <si>
    <t>Transaction Monitoring tasks outsourced to service providers</t>
  </si>
  <si>
    <t>Suspicious Transaction Reports tasks outsourced to service providers</t>
  </si>
  <si>
    <t>Sanctions Screening tasks outsource to service providers</t>
  </si>
  <si>
    <t>PEP identification tasks outsourced to service providers</t>
  </si>
  <si>
    <t>Compliance Monitoring Checks tasks outsourced by the obliged entity (in total or in part) to service providers</t>
  </si>
  <si>
    <t>AML/CFT tasks outsourced to an external service provider located in third country that is not part of the group</t>
  </si>
  <si>
    <t>Existence of AML/CFT tasks outsourced to an external service provider located in third country that is part of the group</t>
  </si>
  <si>
    <t>Date when the BWRA was last assessed by an audit</t>
  </si>
  <si>
    <t>Date when customers’ ML/TF risk profile was last assessed by an audit</t>
  </si>
  <si>
    <t>Date when AML/CFT trainings were last assessed by an audit</t>
  </si>
  <si>
    <t>Date when identification and verification procedures were last assessed by an audit</t>
  </si>
  <si>
    <t>Date when policies and procedures for monitoring and analysing business relationships, were last assessed by an audit</t>
  </si>
  <si>
    <t>Date when suspicious transaction reporting procedures were last assessed by an audit</t>
  </si>
  <si>
    <t>Date when record‑keeping policies and procedures were last assessed by an audit</t>
  </si>
  <si>
    <t>Date when resource dedicated to AML/CFT was last assessed by an audit</t>
  </si>
  <si>
    <t>Date when the organisation of the AML/CFT system, governance and reporting arrangements were last assessed by an audit</t>
  </si>
  <si>
    <t>AML.07.03 Risk Assesment</t>
  </si>
  <si>
    <t>Risk Assesment</t>
  </si>
  <si>
    <t>Last approval date of the BWRA</t>
  </si>
  <si>
    <t>Senior management approved the last version of the BWRA (Y/N)</t>
  </si>
  <si>
    <t>Date of the last update of the CRA</t>
  </si>
  <si>
    <t>Number of low risk customers per ML/TF risk category</t>
  </si>
  <si>
    <t>Number of medium-low risk customers per ML/TF risk category</t>
  </si>
  <si>
    <t>Number of medium-high customers per ML/TF risk category</t>
  </si>
  <si>
    <t>Number of high risk customers per ML/TF risk category</t>
  </si>
  <si>
    <t>AML.07.04 Customer Due Diligence and Monitoring</t>
  </si>
  <si>
    <t>Number of customers that are legal entities /trusts whose beneficial owners have not been identified</t>
  </si>
  <si>
    <t>Number of customers that are legal entities /trusts whose beneficial ownership has been identified, but the identity of whom has not been verified</t>
  </si>
  <si>
    <t>Number of customers without identification and verification documentation/ information</t>
  </si>
  <si>
    <t>Number of customers whose CDD data and information is not yet in line with the requirements of Article 20 AMLR</t>
  </si>
  <si>
    <t>Number of customers without ML/TF risk profile (excluding customers with whom the obliged entity does not have a business relationship)</t>
  </si>
  <si>
    <t>Number of customers for whom updates of customer information were due, in accordance with the obliged entity's policies and procedures</t>
  </si>
  <si>
    <t>Number of customers for whom customer information was reviewed and updated</t>
  </si>
  <si>
    <t>AML.07.05 Transaction Monitoring and Suspicious Activity Monitoring</t>
  </si>
  <si>
    <t>The obliged entity has a transaction/activity monitoring system in place (Y/N)</t>
  </si>
  <si>
    <t>Transaction / Activity Monitoring System Type_x000B__x000B_Indicate whether the transaction/activity monitoring system is:_x000B__x000B_a) Not automated; a system where alerts are generated manually in order to identify transactions/activities carried out by customers that could potentially be suspicious from an AML/CFT perspective.</t>
  </si>
  <si>
    <t>If manual system: Average time in days to analyse the transaction since the moment it occurred</t>
  </si>
  <si>
    <t>Automated monitoring system alerts on Number of Transactions (Y/N)</t>
  </si>
  <si>
    <t>Automated monitoring system alerts on Value of Aggregated Transactions (Y/N)</t>
  </si>
  <si>
    <t>Automated monitoring system alerts on Value of Single Transactions (Y/N)</t>
  </si>
  <si>
    <t>Automated monitoring system alerts on Counterparties (Y/N)</t>
  </si>
  <si>
    <t>Automated monitoring system alerts on Countries (Y/N)</t>
  </si>
  <si>
    <t>If automated system: Number of alerts not analysed at the end of the reference year</t>
  </si>
  <si>
    <t>If automated system: Average time to analyse an alert in the last calendar year (number of days between that the alert was generated and the moment that the alert was closed)</t>
  </si>
  <si>
    <t>If automated system: total number of alerts</t>
  </si>
  <si>
    <t>If automated system: total number of STRs submitted to the FIU</t>
  </si>
  <si>
    <t>The entity has a tool for analysing transactions based on information available on distributed ledgers (only for MiCA)</t>
  </si>
  <si>
    <t>Average processing time between a potential suspicious transaction resulting in a report to the FIU</t>
  </si>
  <si>
    <t>Total number of STRs submitted to the FIU.</t>
  </si>
  <si>
    <t>AML.07.06 Targeted Financial Sanctions and Compliance with Fund Transfers Regulation</t>
  </si>
  <si>
    <t>Maximum number of hours between the publication of the TFS and the implementation of these changes in the institution's screening tools</t>
  </si>
  <si>
    <t>Number of outbound transfers for which requests were received from a counterparty in the transfer chain for information that is missing, incomplete or provided using inadmissible characters in the last calendar year</t>
  </si>
  <si>
    <t>Total number of outbound transfers in the last calendar year</t>
  </si>
  <si>
    <t>Percentage of outbound transfers rejected or returned by the counterparty in the transfer chain.</t>
  </si>
  <si>
    <t>AML.07.05 Internal Controls and outsourcing</t>
  </si>
  <si>
    <t>Percentage of group entities reporting on CDD</t>
  </si>
  <si>
    <t>Percentage of group entities reporting on ongoing monitoring</t>
  </si>
  <si>
    <t>Percentage of group entities reporting on STRs</t>
  </si>
  <si>
    <t>Percentage of group entities reporting on identity and transaction‑level information on high‑risk customers</t>
  </si>
  <si>
    <t>Percentage of group entities reporting on deficiencies</t>
  </si>
  <si>
    <t>Percentage of jurisdictions covered by Compliance reviews</t>
  </si>
  <si>
    <t>Number of group entities in the EU/EEA with deficiencies identified by AML/CFT supervisors</t>
  </si>
  <si>
    <t>Number of group entities outside the EU/EEA with deficiencies identified by AML/CFT supervisors</t>
  </si>
  <si>
    <t>Owner</t>
  </si>
  <si>
    <t>FCC</t>
  </si>
  <si>
    <t>Somatório linha</t>
  </si>
  <si>
    <t>INSTR8: 2.2.1 + 2.2.2 + 2.2.3 + 2.2.4</t>
  </si>
  <si>
    <t>INSTR8: 2.3</t>
  </si>
  <si>
    <t>INSTR8: 2.5</t>
  </si>
  <si>
    <t>INSTR8: 2.6.6</t>
  </si>
  <si>
    <t>INSTR8: 2.6.5</t>
  </si>
  <si>
    <t>critério ao c0010?</t>
  </si>
  <si>
    <t>INSTR8: 2.4.5 com filtro EEA em vez de EU</t>
  </si>
  <si>
    <t>-</t>
  </si>
  <si>
    <t>linhas do C0020</t>
  </si>
  <si>
    <t>linhas do C0040</t>
  </si>
  <si>
    <t>INSTR8: 3.1.1</t>
  </si>
  <si>
    <t>INSTR8: 3.3.2 b) + 3.4.3 + 3.5.3 + 3.6.1.a.ii</t>
  </si>
  <si>
    <t>INSTR8: 3.7 no que toca aos produtos pré-pagos</t>
  </si>
  <si>
    <t>aplicar filtros ao subuniv</t>
  </si>
  <si>
    <t>INSTR8: 3.6.1.b.ii</t>
  </si>
  <si>
    <t>INSTR 8: 3.9.3.a</t>
  </si>
  <si>
    <t>INSTR 8: 3.9</t>
  </si>
  <si>
    <t>aplicar filtros ao univ</t>
  </si>
  <si>
    <t>INSTR 8: 5.3.1.a.i</t>
  </si>
  <si>
    <t>INSTR 8: 5.3.1.a.ii</t>
  </si>
  <si>
    <t>INSTR 8: 5.3.1.b.i</t>
  </si>
  <si>
    <t>INSTR 8: 5.3.1.b.ii</t>
  </si>
  <si>
    <t>INSTR 8: 5.4.1.b</t>
  </si>
  <si>
    <t>INSTR 8: entidades associadas a 5.4.2.a</t>
  </si>
  <si>
    <t>INSTR 8: 5.4.2.b</t>
  </si>
  <si>
    <t>Atributo</t>
  </si>
  <si>
    <t>INSTR 8: 5</t>
  </si>
  <si>
    <t>universo da INSTR 8: 5.5.2? Será necessária info mais granular</t>
  </si>
  <si>
    <t>INTR 8: 3.4.1 filtrando &gt;= 500.000 €</t>
  </si>
  <si>
    <t>INTR 8: 3.8.2</t>
  </si>
  <si>
    <t>INSTR 8: 3.5</t>
  </si>
  <si>
    <t>3.5.1</t>
  </si>
  <si>
    <t>3.5.3 (com filtro)</t>
  </si>
  <si>
    <t>3.7.1 a) (aplicar filtro de emoney e incoming)</t>
  </si>
  <si>
    <t>3.7.1 a) (aplicar filtro de emoney e outgoing)</t>
  </si>
  <si>
    <t>3.7.1 d) (aplicar filtro de emoney)</t>
  </si>
  <si>
    <t>3.7.1 c) (aplicar filtro de emoney)</t>
  </si>
  <si>
    <t>Aplicado ao BST?</t>
  </si>
  <si>
    <t>3.1.4.</t>
  </si>
  <si>
    <t>count ao c0040.</t>
  </si>
  <si>
    <t>3.1.4. a) sem filtro de montante.</t>
  </si>
  <si>
    <t>3.1.4. a) i) com filtro aos 20.000€</t>
  </si>
  <si>
    <t>count ao c0030.</t>
  </si>
  <si>
    <t>3.5.2 (com filtro)</t>
  </si>
  <si>
    <t>8.2.1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</si>
</sst>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6DCE4"/>
        <bgColor rgb="FF000000"/>
      </patternFill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ck">
        <color theme="0"/>
      </right>
      <top/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/>
      </right>
      <top style="thin">
        <color theme="0" tint="-0.14999847407452621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1"/>
      </top>
      <bottom/>
      <diagonal/>
    </border>
    <border>
      <left style="thin">
        <color theme="0"/>
      </left>
      <right style="thin">
        <color theme="0"/>
      </right>
      <top/>
      <bottom style="thin">
        <color theme="0" tint="-0.499984740745262"/>
      </bottom>
      <diagonal/>
    </border>
    <border>
      <left style="thin">
        <color theme="0"/>
      </left>
      <right/>
      <top style="thin">
        <color theme="0" tint="-0.14999847407452621"/>
      </top>
      <bottom/>
      <diagonal/>
    </border>
    <border>
      <left style="thin">
        <color theme="0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ck">
        <color theme="0"/>
      </left>
      <right style="thin">
        <color rgb="FFFFFFFF"/>
      </right>
      <top style="thin">
        <color theme="0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ck">
        <color theme="0"/>
      </left>
      <right style="thin">
        <color rgb="FFFFFFFF"/>
      </right>
      <top/>
      <bottom style="thin">
        <color rgb="FFFFFFFF"/>
      </bottom>
      <diagonal/>
    </border>
    <border>
      <left style="thick">
        <color theme="0"/>
      </left>
      <right/>
      <top/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/>
      <top style="thin">
        <color theme="0"/>
      </top>
      <bottom style="thin">
        <color theme="0"/>
      </bottom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thick">
        <color theme="0"/>
      </left>
      <right style="thin">
        <color rgb="FFFFFFFF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 style="thin">
        <color rgb="FFFFFFFF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</borders>
  <cellStyleXfs count="4">
    <xf numFmtId="0" fontId="0" fillId="0" borderId="0"/>
    <xf numFmtId="0" fontId="3" fillId="6" borderId="0" applyNumberFormat="0" applyBorder="0" applyAlignment="0" applyProtection="0"/>
    <xf numFmtId="0" fontId="9" fillId="0" borderId="0"/>
    <xf numFmtId="0" fontId="10" fillId="0" borderId="0" applyNumberFormat="0" applyFill="0" applyBorder="0" applyAlignment="0" applyProtection="0"/>
  </cellStyleXfs>
  <cellXfs count="131">
    <xf numFmtId="0" fontId="0" fillId="0" borderId="0" xfId="0"/>
    <xf numFmtId="0" fontId="0" fillId="3" borderId="0" xfId="0" applyFill="1"/>
    <xf numFmtId="0" fontId="0" fillId="0" borderId="1" xfId="0" applyBorder="1"/>
    <xf numFmtId="0" fontId="0" fillId="0" borderId="0" xfId="0" applyAlignment="1">
      <alignment horizontal="center" vertical="center"/>
    </xf>
    <xf numFmtId="49" fontId="0" fillId="0" borderId="0" xfId="0" applyNumberFormat="1"/>
    <xf numFmtId="49" fontId="0" fillId="3" borderId="0" xfId="0" applyNumberFormat="1" applyFill="1" applyAlignment="1">
      <alignment horizontal="center"/>
    </xf>
    <xf numFmtId="49" fontId="0" fillId="3" borderId="0" xfId="0" applyNumberFormat="1" applyFill="1"/>
    <xf numFmtId="0" fontId="0" fillId="0" borderId="0" xfId="0" applyProtection="1">
      <protection locked="0"/>
    </xf>
    <xf numFmtId="0" fontId="7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7" borderId="15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/>
    </xf>
    <xf numFmtId="0" fontId="9" fillId="0" borderId="0" xfId="2" applyAlignment="1">
      <alignment horizontal="right"/>
    </xf>
    <xf numFmtId="0" fontId="2" fillId="4" borderId="4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8" fillId="2" borderId="0" xfId="0" applyFont="1" applyFill="1" applyAlignment="1">
      <alignment horizontal="left" vertical="center"/>
    </xf>
    <xf numFmtId="49" fontId="11" fillId="5" borderId="28" xfId="0" applyNumberFormat="1" applyFont="1" applyFill="1" applyBorder="1" applyAlignment="1">
      <alignment horizontal="center" vertical="center" wrapText="1"/>
    </xf>
    <xf numFmtId="49" fontId="11" fillId="5" borderId="9" xfId="0" applyNumberFormat="1" applyFont="1" applyFill="1" applyBorder="1" applyAlignment="1">
      <alignment horizontal="center" vertical="center" wrapText="1"/>
    </xf>
    <xf numFmtId="49" fontId="11" fillId="5" borderId="23" xfId="0" applyNumberFormat="1" applyFont="1" applyFill="1" applyBorder="1" applyAlignment="1">
      <alignment horizontal="center" vertical="center" wrapText="1"/>
    </xf>
    <xf numFmtId="49" fontId="11" fillId="5" borderId="1" xfId="0" applyNumberFormat="1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49" fontId="11" fillId="5" borderId="34" xfId="0" applyNumberFormat="1" applyFont="1" applyFill="1" applyBorder="1" applyAlignment="1">
      <alignment horizontal="center" vertical="center" wrapText="1"/>
    </xf>
    <xf numFmtId="49" fontId="11" fillId="5" borderId="35" xfId="0" applyNumberFormat="1" applyFont="1" applyFill="1" applyBorder="1" applyAlignment="1">
      <alignment horizontal="center" vertical="center" wrapText="1"/>
    </xf>
    <xf numFmtId="49" fontId="11" fillId="5" borderId="24" xfId="0" applyNumberFormat="1" applyFont="1" applyFill="1" applyBorder="1" applyAlignment="1">
      <alignment horizontal="center" vertical="center" wrapText="1"/>
    </xf>
    <xf numFmtId="49" fontId="11" fillId="5" borderId="36" xfId="0" applyNumberFormat="1" applyFont="1" applyFill="1" applyBorder="1" applyAlignment="1">
      <alignment horizontal="center" vertical="center" wrapText="1"/>
    </xf>
    <xf numFmtId="49" fontId="11" fillId="5" borderId="38" xfId="0" applyNumberFormat="1" applyFont="1" applyFill="1" applyBorder="1" applyAlignment="1">
      <alignment horizontal="center" vertical="center" wrapText="1"/>
    </xf>
    <xf numFmtId="49" fontId="11" fillId="5" borderId="39" xfId="0" applyNumberFormat="1" applyFont="1" applyFill="1" applyBorder="1" applyAlignment="1">
      <alignment horizontal="center" vertical="center" wrapText="1"/>
    </xf>
    <xf numFmtId="49" fontId="11" fillId="5" borderId="40" xfId="0" applyNumberFormat="1" applyFont="1" applyFill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8" borderId="0" xfId="0" applyFill="1" applyProtection="1">
      <protection locked="0"/>
    </xf>
    <xf numFmtId="0" fontId="0" fillId="3" borderId="14" xfId="0" applyFill="1" applyBorder="1" applyAlignment="1">
      <alignment horizontal="center"/>
    </xf>
    <xf numFmtId="0" fontId="0" fillId="3" borderId="14" xfId="0" applyFill="1" applyBorder="1" applyAlignment="1">
      <alignment horizontal="left"/>
    </xf>
    <xf numFmtId="0" fontId="10" fillId="3" borderId="14" xfId="3" applyFill="1" applyBorder="1" applyAlignment="1">
      <alignment horizontal="center"/>
    </xf>
    <xf numFmtId="0" fontId="0" fillId="3" borderId="20" xfId="0" applyFill="1" applyBorder="1" applyAlignment="1">
      <alignment horizontal="left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left"/>
    </xf>
    <xf numFmtId="0" fontId="10" fillId="3" borderId="12" xfId="3" applyFill="1" applyBorder="1" applyAlignment="1">
      <alignment horizontal="center"/>
    </xf>
    <xf numFmtId="0" fontId="0" fillId="3" borderId="12" xfId="0" applyFill="1" applyBorder="1"/>
    <xf numFmtId="0" fontId="0" fillId="7" borderId="3" xfId="0" applyFill="1" applyBorder="1" applyAlignment="1">
      <alignment horizontal="center" vertical="center" wrapText="1"/>
    </xf>
    <xf numFmtId="0" fontId="0" fillId="3" borderId="43" xfId="0" applyFill="1" applyBorder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49" fontId="11" fillId="5" borderId="5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5" fillId="6" borderId="0" xfId="1" applyFont="1" applyAlignment="1">
      <alignment horizontal="center" vertical="center"/>
    </xf>
    <xf numFmtId="0" fontId="5" fillId="6" borderId="0" xfId="1" applyFont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/>
    </xf>
    <xf numFmtId="49" fontId="4" fillId="5" borderId="9" xfId="0" applyNumberFormat="1" applyFont="1" applyFill="1" applyBorder="1" applyAlignment="1">
      <alignment horizontal="center" vertical="center"/>
    </xf>
    <xf numFmtId="49" fontId="4" fillId="5" borderId="24" xfId="0" applyNumberFormat="1" applyFont="1" applyFill="1" applyBorder="1" applyAlignment="1">
      <alignment horizontal="center" vertical="center"/>
    </xf>
    <xf numFmtId="49" fontId="4" fillId="5" borderId="25" xfId="0" applyNumberFormat="1" applyFont="1" applyFill="1" applyBorder="1" applyAlignment="1">
      <alignment horizontal="center" vertical="center"/>
    </xf>
    <xf numFmtId="49" fontId="4" fillId="5" borderId="26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49" fontId="11" fillId="5" borderId="9" xfId="0" applyNumberFormat="1" applyFont="1" applyFill="1" applyBorder="1" applyAlignment="1">
      <alignment horizontal="center" vertical="center"/>
    </xf>
    <xf numFmtId="49" fontId="11" fillId="5" borderId="32" xfId="0" applyNumberFormat="1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5" fillId="6" borderId="0" xfId="1" applyFont="1" applyBorder="1" applyAlignment="1">
      <alignment horizontal="center" vertical="center"/>
    </xf>
    <xf numFmtId="0" fontId="5" fillId="6" borderId="3" xfId="1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49" fontId="4" fillId="5" borderId="28" xfId="0" applyNumberFormat="1" applyFont="1" applyFill="1" applyBorder="1" applyAlignment="1">
      <alignment horizontal="center" vertical="center"/>
    </xf>
    <xf numFmtId="0" fontId="2" fillId="4" borderId="42" xfId="0" applyFont="1" applyFill="1" applyBorder="1" applyAlignment="1">
      <alignment horizontal="center" vertical="center" wrapText="1"/>
    </xf>
    <xf numFmtId="0" fontId="5" fillId="6" borderId="3" xfId="1" applyFont="1" applyBorder="1" applyAlignment="1">
      <alignment horizontal="center" vertical="center" wrapText="1"/>
    </xf>
    <xf numFmtId="0" fontId="4" fillId="5" borderId="34" xfId="0" applyFont="1" applyFill="1" applyBorder="1" applyAlignment="1">
      <alignment horizontal="center" vertical="center"/>
    </xf>
    <xf numFmtId="49" fontId="4" fillId="5" borderId="36" xfId="0" applyNumberFormat="1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49" fontId="4" fillId="5" borderId="37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top"/>
    </xf>
    <xf numFmtId="0" fontId="5" fillId="6" borderId="0" xfId="1" applyFont="1" applyAlignment="1">
      <alignment horizontal="right" vertical="center"/>
    </xf>
    <xf numFmtId="0" fontId="11" fillId="5" borderId="9" xfId="0" applyFont="1" applyFill="1" applyBorder="1"/>
    <xf numFmtId="49" fontId="11" fillId="5" borderId="9" xfId="0" applyNumberFormat="1" applyFont="1" applyFill="1" applyBorder="1"/>
    <xf numFmtId="49" fontId="11" fillId="5" borderId="30" xfId="0" applyNumberFormat="1" applyFont="1" applyFill="1" applyBorder="1" applyAlignment="1">
      <alignment horizontal="center" vertical="center" wrapText="1"/>
    </xf>
    <xf numFmtId="0" fontId="0" fillId="3" borderId="43" xfId="0" applyFill="1" applyBorder="1" applyAlignment="1">
      <alignment horizontal="left"/>
    </xf>
    <xf numFmtId="0" fontId="0" fillId="3" borderId="46" xfId="0" applyFill="1" applyBorder="1" applyAlignment="1">
      <alignment horizontal="left"/>
    </xf>
    <xf numFmtId="0" fontId="2" fillId="7" borderId="15" xfId="0" applyFont="1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/>
    </xf>
    <xf numFmtId="0" fontId="0" fillId="9" borderId="12" xfId="0" applyFill="1" applyBorder="1"/>
    <xf numFmtId="0" fontId="0" fillId="9" borderId="12" xfId="0" applyFill="1" applyBorder="1" applyAlignment="1">
      <alignment wrapText="1"/>
    </xf>
    <xf numFmtId="0" fontId="12" fillId="3" borderId="13" xfId="0" applyFont="1" applyFill="1" applyBorder="1" applyAlignment="1">
      <alignment horizontal="left"/>
    </xf>
    <xf numFmtId="0" fontId="13" fillId="3" borderId="13" xfId="0" applyFont="1" applyFill="1" applyBorder="1" applyAlignment="1">
      <alignment horizontal="left"/>
    </xf>
    <xf numFmtId="0" fontId="2" fillId="3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0" fillId="3" borderId="4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0" fillId="9" borderId="45" xfId="0" applyFill="1" applyBorder="1" applyAlignment="1">
      <alignment horizontal="center" vertical="center" wrapText="1"/>
    </xf>
    <xf numFmtId="0" fontId="0" fillId="9" borderId="44" xfId="0" applyFill="1" applyBorder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49" fontId="11" fillId="5" borderId="33" xfId="0" applyNumberFormat="1" applyFont="1" applyFill="1" applyBorder="1" applyAlignment="1">
      <alignment horizontal="center" vertical="center" wrapText="1"/>
    </xf>
    <xf numFmtId="49" fontId="11" fillId="5" borderId="0" xfId="0" applyNumberFormat="1" applyFont="1" applyFill="1" applyAlignment="1">
      <alignment horizontal="center" vertical="center" wrapText="1"/>
    </xf>
    <xf numFmtId="49" fontId="11" fillId="5" borderId="3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8" fillId="2" borderId="0" xfId="0" applyFont="1" applyFill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49" fontId="11" fillId="5" borderId="1" xfId="0" applyNumberFormat="1" applyFont="1" applyFill="1" applyBorder="1" applyAlignment="1">
      <alignment horizontal="center" vertical="center" wrapText="1"/>
    </xf>
    <xf numFmtId="49" fontId="11" fillId="5" borderId="5" xfId="0" applyNumberFormat="1" applyFont="1" applyFill="1" applyBorder="1" applyAlignment="1">
      <alignment horizontal="center" vertical="center" wrapText="1"/>
    </xf>
    <xf numFmtId="49" fontId="11" fillId="5" borderId="22" xfId="0" applyNumberFormat="1" applyFont="1" applyFill="1" applyBorder="1" applyAlignment="1">
      <alignment horizontal="center" vertical="center" wrapText="1"/>
    </xf>
    <xf numFmtId="49" fontId="11" fillId="5" borderId="23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center" wrapText="1"/>
    </xf>
    <xf numFmtId="49" fontId="4" fillId="5" borderId="5" xfId="0" applyNumberFormat="1" applyFont="1" applyFill="1" applyBorder="1" applyAlignment="1">
      <alignment horizontal="center" vertical="center" wrapText="1"/>
    </xf>
    <xf numFmtId="49" fontId="4" fillId="5" borderId="0" xfId="0" applyNumberFormat="1" applyFont="1" applyFill="1" applyAlignment="1">
      <alignment horizontal="center" vertical="center" wrapText="1"/>
    </xf>
    <xf numFmtId="49" fontId="4" fillId="5" borderId="29" xfId="0" applyNumberFormat="1" applyFont="1" applyFill="1" applyBorder="1" applyAlignment="1">
      <alignment horizontal="center" vertical="center" wrapText="1"/>
    </xf>
    <xf numFmtId="49" fontId="4" fillId="5" borderId="5" xfId="0" applyNumberFormat="1" applyFont="1" applyFill="1" applyBorder="1" applyAlignment="1">
      <alignment horizontal="center" vertical="center"/>
    </xf>
    <xf numFmtId="49" fontId="4" fillId="5" borderId="22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49" fontId="4" fillId="5" borderId="21" xfId="0" applyNumberFormat="1" applyFont="1" applyFill="1" applyBorder="1" applyAlignment="1">
      <alignment horizontal="center" vertical="center"/>
    </xf>
    <xf numFmtId="49" fontId="4" fillId="5" borderId="11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49" fontId="11" fillId="5" borderId="5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0" fillId="3" borderId="0" xfId="0" quotePrefix="1" applyFill="1"/>
    <xf numFmtId="0" fontId="14" fillId="0" borderId="47" xfId="0" applyFont="1" applyBorder="1"/>
  </cellXfs>
  <cellStyles count="4">
    <cellStyle name="Accent1" xfId="1" builtinId="29"/>
    <cellStyle name="Hyperlink" xfId="3" builtinId="8"/>
    <cellStyle name="Normal" xfId="0" builtinId="0"/>
    <cellStyle name="Normalny 4 2" xfId="2" xr:uid="{69D1DBBD-AAD2-4BBB-B122-EE5A227D8CF3}"/>
  </cellStyles>
  <dxfs count="2"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colors>
    <mruColors>
      <color rgb="FFED9797"/>
      <color rgb="FFFF3300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142875</xdr:rowOff>
    </xdr:from>
    <xdr:to>
      <xdr:col>3</xdr:col>
      <xdr:colOff>1187450</xdr:colOff>
      <xdr:row>0</xdr:row>
      <xdr:rowOff>1149600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6F0024AB-9339-4CAE-A9FA-13FCD08C67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142875"/>
          <a:ext cx="3343275" cy="1003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152400</xdr:rowOff>
    </xdr:from>
    <xdr:to>
      <xdr:col>2</xdr:col>
      <xdr:colOff>29</xdr:colOff>
      <xdr:row>2</xdr:row>
      <xdr:rowOff>58001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D13D3E-F58A-46BF-8F03-C52571D740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152400"/>
          <a:ext cx="3229004" cy="10105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152400</xdr:rowOff>
    </xdr:from>
    <xdr:to>
      <xdr:col>2</xdr:col>
      <xdr:colOff>29</xdr:colOff>
      <xdr:row>2</xdr:row>
      <xdr:rowOff>58001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FAD450-5AC1-4C6C-BE8C-2184F2F51F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152400"/>
          <a:ext cx="3229004" cy="10105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152400</xdr:rowOff>
    </xdr:from>
    <xdr:to>
      <xdr:col>2</xdr:col>
      <xdr:colOff>779841</xdr:colOff>
      <xdr:row>2</xdr:row>
      <xdr:rowOff>59840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F9F66F-10B2-43AF-8427-891ECA74EF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152400"/>
          <a:ext cx="3583321" cy="100580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152400</xdr:rowOff>
    </xdr:from>
    <xdr:to>
      <xdr:col>2</xdr:col>
      <xdr:colOff>423237</xdr:colOff>
      <xdr:row>2</xdr:row>
      <xdr:rowOff>58001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D609E3-DDE8-4C37-ABAD-D9D434CAC1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152400"/>
          <a:ext cx="3588764" cy="10085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152400</xdr:rowOff>
    </xdr:from>
    <xdr:to>
      <xdr:col>1</xdr:col>
      <xdr:colOff>1931414</xdr:colOff>
      <xdr:row>2</xdr:row>
      <xdr:rowOff>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82BD69-560F-4BD8-8241-D514183351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152400"/>
          <a:ext cx="3731639" cy="100853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152400</xdr:rowOff>
    </xdr:from>
    <xdr:to>
      <xdr:col>2</xdr:col>
      <xdr:colOff>452237</xdr:colOff>
      <xdr:row>2</xdr:row>
      <xdr:rowOff>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08CC5C-0A1F-41E4-95FB-3458ECE479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152400"/>
          <a:ext cx="3731639" cy="100853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152400</xdr:rowOff>
    </xdr:from>
    <xdr:to>
      <xdr:col>3</xdr:col>
      <xdr:colOff>88326</xdr:colOff>
      <xdr:row>2</xdr:row>
      <xdr:rowOff>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129E43-0453-4D40-B341-F5595E3427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152400"/>
          <a:ext cx="3731639" cy="100853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152400</xdr:rowOff>
    </xdr:from>
    <xdr:to>
      <xdr:col>2</xdr:col>
      <xdr:colOff>1163531</xdr:colOff>
      <xdr:row>2</xdr:row>
      <xdr:rowOff>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03B554-DBFF-4CD4-BE28-EFB6744686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152400"/>
          <a:ext cx="3731639" cy="100853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152400</xdr:rowOff>
    </xdr:from>
    <xdr:to>
      <xdr:col>2</xdr:col>
      <xdr:colOff>900192</xdr:colOff>
      <xdr:row>2</xdr:row>
      <xdr:rowOff>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0F90A9-E2DF-4D28-B27D-C84508502F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152400"/>
          <a:ext cx="3731639" cy="100853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1001486</xdr:colOff>
      <xdr:row>0</xdr:row>
      <xdr:rowOff>302078</xdr:rowOff>
    </xdr:from>
    <xdr:to>
      <xdr:col>2</xdr:col>
      <xdr:colOff>1022096</xdr:colOff>
      <xdr:row>2</xdr:row>
      <xdr:rowOff>197841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F3F51A6D-D358-4F3D-9E12-51ADAAF345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1486" y="302078"/>
          <a:ext cx="3276573" cy="100383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152400</xdr:rowOff>
    </xdr:from>
    <xdr:to>
      <xdr:col>2</xdr:col>
      <xdr:colOff>1159888</xdr:colOff>
      <xdr:row>2</xdr:row>
      <xdr:rowOff>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09C9F8-8098-4982-8F12-48C96413B3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152400"/>
          <a:ext cx="3545901" cy="100853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440391</xdr:colOff>
      <xdr:row>0</xdr:row>
      <xdr:rowOff>205255</xdr:rowOff>
    </xdr:from>
    <xdr:to>
      <xdr:col>1</xdr:col>
      <xdr:colOff>1978385</xdr:colOff>
      <xdr:row>2</xdr:row>
      <xdr:rowOff>113367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197F4092-B2AA-4C1A-9DFC-ADEB1E804C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391" y="205255"/>
          <a:ext cx="2646069" cy="10130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152400</xdr:rowOff>
    </xdr:from>
    <xdr:to>
      <xdr:col>2</xdr:col>
      <xdr:colOff>1065479</xdr:colOff>
      <xdr:row>2</xdr:row>
      <xdr:rowOff>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9C4741-3F97-4919-AA60-929244B2C0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152400"/>
          <a:ext cx="3541979" cy="100853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152400</xdr:rowOff>
    </xdr:from>
    <xdr:to>
      <xdr:col>2</xdr:col>
      <xdr:colOff>1065479</xdr:colOff>
      <xdr:row>2</xdr:row>
      <xdr:rowOff>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0FA29E-D08F-4027-91E8-18F3666B38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152400"/>
          <a:ext cx="3541979" cy="100853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152400</xdr:rowOff>
    </xdr:from>
    <xdr:to>
      <xdr:col>2</xdr:col>
      <xdr:colOff>1065479</xdr:colOff>
      <xdr:row>2</xdr:row>
      <xdr:rowOff>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C28EBA-7675-4799-84C9-D2037E63AE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152400"/>
          <a:ext cx="3541979" cy="100853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185829</xdr:colOff>
      <xdr:row>0</xdr:row>
      <xdr:rowOff>230842</xdr:rowOff>
    </xdr:from>
    <xdr:to>
      <xdr:col>1</xdr:col>
      <xdr:colOff>451</xdr:colOff>
      <xdr:row>2</xdr:row>
      <xdr:rowOff>146611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9393BB7F-5407-4AE8-9E4B-27AD97BEE2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829" y="230842"/>
          <a:ext cx="3913547" cy="102384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185829</xdr:colOff>
      <xdr:row>0</xdr:row>
      <xdr:rowOff>230842</xdr:rowOff>
    </xdr:from>
    <xdr:to>
      <xdr:col>1</xdr:col>
      <xdr:colOff>451</xdr:colOff>
      <xdr:row>2</xdr:row>
      <xdr:rowOff>146611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2CB188-C32D-451E-95FB-0BCD4835AF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829" y="230842"/>
          <a:ext cx="3919897" cy="102066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185829</xdr:colOff>
      <xdr:row>0</xdr:row>
      <xdr:rowOff>230842</xdr:rowOff>
    </xdr:from>
    <xdr:to>
      <xdr:col>1</xdr:col>
      <xdr:colOff>451</xdr:colOff>
      <xdr:row>2</xdr:row>
      <xdr:rowOff>146611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EB0F15-A6B9-48CF-B91B-A270560428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829" y="230842"/>
          <a:ext cx="3919897" cy="102066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185829</xdr:colOff>
      <xdr:row>0</xdr:row>
      <xdr:rowOff>230842</xdr:rowOff>
    </xdr:from>
    <xdr:to>
      <xdr:col>1</xdr:col>
      <xdr:colOff>451</xdr:colOff>
      <xdr:row>2</xdr:row>
      <xdr:rowOff>146611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B9AEA6-0DEF-4B78-A080-33241FE56B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829" y="230842"/>
          <a:ext cx="3919897" cy="102066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185829</xdr:colOff>
      <xdr:row>0</xdr:row>
      <xdr:rowOff>230842</xdr:rowOff>
    </xdr:from>
    <xdr:to>
      <xdr:col>1</xdr:col>
      <xdr:colOff>451</xdr:colOff>
      <xdr:row>2</xdr:row>
      <xdr:rowOff>146611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46EA6A-3938-4876-BF5C-144BDB75D4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829" y="230842"/>
          <a:ext cx="3919897" cy="102066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185829</xdr:colOff>
      <xdr:row>0</xdr:row>
      <xdr:rowOff>230842</xdr:rowOff>
    </xdr:from>
    <xdr:to>
      <xdr:col>1</xdr:col>
      <xdr:colOff>451</xdr:colOff>
      <xdr:row>2</xdr:row>
      <xdr:rowOff>146611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94DCC8-E210-4B3B-AFB6-DA6A08DFE7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829" y="230842"/>
          <a:ext cx="3919897" cy="102066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185829</xdr:colOff>
      <xdr:row>0</xdr:row>
      <xdr:rowOff>230842</xdr:rowOff>
    </xdr:from>
    <xdr:to>
      <xdr:col>1</xdr:col>
      <xdr:colOff>1484446</xdr:colOff>
      <xdr:row>2</xdr:row>
      <xdr:rowOff>146611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47C060-D850-43A8-A377-70E0514593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829" y="230842"/>
          <a:ext cx="3919897" cy="102066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185829</xdr:colOff>
      <xdr:row>0</xdr:row>
      <xdr:rowOff>230842</xdr:rowOff>
    </xdr:from>
    <xdr:to>
      <xdr:col>1</xdr:col>
      <xdr:colOff>451</xdr:colOff>
      <xdr:row>2</xdr:row>
      <xdr:rowOff>146611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8CF05D-B2A2-4949-9113-1DDBD0535C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829" y="230842"/>
          <a:ext cx="3919897" cy="102066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185829</xdr:colOff>
      <xdr:row>0</xdr:row>
      <xdr:rowOff>230842</xdr:rowOff>
    </xdr:from>
    <xdr:to>
      <xdr:col>1</xdr:col>
      <xdr:colOff>451</xdr:colOff>
      <xdr:row>2</xdr:row>
      <xdr:rowOff>146611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F700FC-EA6F-4197-800B-3AFF173B21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829" y="230842"/>
          <a:ext cx="3919897" cy="102066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185829</xdr:colOff>
      <xdr:row>0</xdr:row>
      <xdr:rowOff>230842</xdr:rowOff>
    </xdr:from>
    <xdr:to>
      <xdr:col>1</xdr:col>
      <xdr:colOff>451</xdr:colOff>
      <xdr:row>2</xdr:row>
      <xdr:rowOff>146611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DE0275-97A0-41B7-94F8-660EA169F2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829" y="230842"/>
          <a:ext cx="3919897" cy="102066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185829</xdr:colOff>
      <xdr:row>0</xdr:row>
      <xdr:rowOff>230842</xdr:rowOff>
    </xdr:from>
    <xdr:to>
      <xdr:col>1</xdr:col>
      <xdr:colOff>451</xdr:colOff>
      <xdr:row>2</xdr:row>
      <xdr:rowOff>146611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74AF8C-1701-4DE3-B8CF-C0548F0027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829" y="230842"/>
          <a:ext cx="3919897" cy="102066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185829</xdr:colOff>
      <xdr:row>0</xdr:row>
      <xdr:rowOff>230842</xdr:rowOff>
    </xdr:from>
    <xdr:to>
      <xdr:col>1</xdr:col>
      <xdr:colOff>451</xdr:colOff>
      <xdr:row>2</xdr:row>
      <xdr:rowOff>146611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6B82E7-F05F-4FDB-A2B1-48BD5CE124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829" y="230842"/>
          <a:ext cx="3919897" cy="102066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185829</xdr:colOff>
      <xdr:row>0</xdr:row>
      <xdr:rowOff>230842</xdr:rowOff>
    </xdr:from>
    <xdr:to>
      <xdr:col>1</xdr:col>
      <xdr:colOff>451</xdr:colOff>
      <xdr:row>2</xdr:row>
      <xdr:rowOff>146611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D15335-EC4E-4606-9732-8640344675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829" y="230842"/>
          <a:ext cx="3919897" cy="102066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185829</xdr:colOff>
      <xdr:row>0</xdr:row>
      <xdr:rowOff>230842</xdr:rowOff>
    </xdr:from>
    <xdr:to>
      <xdr:col>1</xdr:col>
      <xdr:colOff>451</xdr:colOff>
      <xdr:row>2</xdr:row>
      <xdr:rowOff>146611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481F54-C4AF-4C2D-8DC3-7E1039E264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829" y="230842"/>
          <a:ext cx="3919897" cy="102066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185829</xdr:colOff>
      <xdr:row>0</xdr:row>
      <xdr:rowOff>230842</xdr:rowOff>
    </xdr:from>
    <xdr:to>
      <xdr:col>2</xdr:col>
      <xdr:colOff>419551</xdr:colOff>
      <xdr:row>2</xdr:row>
      <xdr:rowOff>146611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887826-EB23-4D34-AF4F-D87FE2D9FE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829" y="230842"/>
          <a:ext cx="3919897" cy="1020669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185829</xdr:colOff>
      <xdr:row>0</xdr:row>
      <xdr:rowOff>230842</xdr:rowOff>
    </xdr:from>
    <xdr:to>
      <xdr:col>1</xdr:col>
      <xdr:colOff>451</xdr:colOff>
      <xdr:row>2</xdr:row>
      <xdr:rowOff>146611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F41FCF-7928-416E-AFB3-57933AAD0C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829" y="230842"/>
          <a:ext cx="3919897" cy="1020669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185829</xdr:colOff>
      <xdr:row>0</xdr:row>
      <xdr:rowOff>230842</xdr:rowOff>
    </xdr:from>
    <xdr:to>
      <xdr:col>1</xdr:col>
      <xdr:colOff>451</xdr:colOff>
      <xdr:row>2</xdr:row>
      <xdr:rowOff>146611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F6917A-0BD6-4B60-A97E-013BF593A3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829" y="230842"/>
          <a:ext cx="3919897" cy="10206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957BE-0362-451E-A1FB-4294B7410610}">
  <sheetPr codeName="Sheet8">
    <pageSetUpPr fitToPage="1"/>
  </sheetPr>
  <dimension ref="A1:O39"/>
  <sheetViews>
    <sheetView topLeftCell="A7" zoomScale="85" zoomScaleNormal="85" workbookViewId="0">
      <selection activeCell="F31" sqref="F31"/>
    </sheetView>
  </sheetViews>
  <sheetFormatPr defaultColWidth="9.21875" defaultRowHeight="14.4" x14ac:dyDescent="0.3"/>
  <cols>
    <col min="1" max="1" width="9.21875" style="1"/>
    <col min="2" max="2" width="10.5546875" style="1" customWidth="1"/>
    <col min="3" max="3" width="20" style="1" customWidth="1"/>
    <col min="4" max="4" width="51.21875" style="1" bestFit="1" customWidth="1"/>
    <col min="5" max="5" width="19.88671875" style="1" customWidth="1"/>
    <col min="6" max="6" width="14.21875" style="9" customWidth="1"/>
    <col min="7" max="15" width="12.21875" style="9" customWidth="1"/>
    <col min="16" max="16384" width="9.21875" style="1"/>
  </cols>
  <sheetData>
    <row r="1" spans="1:15" ht="115.2" customHeight="1" x14ac:dyDescent="0.3"/>
    <row r="2" spans="1:15" customFormat="1" x14ac:dyDescent="0.3">
      <c r="A2" s="1"/>
      <c r="B2" s="1"/>
      <c r="C2" s="1"/>
      <c r="D2" s="93" t="s">
        <v>0</v>
      </c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</row>
    <row r="5" spans="1:15" x14ac:dyDescent="0.3">
      <c r="D5" s="16"/>
      <c r="E5" s="16"/>
      <c r="F5" s="5"/>
      <c r="G5" s="5"/>
      <c r="H5" s="5"/>
      <c r="I5" s="5"/>
      <c r="J5" s="5"/>
      <c r="K5" s="5"/>
      <c r="L5" s="5"/>
      <c r="M5" s="5"/>
      <c r="N5" s="5"/>
      <c r="O5" s="5"/>
    </row>
    <row r="7" spans="1:15" ht="14.25" customHeight="1" x14ac:dyDescent="0.3">
      <c r="B7" s="11" t="s">
        <v>1</v>
      </c>
      <c r="C7" s="49" t="s">
        <v>2</v>
      </c>
      <c r="D7" s="10"/>
      <c r="E7" s="86" t="s">
        <v>414</v>
      </c>
      <c r="F7" s="12" t="s">
        <v>3</v>
      </c>
      <c r="G7" s="13" t="s">
        <v>4</v>
      </c>
      <c r="H7" s="14" t="s">
        <v>5</v>
      </c>
      <c r="I7" s="14" t="s">
        <v>6</v>
      </c>
      <c r="J7" s="14" t="s">
        <v>7</v>
      </c>
      <c r="K7" s="14" t="s">
        <v>8</v>
      </c>
      <c r="L7" s="14" t="s">
        <v>9</v>
      </c>
      <c r="M7" s="14" t="s">
        <v>10</v>
      </c>
      <c r="N7" s="14" t="s">
        <v>11</v>
      </c>
      <c r="O7" s="15" t="s">
        <v>12</v>
      </c>
    </row>
    <row r="8" spans="1:15" ht="14.25" customHeight="1" x14ac:dyDescent="0.3">
      <c r="B8" s="41" t="s">
        <v>13</v>
      </c>
      <c r="C8" s="94" t="s">
        <v>14</v>
      </c>
      <c r="D8" s="42" t="s">
        <v>15</v>
      </c>
      <c r="E8" s="42"/>
      <c r="F8" s="43" t="str">
        <f t="shared" ref="F8:O8" si="0">HYPERLINK("#AML.01.01!$A$1", "AML.01.01")</f>
        <v>AML.01.01</v>
      </c>
      <c r="G8" s="43" t="str">
        <f t="shared" si="0"/>
        <v>AML.01.01</v>
      </c>
      <c r="H8" s="43" t="str">
        <f t="shared" si="0"/>
        <v>AML.01.01</v>
      </c>
      <c r="I8" s="43" t="str">
        <f t="shared" si="0"/>
        <v>AML.01.01</v>
      </c>
      <c r="J8" s="43" t="str">
        <f t="shared" si="0"/>
        <v>AML.01.01</v>
      </c>
      <c r="K8" s="43" t="str">
        <f t="shared" si="0"/>
        <v>AML.01.01</v>
      </c>
      <c r="L8" s="43" t="str">
        <f t="shared" si="0"/>
        <v>AML.01.01</v>
      </c>
      <c r="M8" s="43" t="str">
        <f t="shared" si="0"/>
        <v>AML.01.01</v>
      </c>
      <c r="N8" s="43" t="str">
        <f t="shared" si="0"/>
        <v>AML.01.01</v>
      </c>
      <c r="O8" s="43" t="str">
        <f t="shared" si="0"/>
        <v>AML.01.01</v>
      </c>
    </row>
    <row r="9" spans="1:15" ht="14.25" customHeight="1" x14ac:dyDescent="0.3">
      <c r="B9" s="41" t="s">
        <v>16</v>
      </c>
      <c r="C9" s="95"/>
      <c r="D9" s="42" t="s">
        <v>17</v>
      </c>
      <c r="E9" s="42"/>
      <c r="F9" s="43" t="str">
        <f t="shared" ref="F9:O9" si="1">HYPERLINK("#AML.01.02!$A$1", "AML.01.02")</f>
        <v>AML.01.02</v>
      </c>
      <c r="G9" s="43" t="str">
        <f t="shared" si="1"/>
        <v>AML.01.02</v>
      </c>
      <c r="H9" s="43" t="str">
        <f t="shared" si="1"/>
        <v>AML.01.02</v>
      </c>
      <c r="I9" s="43" t="str">
        <f t="shared" si="1"/>
        <v>AML.01.02</v>
      </c>
      <c r="J9" s="43" t="str">
        <f t="shared" si="1"/>
        <v>AML.01.02</v>
      </c>
      <c r="K9" s="43" t="str">
        <f t="shared" si="1"/>
        <v>AML.01.02</v>
      </c>
      <c r="L9" s="43" t="str">
        <f t="shared" si="1"/>
        <v>AML.01.02</v>
      </c>
      <c r="M9" s="43" t="str">
        <f t="shared" si="1"/>
        <v>AML.01.02</v>
      </c>
      <c r="N9" s="43" t="str">
        <f t="shared" si="1"/>
        <v>AML.01.02</v>
      </c>
      <c r="O9" s="43" t="str">
        <f t="shared" si="1"/>
        <v>AML.01.02</v>
      </c>
    </row>
    <row r="10" spans="1:15" ht="14.25" customHeight="1" x14ac:dyDescent="0.3">
      <c r="B10" s="41" t="s">
        <v>18</v>
      </c>
      <c r="C10" s="50" t="s">
        <v>19</v>
      </c>
      <c r="D10" s="44" t="s">
        <v>19</v>
      </c>
      <c r="E10" s="84"/>
      <c r="F10" s="43" t="str">
        <f>HYPERLINK("#AML.02.01!$A$1", "AML.02.01")</f>
        <v>AML.02.01</v>
      </c>
      <c r="G10" s="43" t="str">
        <f t="shared" ref="G10:O10" si="2">HYPERLINK("#AML.02.01!$A$1", "AML.02.01")</f>
        <v>AML.02.01</v>
      </c>
      <c r="H10" s="43" t="str">
        <f t="shared" si="2"/>
        <v>AML.02.01</v>
      </c>
      <c r="I10" s="43" t="str">
        <f t="shared" si="2"/>
        <v>AML.02.01</v>
      </c>
      <c r="J10" s="43" t="str">
        <f t="shared" si="2"/>
        <v>AML.02.01</v>
      </c>
      <c r="K10" s="43" t="str">
        <f t="shared" si="2"/>
        <v>AML.02.01</v>
      </c>
      <c r="L10" s="43" t="str">
        <f t="shared" si="2"/>
        <v>AML.02.01</v>
      </c>
      <c r="M10" s="43" t="str">
        <f t="shared" si="2"/>
        <v>AML.02.01</v>
      </c>
      <c r="N10" s="43" t="str">
        <f t="shared" si="2"/>
        <v>AML.02.01</v>
      </c>
      <c r="O10" s="43" t="str">
        <f t="shared" si="2"/>
        <v>AML.02.01</v>
      </c>
    </row>
    <row r="11" spans="1:15" ht="14.25" customHeight="1" x14ac:dyDescent="0.3">
      <c r="B11" s="45" t="s">
        <v>20</v>
      </c>
      <c r="C11" s="96" t="s">
        <v>21</v>
      </c>
      <c r="D11" s="46" t="s">
        <v>22</v>
      </c>
      <c r="E11" s="85"/>
      <c r="F11" s="43" t="str">
        <f>HYPERLINK("#AML.03.01!$A$1", "AML.03.01")</f>
        <v>AML.03.01</v>
      </c>
      <c r="G11" s="43" t="str">
        <f t="shared" ref="G11:O11" si="3">HYPERLINK("#AML.03.01!$A$1", "AML.03.01")</f>
        <v>AML.03.01</v>
      </c>
      <c r="H11" s="43" t="str">
        <f t="shared" si="3"/>
        <v>AML.03.01</v>
      </c>
      <c r="I11" s="43" t="str">
        <f t="shared" si="3"/>
        <v>AML.03.01</v>
      </c>
      <c r="J11" s="43" t="str">
        <f t="shared" si="3"/>
        <v>AML.03.01</v>
      </c>
      <c r="K11" s="43" t="str">
        <f t="shared" si="3"/>
        <v>AML.03.01</v>
      </c>
      <c r="L11" s="43" t="str">
        <f t="shared" si="3"/>
        <v>AML.03.01</v>
      </c>
      <c r="M11" s="43" t="str">
        <f t="shared" si="3"/>
        <v>AML.03.01</v>
      </c>
      <c r="N11" s="43" t="str">
        <f t="shared" si="3"/>
        <v>AML.03.01</v>
      </c>
      <c r="O11" s="43" t="str">
        <f t="shared" si="3"/>
        <v>AML.03.01</v>
      </c>
    </row>
    <row r="12" spans="1:15" ht="14.25" customHeight="1" x14ac:dyDescent="0.3">
      <c r="B12" s="45" t="s">
        <v>23</v>
      </c>
      <c r="C12" s="94"/>
      <c r="D12" s="46" t="s">
        <v>24</v>
      </c>
      <c r="E12" s="85"/>
      <c r="F12" s="43" t="str">
        <f>HYPERLINK("#AML.03.02!$A$1", "AML.03.02")</f>
        <v>AML.03.02</v>
      </c>
      <c r="G12" s="45"/>
      <c r="H12" s="45"/>
      <c r="I12" s="43" t="str">
        <f>HYPERLINK("#AML.03.02!$A$1", "AML.03.02")</f>
        <v>AML.03.02</v>
      </c>
      <c r="J12" s="43" t="str">
        <f>HYPERLINK("#AML.03.02!$A$1", "AML.03.02")</f>
        <v>AML.03.02</v>
      </c>
      <c r="K12" s="45"/>
      <c r="L12" s="45"/>
      <c r="M12" s="45"/>
      <c r="N12" s="45"/>
      <c r="O12" s="45"/>
    </row>
    <row r="13" spans="1:15" ht="14.25" customHeight="1" x14ac:dyDescent="0.3">
      <c r="B13" s="45" t="s">
        <v>25</v>
      </c>
      <c r="C13" s="94"/>
      <c r="D13" s="46" t="s">
        <v>26</v>
      </c>
      <c r="E13" s="85"/>
      <c r="F13" s="43" t="str">
        <f>HYPERLINK("#AML.03.03!$A$1", "AML.03.03")</f>
        <v>AML.03.03</v>
      </c>
      <c r="G13" s="45"/>
      <c r="H13" s="45"/>
      <c r="I13" s="43" t="str">
        <f>HYPERLINK("#AML.03.03!$A$1", "AML.03.03")</f>
        <v>AML.03.03</v>
      </c>
      <c r="J13" s="43" t="str">
        <f>HYPERLINK("#AML.03.03!$A$1", "AML.03.03")</f>
        <v>AML.03.03</v>
      </c>
      <c r="K13" s="45"/>
      <c r="L13" s="45"/>
      <c r="M13" s="45"/>
      <c r="N13" s="43" t="str">
        <f>HYPERLINK("#AML.03.03!$A$1", "AML.03.03")</f>
        <v>AML.03.03</v>
      </c>
      <c r="O13" s="45"/>
    </row>
    <row r="14" spans="1:15" ht="14.25" customHeight="1" x14ac:dyDescent="0.3">
      <c r="B14" s="45" t="s">
        <v>27</v>
      </c>
      <c r="C14" s="94"/>
      <c r="D14" s="46" t="s">
        <v>28</v>
      </c>
      <c r="E14" s="85"/>
      <c r="F14" s="43" t="str">
        <f>HYPERLINK("#AML.03.04!$A$1", "AML.03.04")</f>
        <v>AML.03.04</v>
      </c>
      <c r="G14" s="43" t="str">
        <f>HYPERLINK("#AML.03.04!$A$1", "AML.03.04")</f>
        <v>AML.03.04</v>
      </c>
      <c r="H14" s="45"/>
      <c r="I14" s="45"/>
      <c r="J14" s="45"/>
      <c r="K14" s="45"/>
      <c r="L14" s="45"/>
      <c r="M14" s="45"/>
      <c r="N14" s="45"/>
      <c r="O14" s="45"/>
    </row>
    <row r="15" spans="1:15" ht="14.25" customHeight="1" x14ac:dyDescent="0.3">
      <c r="B15" s="45" t="s">
        <v>29</v>
      </c>
      <c r="C15" s="94"/>
      <c r="D15" s="46" t="s">
        <v>30</v>
      </c>
      <c r="E15" s="46"/>
      <c r="F15" s="45"/>
      <c r="G15" s="45"/>
      <c r="H15" s="43" t="str">
        <f>HYPERLINK("#AML.03.05!$A$1", "AML.03.05")</f>
        <v>AML.03.05</v>
      </c>
      <c r="I15" s="45"/>
      <c r="J15" s="45"/>
      <c r="K15" s="45"/>
      <c r="L15" s="45"/>
      <c r="M15" s="45"/>
      <c r="N15" s="45"/>
      <c r="O15" s="45"/>
    </row>
    <row r="16" spans="1:15" ht="14.25" customHeight="1" x14ac:dyDescent="0.3">
      <c r="B16" s="45" t="s">
        <v>31</v>
      </c>
      <c r="C16" s="95"/>
      <c r="D16" s="46" t="s">
        <v>32</v>
      </c>
      <c r="E16" s="85"/>
      <c r="F16" s="43" t="str">
        <f>HYPERLINK("#AML.03.06!$A$1", "AML.03.06")</f>
        <v>AML.03.06</v>
      </c>
      <c r="G16" s="45"/>
      <c r="H16" s="45"/>
      <c r="I16" s="43" t="str">
        <f>HYPERLINK("#AML.03.06!$A$1", "AML.03.06")</f>
        <v>AML.03.06</v>
      </c>
      <c r="J16" s="43" t="str">
        <f>HYPERLINK("#AML.03.06!$A$1", "AML.03.06")</f>
        <v>AML.03.06</v>
      </c>
      <c r="K16" s="43" t="str">
        <f>HYPERLINK("#AML.03.06!$A$1", "AML.03.06")</f>
        <v>AML.03.06</v>
      </c>
      <c r="L16" s="45"/>
      <c r="M16" s="45"/>
      <c r="N16" s="45"/>
      <c r="O16" s="45"/>
    </row>
    <row r="17" spans="2:15" ht="14.25" customHeight="1" x14ac:dyDescent="0.3">
      <c r="B17" s="45" t="s">
        <v>33</v>
      </c>
      <c r="C17" s="96" t="s">
        <v>34</v>
      </c>
      <c r="D17" s="46" t="s">
        <v>35</v>
      </c>
      <c r="E17" s="46"/>
      <c r="F17" s="47" t="str">
        <f>HYPERLINK("#AML.04.01!$A$1", "AML.04.01")</f>
        <v>AML.04.01</v>
      </c>
      <c r="G17" s="45"/>
      <c r="H17" s="45"/>
      <c r="I17" s="45"/>
      <c r="J17" s="45"/>
      <c r="K17" s="45"/>
      <c r="L17" s="47" t="str">
        <f>HYPERLINK("#AML.04.01!$A$1", "AML.04.01")</f>
        <v>AML.04.01</v>
      </c>
      <c r="M17" s="47" t="str">
        <f>HYPERLINK("#AML.04.01!$A$1", "AML.04.01")</f>
        <v>AML.04.01</v>
      </c>
      <c r="N17" s="45"/>
      <c r="O17" s="45"/>
    </row>
    <row r="18" spans="2:15" ht="14.25" customHeight="1" x14ac:dyDescent="0.3">
      <c r="B18" s="45" t="s">
        <v>36</v>
      </c>
      <c r="C18" s="94"/>
      <c r="D18" s="90" t="s">
        <v>37</v>
      </c>
      <c r="E18" s="46"/>
      <c r="F18" s="47" t="str">
        <f>HYPERLINK("#AML.04.02!$A$1", "AML.04.02")</f>
        <v>AML.04.02</v>
      </c>
      <c r="G18" s="45"/>
      <c r="H18" s="45"/>
      <c r="I18" s="47" t="str">
        <f>HYPERLINK("#AML.04.02!$A$1", "AML.04.02")</f>
        <v>AML.04.02</v>
      </c>
      <c r="J18" s="47" t="str">
        <f>HYPERLINK("#AML.04.02!$A$1", "AML.04.02")</f>
        <v>AML.04.02</v>
      </c>
      <c r="K18" s="45"/>
      <c r="L18" s="45"/>
      <c r="M18" s="45"/>
      <c r="N18" s="45"/>
      <c r="O18" s="45"/>
    </row>
    <row r="19" spans="2:15" ht="14.25" customHeight="1" x14ac:dyDescent="0.3">
      <c r="B19" s="45" t="s">
        <v>38</v>
      </c>
      <c r="C19" s="94"/>
      <c r="D19" s="46" t="s">
        <v>39</v>
      </c>
      <c r="E19" s="46"/>
      <c r="F19" s="47" t="str">
        <f>HYPERLINK("#AML.04.03!$A$1", "AML.04.03")</f>
        <v>AML.04.03</v>
      </c>
      <c r="G19" s="45"/>
      <c r="H19" s="47" t="str">
        <f>HYPERLINK("#AML.04.03!$A$1", "AML.04.03")</f>
        <v>AML.04.03</v>
      </c>
      <c r="I19" s="45"/>
      <c r="J19" s="45"/>
      <c r="K19" s="45"/>
      <c r="L19" s="47" t="str">
        <f>HYPERLINK("#AML.04.03!$A$1", "AML.04.03")</f>
        <v>AML.04.03</v>
      </c>
      <c r="M19" s="45"/>
      <c r="N19" s="47" t="str">
        <f>HYPERLINK("#AML.04.03!$A$1", "AML.04.03")</f>
        <v>AML.04.03</v>
      </c>
      <c r="O19" s="45"/>
    </row>
    <row r="20" spans="2:15" ht="14.25" customHeight="1" x14ac:dyDescent="0.3">
      <c r="B20" s="45" t="s">
        <v>40</v>
      </c>
      <c r="C20" s="94"/>
      <c r="D20" s="46" t="s">
        <v>41</v>
      </c>
      <c r="E20" s="46"/>
      <c r="F20" s="47" t="str">
        <f>HYPERLINK("#AML.04.04!$A$1", "AML.04.04")</f>
        <v>AML.04.04</v>
      </c>
      <c r="G20" s="45"/>
      <c r="H20" s="45"/>
      <c r="I20" s="45"/>
      <c r="J20" s="47" t="str">
        <f>HYPERLINK("#AML.04.04!$A$1", "AML.04.04")</f>
        <v>AML.04.04</v>
      </c>
      <c r="K20" s="45"/>
      <c r="L20" s="45"/>
      <c r="M20" s="45"/>
      <c r="N20" s="47" t="str">
        <f>HYPERLINK("#AML.04.04!$A$1", "AML.04.04")</f>
        <v>AML.04.04</v>
      </c>
      <c r="O20" s="45"/>
    </row>
    <row r="21" spans="2:15" ht="14.25" customHeight="1" x14ac:dyDescent="0.3">
      <c r="B21" s="45" t="s">
        <v>42</v>
      </c>
      <c r="C21" s="94"/>
      <c r="D21" s="46" t="s">
        <v>43</v>
      </c>
      <c r="E21" s="46"/>
      <c r="F21" s="47" t="str">
        <f>HYPERLINK("#AML.04.05!$A$1", "AML.04.05")</f>
        <v>AML.04.05</v>
      </c>
      <c r="G21" s="47" t="str">
        <f>HYPERLINK("#AML.04.05!$A$1", "AML.04.05")</f>
        <v>AML.04.05</v>
      </c>
      <c r="H21" s="45"/>
      <c r="I21" s="45"/>
      <c r="J21" s="45"/>
      <c r="K21" s="45"/>
      <c r="L21" s="45"/>
      <c r="M21" s="45"/>
      <c r="N21" s="45"/>
      <c r="O21" s="45"/>
    </row>
    <row r="22" spans="2:15" ht="14.25" customHeight="1" x14ac:dyDescent="0.3">
      <c r="B22" s="45" t="s">
        <v>44</v>
      </c>
      <c r="C22" s="94"/>
      <c r="D22" s="46" t="s">
        <v>45</v>
      </c>
      <c r="E22" s="46"/>
      <c r="F22" s="47" t="str">
        <f>HYPERLINK("#AML.04.06!$A$1", "AML.04.06")</f>
        <v>AML.04.06</v>
      </c>
      <c r="G22" s="45"/>
      <c r="H22" s="45"/>
      <c r="I22" s="47" t="str">
        <f>HYPERLINK("#AML.04.06!$A$1", "AML.04.06")</f>
        <v>AML.04.06</v>
      </c>
      <c r="J22" s="45"/>
      <c r="K22" s="45"/>
      <c r="L22" s="45"/>
      <c r="M22" s="45"/>
      <c r="N22" s="45"/>
      <c r="O22" s="45"/>
    </row>
    <row r="23" spans="2:15" ht="14.25" customHeight="1" x14ac:dyDescent="0.3">
      <c r="B23" s="45" t="s">
        <v>46</v>
      </c>
      <c r="C23" s="94"/>
      <c r="D23" s="90" t="s">
        <v>47</v>
      </c>
      <c r="E23" s="46"/>
      <c r="F23" s="47" t="str">
        <f>HYPERLINK("#AML.04.07!$A$1", "AML.04.07")</f>
        <v>AML.04.07</v>
      </c>
      <c r="G23" s="45"/>
      <c r="H23" s="45"/>
      <c r="I23" s="45"/>
      <c r="J23" s="45"/>
      <c r="K23" s="45"/>
      <c r="L23" s="47" t="str">
        <f>HYPERLINK("#AML.04.07!$A$1", "AML.04.07")</f>
        <v>AML.04.07</v>
      </c>
      <c r="M23" s="45"/>
      <c r="N23" s="45"/>
      <c r="O23" s="45"/>
    </row>
    <row r="24" spans="2:15" ht="14.25" customHeight="1" x14ac:dyDescent="0.3">
      <c r="B24" s="45" t="s">
        <v>48</v>
      </c>
      <c r="C24" s="94"/>
      <c r="D24" s="90" t="s">
        <v>49</v>
      </c>
      <c r="E24" s="46"/>
      <c r="F24" s="47" t="str">
        <f>HYPERLINK("#AML.04.08!$A$1", "AML.04.08")</f>
        <v>AML.04.08</v>
      </c>
      <c r="G24" s="45"/>
      <c r="H24" s="45"/>
      <c r="I24" s="47" t="str">
        <f>HYPERLINK("#AML.04.08!$A$1", "AML.04.08")</f>
        <v>AML.04.08</v>
      </c>
      <c r="J24" s="47" t="str">
        <f>HYPERLINK("#AML.04.08!$A$1", "AML.04.08")</f>
        <v>AML.04.08</v>
      </c>
      <c r="K24" s="45"/>
      <c r="L24" s="45"/>
      <c r="M24" s="45"/>
      <c r="N24" s="45"/>
      <c r="O24" s="45"/>
    </row>
    <row r="25" spans="2:15" ht="14.25" customHeight="1" x14ac:dyDescent="0.3">
      <c r="B25" s="45" t="s">
        <v>50</v>
      </c>
      <c r="C25" s="94"/>
      <c r="D25" s="90" t="s">
        <v>51</v>
      </c>
      <c r="E25" s="85"/>
      <c r="F25" s="43" t="str">
        <f>HYPERLINK("#AML.04.09!$A$1", "AML.04.09")</f>
        <v>AML.04.09</v>
      </c>
      <c r="G25" s="45"/>
      <c r="H25" s="45"/>
      <c r="I25" s="43" t="str">
        <f t="shared" ref="I25:J25" si="4">HYPERLINK("#AML.04.09!$A$1", "AML.04.09")</f>
        <v>AML.04.09</v>
      </c>
      <c r="J25" s="43" t="str">
        <f t="shared" si="4"/>
        <v>AML.04.09</v>
      </c>
      <c r="K25" s="45"/>
      <c r="L25" s="45"/>
      <c r="M25" s="45"/>
      <c r="N25" s="43" t="str">
        <f>HYPERLINK("#AML.04.09!$A$1", "AML.04.09")</f>
        <v>AML.04.09</v>
      </c>
      <c r="O25" s="45"/>
    </row>
    <row r="26" spans="2:15" ht="14.25" customHeight="1" x14ac:dyDescent="0.3">
      <c r="B26" s="45" t="s">
        <v>52</v>
      </c>
      <c r="C26" s="94"/>
      <c r="D26" s="90" t="s">
        <v>53</v>
      </c>
      <c r="E26" s="46"/>
      <c r="F26" s="47" t="str">
        <f>HYPERLINK("#AML.04.10!$A$1", "AML.04.10")</f>
        <v>AML.04.10</v>
      </c>
      <c r="G26" s="45"/>
      <c r="H26" s="45"/>
      <c r="I26" s="47" t="str">
        <f>HYPERLINK("#AML.04.10!$A$1", "AML.04.10")</f>
        <v>AML.04.10</v>
      </c>
      <c r="J26" s="47" t="str">
        <f>HYPERLINK("#AML.04.10!$A$1", "AML.04.10")</f>
        <v>AML.04.10</v>
      </c>
      <c r="K26" s="45"/>
      <c r="L26" s="47" t="str">
        <f>HYPERLINK("#AML.04.10!$A$1", "AML.04.10")</f>
        <v>AML.04.10</v>
      </c>
      <c r="M26" s="45"/>
      <c r="N26" s="47" t="str">
        <f>HYPERLINK("#AML.04.10!$A$1", "AML.04.10")</f>
        <v>AML.04.10</v>
      </c>
      <c r="O26" s="45"/>
    </row>
    <row r="27" spans="2:15" ht="14.25" customHeight="1" x14ac:dyDescent="0.3">
      <c r="B27" s="45" t="s">
        <v>54</v>
      </c>
      <c r="C27" s="94"/>
      <c r="D27" s="46" t="s">
        <v>55</v>
      </c>
      <c r="E27" s="46"/>
      <c r="F27" s="45"/>
      <c r="G27" s="45"/>
      <c r="H27" s="45"/>
      <c r="I27" s="45"/>
      <c r="J27" s="45"/>
      <c r="K27" s="45"/>
      <c r="L27" s="45"/>
      <c r="M27" s="47" t="str">
        <f>HYPERLINK("#AML.04.11!$A$1", "AML.04.11")</f>
        <v>AML.04.11</v>
      </c>
      <c r="N27" s="45"/>
      <c r="O27" s="45"/>
    </row>
    <row r="28" spans="2:15" ht="14.25" customHeight="1" x14ac:dyDescent="0.3">
      <c r="B28" s="45" t="s">
        <v>56</v>
      </c>
      <c r="C28" s="94"/>
      <c r="D28" s="46" t="s">
        <v>57</v>
      </c>
      <c r="E28" s="46"/>
      <c r="F28" s="47" t="str">
        <f>HYPERLINK("#AML.04.12!$A$1", "AML.04.12")</f>
        <v>AML.04.12</v>
      </c>
      <c r="G28" s="45"/>
      <c r="H28" s="45"/>
      <c r="I28" s="45"/>
      <c r="J28" s="45"/>
      <c r="K28" s="45"/>
      <c r="L28" s="45"/>
      <c r="M28" s="45"/>
      <c r="N28" s="45"/>
      <c r="O28" s="45"/>
    </row>
    <row r="29" spans="2:15" ht="14.25" customHeight="1" x14ac:dyDescent="0.3">
      <c r="B29" s="45" t="s">
        <v>58</v>
      </c>
      <c r="C29" s="94"/>
      <c r="D29" s="91" t="s">
        <v>59</v>
      </c>
      <c r="E29" s="46"/>
      <c r="F29" s="47" t="str">
        <f>HYPERLINK("#AML.04.13!$A$1", "AML.04.13")</f>
        <v>AML.04.13</v>
      </c>
      <c r="G29" s="47" t="str">
        <f>HYPERLINK("#AML.04.13!$A$1", "AML.04.13")</f>
        <v>AML.04.13</v>
      </c>
      <c r="H29" s="45"/>
      <c r="I29" s="47" t="str">
        <f>HYPERLINK("#AML.04.13!$A$1", "AML.04.13")</f>
        <v>AML.04.13</v>
      </c>
      <c r="J29" s="47" t="str">
        <f>HYPERLINK("#AML.04.13!$A$1", "AML.04.13")</f>
        <v>AML.04.13</v>
      </c>
      <c r="K29" s="45"/>
      <c r="L29" s="47" t="str">
        <f>HYPERLINK("#AML.04.13!$A$1", "AML.04.13")</f>
        <v>AML.04.13</v>
      </c>
      <c r="M29" s="45"/>
      <c r="N29" s="47" t="str">
        <f>HYPERLINK("#AML.04.13!$A$1", "AML.04.13")</f>
        <v>AML.04.13</v>
      </c>
      <c r="O29" s="45"/>
    </row>
    <row r="30" spans="2:15" ht="14.25" customHeight="1" x14ac:dyDescent="0.3">
      <c r="B30" s="45" t="s">
        <v>60</v>
      </c>
      <c r="C30" s="95"/>
      <c r="D30" s="46" t="s">
        <v>61</v>
      </c>
      <c r="E30" s="46"/>
      <c r="F30" s="47" t="str">
        <f>HYPERLINK("#AML.04.14!$A$1", "AML.04.14")</f>
        <v>AML.04.14</v>
      </c>
      <c r="G30" s="47" t="str">
        <f>HYPERLINK("#AML.04.14!$A$1", "AML.04.14")</f>
        <v>AML.04.14</v>
      </c>
      <c r="H30" s="47" t="str">
        <f>HYPERLINK("#AML.04.14!$A$1", "AML.04.14")</f>
        <v>AML.04.14</v>
      </c>
      <c r="I30" s="47" t="str">
        <f>HYPERLINK("#AML.04.14!$A$1", "AML.04.14")</f>
        <v>AML.04.14</v>
      </c>
      <c r="J30" s="47" t="str">
        <f>HYPERLINK("#AML.04.14!$A$1", "AML.04.14")</f>
        <v>AML.04.14</v>
      </c>
      <c r="K30" s="45"/>
      <c r="L30" s="45"/>
      <c r="M30" s="45"/>
      <c r="N30" s="47" t="str">
        <f>HYPERLINK("#AML.04.14!$A$1", "AML.04.14")</f>
        <v>AML.04.14</v>
      </c>
      <c r="O30" s="45"/>
    </row>
    <row r="31" spans="2:15" ht="14.25" customHeight="1" x14ac:dyDescent="0.3">
      <c r="B31" s="45" t="s">
        <v>62</v>
      </c>
      <c r="C31" s="45" t="s">
        <v>63</v>
      </c>
      <c r="D31" s="48" t="s">
        <v>63</v>
      </c>
      <c r="E31" s="48"/>
      <c r="F31" s="47" t="str">
        <f>HYPERLINK("#AML.05.01!$A$1", "AML.05.01")</f>
        <v>AML.05.01</v>
      </c>
      <c r="G31" s="47" t="str">
        <f t="shared" ref="G31:O31" si="5">HYPERLINK("#AML.05.01!$A$1", "AML.05.01")</f>
        <v>AML.05.01</v>
      </c>
      <c r="H31" s="47" t="str">
        <f t="shared" si="5"/>
        <v>AML.05.01</v>
      </c>
      <c r="I31" s="47" t="str">
        <f t="shared" si="5"/>
        <v>AML.05.01</v>
      </c>
      <c r="J31" s="47" t="str">
        <f t="shared" si="5"/>
        <v>AML.05.01</v>
      </c>
      <c r="K31" s="47" t="str">
        <f t="shared" si="5"/>
        <v>AML.05.01</v>
      </c>
      <c r="L31" s="47" t="str">
        <f t="shared" si="5"/>
        <v>AML.05.01</v>
      </c>
      <c r="M31" s="47" t="str">
        <f t="shared" si="5"/>
        <v>AML.05.01</v>
      </c>
      <c r="N31" s="47" t="str">
        <f t="shared" si="5"/>
        <v>AML.05.01</v>
      </c>
      <c r="O31" s="47" t="str">
        <f t="shared" si="5"/>
        <v>AML.05.01</v>
      </c>
    </row>
    <row r="32" spans="2:15" ht="14.25" customHeight="1" x14ac:dyDescent="0.3">
      <c r="B32" s="45" t="s">
        <v>64</v>
      </c>
      <c r="C32" s="45" t="s">
        <v>65</v>
      </c>
      <c r="D32" s="48" t="s">
        <v>66</v>
      </c>
      <c r="E32" s="48"/>
      <c r="F32" s="47" t="str">
        <f>HYPERLINK("#AML.06.01!$A$1", "AML.06.01")</f>
        <v>AML.06.01</v>
      </c>
      <c r="G32" s="47" t="str">
        <f t="shared" ref="G32:J32" si="6">HYPERLINK("#AML.06.01!$A$1", "AML.06.01")</f>
        <v>AML.06.01</v>
      </c>
      <c r="H32" s="47" t="str">
        <f t="shared" si="6"/>
        <v>AML.06.01</v>
      </c>
      <c r="I32" s="47" t="str">
        <f t="shared" si="6"/>
        <v>AML.06.01</v>
      </c>
      <c r="J32" s="47" t="str">
        <f t="shared" si="6"/>
        <v>AML.06.01</v>
      </c>
      <c r="K32" s="45"/>
      <c r="L32" s="47" t="str">
        <f>HYPERLINK("#AML.06.01!$A$1", "AML.06.01")</f>
        <v>AML.06.01</v>
      </c>
      <c r="M32" s="45"/>
      <c r="N32" s="47" t="str">
        <f>HYPERLINK("#AML.06.01!$A$1", "AML.06.01")</f>
        <v>AML.06.01</v>
      </c>
      <c r="O32" s="47" t="str">
        <f>HYPERLINK("#AML.06.01!$A$1", "AML.06.01")</f>
        <v>AML.06.01</v>
      </c>
    </row>
    <row r="33" spans="2:15" ht="14.25" customHeight="1" x14ac:dyDescent="0.3">
      <c r="B33" s="87" t="s">
        <v>67</v>
      </c>
      <c r="C33" s="97" t="s">
        <v>68</v>
      </c>
      <c r="D33" s="88" t="s">
        <v>69</v>
      </c>
      <c r="E33" s="87" t="s">
        <v>415</v>
      </c>
      <c r="F33" s="47" t="str">
        <f>HYPERLINK("#AML.07.01!$A$1", "AML.07.01")</f>
        <v>AML.07.01</v>
      </c>
      <c r="G33" s="47" t="str">
        <f t="shared" ref="G33:O33" si="7">HYPERLINK("#AML.07.01!$A$1", "AML.07.01")</f>
        <v>AML.07.01</v>
      </c>
      <c r="H33" s="47" t="str">
        <f t="shared" si="7"/>
        <v>AML.07.01</v>
      </c>
      <c r="I33" s="47" t="str">
        <f t="shared" si="7"/>
        <v>AML.07.01</v>
      </c>
      <c r="J33" s="47" t="str">
        <f t="shared" si="7"/>
        <v>AML.07.01</v>
      </c>
      <c r="K33" s="47" t="str">
        <f t="shared" si="7"/>
        <v>AML.07.01</v>
      </c>
      <c r="L33" s="47" t="str">
        <f t="shared" si="7"/>
        <v>AML.07.01</v>
      </c>
      <c r="M33" s="47" t="str">
        <f t="shared" si="7"/>
        <v>AML.07.01</v>
      </c>
      <c r="N33" s="47" t="str">
        <f t="shared" si="7"/>
        <v>AML.07.01</v>
      </c>
      <c r="O33" s="47" t="str">
        <f t="shared" si="7"/>
        <v>AML.07.01</v>
      </c>
    </row>
    <row r="34" spans="2:15" ht="14.25" customHeight="1" x14ac:dyDescent="0.3">
      <c r="B34" s="87" t="s">
        <v>70</v>
      </c>
      <c r="C34" s="98"/>
      <c r="D34" s="88" t="s">
        <v>71</v>
      </c>
      <c r="E34" s="87" t="s">
        <v>415</v>
      </c>
      <c r="F34" s="47" t="str">
        <f>HYPERLINK("#AML.07.02!$A$1", "AML.07.02")</f>
        <v>AML.07.02</v>
      </c>
      <c r="G34" s="47" t="str">
        <f t="shared" ref="G34:O34" si="8">HYPERLINK("#AML.07.02!$A$1", "AML.07.02")</f>
        <v>AML.07.02</v>
      </c>
      <c r="H34" s="47" t="str">
        <f t="shared" si="8"/>
        <v>AML.07.02</v>
      </c>
      <c r="I34" s="47" t="str">
        <f t="shared" si="8"/>
        <v>AML.07.02</v>
      </c>
      <c r="J34" s="47" t="str">
        <f t="shared" si="8"/>
        <v>AML.07.02</v>
      </c>
      <c r="K34" s="47" t="str">
        <f t="shared" si="8"/>
        <v>AML.07.02</v>
      </c>
      <c r="L34" s="47" t="str">
        <f t="shared" si="8"/>
        <v>AML.07.02</v>
      </c>
      <c r="M34" s="47" t="str">
        <f t="shared" si="8"/>
        <v>AML.07.02</v>
      </c>
      <c r="N34" s="47" t="str">
        <f t="shared" si="8"/>
        <v>AML.07.02</v>
      </c>
      <c r="O34" s="47" t="str">
        <f t="shared" si="8"/>
        <v>AML.07.02</v>
      </c>
    </row>
    <row r="35" spans="2:15" x14ac:dyDescent="0.3">
      <c r="B35" s="87" t="s">
        <v>72</v>
      </c>
      <c r="C35" s="98"/>
      <c r="D35" s="88" t="s">
        <v>73</v>
      </c>
      <c r="E35" s="87" t="s">
        <v>415</v>
      </c>
      <c r="F35" s="47" t="str">
        <f>HYPERLINK("#AML.07.03!$A$1", "AML.07.03")</f>
        <v>AML.07.03</v>
      </c>
      <c r="G35" s="47" t="str">
        <f t="shared" ref="G35:O35" si="9">HYPERLINK("#AML.07.03!$A$1", "AML.07.03")</f>
        <v>AML.07.03</v>
      </c>
      <c r="H35" s="47" t="str">
        <f t="shared" si="9"/>
        <v>AML.07.03</v>
      </c>
      <c r="I35" s="47" t="str">
        <f t="shared" si="9"/>
        <v>AML.07.03</v>
      </c>
      <c r="J35" s="47" t="str">
        <f t="shared" si="9"/>
        <v>AML.07.03</v>
      </c>
      <c r="K35" s="47" t="str">
        <f t="shared" si="9"/>
        <v>AML.07.03</v>
      </c>
      <c r="L35" s="47" t="str">
        <f t="shared" si="9"/>
        <v>AML.07.03</v>
      </c>
      <c r="M35" s="47" t="str">
        <f t="shared" si="9"/>
        <v>AML.07.03</v>
      </c>
      <c r="N35" s="47" t="str">
        <f t="shared" si="9"/>
        <v>AML.07.03</v>
      </c>
      <c r="O35" s="47" t="str">
        <f t="shared" si="9"/>
        <v>AML.07.03</v>
      </c>
    </row>
    <row r="36" spans="2:15" x14ac:dyDescent="0.3">
      <c r="B36" s="87" t="s">
        <v>74</v>
      </c>
      <c r="C36" s="98"/>
      <c r="D36" s="88" t="s">
        <v>75</v>
      </c>
      <c r="E36" s="87" t="s">
        <v>415</v>
      </c>
      <c r="F36" s="47" t="str">
        <f>HYPERLINK("#AML.07.04!$A$1", "AML.07.04")</f>
        <v>AML.07.04</v>
      </c>
      <c r="G36" s="47" t="str">
        <f t="shared" ref="G36:O36" si="10">HYPERLINK("#AML.07.04!$A$1", "AML.07.04")</f>
        <v>AML.07.04</v>
      </c>
      <c r="H36" s="47" t="str">
        <f t="shared" si="10"/>
        <v>AML.07.04</v>
      </c>
      <c r="I36" s="47" t="str">
        <f t="shared" si="10"/>
        <v>AML.07.04</v>
      </c>
      <c r="J36" s="47" t="str">
        <f t="shared" si="10"/>
        <v>AML.07.04</v>
      </c>
      <c r="K36" s="47" t="str">
        <f t="shared" si="10"/>
        <v>AML.07.04</v>
      </c>
      <c r="L36" s="47" t="str">
        <f t="shared" si="10"/>
        <v>AML.07.04</v>
      </c>
      <c r="M36" s="47" t="str">
        <f t="shared" si="10"/>
        <v>AML.07.04</v>
      </c>
      <c r="N36" s="47" t="str">
        <f t="shared" si="10"/>
        <v>AML.07.04</v>
      </c>
      <c r="O36" s="47" t="str">
        <f t="shared" si="10"/>
        <v>AML.07.04</v>
      </c>
    </row>
    <row r="37" spans="2:15" x14ac:dyDescent="0.3">
      <c r="B37" s="87" t="s">
        <v>76</v>
      </c>
      <c r="C37" s="98"/>
      <c r="D37" s="89" t="s">
        <v>77</v>
      </c>
      <c r="E37" s="87" t="s">
        <v>415</v>
      </c>
      <c r="F37" s="47" t="str">
        <f>HYPERLINK("#AML.07.05!$A$1", "AML.07.05")</f>
        <v>AML.07.05</v>
      </c>
      <c r="G37" s="47" t="str">
        <f t="shared" ref="G37:O37" si="11">HYPERLINK("#AML.07.05!$A$1", "AML.07.05")</f>
        <v>AML.07.05</v>
      </c>
      <c r="H37" s="47" t="str">
        <f t="shared" si="11"/>
        <v>AML.07.05</v>
      </c>
      <c r="I37" s="47" t="str">
        <f t="shared" si="11"/>
        <v>AML.07.05</v>
      </c>
      <c r="J37" s="47" t="str">
        <f t="shared" si="11"/>
        <v>AML.07.05</v>
      </c>
      <c r="K37" s="47" t="str">
        <f t="shared" si="11"/>
        <v>AML.07.05</v>
      </c>
      <c r="L37" s="47" t="str">
        <f t="shared" si="11"/>
        <v>AML.07.05</v>
      </c>
      <c r="M37" s="47" t="str">
        <f t="shared" si="11"/>
        <v>AML.07.05</v>
      </c>
      <c r="N37" s="47" t="str">
        <f t="shared" si="11"/>
        <v>AML.07.05</v>
      </c>
      <c r="O37" s="47" t="str">
        <f t="shared" si="11"/>
        <v>AML.07.05</v>
      </c>
    </row>
    <row r="38" spans="2:15" ht="28.8" x14ac:dyDescent="0.3">
      <c r="B38" s="87" t="s">
        <v>78</v>
      </c>
      <c r="C38" s="98"/>
      <c r="D38" s="89" t="s">
        <v>79</v>
      </c>
      <c r="E38" s="87" t="s">
        <v>415</v>
      </c>
      <c r="F38" s="47" t="str">
        <f>HYPERLINK("#AML.07.06!$A$1", "AML.07.06")</f>
        <v>AML.07.06</v>
      </c>
      <c r="G38" s="47" t="str">
        <f t="shared" ref="G38:O38" si="12">HYPERLINK("#AML.07.06!$A$1", "AML.07.06")</f>
        <v>AML.07.06</v>
      </c>
      <c r="H38" s="47" t="str">
        <f t="shared" si="12"/>
        <v>AML.07.06</v>
      </c>
      <c r="I38" s="47" t="str">
        <f t="shared" si="12"/>
        <v>AML.07.06</v>
      </c>
      <c r="J38" s="47" t="str">
        <f t="shared" si="12"/>
        <v>AML.07.06</v>
      </c>
      <c r="K38" s="47" t="str">
        <f t="shared" si="12"/>
        <v>AML.07.06</v>
      </c>
      <c r="L38" s="47" t="str">
        <f t="shared" si="12"/>
        <v>AML.07.06</v>
      </c>
      <c r="M38" s="47" t="str">
        <f t="shared" si="12"/>
        <v>AML.07.06</v>
      </c>
      <c r="N38" s="47" t="str">
        <f t="shared" si="12"/>
        <v>AML.07.06</v>
      </c>
      <c r="O38" s="47" t="str">
        <f t="shared" si="12"/>
        <v>AML.07.06</v>
      </c>
    </row>
    <row r="39" spans="2:15" x14ac:dyDescent="0.3">
      <c r="B39" s="87" t="s">
        <v>80</v>
      </c>
      <c r="C39" s="99"/>
      <c r="D39" s="88" t="s">
        <v>81</v>
      </c>
      <c r="E39" s="87" t="s">
        <v>415</v>
      </c>
      <c r="F39" s="47" t="str">
        <f>HYPERLINK("#AML.07.07!$A$1", "AML.07.07")</f>
        <v>AML.07.07</v>
      </c>
      <c r="G39" s="47" t="str">
        <f t="shared" ref="G39:O39" si="13">HYPERLINK("#AML.07.07!$A$1", "AML.07.07")</f>
        <v>AML.07.07</v>
      </c>
      <c r="H39" s="47" t="str">
        <f t="shared" si="13"/>
        <v>AML.07.07</v>
      </c>
      <c r="I39" s="47" t="str">
        <f t="shared" si="13"/>
        <v>AML.07.07</v>
      </c>
      <c r="J39" s="47" t="str">
        <f t="shared" si="13"/>
        <v>AML.07.07</v>
      </c>
      <c r="K39" s="47" t="str">
        <f t="shared" si="13"/>
        <v>AML.07.07</v>
      </c>
      <c r="L39" s="47" t="str">
        <f t="shared" si="13"/>
        <v>AML.07.07</v>
      </c>
      <c r="M39" s="47" t="str">
        <f t="shared" si="13"/>
        <v>AML.07.07</v>
      </c>
      <c r="N39" s="47" t="str">
        <f t="shared" si="13"/>
        <v>AML.07.07</v>
      </c>
      <c r="O39" s="47" t="str">
        <f t="shared" si="13"/>
        <v>AML.07.07</v>
      </c>
    </row>
  </sheetData>
  <mergeCells count="5">
    <mergeCell ref="D2:O2"/>
    <mergeCell ref="C8:C9"/>
    <mergeCell ref="C11:C16"/>
    <mergeCell ref="C17:C30"/>
    <mergeCell ref="C33:C39"/>
  </mergeCells>
  <phoneticPr fontId="6" type="noConversion"/>
  <pageMargins left="0.7" right="0.7" top="0.75" bottom="0.75" header="0.3" footer="0.3"/>
  <pageSetup scale="57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DB3EF-8A30-40B2-90CB-FA60A9EEF2C6}">
  <sheetPr codeName="Sheet2"/>
  <dimension ref="A1:AI6"/>
  <sheetViews>
    <sheetView zoomScaleNormal="100" workbookViewId="0">
      <selection activeCell="E20" sqref="E20"/>
    </sheetView>
  </sheetViews>
  <sheetFormatPr defaultRowHeight="14.4" x14ac:dyDescent="0.3"/>
  <cols>
    <col min="1" max="1" width="30.21875" style="1" customWidth="1"/>
    <col min="2" max="2" width="21.21875" customWidth="1"/>
    <col min="3" max="3" width="22" style="4" customWidth="1"/>
    <col min="4" max="4" width="19.21875" style="4" customWidth="1"/>
    <col min="5" max="5" width="27.21875" style="4" customWidth="1"/>
    <col min="6" max="6" width="24.77734375" style="4" customWidth="1"/>
    <col min="7" max="7" width="18.21875" bestFit="1" customWidth="1"/>
    <col min="8" max="26" width="15.77734375" bestFit="1" customWidth="1"/>
  </cols>
  <sheetData>
    <row r="1" spans="1:35" s="1" customFormat="1" ht="40.200000000000003" customHeight="1" x14ac:dyDescent="0.3">
      <c r="B1" s="103"/>
      <c r="C1" s="103"/>
      <c r="D1" s="103"/>
      <c r="E1" s="103"/>
      <c r="F1" s="103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ht="47.7" customHeight="1" x14ac:dyDescent="0.3">
      <c r="A2" s="53"/>
      <c r="B2" s="8" t="s">
        <v>82</v>
      </c>
      <c r="C2" s="62"/>
      <c r="D2" s="104" t="s">
        <v>83</v>
      </c>
      <c r="E2" s="104"/>
      <c r="F2" s="10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5" s="1" customFormat="1" ht="122.25" customHeight="1" x14ac:dyDescent="0.3">
      <c r="A3" s="53" t="s">
        <v>84</v>
      </c>
      <c r="B3" s="105"/>
      <c r="C3" s="105"/>
      <c r="D3" s="105"/>
      <c r="E3" s="106"/>
      <c r="F3" s="10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/>
      <c r="AB3"/>
      <c r="AC3"/>
      <c r="AD3"/>
      <c r="AE3"/>
      <c r="AF3"/>
      <c r="AG3"/>
      <c r="AH3"/>
      <c r="AI3"/>
    </row>
    <row r="4" spans="1:35" s="1" customFormat="1" ht="19.5" customHeight="1" x14ac:dyDescent="0.3">
      <c r="A4" s="53"/>
      <c r="B4" s="107" t="s">
        <v>85</v>
      </c>
      <c r="C4" s="108"/>
      <c r="D4" s="108"/>
      <c r="E4" s="108"/>
      <c r="F4" s="108"/>
      <c r="G4" s="101"/>
      <c r="H4" s="109" t="s">
        <v>86</v>
      </c>
      <c r="I4" s="108"/>
      <c r="J4" s="108"/>
      <c r="K4" s="108"/>
      <c r="L4" s="108"/>
      <c r="M4" s="110"/>
      <c r="N4" s="27"/>
      <c r="O4" s="100" t="s">
        <v>87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2"/>
      <c r="AA4"/>
      <c r="AB4"/>
      <c r="AC4"/>
      <c r="AD4"/>
      <c r="AE4"/>
      <c r="AF4"/>
      <c r="AG4"/>
      <c r="AH4"/>
      <c r="AI4"/>
    </row>
    <row r="5" spans="1:35" s="3" customFormat="1" ht="51.75" customHeight="1" x14ac:dyDescent="0.3">
      <c r="A5" s="55" t="s">
        <v>88</v>
      </c>
      <c r="B5" s="31" t="s">
        <v>89</v>
      </c>
      <c r="C5" s="31" t="s">
        <v>90</v>
      </c>
      <c r="D5" s="31" t="s">
        <v>91</v>
      </c>
      <c r="E5" s="31" t="s">
        <v>92</v>
      </c>
      <c r="F5" s="31" t="s">
        <v>93</v>
      </c>
      <c r="G5" s="32" t="s">
        <v>94</v>
      </c>
      <c r="H5" s="24" t="s">
        <v>95</v>
      </c>
      <c r="I5" s="25" t="s">
        <v>96</v>
      </c>
      <c r="J5" s="33" t="s">
        <v>97</v>
      </c>
      <c r="K5" s="31" t="s">
        <v>98</v>
      </c>
      <c r="L5" s="34" t="s">
        <v>99</v>
      </c>
      <c r="M5" s="35" t="s">
        <v>100</v>
      </c>
      <c r="N5" s="35" t="s">
        <v>101</v>
      </c>
      <c r="O5" s="37" t="s">
        <v>102</v>
      </c>
      <c r="P5" s="36" t="s">
        <v>103</v>
      </c>
      <c r="Q5" s="36" t="s">
        <v>104</v>
      </c>
      <c r="R5" s="36" t="s">
        <v>105</v>
      </c>
      <c r="S5" s="36" t="s">
        <v>106</v>
      </c>
      <c r="T5" s="36" t="s">
        <v>107</v>
      </c>
      <c r="U5" s="36" t="s">
        <v>108</v>
      </c>
      <c r="V5" s="36" t="s">
        <v>109</v>
      </c>
      <c r="W5" s="36" t="s">
        <v>110</v>
      </c>
      <c r="X5" s="36" t="s">
        <v>111</v>
      </c>
      <c r="Y5" s="36" t="s">
        <v>112</v>
      </c>
      <c r="Z5" s="26" t="s">
        <v>113</v>
      </c>
      <c r="AA5"/>
      <c r="AB5"/>
      <c r="AC5"/>
      <c r="AD5"/>
      <c r="AE5"/>
      <c r="AF5"/>
      <c r="AG5"/>
      <c r="AH5"/>
      <c r="AI5"/>
    </row>
    <row r="6" spans="1:35" ht="23.25" customHeight="1" x14ac:dyDescent="0.3">
      <c r="A6" s="55" t="s">
        <v>114</v>
      </c>
      <c r="B6" s="63" t="s">
        <v>115</v>
      </c>
      <c r="C6" s="64" t="s">
        <v>116</v>
      </c>
      <c r="D6" s="64" t="s">
        <v>117</v>
      </c>
      <c r="E6" s="64" t="s">
        <v>118</v>
      </c>
      <c r="F6" s="64" t="s">
        <v>119</v>
      </c>
      <c r="G6" s="64" t="s">
        <v>120</v>
      </c>
      <c r="H6" s="65" t="s">
        <v>121</v>
      </c>
      <c r="I6" s="64" t="s">
        <v>122</v>
      </c>
      <c r="J6" s="64" t="s">
        <v>123</v>
      </c>
      <c r="K6" s="64" t="s">
        <v>124</v>
      </c>
      <c r="L6" s="64" t="s">
        <v>125</v>
      </c>
      <c r="M6" s="64" t="s">
        <v>126</v>
      </c>
      <c r="N6" s="64" t="s">
        <v>127</v>
      </c>
      <c r="O6" s="64" t="s">
        <v>128</v>
      </c>
      <c r="P6" s="64" t="s">
        <v>129</v>
      </c>
      <c r="Q6" s="64" t="s">
        <v>130</v>
      </c>
      <c r="R6" s="64" t="s">
        <v>131</v>
      </c>
      <c r="S6" s="64" t="s">
        <v>132</v>
      </c>
      <c r="T6" s="64" t="s">
        <v>133</v>
      </c>
      <c r="U6" s="64" t="s">
        <v>134</v>
      </c>
      <c r="V6" s="64" t="s">
        <v>135</v>
      </c>
      <c r="W6" s="64" t="s">
        <v>136</v>
      </c>
      <c r="X6" s="64" t="s">
        <v>137</v>
      </c>
      <c r="Y6" s="64" t="s">
        <v>138</v>
      </c>
      <c r="Z6" s="64" t="s">
        <v>139</v>
      </c>
    </row>
  </sheetData>
  <mergeCells count="6">
    <mergeCell ref="O4:Z4"/>
    <mergeCell ref="B1:F1"/>
    <mergeCell ref="D2:F2"/>
    <mergeCell ref="B3:F3"/>
    <mergeCell ref="B4:G4"/>
    <mergeCell ref="H4:M4"/>
  </mergeCells>
  <phoneticPr fontId="6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61ADD-6873-4492-BC68-96FA5E07E659}">
  <sheetPr codeName="Sheet3">
    <pageSetUpPr fitToPage="1"/>
  </sheetPr>
  <dimension ref="A1:AM1108"/>
  <sheetViews>
    <sheetView workbookViewId="0">
      <selection activeCell="D2" sqref="D2:E2"/>
    </sheetView>
  </sheetViews>
  <sheetFormatPr defaultRowHeight="14.4" x14ac:dyDescent="0.3"/>
  <cols>
    <col min="1" max="1" width="30.21875" style="1" customWidth="1"/>
    <col min="2" max="2" width="21.21875" customWidth="1"/>
    <col min="3" max="3" width="22" style="4" customWidth="1"/>
    <col min="4" max="4" width="22.44140625" style="4" customWidth="1"/>
    <col min="5" max="5" width="26.44140625" customWidth="1"/>
  </cols>
  <sheetData>
    <row r="1" spans="1:39" s="1" customFormat="1" ht="40.200000000000003" customHeight="1" x14ac:dyDescent="0.3">
      <c r="B1" s="103"/>
      <c r="C1" s="103"/>
      <c r="D1" s="103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</row>
    <row r="2" spans="1:39" ht="47.7" customHeight="1" x14ac:dyDescent="0.3">
      <c r="A2" s="53"/>
      <c r="B2" s="8" t="s">
        <v>82</v>
      </c>
      <c r="C2" s="62"/>
      <c r="D2" s="111" t="s">
        <v>140</v>
      </c>
      <c r="E2" s="111"/>
      <c r="F2" s="3"/>
      <c r="G2" s="3"/>
      <c r="H2" s="3"/>
      <c r="I2" s="3"/>
    </row>
    <row r="3" spans="1:39" s="1" customFormat="1" ht="85.2" customHeight="1" x14ac:dyDescent="0.3">
      <c r="A3" s="53" t="s">
        <v>84</v>
      </c>
      <c r="B3" s="105"/>
      <c r="C3" s="105"/>
      <c r="D3" s="105"/>
      <c r="E3" s="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</row>
    <row r="4" spans="1:39" s="1" customFormat="1" ht="19.5" customHeight="1" x14ac:dyDescent="0.3">
      <c r="B4" s="107" t="s">
        <v>17</v>
      </c>
      <c r="C4" s="101"/>
      <c r="D4" s="101"/>
      <c r="E4" s="101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</row>
    <row r="5" spans="1:39" s="3" customFormat="1" ht="57.75" hidden="1" customHeight="1" x14ac:dyDescent="0.3">
      <c r="A5" s="80" t="s">
        <v>88</v>
      </c>
      <c r="B5" s="83" t="s">
        <v>141</v>
      </c>
      <c r="C5" s="25" t="s">
        <v>142</v>
      </c>
      <c r="D5" s="25" t="s">
        <v>143</v>
      </c>
      <c r="E5" s="25" t="s">
        <v>144</v>
      </c>
      <c r="F5"/>
      <c r="G5"/>
      <c r="H5"/>
      <c r="I5"/>
      <c r="J5"/>
      <c r="K5"/>
    </row>
    <row r="6" spans="1:39" ht="23.25" customHeight="1" x14ac:dyDescent="0.3">
      <c r="A6" s="80" t="s">
        <v>145</v>
      </c>
      <c r="B6" s="31" t="s">
        <v>141</v>
      </c>
      <c r="C6" s="31" t="s">
        <v>142</v>
      </c>
      <c r="D6" s="31" t="s">
        <v>143</v>
      </c>
      <c r="E6" s="31" t="s">
        <v>144</v>
      </c>
    </row>
    <row r="7" spans="1:39" x14ac:dyDescent="0.3">
      <c r="A7" s="80" t="s">
        <v>114</v>
      </c>
      <c r="B7" s="81" t="s">
        <v>115</v>
      </c>
      <c r="C7" s="82" t="s">
        <v>116</v>
      </c>
      <c r="D7" s="81" t="s">
        <v>117</v>
      </c>
      <c r="E7" s="82" t="s">
        <v>118</v>
      </c>
    </row>
    <row r="295" spans="3:4" x14ac:dyDescent="0.3">
      <c r="C295" s="7"/>
      <c r="D295" s="7"/>
    </row>
    <row r="995" spans="2:4" x14ac:dyDescent="0.3">
      <c r="B995" s="40" t="s">
        <v>146</v>
      </c>
      <c r="C995" s="40" t="s">
        <v>146</v>
      </c>
      <c r="D995" s="40" t="s">
        <v>146</v>
      </c>
    </row>
    <row r="996" spans="2:4" x14ac:dyDescent="0.3">
      <c r="B996" s="1"/>
      <c r="C996" s="1"/>
      <c r="D996" s="1"/>
    </row>
    <row r="997" spans="2:4" x14ac:dyDescent="0.3">
      <c r="B997" s="1"/>
      <c r="C997" s="1"/>
      <c r="D997" s="1"/>
    </row>
    <row r="998" spans="2:4" x14ac:dyDescent="0.3">
      <c r="B998" s="1"/>
      <c r="C998" s="1"/>
      <c r="D998" s="1"/>
    </row>
    <row r="999" spans="2:4" x14ac:dyDescent="0.3">
      <c r="B999" s="1"/>
      <c r="C999" s="1"/>
      <c r="D999" s="1"/>
    </row>
    <row r="1000" spans="2:4" x14ac:dyDescent="0.3">
      <c r="B1000" s="1"/>
      <c r="C1000" s="1"/>
      <c r="D1000" s="1"/>
    </row>
    <row r="1001" spans="2:4" x14ac:dyDescent="0.3">
      <c r="B1001" s="1"/>
      <c r="C1001" s="1"/>
      <c r="D1001" s="1"/>
    </row>
    <row r="1002" spans="2:4" x14ac:dyDescent="0.3">
      <c r="B1002" s="1"/>
      <c r="C1002" s="1"/>
      <c r="D1002" s="1"/>
    </row>
    <row r="1003" spans="2:4" x14ac:dyDescent="0.3">
      <c r="B1003" s="1"/>
      <c r="C1003" s="1"/>
      <c r="D1003" s="1"/>
    </row>
    <row r="1004" spans="2:4" x14ac:dyDescent="0.3">
      <c r="B1004" s="1"/>
      <c r="C1004" s="1"/>
      <c r="D1004" s="1"/>
    </row>
    <row r="1005" spans="2:4" x14ac:dyDescent="0.3">
      <c r="B1005" s="1"/>
      <c r="C1005" s="1"/>
      <c r="D1005" s="1"/>
    </row>
    <row r="1006" spans="2:4" x14ac:dyDescent="0.3">
      <c r="B1006" s="1"/>
      <c r="C1006" s="1"/>
      <c r="D1006" s="1"/>
    </row>
    <row r="1007" spans="2:4" x14ac:dyDescent="0.3">
      <c r="B1007" s="1"/>
      <c r="C1007" s="1"/>
      <c r="D1007" s="1"/>
    </row>
    <row r="1008" spans="2:4" x14ac:dyDescent="0.3">
      <c r="B1008" s="1"/>
      <c r="C1008" s="1"/>
      <c r="D1008" s="1"/>
    </row>
    <row r="1009" spans="2:4" x14ac:dyDescent="0.3">
      <c r="B1009" s="1"/>
      <c r="C1009" s="1"/>
      <c r="D1009" s="1"/>
    </row>
    <row r="1010" spans="2:4" x14ac:dyDescent="0.3">
      <c r="B1010" s="1"/>
      <c r="C1010" s="1"/>
      <c r="D1010" s="1"/>
    </row>
    <row r="1011" spans="2:4" x14ac:dyDescent="0.3">
      <c r="B1011" s="1"/>
      <c r="C1011" s="1"/>
      <c r="D1011" s="1"/>
    </row>
    <row r="1012" spans="2:4" x14ac:dyDescent="0.3">
      <c r="B1012" s="1"/>
      <c r="C1012" s="1"/>
      <c r="D1012" s="1"/>
    </row>
    <row r="1013" spans="2:4" x14ac:dyDescent="0.3">
      <c r="B1013" s="1"/>
      <c r="C1013" s="1"/>
      <c r="D1013" s="1"/>
    </row>
    <row r="1014" spans="2:4" x14ac:dyDescent="0.3">
      <c r="B1014" s="1"/>
      <c r="C1014" s="1"/>
      <c r="D1014" s="1"/>
    </row>
    <row r="1015" spans="2:4" x14ac:dyDescent="0.3">
      <c r="B1015" s="1"/>
      <c r="C1015" s="1"/>
      <c r="D1015" s="1"/>
    </row>
    <row r="1016" spans="2:4" x14ac:dyDescent="0.3">
      <c r="B1016" s="1"/>
      <c r="C1016" s="1"/>
      <c r="D1016" s="1"/>
    </row>
    <row r="1017" spans="2:4" x14ac:dyDescent="0.3">
      <c r="B1017" s="1"/>
      <c r="C1017" s="1"/>
      <c r="D1017" s="1"/>
    </row>
    <row r="1018" spans="2:4" x14ac:dyDescent="0.3">
      <c r="B1018" s="1"/>
      <c r="C1018" s="1"/>
      <c r="D1018" s="1"/>
    </row>
    <row r="1019" spans="2:4" x14ac:dyDescent="0.3">
      <c r="B1019" s="1"/>
      <c r="C1019" s="1"/>
      <c r="D1019" s="1"/>
    </row>
    <row r="1020" spans="2:4" x14ac:dyDescent="0.3">
      <c r="B1020" s="1"/>
      <c r="C1020" s="1"/>
      <c r="D1020" s="1"/>
    </row>
    <row r="1021" spans="2:4" x14ac:dyDescent="0.3">
      <c r="B1021" s="1"/>
      <c r="C1021" s="1"/>
      <c r="D1021" s="1"/>
    </row>
    <row r="1022" spans="2:4" x14ac:dyDescent="0.3">
      <c r="B1022" s="1"/>
      <c r="C1022" s="1"/>
      <c r="D1022" s="1"/>
    </row>
    <row r="1023" spans="2:4" x14ac:dyDescent="0.3">
      <c r="B1023" s="1"/>
      <c r="C1023" s="1"/>
      <c r="D1023" s="1"/>
    </row>
    <row r="1024" spans="2:4" x14ac:dyDescent="0.3">
      <c r="B1024" s="1"/>
      <c r="C1024" s="1"/>
      <c r="D1024" s="1"/>
    </row>
    <row r="1025" spans="2:4" x14ac:dyDescent="0.3">
      <c r="B1025" s="1"/>
      <c r="C1025" s="1"/>
      <c r="D1025" s="1"/>
    </row>
    <row r="1026" spans="2:4" x14ac:dyDescent="0.3">
      <c r="B1026" s="1"/>
      <c r="C1026" s="1"/>
      <c r="D1026" s="1"/>
    </row>
    <row r="1027" spans="2:4" x14ac:dyDescent="0.3">
      <c r="B1027" s="1"/>
      <c r="C1027" s="1"/>
      <c r="D1027" s="1"/>
    </row>
    <row r="1028" spans="2:4" x14ac:dyDescent="0.3">
      <c r="B1028" s="1"/>
      <c r="C1028" s="1"/>
      <c r="D1028" s="1"/>
    </row>
    <row r="1029" spans="2:4" x14ac:dyDescent="0.3">
      <c r="B1029" s="1"/>
      <c r="C1029" s="1"/>
      <c r="D1029" s="1"/>
    </row>
    <row r="1030" spans="2:4" x14ac:dyDescent="0.3">
      <c r="B1030" s="1"/>
      <c r="C1030" s="1"/>
      <c r="D1030" s="1"/>
    </row>
    <row r="1031" spans="2:4" x14ac:dyDescent="0.3">
      <c r="B1031" s="1"/>
      <c r="C1031" s="1"/>
      <c r="D1031" s="1"/>
    </row>
    <row r="1032" spans="2:4" x14ac:dyDescent="0.3">
      <c r="B1032" s="1"/>
      <c r="C1032" s="1"/>
      <c r="D1032" s="1"/>
    </row>
    <row r="1033" spans="2:4" x14ac:dyDescent="0.3">
      <c r="B1033" s="1"/>
      <c r="C1033" s="1"/>
      <c r="D1033" s="1"/>
    </row>
    <row r="1034" spans="2:4" x14ac:dyDescent="0.3">
      <c r="B1034" s="1"/>
      <c r="C1034" s="1"/>
      <c r="D1034" s="1"/>
    </row>
    <row r="1035" spans="2:4" x14ac:dyDescent="0.3">
      <c r="B1035" s="1"/>
      <c r="C1035" s="1"/>
      <c r="D1035" s="1"/>
    </row>
    <row r="1036" spans="2:4" x14ac:dyDescent="0.3">
      <c r="B1036" s="1"/>
      <c r="C1036" s="1"/>
      <c r="D1036" s="1"/>
    </row>
    <row r="1037" spans="2:4" x14ac:dyDescent="0.3">
      <c r="B1037" s="1"/>
      <c r="C1037" s="1"/>
      <c r="D1037" s="1"/>
    </row>
    <row r="1038" spans="2:4" x14ac:dyDescent="0.3">
      <c r="B1038" s="1"/>
      <c r="C1038" s="1"/>
      <c r="D1038" s="1"/>
    </row>
    <row r="1039" spans="2:4" x14ac:dyDescent="0.3">
      <c r="B1039" s="1"/>
      <c r="C1039" s="1"/>
      <c r="D1039" s="1"/>
    </row>
    <row r="1040" spans="2:4" x14ac:dyDescent="0.3">
      <c r="B1040" s="1"/>
      <c r="C1040" s="1"/>
      <c r="D1040" s="1"/>
    </row>
    <row r="1041" spans="2:4" x14ac:dyDescent="0.3">
      <c r="B1041" s="1"/>
      <c r="C1041" s="1"/>
      <c r="D1041" s="1"/>
    </row>
    <row r="1042" spans="2:4" x14ac:dyDescent="0.3">
      <c r="B1042" s="1"/>
      <c r="C1042" s="1"/>
      <c r="D1042" s="1"/>
    </row>
    <row r="1043" spans="2:4" x14ac:dyDescent="0.3">
      <c r="B1043" s="1"/>
      <c r="C1043" s="1"/>
      <c r="D1043" s="1"/>
    </row>
    <row r="1044" spans="2:4" x14ac:dyDescent="0.3">
      <c r="B1044" s="1"/>
      <c r="C1044" s="1"/>
      <c r="D1044" s="1"/>
    </row>
    <row r="1045" spans="2:4" x14ac:dyDescent="0.3">
      <c r="B1045" s="1"/>
      <c r="C1045" s="1"/>
      <c r="D1045" s="1"/>
    </row>
    <row r="1046" spans="2:4" x14ac:dyDescent="0.3">
      <c r="B1046" s="1"/>
      <c r="C1046" s="1"/>
      <c r="D1046" s="1"/>
    </row>
    <row r="1047" spans="2:4" x14ac:dyDescent="0.3">
      <c r="B1047" s="1"/>
      <c r="C1047" s="1"/>
      <c r="D1047" s="1"/>
    </row>
    <row r="1048" spans="2:4" x14ac:dyDescent="0.3">
      <c r="B1048" s="1"/>
      <c r="C1048" s="1"/>
      <c r="D1048" s="1"/>
    </row>
    <row r="1049" spans="2:4" x14ac:dyDescent="0.3">
      <c r="B1049" s="1"/>
      <c r="C1049" s="1"/>
      <c r="D1049" s="1"/>
    </row>
    <row r="1050" spans="2:4" x14ac:dyDescent="0.3">
      <c r="B1050" s="1"/>
      <c r="C1050" s="1"/>
      <c r="D1050" s="1"/>
    </row>
    <row r="1051" spans="2:4" x14ac:dyDescent="0.3">
      <c r="B1051" s="1"/>
      <c r="C1051" s="1"/>
      <c r="D1051" s="1"/>
    </row>
    <row r="1052" spans="2:4" x14ac:dyDescent="0.3">
      <c r="B1052" s="1"/>
      <c r="C1052" s="1"/>
      <c r="D1052" s="1"/>
    </row>
    <row r="1053" spans="2:4" x14ac:dyDescent="0.3">
      <c r="B1053" s="1"/>
      <c r="C1053" s="1"/>
      <c r="D1053" s="1"/>
    </row>
    <row r="1054" spans="2:4" x14ac:dyDescent="0.3">
      <c r="B1054" s="1"/>
      <c r="C1054" s="1"/>
      <c r="D1054" s="1"/>
    </row>
    <row r="1055" spans="2:4" x14ac:dyDescent="0.3">
      <c r="B1055" s="1"/>
      <c r="C1055" s="1"/>
      <c r="D1055" s="1"/>
    </row>
    <row r="1056" spans="2:4" x14ac:dyDescent="0.3">
      <c r="B1056" s="1"/>
      <c r="C1056" s="1"/>
      <c r="D1056" s="1"/>
    </row>
    <row r="1057" spans="2:4" x14ac:dyDescent="0.3">
      <c r="B1057" s="1"/>
      <c r="C1057" s="1"/>
      <c r="D1057" s="1"/>
    </row>
    <row r="1058" spans="2:4" x14ac:dyDescent="0.3">
      <c r="B1058" s="1"/>
      <c r="C1058" s="1"/>
      <c r="D1058" s="1"/>
    </row>
    <row r="1059" spans="2:4" x14ac:dyDescent="0.3">
      <c r="B1059" s="1"/>
      <c r="C1059" s="1"/>
      <c r="D1059" s="1"/>
    </row>
    <row r="1060" spans="2:4" x14ac:dyDescent="0.3">
      <c r="B1060" s="1"/>
      <c r="C1060" s="1"/>
      <c r="D1060" s="1"/>
    </row>
    <row r="1061" spans="2:4" x14ac:dyDescent="0.3">
      <c r="B1061" s="1"/>
      <c r="C1061" s="1"/>
      <c r="D1061" s="1"/>
    </row>
    <row r="1062" spans="2:4" x14ac:dyDescent="0.3">
      <c r="B1062" s="1"/>
      <c r="C1062" s="1"/>
      <c r="D1062" s="1"/>
    </row>
    <row r="1063" spans="2:4" x14ac:dyDescent="0.3">
      <c r="B1063" s="1"/>
      <c r="C1063" s="1"/>
      <c r="D1063" s="1"/>
    </row>
    <row r="1064" spans="2:4" x14ac:dyDescent="0.3">
      <c r="B1064" s="1"/>
      <c r="C1064" s="1"/>
      <c r="D1064" s="1"/>
    </row>
    <row r="1065" spans="2:4" x14ac:dyDescent="0.3">
      <c r="B1065" s="1"/>
      <c r="C1065" s="1"/>
      <c r="D1065" s="1"/>
    </row>
    <row r="1066" spans="2:4" x14ac:dyDescent="0.3">
      <c r="B1066" s="1"/>
      <c r="C1066" s="1"/>
      <c r="D1066" s="1"/>
    </row>
    <row r="1067" spans="2:4" x14ac:dyDescent="0.3">
      <c r="B1067" s="1"/>
      <c r="C1067" s="1"/>
      <c r="D1067" s="1"/>
    </row>
    <row r="1068" spans="2:4" x14ac:dyDescent="0.3">
      <c r="B1068" s="1"/>
      <c r="C1068" s="1"/>
      <c r="D1068" s="1"/>
    </row>
    <row r="1069" spans="2:4" x14ac:dyDescent="0.3">
      <c r="B1069" s="1"/>
      <c r="C1069" s="1"/>
      <c r="D1069" s="1"/>
    </row>
    <row r="1070" spans="2:4" x14ac:dyDescent="0.3">
      <c r="B1070" s="1"/>
      <c r="C1070" s="1"/>
      <c r="D1070" s="1"/>
    </row>
    <row r="1071" spans="2:4" x14ac:dyDescent="0.3">
      <c r="B1071" s="1"/>
      <c r="C1071" s="1"/>
      <c r="D1071" s="1"/>
    </row>
    <row r="1072" spans="2:4" x14ac:dyDescent="0.3">
      <c r="B1072" s="1"/>
      <c r="C1072" s="1"/>
      <c r="D1072" s="1"/>
    </row>
    <row r="1073" spans="2:4" x14ac:dyDescent="0.3">
      <c r="B1073" s="1"/>
      <c r="C1073" s="1"/>
      <c r="D1073" s="1"/>
    </row>
    <row r="1074" spans="2:4" x14ac:dyDescent="0.3">
      <c r="B1074" s="1"/>
      <c r="C1074" s="1"/>
      <c r="D1074" s="1"/>
    </row>
    <row r="1075" spans="2:4" x14ac:dyDescent="0.3">
      <c r="B1075" s="1"/>
      <c r="C1075" s="1"/>
      <c r="D1075" s="1"/>
    </row>
    <row r="1076" spans="2:4" x14ac:dyDescent="0.3">
      <c r="B1076" s="1"/>
      <c r="C1076" s="1"/>
      <c r="D1076" s="1"/>
    </row>
    <row r="1077" spans="2:4" x14ac:dyDescent="0.3">
      <c r="B1077" s="1"/>
      <c r="C1077" s="1"/>
      <c r="D1077" s="1"/>
    </row>
    <row r="1078" spans="2:4" x14ac:dyDescent="0.3">
      <c r="B1078" s="1"/>
      <c r="C1078" s="1"/>
      <c r="D1078" s="1"/>
    </row>
    <row r="1079" spans="2:4" x14ac:dyDescent="0.3">
      <c r="B1079" s="1"/>
      <c r="C1079" s="1"/>
      <c r="D1079" s="1"/>
    </row>
    <row r="1080" spans="2:4" x14ac:dyDescent="0.3">
      <c r="B1080" s="1"/>
      <c r="C1080" s="1"/>
      <c r="D1080" s="1"/>
    </row>
    <row r="1081" spans="2:4" x14ac:dyDescent="0.3">
      <c r="B1081" s="1"/>
      <c r="C1081" s="1"/>
      <c r="D1081" s="1"/>
    </row>
    <row r="1082" spans="2:4" x14ac:dyDescent="0.3">
      <c r="B1082" s="1"/>
      <c r="C1082" s="1"/>
      <c r="D1082" s="1"/>
    </row>
    <row r="1083" spans="2:4" x14ac:dyDescent="0.3">
      <c r="B1083" s="1"/>
      <c r="C1083" s="1"/>
      <c r="D1083" s="1"/>
    </row>
    <row r="1084" spans="2:4" x14ac:dyDescent="0.3">
      <c r="B1084" s="1"/>
      <c r="C1084" s="1"/>
      <c r="D1084" s="1"/>
    </row>
    <row r="1085" spans="2:4" x14ac:dyDescent="0.3">
      <c r="B1085" s="1"/>
      <c r="C1085" s="1"/>
      <c r="D1085" s="1"/>
    </row>
    <row r="1086" spans="2:4" x14ac:dyDescent="0.3">
      <c r="B1086" s="1"/>
      <c r="C1086" s="1"/>
      <c r="D1086" s="1"/>
    </row>
    <row r="1087" spans="2:4" x14ac:dyDescent="0.3">
      <c r="B1087" s="1"/>
      <c r="C1087" s="1"/>
      <c r="D1087" s="1"/>
    </row>
    <row r="1088" spans="2:4" x14ac:dyDescent="0.3">
      <c r="B1088" s="1"/>
      <c r="C1088" s="1"/>
      <c r="D1088" s="1"/>
    </row>
    <row r="1089" spans="2:4" x14ac:dyDescent="0.3">
      <c r="B1089" s="1"/>
      <c r="C1089" s="1"/>
      <c r="D1089" s="1"/>
    </row>
    <row r="1090" spans="2:4" x14ac:dyDescent="0.3">
      <c r="B1090" s="1"/>
      <c r="C1090" s="1"/>
      <c r="D1090" s="1"/>
    </row>
    <row r="1091" spans="2:4" x14ac:dyDescent="0.3">
      <c r="B1091" s="1"/>
      <c r="C1091" s="1"/>
      <c r="D1091" s="1"/>
    </row>
    <row r="1092" spans="2:4" x14ac:dyDescent="0.3">
      <c r="B1092" s="1"/>
      <c r="C1092" s="1"/>
      <c r="D1092" s="1"/>
    </row>
    <row r="1093" spans="2:4" x14ac:dyDescent="0.3">
      <c r="B1093" s="1"/>
      <c r="C1093" s="1"/>
      <c r="D1093" s="1"/>
    </row>
    <row r="1094" spans="2:4" x14ac:dyDescent="0.3">
      <c r="B1094" s="1"/>
      <c r="C1094" s="1"/>
      <c r="D1094" s="1"/>
    </row>
    <row r="1095" spans="2:4" x14ac:dyDescent="0.3">
      <c r="B1095" s="1"/>
      <c r="C1095" s="1"/>
      <c r="D1095" s="1"/>
    </row>
    <row r="1096" spans="2:4" x14ac:dyDescent="0.3">
      <c r="B1096" s="1"/>
      <c r="C1096" s="1"/>
      <c r="D1096" s="1"/>
    </row>
    <row r="1097" spans="2:4" x14ac:dyDescent="0.3">
      <c r="B1097" s="1"/>
      <c r="C1097" s="1"/>
      <c r="D1097" s="1"/>
    </row>
    <row r="1098" spans="2:4" x14ac:dyDescent="0.3">
      <c r="B1098" s="1"/>
      <c r="C1098" s="1"/>
      <c r="D1098" s="1"/>
    </row>
    <row r="1099" spans="2:4" x14ac:dyDescent="0.3">
      <c r="B1099" s="1"/>
      <c r="C1099" s="1"/>
      <c r="D1099" s="1"/>
    </row>
    <row r="1100" spans="2:4" x14ac:dyDescent="0.3">
      <c r="B1100" s="1"/>
      <c r="C1100" s="1"/>
      <c r="D1100" s="1"/>
    </row>
    <row r="1101" spans="2:4" x14ac:dyDescent="0.3">
      <c r="B1101" s="1"/>
      <c r="C1101" s="1"/>
      <c r="D1101" s="1"/>
    </row>
    <row r="1102" spans="2:4" x14ac:dyDescent="0.3">
      <c r="B1102" s="1"/>
      <c r="C1102" s="1"/>
      <c r="D1102" s="1"/>
    </row>
    <row r="1103" spans="2:4" x14ac:dyDescent="0.3">
      <c r="B1103" s="1"/>
      <c r="C1103" s="1"/>
      <c r="D1103" s="1"/>
    </row>
    <row r="1104" spans="2:4" x14ac:dyDescent="0.3">
      <c r="B1104" s="1"/>
      <c r="C1104" s="1"/>
      <c r="D1104" s="1"/>
    </row>
    <row r="1105" spans="2:4" x14ac:dyDescent="0.3">
      <c r="B1105" s="1"/>
      <c r="C1105" s="1"/>
      <c r="D1105" s="1"/>
    </row>
    <row r="1106" spans="2:4" x14ac:dyDescent="0.3">
      <c r="B1106" s="1"/>
      <c r="C1106" s="1"/>
      <c r="D1106" s="1"/>
    </row>
    <row r="1107" spans="2:4" x14ac:dyDescent="0.3">
      <c r="B1107" s="1"/>
      <c r="C1107" s="1"/>
      <c r="D1107" s="1"/>
    </row>
    <row r="1108" spans="2:4" x14ac:dyDescent="0.3">
      <c r="B1108" s="1"/>
      <c r="C1108" s="1"/>
      <c r="D1108" s="1"/>
    </row>
  </sheetData>
  <mergeCells count="4">
    <mergeCell ref="B1:D1"/>
    <mergeCell ref="B3:D3"/>
    <mergeCell ref="D2:E2"/>
    <mergeCell ref="B4:E4"/>
  </mergeCells>
  <phoneticPr fontId="6" type="noConversion"/>
  <conditionalFormatting sqref="B995:D995">
    <cfRule type="expression" dxfId="1" priority="1">
      <formula>MOD(ROW(),2)=0</formula>
    </cfRule>
  </conditionalFormatting>
  <conditionalFormatting sqref="C295:D295">
    <cfRule type="expression" dxfId="0" priority="3">
      <formula>MOD(ROW(),2)=0</formula>
    </cfRule>
  </conditionalFormatting>
  <dataValidations count="1">
    <dataValidation type="list" allowBlank="1" showInputMessage="1" showErrorMessage="1" sqref="B7:B994" xr:uid="{FD306477-8EEA-4F78-8A9F-DF4195A3444E}">
      <formula1>#REF!</formula1>
    </dataValidation>
  </dataValidations>
  <pageMargins left="0.7" right="0.7" top="0.75" bottom="0.75" header="0.3" footer="0.3"/>
  <pageSetup paperSize="9" scale="71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5698-A8B0-4FB5-B917-B8BAE3E10CFA}">
  <sheetPr codeName="Sheet10">
    <tabColor theme="9" tint="0.59999389629810485"/>
  </sheetPr>
  <dimension ref="A1:AR8"/>
  <sheetViews>
    <sheetView tabSelected="1" workbookViewId="0"/>
  </sheetViews>
  <sheetFormatPr defaultRowHeight="14.4" x14ac:dyDescent="0.3"/>
  <cols>
    <col min="1" max="1" width="30.21875" style="1" customWidth="1"/>
    <col min="2" max="2" width="15.77734375" customWidth="1"/>
    <col min="3" max="15" width="15.77734375" style="4" customWidth="1"/>
    <col min="16" max="16" width="9.21875" customWidth="1"/>
    <col min="24" max="24" width="9.77734375" bestFit="1" customWidth="1"/>
    <col min="31" max="31" width="9.88671875" customWidth="1"/>
  </cols>
  <sheetData>
    <row r="1" spans="1:44" s="1" customFormat="1" ht="40.200000000000003" customHeight="1" x14ac:dyDescent="0.3"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6"/>
      <c r="M1" s="6"/>
      <c r="N1" s="6"/>
      <c r="O1" s="6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</row>
    <row r="2" spans="1:44" ht="47.7" customHeight="1" x14ac:dyDescent="0.3">
      <c r="A2" s="53"/>
      <c r="B2" s="8" t="s">
        <v>82</v>
      </c>
      <c r="C2" s="51"/>
      <c r="D2" s="104" t="s">
        <v>147</v>
      </c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4" s="1" customFormat="1" ht="122.25" customHeight="1" x14ac:dyDescent="0.3">
      <c r="A3" s="53" t="s">
        <v>84</v>
      </c>
      <c r="B3" s="105"/>
      <c r="C3" s="105"/>
      <c r="D3" s="105"/>
      <c r="E3" s="106"/>
      <c r="F3" s="106"/>
      <c r="G3" s="106"/>
      <c r="H3" s="106"/>
      <c r="I3" s="106"/>
      <c r="J3" s="106"/>
      <c r="K3" s="106"/>
      <c r="L3" s="106"/>
      <c r="M3" s="53"/>
      <c r="N3" s="53"/>
      <c r="O3" s="67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</row>
    <row r="4" spans="1:44" s="1" customFormat="1" ht="19.5" customHeight="1" x14ac:dyDescent="0.3">
      <c r="A4" s="53"/>
      <c r="B4" s="112" t="s">
        <v>19</v>
      </c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</row>
    <row r="5" spans="1:44" s="3" customFormat="1" ht="98.55" customHeight="1" x14ac:dyDescent="0.3">
      <c r="A5" s="55" t="s">
        <v>88</v>
      </c>
      <c r="B5" s="17" t="s">
        <v>148</v>
      </c>
      <c r="C5" s="17" t="s">
        <v>149</v>
      </c>
      <c r="D5" s="17" t="s">
        <v>150</v>
      </c>
      <c r="E5" s="17" t="s">
        <v>151</v>
      </c>
      <c r="F5" s="17" t="s">
        <v>152</v>
      </c>
      <c r="G5" s="17" t="s">
        <v>153</v>
      </c>
      <c r="H5" s="17" t="s">
        <v>154</v>
      </c>
      <c r="I5" s="17" t="s">
        <v>155</v>
      </c>
      <c r="J5" s="17" t="s">
        <v>156</v>
      </c>
      <c r="K5" s="17" t="s">
        <v>157</v>
      </c>
      <c r="L5" s="17" t="s">
        <v>158</v>
      </c>
      <c r="M5" s="17" t="s">
        <v>159</v>
      </c>
      <c r="N5" s="17" t="s">
        <v>160</v>
      </c>
      <c r="O5" s="17" t="s">
        <v>161</v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 spans="1:44" ht="23.25" customHeight="1" x14ac:dyDescent="0.3">
      <c r="A6" s="55" t="s">
        <v>114</v>
      </c>
      <c r="B6" s="57" t="s">
        <v>115</v>
      </c>
      <c r="C6" s="58" t="s">
        <v>116</v>
      </c>
      <c r="D6" s="58" t="s">
        <v>117</v>
      </c>
      <c r="E6" s="58" t="s">
        <v>118</v>
      </c>
      <c r="F6" s="58" t="s">
        <v>119</v>
      </c>
      <c r="G6" s="58" t="s">
        <v>120</v>
      </c>
      <c r="H6" s="58" t="s">
        <v>121</v>
      </c>
      <c r="I6" s="58" t="s">
        <v>122</v>
      </c>
      <c r="J6" s="58" t="s">
        <v>123</v>
      </c>
      <c r="K6" s="58" t="s">
        <v>124</v>
      </c>
      <c r="L6" s="58" t="s">
        <v>125</v>
      </c>
      <c r="M6" s="58" t="s">
        <v>126</v>
      </c>
      <c r="N6" s="58" t="s">
        <v>127</v>
      </c>
      <c r="O6" s="58" t="s">
        <v>128</v>
      </c>
    </row>
    <row r="7" spans="1:44" x14ac:dyDescent="0.3">
      <c r="B7" t="s">
        <v>416</v>
      </c>
      <c r="C7" s="4" t="s">
        <v>417</v>
      </c>
      <c r="D7" s="4" t="s">
        <v>418</v>
      </c>
      <c r="E7" s="4" t="s">
        <v>419</v>
      </c>
      <c r="F7" s="4" t="s">
        <v>424</v>
      </c>
      <c r="G7" s="4" t="s">
        <v>422</v>
      </c>
      <c r="H7" s="4" t="s">
        <v>422</v>
      </c>
      <c r="I7" s="4" t="s">
        <v>420</v>
      </c>
      <c r="J7" s="4" t="s">
        <v>421</v>
      </c>
      <c r="K7" s="4" t="s">
        <v>423</v>
      </c>
      <c r="L7" s="4" t="s">
        <v>424</v>
      </c>
      <c r="M7" s="4" t="s">
        <v>424</v>
      </c>
      <c r="N7" s="4" t="s">
        <v>424</v>
      </c>
      <c r="O7" s="4" t="s">
        <v>424</v>
      </c>
    </row>
    <row r="8" spans="1:44" x14ac:dyDescent="0.3">
      <c r="A8" s="92"/>
    </row>
  </sheetData>
  <mergeCells count="4">
    <mergeCell ref="B1:K1"/>
    <mergeCell ref="B3:L3"/>
    <mergeCell ref="B4:O4"/>
    <mergeCell ref="D2:O2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EDEB-FC44-4A40-9200-9051EBA0DF79}">
  <sheetPr codeName="Sheet9">
    <tabColor theme="9" tint="0.59999389629810485"/>
  </sheetPr>
  <dimension ref="A1:AI7"/>
  <sheetViews>
    <sheetView topLeftCell="A2" workbookViewId="0">
      <selection activeCell="C7" sqref="C7"/>
    </sheetView>
  </sheetViews>
  <sheetFormatPr defaultRowHeight="14.4" x14ac:dyDescent="0.3"/>
  <cols>
    <col min="1" max="1" width="30.21875" style="1" customWidth="1"/>
    <col min="2" max="2" width="21.21875" customWidth="1"/>
    <col min="3" max="3" width="22" style="4" customWidth="1"/>
    <col min="4" max="4" width="23.77734375" style="4" customWidth="1"/>
    <col min="5" max="6" width="29.21875" style="4" customWidth="1"/>
    <col min="7" max="7" width="9.21875" customWidth="1"/>
  </cols>
  <sheetData>
    <row r="1" spans="1:35" s="1" customFormat="1" ht="40.200000000000003" customHeight="1" x14ac:dyDescent="0.3">
      <c r="B1" s="103"/>
      <c r="C1" s="103"/>
      <c r="D1" s="103"/>
      <c r="E1" s="103"/>
      <c r="F1" s="103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ht="47.7" customHeight="1" x14ac:dyDescent="0.3">
      <c r="A2" s="53"/>
      <c r="B2" s="8" t="s">
        <v>82</v>
      </c>
      <c r="C2" s="62"/>
      <c r="D2" s="104" t="s">
        <v>162</v>
      </c>
      <c r="E2" s="104"/>
      <c r="F2" s="10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5" s="1" customFormat="1" ht="122.25" customHeight="1" x14ac:dyDescent="0.3">
      <c r="A3" s="53" t="s">
        <v>84</v>
      </c>
      <c r="B3" s="105"/>
      <c r="C3" s="105"/>
      <c r="D3" s="105"/>
      <c r="E3" s="106"/>
      <c r="F3" s="106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 spans="1:35" s="1" customFormat="1" ht="19.5" customHeight="1" x14ac:dyDescent="0.3">
      <c r="A4" s="53"/>
      <c r="B4" s="112" t="s">
        <v>163</v>
      </c>
      <c r="C4" s="112"/>
      <c r="D4" s="112"/>
      <c r="E4" s="112"/>
      <c r="F4" s="112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</row>
    <row r="5" spans="1:35" s="3" customFormat="1" ht="57.75" customHeight="1" x14ac:dyDescent="0.3">
      <c r="A5" s="55" t="s">
        <v>88</v>
      </c>
      <c r="B5" s="17" t="s">
        <v>164</v>
      </c>
      <c r="C5" s="17" t="s">
        <v>165</v>
      </c>
      <c r="D5" s="17" t="s">
        <v>166</v>
      </c>
      <c r="E5" s="17" t="s">
        <v>167</v>
      </c>
      <c r="F5" s="17" t="s">
        <v>168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 spans="1:35" ht="23.25" customHeight="1" x14ac:dyDescent="0.3">
      <c r="A6" s="55" t="s">
        <v>114</v>
      </c>
      <c r="B6" s="57" t="s">
        <v>115</v>
      </c>
      <c r="C6" s="58" t="s">
        <v>116</v>
      </c>
      <c r="D6" s="58" t="s">
        <v>117</v>
      </c>
      <c r="E6" s="58" t="s">
        <v>118</v>
      </c>
      <c r="F6" s="58" t="s">
        <v>119</v>
      </c>
    </row>
    <row r="7" spans="1:35" x14ac:dyDescent="0.3">
      <c r="B7" s="4" t="s">
        <v>427</v>
      </c>
      <c r="C7" s="4" t="s">
        <v>428</v>
      </c>
      <c r="D7" s="4" t="s">
        <v>425</v>
      </c>
      <c r="E7" s="4" t="s">
        <v>431</v>
      </c>
      <c r="F7" s="4" t="s">
        <v>426</v>
      </c>
    </row>
  </sheetData>
  <mergeCells count="4">
    <mergeCell ref="B1:F1"/>
    <mergeCell ref="D2:F2"/>
    <mergeCell ref="B3:F3"/>
    <mergeCell ref="B4:F4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E308C-2991-4270-8576-EB478D5612FB}">
  <sheetPr codeName="Sheet11">
    <tabColor theme="7" tint="0.59999389629810485"/>
  </sheetPr>
  <dimension ref="A1:AI6"/>
  <sheetViews>
    <sheetView topLeftCell="A2" workbookViewId="0">
      <selection activeCell="A7" sqref="A7"/>
    </sheetView>
  </sheetViews>
  <sheetFormatPr defaultRowHeight="14.4" x14ac:dyDescent="0.3"/>
  <cols>
    <col min="1" max="1" width="30.21875" style="1" customWidth="1"/>
    <col min="2" max="2" width="30.21875" customWidth="1"/>
    <col min="3" max="3" width="30.77734375" style="4" customWidth="1"/>
    <col min="4" max="4" width="23.77734375" style="4" customWidth="1"/>
    <col min="5" max="6" width="29.21875" style="4" customWidth="1"/>
    <col min="7" max="7" width="20.21875" customWidth="1"/>
    <col min="8" max="8" width="22.77734375" customWidth="1"/>
  </cols>
  <sheetData>
    <row r="1" spans="1:35" s="1" customFormat="1" ht="40.200000000000003" customHeight="1" x14ac:dyDescent="0.3">
      <c r="B1" s="103"/>
      <c r="C1" s="103"/>
      <c r="D1" s="103"/>
      <c r="E1" s="103"/>
      <c r="F1" s="103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ht="47.7" customHeight="1" x14ac:dyDescent="0.3">
      <c r="A2" s="53"/>
      <c r="B2" s="8" t="s">
        <v>82</v>
      </c>
      <c r="C2" s="62"/>
      <c r="D2" s="104" t="s">
        <v>169</v>
      </c>
      <c r="E2" s="104"/>
      <c r="F2" s="104"/>
      <c r="G2" s="104"/>
      <c r="H2" s="10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5" s="1" customFormat="1" ht="122.25" customHeight="1" x14ac:dyDescent="0.3">
      <c r="A3" s="53" t="s">
        <v>84</v>
      </c>
      <c r="B3" s="105"/>
      <c r="C3" s="105"/>
      <c r="D3" s="105"/>
      <c r="E3" s="105"/>
      <c r="F3" s="105"/>
      <c r="G3" s="54"/>
      <c r="H3" s="54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 spans="1:35" s="1" customFormat="1" ht="19.5" customHeight="1" x14ac:dyDescent="0.3">
      <c r="A4" s="53"/>
      <c r="B4" s="113" t="s">
        <v>24</v>
      </c>
      <c r="C4" s="113"/>
      <c r="D4" s="113"/>
      <c r="E4" s="113"/>
      <c r="F4" s="113"/>
      <c r="G4" s="113"/>
      <c r="H4" s="114"/>
      <c r="I4" s="2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</row>
    <row r="5" spans="1:35" s="3" customFormat="1" ht="57.75" customHeight="1" x14ac:dyDescent="0.3">
      <c r="A5" s="68" t="s">
        <v>88</v>
      </c>
      <c r="B5" s="30" t="s">
        <v>170</v>
      </c>
      <c r="C5" s="30" t="s">
        <v>171</v>
      </c>
      <c r="D5" s="29" t="s">
        <v>172</v>
      </c>
      <c r="E5" s="19" t="s">
        <v>173</v>
      </c>
      <c r="F5" s="30" t="s">
        <v>174</v>
      </c>
      <c r="G5" s="29" t="s">
        <v>175</v>
      </c>
      <c r="H5" s="20" t="s">
        <v>176</v>
      </c>
      <c r="I5" s="2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 spans="1:35" ht="23.25" customHeight="1" x14ac:dyDescent="0.3">
      <c r="A6" s="55" t="s">
        <v>114</v>
      </c>
      <c r="B6" s="57" t="s">
        <v>115</v>
      </c>
      <c r="C6" s="58" t="s">
        <v>116</v>
      </c>
      <c r="D6" s="58" t="s">
        <v>117</v>
      </c>
      <c r="E6" s="58" t="s">
        <v>118</v>
      </c>
      <c r="F6" s="58" t="s">
        <v>119</v>
      </c>
      <c r="G6" s="58" t="s">
        <v>120</v>
      </c>
      <c r="H6" s="58" t="s">
        <v>121</v>
      </c>
    </row>
  </sheetData>
  <mergeCells count="4">
    <mergeCell ref="B1:F1"/>
    <mergeCell ref="B3:F3"/>
    <mergeCell ref="B4:H4"/>
    <mergeCell ref="D2:H2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408EF-94C3-4FBF-8C86-360F645BD803}">
  <sheetPr codeName="Sheet12">
    <tabColor theme="9" tint="0.59999389629810485"/>
  </sheetPr>
  <dimension ref="A1:AG7"/>
  <sheetViews>
    <sheetView topLeftCell="A2" workbookViewId="0">
      <selection activeCell="A7" sqref="A7"/>
    </sheetView>
  </sheetViews>
  <sheetFormatPr defaultRowHeight="14.4" x14ac:dyDescent="0.3"/>
  <cols>
    <col min="1" max="1" width="30.21875" style="1" customWidth="1"/>
    <col min="2" max="2" width="20.77734375" customWidth="1"/>
    <col min="3" max="3" width="20.5546875" style="4" customWidth="1"/>
    <col min="4" max="4" width="23.77734375" style="4" customWidth="1"/>
    <col min="5" max="6" width="29.21875" style="4" customWidth="1"/>
  </cols>
  <sheetData>
    <row r="1" spans="1:33" s="1" customFormat="1" ht="40.200000000000003" customHeight="1" x14ac:dyDescent="0.3">
      <c r="B1" s="103"/>
      <c r="C1" s="103"/>
      <c r="D1" s="103"/>
      <c r="E1" s="103"/>
      <c r="F1" s="103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</row>
    <row r="2" spans="1:33" ht="47.7" customHeight="1" x14ac:dyDescent="0.3">
      <c r="A2" s="53"/>
      <c r="B2" s="8" t="s">
        <v>82</v>
      </c>
      <c r="C2" s="51"/>
      <c r="D2" s="104" t="s">
        <v>177</v>
      </c>
      <c r="E2" s="104"/>
      <c r="F2" s="10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s="1" customFormat="1" ht="122.25" customHeight="1" x14ac:dyDescent="0.3">
      <c r="A3" s="53" t="s">
        <v>84</v>
      </c>
      <c r="B3" s="105"/>
      <c r="C3" s="105"/>
      <c r="D3" s="105"/>
      <c r="E3" s="106"/>
      <c r="F3" s="106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</row>
    <row r="4" spans="1:33" s="1" customFormat="1" ht="19.5" customHeight="1" x14ac:dyDescent="0.3">
      <c r="A4" s="53"/>
      <c r="B4" s="115" t="s">
        <v>178</v>
      </c>
      <c r="C4" s="113"/>
      <c r="D4" s="113"/>
      <c r="E4" s="113"/>
      <c r="F4" s="113"/>
      <c r="G4" s="2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</row>
    <row r="5" spans="1:33" s="3" customFormat="1" ht="57.75" customHeight="1" x14ac:dyDescent="0.3">
      <c r="A5" s="69" t="s">
        <v>88</v>
      </c>
      <c r="B5" s="39" t="s">
        <v>179</v>
      </c>
      <c r="C5" s="39" t="s">
        <v>180</v>
      </c>
      <c r="D5" s="39" t="s">
        <v>181</v>
      </c>
      <c r="E5" s="39" t="s">
        <v>182</v>
      </c>
      <c r="F5" s="39" t="s">
        <v>183</v>
      </c>
      <c r="G5" s="2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</row>
    <row r="6" spans="1:33" ht="23.25" customHeight="1" x14ac:dyDescent="0.3">
      <c r="A6" s="55" t="s">
        <v>114</v>
      </c>
      <c r="B6" s="70" t="s">
        <v>115</v>
      </c>
      <c r="C6" s="58" t="s">
        <v>116</v>
      </c>
      <c r="D6" s="58" t="s">
        <v>117</v>
      </c>
      <c r="E6" s="58" t="s">
        <v>118</v>
      </c>
      <c r="F6" s="58" t="s">
        <v>119</v>
      </c>
    </row>
    <row r="7" spans="1:33" x14ac:dyDescent="0.3">
      <c r="A7" s="4" t="s">
        <v>429</v>
      </c>
      <c r="B7" t="s">
        <v>430</v>
      </c>
      <c r="C7" t="s">
        <v>430</v>
      </c>
      <c r="D7" t="s">
        <v>430</v>
      </c>
      <c r="E7" t="s">
        <v>430</v>
      </c>
      <c r="F7" t="s">
        <v>430</v>
      </c>
    </row>
  </sheetData>
  <mergeCells count="4">
    <mergeCell ref="B1:F1"/>
    <mergeCell ref="D2:F2"/>
    <mergeCell ref="B3:F3"/>
    <mergeCell ref="B4:F4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E59FB-FEE5-4595-8DA6-EC84006897DD}">
  <sheetPr codeName="Sheet13">
    <tabColor theme="7" tint="0.59999389629810485"/>
  </sheetPr>
  <dimension ref="A1:AG6"/>
  <sheetViews>
    <sheetView topLeftCell="A3" workbookViewId="0">
      <selection activeCell="I7" sqref="I7"/>
    </sheetView>
  </sheetViews>
  <sheetFormatPr defaultColWidth="15.44140625" defaultRowHeight="14.4" x14ac:dyDescent="0.3"/>
  <cols>
    <col min="1" max="1" width="17.21875" style="1" customWidth="1"/>
    <col min="2" max="2" width="19.21875" customWidth="1"/>
    <col min="3" max="3" width="23" style="4" customWidth="1"/>
    <col min="4" max="6" width="20.5546875" style="4" customWidth="1"/>
    <col min="7" max="11" width="20.5546875" customWidth="1"/>
  </cols>
  <sheetData>
    <row r="1" spans="1:33" s="1" customFormat="1" ht="40.200000000000003" customHeight="1" x14ac:dyDescent="0.3">
      <c r="B1" s="103"/>
      <c r="C1" s="103"/>
      <c r="D1" s="103"/>
      <c r="E1" s="103"/>
      <c r="F1" s="103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</row>
    <row r="2" spans="1:33" ht="47.7" customHeight="1" x14ac:dyDescent="0.3">
      <c r="A2" s="53"/>
      <c r="B2" s="8" t="s">
        <v>82</v>
      </c>
      <c r="C2" s="51" t="s">
        <v>20</v>
      </c>
      <c r="D2" s="111" t="s">
        <v>184</v>
      </c>
      <c r="E2" s="111"/>
      <c r="F2" s="111"/>
      <c r="G2" s="11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s="1" customFormat="1" ht="122.25" customHeight="1" x14ac:dyDescent="0.3">
      <c r="A3" s="53" t="s">
        <v>84</v>
      </c>
      <c r="B3" s="105"/>
      <c r="C3" s="105"/>
      <c r="D3" s="105"/>
      <c r="E3" s="106"/>
      <c r="F3" s="106"/>
      <c r="G3" s="3"/>
      <c r="H3" s="3"/>
      <c r="I3" s="3"/>
      <c r="J3" s="3"/>
      <c r="K3" s="3"/>
      <c r="L3" s="3"/>
      <c r="M3" s="3"/>
      <c r="N3" s="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</row>
    <row r="4" spans="1:33" s="1" customFormat="1" ht="19.5" customHeight="1" x14ac:dyDescent="0.3">
      <c r="A4" s="53"/>
      <c r="B4" s="116" t="s">
        <v>185</v>
      </c>
      <c r="C4" s="116"/>
      <c r="D4" s="116"/>
      <c r="E4" s="116"/>
      <c r="F4" s="116"/>
      <c r="G4" s="116"/>
      <c r="H4" s="116"/>
      <c r="I4" s="116"/>
      <c r="J4" s="116"/>
      <c r="K4" s="116"/>
      <c r="L4" s="117" t="s">
        <v>186</v>
      </c>
      <c r="M4" s="116"/>
      <c r="N4" s="116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</row>
    <row r="5" spans="1:33" s="3" customFormat="1" ht="57.75" customHeight="1" x14ac:dyDescent="0.3">
      <c r="A5" s="56" t="s">
        <v>88</v>
      </c>
      <c r="B5" s="29" t="s">
        <v>187</v>
      </c>
      <c r="C5" s="19" t="s">
        <v>188</v>
      </c>
      <c r="D5" s="29" t="s">
        <v>189</v>
      </c>
      <c r="E5" s="19" t="s">
        <v>190</v>
      </c>
      <c r="F5" s="29" t="s">
        <v>191</v>
      </c>
      <c r="G5" s="17" t="s">
        <v>192</v>
      </c>
      <c r="H5" s="17" t="s">
        <v>193</v>
      </c>
      <c r="I5" s="17" t="s">
        <v>194</v>
      </c>
      <c r="J5" s="19" t="s">
        <v>195</v>
      </c>
      <c r="K5" s="30" t="s">
        <v>196</v>
      </c>
      <c r="L5" s="18" t="s">
        <v>197</v>
      </c>
      <c r="M5" s="17" t="s">
        <v>198</v>
      </c>
      <c r="N5" s="17" t="s">
        <v>199</v>
      </c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</row>
    <row r="6" spans="1:33" ht="23.25" customHeight="1" x14ac:dyDescent="0.3">
      <c r="A6" s="55" t="s">
        <v>114</v>
      </c>
      <c r="B6" s="71" t="s">
        <v>115</v>
      </c>
      <c r="C6" s="72" t="s">
        <v>116</v>
      </c>
      <c r="D6" s="58" t="s">
        <v>117</v>
      </c>
      <c r="E6" s="58" t="s">
        <v>118</v>
      </c>
      <c r="F6" s="58" t="s">
        <v>119</v>
      </c>
      <c r="G6" s="57" t="s">
        <v>120</v>
      </c>
      <c r="H6" s="58" t="s">
        <v>121</v>
      </c>
      <c r="I6" s="58" t="s">
        <v>122</v>
      </c>
      <c r="J6" s="58" t="s">
        <v>123</v>
      </c>
      <c r="K6" s="59" t="s">
        <v>124</v>
      </c>
      <c r="L6" s="60" t="s">
        <v>125</v>
      </c>
      <c r="M6" s="58" t="s">
        <v>126</v>
      </c>
      <c r="N6" s="58" t="s">
        <v>127</v>
      </c>
    </row>
  </sheetData>
  <mergeCells count="5">
    <mergeCell ref="B1:F1"/>
    <mergeCell ref="B3:F3"/>
    <mergeCell ref="B4:K4"/>
    <mergeCell ref="L4:N4"/>
    <mergeCell ref="D2:G2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AF47-F259-4576-82C2-5BF69FAA2716}">
  <sheetPr codeName="Sheet14">
    <tabColor theme="4" tint="0.59999389629810485"/>
  </sheetPr>
  <dimension ref="A1:Z6"/>
  <sheetViews>
    <sheetView workbookViewId="0">
      <selection activeCell="F9" sqref="F9"/>
    </sheetView>
  </sheetViews>
  <sheetFormatPr defaultColWidth="15.44140625" defaultRowHeight="14.4" x14ac:dyDescent="0.3"/>
  <cols>
    <col min="1" max="1" width="15.44140625" style="1"/>
    <col min="2" max="2" width="25.44140625" customWidth="1"/>
    <col min="3" max="3" width="21.77734375" style="4" customWidth="1"/>
    <col min="4" max="4" width="35.5546875" style="4" customWidth="1"/>
    <col min="5" max="5" width="35.5546875" customWidth="1"/>
  </cols>
  <sheetData>
    <row r="1" spans="1:26" s="1" customFormat="1" ht="40.200000000000003" customHeight="1" x14ac:dyDescent="0.3">
      <c r="B1" s="103"/>
      <c r="C1" s="103"/>
      <c r="D1" s="103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ht="47.7" customHeight="1" x14ac:dyDescent="0.3">
      <c r="A2" s="53"/>
      <c r="B2" s="8" t="s">
        <v>82</v>
      </c>
      <c r="C2" s="62"/>
      <c r="D2" s="119" t="s">
        <v>200</v>
      </c>
      <c r="E2" s="119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6" s="1" customFormat="1" ht="122.25" customHeight="1" x14ac:dyDescent="0.3">
      <c r="A3" s="53" t="s">
        <v>84</v>
      </c>
      <c r="B3" s="105"/>
      <c r="C3" s="105"/>
      <c r="D3" s="105"/>
      <c r="E3" s="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26" s="1" customFormat="1" ht="19.5" customHeight="1" x14ac:dyDescent="0.3">
      <c r="A4" s="53"/>
      <c r="B4" s="118" t="s">
        <v>201</v>
      </c>
      <c r="C4" s="116"/>
      <c r="D4" s="118"/>
      <c r="E4" s="116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6" s="3" customFormat="1" ht="57.75" customHeight="1" x14ac:dyDescent="0.3">
      <c r="A5" s="56" t="s">
        <v>88</v>
      </c>
      <c r="B5" s="73" t="s">
        <v>202</v>
      </c>
      <c r="C5" s="39" t="s">
        <v>203</v>
      </c>
      <c r="D5" s="39" t="s">
        <v>204</v>
      </c>
      <c r="E5" s="39" t="s">
        <v>205</v>
      </c>
      <c r="F5" s="2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26" ht="23.25" customHeight="1" x14ac:dyDescent="0.3">
      <c r="A6" s="55" t="s">
        <v>114</v>
      </c>
      <c r="B6" s="70" t="s">
        <v>115</v>
      </c>
      <c r="C6" s="58" t="s">
        <v>116</v>
      </c>
      <c r="D6" s="58" t="s">
        <v>117</v>
      </c>
      <c r="E6" s="58" t="s">
        <v>118</v>
      </c>
    </row>
  </sheetData>
  <mergeCells count="4">
    <mergeCell ref="B1:D1"/>
    <mergeCell ref="B3:D3"/>
    <mergeCell ref="B4:E4"/>
    <mergeCell ref="D2:E2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4AFE-D23E-4D3D-9D61-8ABA400F8BE0}">
  <sheetPr codeName="Sheet15">
    <tabColor theme="9" tint="0.59999389629810485"/>
  </sheetPr>
  <dimension ref="A1:Z7"/>
  <sheetViews>
    <sheetView topLeftCell="A2" workbookViewId="0">
      <selection activeCell="A5" sqref="A5"/>
    </sheetView>
  </sheetViews>
  <sheetFormatPr defaultColWidth="15.44140625" defaultRowHeight="14.4" x14ac:dyDescent="0.3"/>
  <cols>
    <col min="1" max="1" width="15.44140625" style="1"/>
    <col min="2" max="2" width="29.21875" customWidth="1"/>
    <col min="3" max="3" width="29.21875" style="4" customWidth="1"/>
    <col min="4" max="4" width="35.5546875" style="4" customWidth="1"/>
    <col min="5" max="5" width="35.5546875" customWidth="1"/>
    <col min="6" max="6" width="26.21875" customWidth="1"/>
    <col min="7" max="7" width="29" customWidth="1"/>
    <col min="8" max="8" width="26.5546875" customWidth="1"/>
  </cols>
  <sheetData>
    <row r="1" spans="1:26" s="1" customFormat="1" ht="40.200000000000003" customHeight="1" x14ac:dyDescent="0.3">
      <c r="B1" s="103"/>
      <c r="C1" s="103"/>
      <c r="D1" s="103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ht="47.7" customHeight="1" x14ac:dyDescent="0.3">
      <c r="A2" s="53"/>
      <c r="B2" s="8" t="s">
        <v>82</v>
      </c>
      <c r="C2" s="62"/>
      <c r="D2" s="119" t="s">
        <v>206</v>
      </c>
      <c r="E2" s="119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6" s="1" customFormat="1" ht="101.55" customHeight="1" x14ac:dyDescent="0.3">
      <c r="A3" s="53" t="s">
        <v>84</v>
      </c>
      <c r="B3" s="105"/>
      <c r="C3" s="105"/>
      <c r="D3" s="105"/>
      <c r="E3" s="3"/>
      <c r="F3" s="3"/>
      <c r="G3" s="3"/>
      <c r="H3" s="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26" s="1" customFormat="1" ht="19.5" customHeight="1" x14ac:dyDescent="0.3">
      <c r="A4" s="53"/>
      <c r="B4" s="114" t="s">
        <v>207</v>
      </c>
      <c r="C4" s="113"/>
      <c r="D4" s="113"/>
      <c r="E4" s="113"/>
      <c r="F4" s="113"/>
      <c r="G4" s="113"/>
      <c r="H4" s="113"/>
      <c r="I4" s="2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6" s="3" customFormat="1" ht="57.75" customHeight="1" x14ac:dyDescent="0.3">
      <c r="A5" s="74" t="s">
        <v>88</v>
      </c>
      <c r="B5" s="39" t="s">
        <v>208</v>
      </c>
      <c r="C5" s="38" t="s">
        <v>209</v>
      </c>
      <c r="D5" s="28" t="s">
        <v>210</v>
      </c>
      <c r="E5" s="39" t="s">
        <v>211</v>
      </c>
      <c r="F5" s="38" t="s">
        <v>212</v>
      </c>
      <c r="G5" s="28" t="s">
        <v>213</v>
      </c>
      <c r="H5" s="28" t="s">
        <v>214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26" ht="23.25" customHeight="1" x14ac:dyDescent="0.3">
      <c r="A6" s="55" t="s">
        <v>114</v>
      </c>
      <c r="B6" s="75" t="s">
        <v>115</v>
      </c>
      <c r="C6" s="76" t="s">
        <v>116</v>
      </c>
      <c r="D6" s="76" t="s">
        <v>117</v>
      </c>
      <c r="E6" s="76" t="s">
        <v>118</v>
      </c>
      <c r="F6" s="77" t="s">
        <v>119</v>
      </c>
      <c r="G6" s="76" t="s">
        <v>120</v>
      </c>
      <c r="H6" s="78" t="s">
        <v>121</v>
      </c>
    </row>
    <row r="7" spans="1:26" x14ac:dyDescent="0.3">
      <c r="A7" t="s">
        <v>433</v>
      </c>
      <c r="B7" t="s">
        <v>434</v>
      </c>
      <c r="C7" t="s">
        <v>434</v>
      </c>
      <c r="D7" t="s">
        <v>434</v>
      </c>
      <c r="E7" t="s">
        <v>434</v>
      </c>
      <c r="F7" t="s">
        <v>434</v>
      </c>
      <c r="G7" t="s">
        <v>434</v>
      </c>
      <c r="H7" t="s">
        <v>432</v>
      </c>
    </row>
  </sheetData>
  <mergeCells count="4">
    <mergeCell ref="B1:D1"/>
    <mergeCell ref="D2:E2"/>
    <mergeCell ref="B3:D3"/>
    <mergeCell ref="B4:H4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C6805-B05A-4ABE-A660-7D934FF4AC60}">
  <sheetPr codeName="Sheet17">
    <tabColor theme="7" tint="0.59999389629810485"/>
  </sheetPr>
  <dimension ref="A1:Z6"/>
  <sheetViews>
    <sheetView topLeftCell="A2" workbookViewId="0">
      <selection activeCell="A3" sqref="A3"/>
    </sheetView>
  </sheetViews>
  <sheetFormatPr defaultColWidth="15.44140625" defaultRowHeight="14.4" x14ac:dyDescent="0.3"/>
  <cols>
    <col min="1" max="1" width="15.44140625" style="1"/>
    <col min="2" max="2" width="30.21875" customWidth="1"/>
    <col min="3" max="3" width="23.21875" style="4" customWidth="1"/>
    <col min="4" max="4" width="24.77734375" style="4" customWidth="1"/>
    <col min="7" max="7" width="25.21875" customWidth="1"/>
    <col min="11" max="11" width="18.21875" customWidth="1"/>
    <col min="12" max="12" width="24.5546875" customWidth="1"/>
  </cols>
  <sheetData>
    <row r="1" spans="1:26" s="1" customFormat="1" ht="40.200000000000003" customHeight="1" x14ac:dyDescent="0.3">
      <c r="B1" s="103"/>
      <c r="C1" s="103"/>
      <c r="D1" s="103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ht="47.7" customHeight="1" x14ac:dyDescent="0.3">
      <c r="A2" s="53"/>
      <c r="B2" s="8" t="s">
        <v>82</v>
      </c>
      <c r="C2" s="51"/>
      <c r="D2" s="104" t="s">
        <v>215</v>
      </c>
      <c r="E2" s="104"/>
      <c r="F2" s="104"/>
      <c r="G2" s="104"/>
      <c r="H2" s="104"/>
      <c r="I2" s="104"/>
      <c r="J2" s="104"/>
      <c r="K2" s="104"/>
      <c r="L2" s="104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6" s="1" customFormat="1" ht="122.25" customHeight="1" x14ac:dyDescent="0.3">
      <c r="A3" s="53" t="s">
        <v>84</v>
      </c>
      <c r="B3" s="105"/>
      <c r="C3" s="105"/>
      <c r="D3" s="105"/>
      <c r="E3" s="105"/>
      <c r="F3" s="105"/>
      <c r="G3" s="105"/>
      <c r="H3" s="105"/>
      <c r="I3" s="105"/>
      <c r="J3" s="105"/>
      <c r="K3" s="54"/>
      <c r="L3" s="54"/>
      <c r="M3"/>
      <c r="N3"/>
      <c r="O3"/>
      <c r="P3" s="3"/>
      <c r="Q3"/>
      <c r="R3"/>
      <c r="S3"/>
      <c r="T3"/>
      <c r="U3"/>
      <c r="V3"/>
      <c r="W3"/>
      <c r="X3"/>
      <c r="Y3"/>
      <c r="Z3"/>
    </row>
    <row r="4" spans="1:26" s="1" customFormat="1" ht="19.5" customHeight="1" x14ac:dyDescent="0.3">
      <c r="A4" s="53"/>
      <c r="B4" s="116" t="s">
        <v>216</v>
      </c>
      <c r="C4" s="116"/>
      <c r="D4" s="118"/>
      <c r="E4" s="117" t="s">
        <v>217</v>
      </c>
      <c r="F4" s="116"/>
      <c r="G4" s="116"/>
      <c r="H4" s="120"/>
      <c r="I4" s="117" t="s">
        <v>218</v>
      </c>
      <c r="J4" s="116"/>
      <c r="K4" s="116"/>
      <c r="L4" s="121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6" s="3" customFormat="1" ht="128.25" customHeight="1" x14ac:dyDescent="0.3">
      <c r="A5" s="56" t="s">
        <v>88</v>
      </c>
      <c r="B5" s="17" t="s">
        <v>219</v>
      </c>
      <c r="C5" s="17" t="s">
        <v>220</v>
      </c>
      <c r="D5" s="20" t="s">
        <v>221</v>
      </c>
      <c r="E5" s="18" t="s">
        <v>219</v>
      </c>
      <c r="F5" s="17" t="s">
        <v>220</v>
      </c>
      <c r="G5" s="17" t="s">
        <v>222</v>
      </c>
      <c r="H5" s="20" t="s">
        <v>221</v>
      </c>
      <c r="I5" s="18" t="s">
        <v>219</v>
      </c>
      <c r="J5" s="17" t="s">
        <v>220</v>
      </c>
      <c r="K5" s="17" t="s">
        <v>223</v>
      </c>
      <c r="L5" s="17" t="s">
        <v>224</v>
      </c>
      <c r="S5"/>
      <c r="T5"/>
      <c r="U5"/>
      <c r="V5"/>
      <c r="W5"/>
      <c r="X5"/>
      <c r="Y5"/>
      <c r="Z5"/>
    </row>
    <row r="6" spans="1:26" ht="23.25" customHeight="1" x14ac:dyDescent="0.3">
      <c r="A6" s="55" t="s">
        <v>114</v>
      </c>
      <c r="B6" s="57" t="s">
        <v>115</v>
      </c>
      <c r="C6" s="58" t="s">
        <v>116</v>
      </c>
      <c r="D6" s="59" t="s">
        <v>117</v>
      </c>
      <c r="E6" s="60" t="s">
        <v>118</v>
      </c>
      <c r="F6" s="58" t="s">
        <v>119</v>
      </c>
      <c r="G6" s="58" t="s">
        <v>120</v>
      </c>
      <c r="H6" s="61" t="s">
        <v>121</v>
      </c>
      <c r="I6" s="60" t="s">
        <v>122</v>
      </c>
      <c r="J6" s="58" t="s">
        <v>123</v>
      </c>
      <c r="K6" s="58" t="s">
        <v>124</v>
      </c>
      <c r="L6" s="58" t="s">
        <v>125</v>
      </c>
      <c r="O6" s="3"/>
      <c r="P6" s="3"/>
      <c r="Q6" s="3"/>
      <c r="R6" s="3"/>
    </row>
  </sheetData>
  <mergeCells count="8">
    <mergeCell ref="B1:D1"/>
    <mergeCell ref="B3:D3"/>
    <mergeCell ref="B4:D4"/>
    <mergeCell ref="E4:H4"/>
    <mergeCell ref="I4:L4"/>
    <mergeCell ref="D2:L2"/>
    <mergeCell ref="E3:G3"/>
    <mergeCell ref="H3:J3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344D0-FC64-44BD-A617-04483D99F4D9}">
  <sheetPr codeName="Sheet18">
    <pageSetUpPr fitToPage="1"/>
  </sheetPr>
  <dimension ref="A1:Z6"/>
  <sheetViews>
    <sheetView workbookViewId="0">
      <selection activeCell="D2" sqref="D2:G2"/>
    </sheetView>
  </sheetViews>
  <sheetFormatPr defaultColWidth="15.44140625" defaultRowHeight="14.4" x14ac:dyDescent="0.3"/>
  <cols>
    <col min="1" max="1" width="15.44140625" style="1"/>
    <col min="2" max="2" width="24.21875" customWidth="1"/>
    <col min="3" max="3" width="20.44140625" style="4" customWidth="1"/>
    <col min="4" max="4" width="29.21875" style="4" customWidth="1"/>
    <col min="5" max="5" width="19.5546875" customWidth="1"/>
    <col min="6" max="6" width="24.77734375" customWidth="1"/>
    <col min="7" max="7" width="23.21875" customWidth="1"/>
  </cols>
  <sheetData>
    <row r="1" spans="1:26" s="1" customFormat="1" ht="40.200000000000003" customHeight="1" x14ac:dyDescent="0.3">
      <c r="B1" s="103"/>
      <c r="C1" s="103"/>
      <c r="D1" s="103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ht="47.7" customHeight="1" x14ac:dyDescent="0.3">
      <c r="A2" s="53"/>
      <c r="B2" s="8" t="s">
        <v>82</v>
      </c>
      <c r="C2" s="51"/>
      <c r="D2" s="104" t="s">
        <v>225</v>
      </c>
      <c r="E2" s="104"/>
      <c r="F2" s="104"/>
      <c r="G2" s="10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6" s="1" customFormat="1" ht="122.25" customHeight="1" x14ac:dyDescent="0.3">
      <c r="A3" s="53" t="s">
        <v>84</v>
      </c>
      <c r="B3" s="105"/>
      <c r="C3" s="105"/>
      <c r="D3" s="105"/>
      <c r="E3" s="105"/>
      <c r="F3" s="105"/>
      <c r="G3" s="105"/>
      <c r="H3" s="3"/>
      <c r="I3" s="3"/>
      <c r="J3" s="3"/>
      <c r="K3" s="3"/>
      <c r="L3" s="3"/>
      <c r="M3"/>
      <c r="N3"/>
      <c r="O3"/>
      <c r="P3" s="3"/>
      <c r="Q3"/>
      <c r="R3"/>
      <c r="S3"/>
      <c r="T3"/>
      <c r="U3"/>
      <c r="V3"/>
      <c r="W3"/>
      <c r="X3"/>
      <c r="Y3"/>
      <c r="Z3"/>
    </row>
    <row r="4" spans="1:26" s="1" customFormat="1" ht="19.5" customHeight="1" x14ac:dyDescent="0.3">
      <c r="A4" s="53"/>
      <c r="B4" s="122" t="s">
        <v>226</v>
      </c>
      <c r="C4" s="123"/>
      <c r="D4" s="123"/>
      <c r="E4" s="123"/>
      <c r="F4" s="123"/>
      <c r="G4" s="124"/>
      <c r="H4" s="3"/>
      <c r="I4" s="3"/>
      <c r="J4" s="3"/>
      <c r="K4" s="3"/>
      <c r="L4" s="3"/>
      <c r="M4"/>
      <c r="N4"/>
      <c r="O4"/>
      <c r="P4"/>
      <c r="Q4"/>
      <c r="R4"/>
    </row>
    <row r="5" spans="1:26" s="3" customFormat="1" ht="57.6" x14ac:dyDescent="0.3">
      <c r="A5" s="55" t="s">
        <v>88</v>
      </c>
      <c r="B5" s="17" t="s">
        <v>227</v>
      </c>
      <c r="C5" s="17" t="s">
        <v>228</v>
      </c>
      <c r="D5" s="17" t="s">
        <v>229</v>
      </c>
      <c r="E5" s="17" t="s">
        <v>230</v>
      </c>
      <c r="F5" s="17" t="s">
        <v>231</v>
      </c>
      <c r="G5" s="17" t="s">
        <v>232</v>
      </c>
      <c r="M5"/>
      <c r="N5"/>
      <c r="O5"/>
      <c r="P5"/>
      <c r="Q5"/>
      <c r="R5"/>
    </row>
    <row r="6" spans="1:26" ht="23.25" customHeight="1" x14ac:dyDescent="0.3">
      <c r="A6" s="55" t="s">
        <v>114</v>
      </c>
      <c r="B6" s="57" t="s">
        <v>115</v>
      </c>
      <c r="C6" s="58" t="s">
        <v>116</v>
      </c>
      <c r="D6" s="58" t="s">
        <v>117</v>
      </c>
      <c r="E6" s="58" t="s">
        <v>118</v>
      </c>
      <c r="F6" s="58" t="s">
        <v>119</v>
      </c>
      <c r="G6" s="57" t="s">
        <v>120</v>
      </c>
      <c r="H6" s="3"/>
      <c r="I6" s="3"/>
      <c r="J6" s="3"/>
      <c r="K6" s="3"/>
      <c r="L6" s="3"/>
    </row>
  </sheetData>
  <mergeCells count="5">
    <mergeCell ref="B4:G4"/>
    <mergeCell ref="D2:G2"/>
    <mergeCell ref="B1:D1"/>
    <mergeCell ref="B3:D3"/>
    <mergeCell ref="E3:G3"/>
  </mergeCells>
  <pageMargins left="0.7" right="0.7" top="0.75" bottom="0.75" header="0.3" footer="0.3"/>
  <pageSetup paperSize="9" scale="19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3C446-B617-45DA-A36C-900F648ED098}">
  <sheetPr codeName="Sheet19">
    <tabColor theme="9" tint="0.59999389629810485"/>
    <pageSetUpPr fitToPage="1"/>
  </sheetPr>
  <dimension ref="A1:Z7"/>
  <sheetViews>
    <sheetView topLeftCell="A2" workbookViewId="0">
      <selection activeCell="C7" sqref="C7"/>
    </sheetView>
  </sheetViews>
  <sheetFormatPr defaultColWidth="15.44140625" defaultRowHeight="14.4" x14ac:dyDescent="0.3"/>
  <cols>
    <col min="1" max="1" width="15.44140625" style="1"/>
    <col min="2" max="2" width="38.21875" customWidth="1"/>
    <col min="3" max="3" width="45" style="4" customWidth="1"/>
    <col min="4" max="4" width="15.44140625" style="4" customWidth="1"/>
    <col min="5" max="7" width="15.44140625" customWidth="1"/>
  </cols>
  <sheetData>
    <row r="1" spans="1:26" s="1" customFormat="1" ht="40.200000000000003" customHeight="1" x14ac:dyDescent="0.3">
      <c r="B1" s="125"/>
      <c r="C1" s="125"/>
      <c r="D1" s="3"/>
      <c r="E1" s="3"/>
      <c r="F1" s="3"/>
      <c r="G1" s="3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ht="47.7" customHeight="1" x14ac:dyDescent="0.3">
      <c r="A2" s="53"/>
      <c r="B2" s="8"/>
      <c r="C2" s="51" t="s">
        <v>233</v>
      </c>
      <c r="D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6" s="1" customFormat="1" ht="122.25" customHeight="1" x14ac:dyDescent="0.3">
      <c r="A3" s="53" t="s">
        <v>84</v>
      </c>
      <c r="B3" s="105"/>
      <c r="C3" s="105"/>
      <c r="D3"/>
      <c r="E3"/>
      <c r="F3" s="3"/>
      <c r="G3" s="3"/>
      <c r="H3" s="3"/>
      <c r="I3" s="3"/>
      <c r="J3" s="3"/>
      <c r="K3" s="3"/>
      <c r="L3" s="3"/>
      <c r="M3"/>
      <c r="N3"/>
      <c r="O3"/>
      <c r="P3" s="3"/>
      <c r="Q3"/>
      <c r="R3"/>
      <c r="S3"/>
      <c r="T3"/>
      <c r="U3"/>
      <c r="V3"/>
      <c r="W3"/>
      <c r="X3"/>
      <c r="Y3"/>
      <c r="Z3"/>
    </row>
    <row r="4" spans="1:26" s="1" customFormat="1" ht="36.75" customHeight="1" x14ac:dyDescent="0.3">
      <c r="A4" s="53"/>
      <c r="B4" s="122" t="s">
        <v>234</v>
      </c>
      <c r="C4" s="124"/>
      <c r="D4" s="3"/>
      <c r="E4" s="3"/>
      <c r="F4" s="3"/>
      <c r="G4" s="3"/>
      <c r="H4" s="3"/>
      <c r="I4"/>
      <c r="J4"/>
      <c r="K4"/>
      <c r="L4"/>
      <c r="M4"/>
      <c r="N4"/>
    </row>
    <row r="5" spans="1:26" s="3" customFormat="1" ht="67.5" customHeight="1" x14ac:dyDescent="0.3">
      <c r="A5" s="55" t="s">
        <v>88</v>
      </c>
      <c r="B5" s="17" t="s">
        <v>235</v>
      </c>
      <c r="C5" s="17" t="s">
        <v>236</v>
      </c>
      <c r="I5"/>
      <c r="J5"/>
      <c r="K5"/>
      <c r="L5"/>
      <c r="M5"/>
      <c r="N5"/>
    </row>
    <row r="6" spans="1:26" x14ac:dyDescent="0.3">
      <c r="A6" s="55" t="s">
        <v>114</v>
      </c>
      <c r="B6" s="57" t="s">
        <v>115</v>
      </c>
      <c r="C6" s="58" t="s">
        <v>116</v>
      </c>
      <c r="D6" s="3"/>
      <c r="E6" s="3"/>
      <c r="F6" s="3"/>
      <c r="G6" s="3"/>
      <c r="H6" s="3"/>
    </row>
    <row r="7" spans="1:26" x14ac:dyDescent="0.3">
      <c r="C7" s="4" t="s">
        <v>445</v>
      </c>
    </row>
  </sheetData>
  <mergeCells count="3">
    <mergeCell ref="B4:C4"/>
    <mergeCell ref="B3:C3"/>
    <mergeCell ref="B1:C1"/>
  </mergeCells>
  <pageMargins left="0.7" right="0.7" top="0.75" bottom="0.75" header="0.3" footer="0.3"/>
  <pageSetup paperSize="9" scale="19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2C55-A445-438C-B2D9-246B9640CFA1}">
  <sheetPr codeName="Sheet20">
    <tabColor theme="9" tint="0.59999389629810485"/>
    <pageSetUpPr fitToPage="1"/>
  </sheetPr>
  <dimension ref="A1:Z7"/>
  <sheetViews>
    <sheetView workbookViewId="0">
      <selection activeCell="B7" sqref="B7"/>
    </sheetView>
  </sheetViews>
  <sheetFormatPr defaultColWidth="15.44140625" defaultRowHeight="14.4" x14ac:dyDescent="0.3"/>
  <cols>
    <col min="1" max="1" width="15.44140625" style="1"/>
    <col min="2" max="2" width="24.21875" customWidth="1"/>
    <col min="3" max="3" width="26.21875" style="4" customWidth="1"/>
    <col min="4" max="4" width="29.21875" style="4" customWidth="1"/>
    <col min="5" max="5" width="25.21875" customWidth="1"/>
    <col min="6" max="6" width="22" customWidth="1"/>
    <col min="7" max="7" width="23.5546875" customWidth="1"/>
  </cols>
  <sheetData>
    <row r="1" spans="1:26" s="1" customFormat="1" ht="40.200000000000003" customHeight="1" x14ac:dyDescent="0.3">
      <c r="B1" s="103"/>
      <c r="C1" s="103"/>
      <c r="D1" s="103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ht="47.7" customHeight="1" x14ac:dyDescent="0.3">
      <c r="A2" s="53"/>
      <c r="B2" s="8" t="s">
        <v>82</v>
      </c>
      <c r="C2" s="51"/>
      <c r="D2" s="104" t="s">
        <v>237</v>
      </c>
      <c r="E2" s="104"/>
      <c r="F2" s="104"/>
      <c r="G2" s="10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6" s="1" customFormat="1" ht="122.25" customHeight="1" x14ac:dyDescent="0.3">
      <c r="A3" s="53" t="s">
        <v>84</v>
      </c>
      <c r="B3" s="105"/>
      <c r="C3" s="105"/>
      <c r="D3" s="105"/>
      <c r="E3" s="126"/>
      <c r="F3" s="126"/>
      <c r="G3" s="126"/>
      <c r="H3" s="3"/>
      <c r="I3" s="3"/>
      <c r="J3" s="3"/>
      <c r="K3" s="3"/>
      <c r="L3" s="3"/>
      <c r="M3"/>
      <c r="N3"/>
      <c r="O3"/>
      <c r="P3" s="3"/>
      <c r="Q3"/>
      <c r="R3"/>
      <c r="S3"/>
      <c r="T3"/>
      <c r="U3"/>
      <c r="V3"/>
      <c r="W3"/>
      <c r="X3"/>
      <c r="Y3"/>
      <c r="Z3"/>
    </row>
    <row r="4" spans="1:26" s="1" customFormat="1" ht="19.5" customHeight="1" x14ac:dyDescent="0.3">
      <c r="A4" s="53"/>
      <c r="B4" s="122" t="s">
        <v>238</v>
      </c>
      <c r="C4" s="123"/>
      <c r="D4" s="123"/>
      <c r="E4" s="123"/>
      <c r="F4" s="123"/>
      <c r="G4" s="124"/>
      <c r="H4" s="21"/>
      <c r="I4" s="3"/>
      <c r="J4" s="3"/>
      <c r="K4" s="3"/>
      <c r="L4" s="3"/>
      <c r="M4"/>
      <c r="N4"/>
      <c r="O4"/>
      <c r="P4"/>
      <c r="Q4"/>
      <c r="R4"/>
    </row>
    <row r="5" spans="1:26" s="3" customFormat="1" ht="57.6" x14ac:dyDescent="0.3">
      <c r="A5" s="55" t="s">
        <v>88</v>
      </c>
      <c r="B5" s="17" t="s">
        <v>239</v>
      </c>
      <c r="C5" s="17" t="s">
        <v>240</v>
      </c>
      <c r="D5" s="17" t="s">
        <v>241</v>
      </c>
      <c r="E5" s="17" t="s">
        <v>242</v>
      </c>
      <c r="F5" s="17" t="s">
        <v>243</v>
      </c>
      <c r="G5" s="17" t="s">
        <v>244</v>
      </c>
      <c r="M5"/>
      <c r="N5"/>
      <c r="O5"/>
      <c r="P5"/>
      <c r="Q5"/>
      <c r="R5"/>
    </row>
    <row r="6" spans="1:26" ht="23.25" customHeight="1" x14ac:dyDescent="0.3">
      <c r="A6" s="55" t="s">
        <v>114</v>
      </c>
      <c r="B6" s="57" t="s">
        <v>115</v>
      </c>
      <c r="C6" s="58" t="s">
        <v>116</v>
      </c>
      <c r="D6" s="58" t="s">
        <v>117</v>
      </c>
      <c r="E6" s="58" t="s">
        <v>118</v>
      </c>
      <c r="F6" s="58" t="s">
        <v>119</v>
      </c>
      <c r="G6" s="57" t="s">
        <v>120</v>
      </c>
      <c r="H6" s="3"/>
      <c r="I6" s="3"/>
      <c r="J6" s="3"/>
      <c r="K6" s="3"/>
      <c r="L6" s="3"/>
    </row>
    <row r="7" spans="1:26" x14ac:dyDescent="0.3">
      <c r="A7" s="1" t="s">
        <v>446</v>
      </c>
    </row>
  </sheetData>
  <mergeCells count="5">
    <mergeCell ref="B1:D1"/>
    <mergeCell ref="D2:G2"/>
    <mergeCell ref="B3:D3"/>
    <mergeCell ref="E3:G3"/>
    <mergeCell ref="B4:G4"/>
  </mergeCells>
  <pageMargins left="0.7" right="0.7" top="0.75" bottom="0.75" header="0.3" footer="0.3"/>
  <pageSetup paperSize="9" fitToWidth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2AF8B-BB92-4DF1-856E-0B767337348D}">
  <sheetPr codeName="Sheet21">
    <tabColor theme="9" tint="0.59999389629810485"/>
  </sheetPr>
  <dimension ref="A1:Y7"/>
  <sheetViews>
    <sheetView workbookViewId="0"/>
  </sheetViews>
  <sheetFormatPr defaultColWidth="15.44140625" defaultRowHeight="14.4" x14ac:dyDescent="0.3"/>
  <cols>
    <col min="1" max="1" width="15.44140625" style="1"/>
    <col min="2" max="2" width="24.21875" customWidth="1"/>
    <col min="3" max="3" width="26.21875" style="4" customWidth="1"/>
    <col min="4" max="4" width="29.21875" style="4" customWidth="1"/>
    <col min="5" max="5" width="25.21875" customWidth="1"/>
    <col min="6" max="6" width="23.5546875" customWidth="1"/>
  </cols>
  <sheetData>
    <row r="1" spans="1:25" s="1" customFormat="1" ht="40.200000000000003" customHeight="1" x14ac:dyDescent="0.3">
      <c r="B1" s="103"/>
      <c r="C1" s="103"/>
      <c r="D1" s="103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47.7" customHeight="1" x14ac:dyDescent="0.3">
      <c r="A2" s="53"/>
      <c r="B2" s="8" t="s">
        <v>82</v>
      </c>
      <c r="C2" s="51"/>
      <c r="D2" s="104" t="s">
        <v>245</v>
      </c>
      <c r="E2" s="104"/>
      <c r="F2" s="10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5" s="1" customFormat="1" ht="122.25" customHeight="1" x14ac:dyDescent="0.3">
      <c r="A3" s="53" t="s">
        <v>84</v>
      </c>
      <c r="B3" s="105"/>
      <c r="C3" s="105"/>
      <c r="D3" s="105"/>
      <c r="E3" s="126"/>
      <c r="F3" s="126"/>
      <c r="G3" s="3"/>
      <c r="H3" s="3"/>
      <c r="I3" s="3"/>
      <c r="J3" s="3"/>
      <c r="K3" s="3"/>
      <c r="L3"/>
      <c r="M3"/>
      <c r="N3"/>
      <c r="O3" s="3"/>
      <c r="P3"/>
      <c r="Q3"/>
      <c r="R3"/>
      <c r="S3"/>
      <c r="T3"/>
      <c r="U3"/>
      <c r="V3"/>
      <c r="W3"/>
      <c r="X3"/>
      <c r="Y3"/>
    </row>
    <row r="4" spans="1:25" s="1" customFormat="1" ht="19.5" customHeight="1" x14ac:dyDescent="0.3">
      <c r="A4" s="53"/>
      <c r="B4" s="122" t="s">
        <v>246</v>
      </c>
      <c r="C4" s="123"/>
      <c r="D4" s="123"/>
      <c r="E4" s="123"/>
      <c r="F4" s="124"/>
      <c r="G4" s="21"/>
      <c r="H4" s="3"/>
      <c r="I4" s="3"/>
      <c r="J4" s="3"/>
      <c r="K4" s="3"/>
      <c r="L4"/>
      <c r="M4"/>
      <c r="N4"/>
      <c r="O4"/>
      <c r="P4"/>
      <c r="Q4"/>
    </row>
    <row r="5" spans="1:25" s="3" customFormat="1" ht="43.2" x14ac:dyDescent="0.3">
      <c r="A5" s="55" t="s">
        <v>88</v>
      </c>
      <c r="B5" s="17" t="s">
        <v>247</v>
      </c>
      <c r="C5" s="17" t="s">
        <v>248</v>
      </c>
      <c r="D5" s="17" t="s">
        <v>249</v>
      </c>
      <c r="E5" s="17" t="s">
        <v>250</v>
      </c>
      <c r="F5" s="17" t="s">
        <v>251</v>
      </c>
      <c r="L5"/>
      <c r="M5"/>
      <c r="N5"/>
      <c r="O5"/>
      <c r="P5"/>
      <c r="Q5"/>
    </row>
    <row r="6" spans="1:25" ht="23.25" customHeight="1" x14ac:dyDescent="0.3">
      <c r="A6" s="55" t="s">
        <v>114</v>
      </c>
      <c r="B6" s="57" t="s">
        <v>115</v>
      </c>
      <c r="C6" s="58" t="s">
        <v>116</v>
      </c>
      <c r="D6" s="58" t="s">
        <v>117</v>
      </c>
      <c r="E6" s="58" t="s">
        <v>118</v>
      </c>
      <c r="F6" s="57" t="s">
        <v>119</v>
      </c>
      <c r="G6" s="3"/>
      <c r="H6" s="3"/>
      <c r="I6" s="3"/>
      <c r="J6" s="3"/>
      <c r="K6" s="3"/>
    </row>
    <row r="7" spans="1:25" x14ac:dyDescent="0.3">
      <c r="A7" s="1" t="s">
        <v>447</v>
      </c>
      <c r="B7" t="s">
        <v>448</v>
      </c>
      <c r="C7" s="4" t="s">
        <v>460</v>
      </c>
      <c r="D7" s="4" t="s">
        <v>460</v>
      </c>
      <c r="E7" s="4" t="s">
        <v>449</v>
      </c>
      <c r="F7" s="4" t="s">
        <v>449</v>
      </c>
    </row>
  </sheetData>
  <mergeCells count="5">
    <mergeCell ref="B1:D1"/>
    <mergeCell ref="D2:F2"/>
    <mergeCell ref="B3:D3"/>
    <mergeCell ref="E3:F3"/>
    <mergeCell ref="B4:F4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8205-DDC8-42B7-8156-65EBBFC77732}">
  <sheetPr codeName="Sheet22">
    <tabColor theme="9" tint="0.59999389629810485"/>
  </sheetPr>
  <dimension ref="A1:Y7"/>
  <sheetViews>
    <sheetView topLeftCell="A3" workbookViewId="0">
      <selection activeCell="F7" sqref="F7"/>
    </sheetView>
  </sheetViews>
  <sheetFormatPr defaultColWidth="15.44140625" defaultRowHeight="14.4" x14ac:dyDescent="0.3"/>
  <cols>
    <col min="1" max="1" width="15.44140625" style="1"/>
    <col min="2" max="2" width="24.21875" customWidth="1"/>
    <col min="3" max="3" width="26.21875" style="4" customWidth="1"/>
    <col min="4" max="4" width="29.21875" style="4" customWidth="1"/>
    <col min="5" max="5" width="25.21875" customWidth="1"/>
    <col min="6" max="6" width="23.5546875" customWidth="1"/>
  </cols>
  <sheetData>
    <row r="1" spans="1:25" s="1" customFormat="1" ht="40.200000000000003" customHeight="1" x14ac:dyDescent="0.3">
      <c r="B1" s="103"/>
      <c r="C1" s="103"/>
      <c r="D1" s="103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47.7" customHeight="1" x14ac:dyDescent="0.3">
      <c r="A2" s="53"/>
      <c r="B2" s="8" t="s">
        <v>82</v>
      </c>
      <c r="C2" s="51"/>
      <c r="D2" s="104" t="s">
        <v>252</v>
      </c>
      <c r="E2" s="104"/>
      <c r="F2" s="10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5" s="1" customFormat="1" ht="122.25" customHeight="1" x14ac:dyDescent="0.3">
      <c r="A3" s="53" t="s">
        <v>84</v>
      </c>
      <c r="B3" s="105"/>
      <c r="C3" s="105"/>
      <c r="D3" s="105"/>
      <c r="E3" s="126"/>
      <c r="F3" s="126"/>
      <c r="G3" s="3"/>
      <c r="H3" s="3"/>
      <c r="I3" s="3"/>
      <c r="J3" s="3"/>
      <c r="K3" s="3"/>
      <c r="L3"/>
      <c r="M3"/>
      <c r="N3"/>
      <c r="O3" s="3"/>
      <c r="P3"/>
      <c r="Q3"/>
      <c r="R3"/>
      <c r="S3"/>
      <c r="T3"/>
      <c r="U3"/>
      <c r="V3"/>
      <c r="W3"/>
      <c r="X3"/>
      <c r="Y3"/>
    </row>
    <row r="4" spans="1:25" s="1" customFormat="1" ht="19.5" customHeight="1" x14ac:dyDescent="0.3">
      <c r="A4" s="53"/>
      <c r="B4" s="122" t="s">
        <v>253</v>
      </c>
      <c r="C4" s="123"/>
      <c r="D4" s="123"/>
      <c r="E4" s="123"/>
      <c r="F4" s="124"/>
      <c r="G4" s="21"/>
      <c r="H4" s="3"/>
      <c r="I4" s="3"/>
      <c r="J4" s="3"/>
      <c r="K4" s="3"/>
      <c r="L4"/>
      <c r="M4"/>
      <c r="N4"/>
      <c r="O4"/>
      <c r="P4"/>
      <c r="Q4"/>
    </row>
    <row r="5" spans="1:25" s="3" customFormat="1" ht="43.2" x14ac:dyDescent="0.3">
      <c r="A5" s="55" t="s">
        <v>88</v>
      </c>
      <c r="B5" s="17" t="s">
        <v>254</v>
      </c>
      <c r="C5" s="17" t="s">
        <v>255</v>
      </c>
      <c r="D5" s="17" t="s">
        <v>256</v>
      </c>
      <c r="E5" s="17" t="s">
        <v>257</v>
      </c>
      <c r="F5" s="17" t="s">
        <v>258</v>
      </c>
      <c r="L5"/>
      <c r="M5"/>
      <c r="N5"/>
      <c r="O5"/>
      <c r="P5"/>
      <c r="Q5"/>
    </row>
    <row r="6" spans="1:25" ht="23.25" customHeight="1" x14ac:dyDescent="0.3">
      <c r="A6" s="55" t="s">
        <v>114</v>
      </c>
      <c r="B6" s="57" t="s">
        <v>115</v>
      </c>
      <c r="C6" s="58" t="s">
        <v>116</v>
      </c>
      <c r="D6" s="58" t="s">
        <v>117</v>
      </c>
      <c r="E6" s="58" t="s">
        <v>118</v>
      </c>
      <c r="F6" s="57" t="s">
        <v>119</v>
      </c>
      <c r="G6" s="3"/>
      <c r="H6" s="3"/>
      <c r="I6" s="3"/>
      <c r="J6" s="3"/>
      <c r="K6" s="3"/>
    </row>
    <row r="7" spans="1:25" x14ac:dyDescent="0.3">
      <c r="A7" s="129"/>
      <c r="B7" t="s">
        <v>450</v>
      </c>
      <c r="C7" t="s">
        <v>451</v>
      </c>
      <c r="D7" t="s">
        <v>452</v>
      </c>
      <c r="E7" t="s">
        <v>453</v>
      </c>
      <c r="F7" s="130"/>
    </row>
  </sheetData>
  <mergeCells count="5">
    <mergeCell ref="B1:D1"/>
    <mergeCell ref="D2:F2"/>
    <mergeCell ref="B3:D3"/>
    <mergeCell ref="E3:F3"/>
    <mergeCell ref="B4:F4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1EB35-CA1F-44A3-A71C-EEB8ACF7765E}">
  <sheetPr codeName="Sheet23"/>
  <dimension ref="A1:V8"/>
  <sheetViews>
    <sheetView workbookViewId="0">
      <selection activeCell="B2" sqref="B2"/>
    </sheetView>
  </sheetViews>
  <sheetFormatPr defaultColWidth="15.44140625" defaultRowHeight="14.4" x14ac:dyDescent="0.3"/>
  <cols>
    <col min="1" max="1" width="61.44140625" style="1" customWidth="1"/>
    <col min="2" max="2" width="43" customWidth="1"/>
    <col min="3" max="4" width="15.44140625" style="4" customWidth="1"/>
  </cols>
  <sheetData>
    <row r="1" spans="1:22" s="1" customFormat="1" ht="40.200000000000003" customHeight="1" x14ac:dyDescent="0.3"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spans="1:22" ht="47.7" customHeight="1" x14ac:dyDescent="0.3">
      <c r="A2" s="53"/>
      <c r="B2" s="62" t="s">
        <v>259</v>
      </c>
      <c r="C2" s="2"/>
      <c r="D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2" s="1" customFormat="1" ht="122.25" customHeight="1" x14ac:dyDescent="0.3">
      <c r="A3" s="53" t="s">
        <v>84</v>
      </c>
      <c r="B3" s="54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</row>
    <row r="4" spans="1:22" s="1" customFormat="1" ht="19.5" customHeight="1" x14ac:dyDescent="0.3">
      <c r="A4" s="53"/>
      <c r="B4" s="52" t="s">
        <v>260</v>
      </c>
      <c r="C4" s="2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2" s="3" customFormat="1" ht="57.75" customHeight="1" x14ac:dyDescent="0.3">
      <c r="A5" s="56" t="s">
        <v>88</v>
      </c>
      <c r="B5" s="28" t="s">
        <v>261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spans="1:22" ht="23.25" customHeight="1" x14ac:dyDescent="0.3">
      <c r="A6" s="55" t="s">
        <v>114</v>
      </c>
      <c r="B6" s="66" t="s">
        <v>115</v>
      </c>
      <c r="C6"/>
      <c r="D6"/>
    </row>
    <row r="7" spans="1:22" x14ac:dyDescent="0.3">
      <c r="C7"/>
      <c r="D7"/>
    </row>
    <row r="8" spans="1:22" x14ac:dyDescent="0.3">
      <c r="C8"/>
      <c r="D8"/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69F28-9004-49D4-B7B2-16A0DEEF4085}">
  <sheetPr codeName="Sheet24"/>
  <dimension ref="A1:V8"/>
  <sheetViews>
    <sheetView workbookViewId="0">
      <selection activeCell="B2" sqref="B2"/>
    </sheetView>
  </sheetViews>
  <sheetFormatPr defaultColWidth="15.44140625" defaultRowHeight="14.4" x14ac:dyDescent="0.3"/>
  <cols>
    <col min="1" max="1" width="61.44140625" style="1" customWidth="1"/>
    <col min="2" max="2" width="43" customWidth="1"/>
    <col min="3" max="4" width="15.44140625" style="4" customWidth="1"/>
  </cols>
  <sheetData>
    <row r="1" spans="1:22" s="1" customFormat="1" ht="40.200000000000003" customHeight="1" x14ac:dyDescent="0.3"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spans="1:22" ht="47.7" customHeight="1" x14ac:dyDescent="0.3">
      <c r="A2" s="53"/>
      <c r="B2" s="23" t="s">
        <v>262</v>
      </c>
      <c r="C2" s="2"/>
      <c r="D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2" s="1" customFormat="1" ht="122.25" customHeight="1" x14ac:dyDescent="0.3">
      <c r="A3" s="53" t="s">
        <v>84</v>
      </c>
      <c r="B3" s="54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</row>
    <row r="4" spans="1:22" s="1" customFormat="1" ht="19.5" customHeight="1" x14ac:dyDescent="0.3">
      <c r="A4" s="53"/>
      <c r="B4" s="52" t="s">
        <v>263</v>
      </c>
      <c r="C4" s="2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2" s="3" customFormat="1" ht="57.75" customHeight="1" x14ac:dyDescent="0.3">
      <c r="A5" s="56" t="s">
        <v>88</v>
      </c>
      <c r="B5" s="28" t="s">
        <v>264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spans="1:22" ht="23.25" customHeight="1" x14ac:dyDescent="0.3">
      <c r="A6" s="55" t="s">
        <v>114</v>
      </c>
      <c r="B6" s="66" t="s">
        <v>115</v>
      </c>
      <c r="C6"/>
      <c r="D6"/>
    </row>
    <row r="7" spans="1:22" x14ac:dyDescent="0.3">
      <c r="C7"/>
      <c r="D7"/>
    </row>
    <row r="8" spans="1:22" x14ac:dyDescent="0.3">
      <c r="C8"/>
      <c r="D8"/>
    </row>
  </sheetData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EA28F-15FF-4678-896C-A9BEA481EEC1}">
  <sheetPr codeName="Sheet25"/>
  <dimension ref="A1:V8"/>
  <sheetViews>
    <sheetView workbookViewId="0">
      <selection activeCell="B2" sqref="B2"/>
    </sheetView>
  </sheetViews>
  <sheetFormatPr defaultColWidth="15.44140625" defaultRowHeight="14.4" x14ac:dyDescent="0.3"/>
  <cols>
    <col min="1" max="1" width="61.44140625" style="1" customWidth="1"/>
    <col min="2" max="2" width="43" customWidth="1"/>
    <col min="3" max="3" width="23" style="4" customWidth="1"/>
    <col min="4" max="4" width="15.44140625" style="4" customWidth="1"/>
  </cols>
  <sheetData>
    <row r="1" spans="1:22" s="1" customFormat="1" ht="40.200000000000003" customHeight="1" x14ac:dyDescent="0.3"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spans="1:22" ht="47.7" customHeight="1" x14ac:dyDescent="0.3">
      <c r="A2" s="53"/>
      <c r="B2" s="23" t="s">
        <v>265</v>
      </c>
      <c r="C2" s="21"/>
      <c r="D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2" s="1" customFormat="1" ht="122.25" customHeight="1" x14ac:dyDescent="0.3">
      <c r="A3" s="53" t="s">
        <v>84</v>
      </c>
      <c r="B3" s="54"/>
      <c r="C3" s="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</row>
    <row r="4" spans="1:22" s="1" customFormat="1" ht="19.5" customHeight="1" x14ac:dyDescent="0.3">
      <c r="A4" s="53"/>
      <c r="B4" s="127" t="s">
        <v>266</v>
      </c>
      <c r="C4" s="127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2" s="3" customFormat="1" ht="57.75" customHeight="1" x14ac:dyDescent="0.3">
      <c r="A5" s="56" t="s">
        <v>88</v>
      </c>
      <c r="B5" s="28" t="s">
        <v>267</v>
      </c>
      <c r="C5" s="28" t="s">
        <v>268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spans="1:22" ht="23.25" customHeight="1" x14ac:dyDescent="0.3">
      <c r="A6" s="55" t="s">
        <v>114</v>
      </c>
      <c r="B6" s="66" t="s">
        <v>115</v>
      </c>
      <c r="C6" s="66" t="s">
        <v>116</v>
      </c>
      <c r="D6"/>
    </row>
    <row r="7" spans="1:22" x14ac:dyDescent="0.3">
      <c r="C7"/>
      <c r="D7"/>
    </row>
    <row r="8" spans="1:22" x14ac:dyDescent="0.3">
      <c r="C8"/>
      <c r="D8"/>
    </row>
  </sheetData>
  <mergeCells count="1">
    <mergeCell ref="B4:C4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6A04-17F7-4558-AA82-E8022673BD21}">
  <sheetPr codeName="Sheet26"/>
  <dimension ref="A1:V8"/>
  <sheetViews>
    <sheetView workbookViewId="0">
      <selection activeCell="B2" sqref="B2"/>
    </sheetView>
  </sheetViews>
  <sheetFormatPr defaultColWidth="15.44140625" defaultRowHeight="14.4" x14ac:dyDescent="0.3"/>
  <cols>
    <col min="1" max="1" width="61.44140625" style="1" customWidth="1"/>
    <col min="2" max="2" width="48.21875" customWidth="1"/>
    <col min="3" max="4" width="15.44140625" style="4" customWidth="1"/>
    <col min="6" max="6" width="17.21875" customWidth="1"/>
  </cols>
  <sheetData>
    <row r="1" spans="1:22" s="1" customFormat="1" ht="40.200000000000003" customHeight="1" x14ac:dyDescent="0.3"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spans="1:22" ht="47.7" customHeight="1" x14ac:dyDescent="0.3">
      <c r="A2" s="53"/>
      <c r="B2" s="62" t="s">
        <v>269</v>
      </c>
      <c r="C2" s="2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2" s="1" customFormat="1" ht="122.25" customHeight="1" x14ac:dyDescent="0.3">
      <c r="A3" s="53" t="s">
        <v>84</v>
      </c>
      <c r="B3" s="54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/>
      <c r="U3"/>
      <c r="V3"/>
    </row>
    <row r="4" spans="1:22" s="1" customFormat="1" ht="19.5" customHeight="1" x14ac:dyDescent="0.3">
      <c r="A4" s="53"/>
      <c r="B4" s="127" t="s">
        <v>270</v>
      </c>
      <c r="C4" s="127"/>
      <c r="D4" s="127"/>
      <c r="E4" s="127"/>
      <c r="F4" s="116" t="s">
        <v>271</v>
      </c>
      <c r="G4" s="116"/>
      <c r="H4" s="116"/>
      <c r="I4" s="116"/>
      <c r="J4" s="116" t="s">
        <v>272</v>
      </c>
      <c r="K4" s="116"/>
      <c r="L4" s="116"/>
      <c r="M4" s="116"/>
      <c r="N4" s="116"/>
      <c r="O4" s="116" t="s">
        <v>273</v>
      </c>
      <c r="P4" s="116"/>
      <c r="Q4" s="116"/>
      <c r="R4" s="116"/>
      <c r="S4" s="116"/>
      <c r="T4"/>
    </row>
    <row r="5" spans="1:22" s="3" customFormat="1" ht="57.75" customHeight="1" x14ac:dyDescent="0.3">
      <c r="A5" s="56" t="s">
        <v>88</v>
      </c>
      <c r="B5" s="28" t="s">
        <v>274</v>
      </c>
      <c r="C5" s="28" t="s">
        <v>275</v>
      </c>
      <c r="D5" s="28" t="s">
        <v>276</v>
      </c>
      <c r="E5" s="28" t="s">
        <v>277</v>
      </c>
      <c r="F5" s="28" t="s">
        <v>278</v>
      </c>
      <c r="G5" s="28" t="s">
        <v>279</v>
      </c>
      <c r="H5" s="28" t="s">
        <v>276</v>
      </c>
      <c r="I5" s="28" t="s">
        <v>280</v>
      </c>
      <c r="J5" s="28" t="s">
        <v>281</v>
      </c>
      <c r="K5" s="28" t="s">
        <v>276</v>
      </c>
      <c r="L5" s="28" t="s">
        <v>282</v>
      </c>
      <c r="M5" s="28" t="s">
        <v>283</v>
      </c>
      <c r="N5" s="28" t="s">
        <v>284</v>
      </c>
      <c r="O5" s="28" t="s">
        <v>285</v>
      </c>
      <c r="P5" s="28" t="s">
        <v>276</v>
      </c>
      <c r="Q5" s="28" t="s">
        <v>286</v>
      </c>
      <c r="R5" s="28" t="s">
        <v>287</v>
      </c>
      <c r="S5" s="28" t="s">
        <v>288</v>
      </c>
      <c r="T5"/>
    </row>
    <row r="6" spans="1:22" ht="23.25" customHeight="1" x14ac:dyDescent="0.3">
      <c r="A6" s="55" t="s">
        <v>114</v>
      </c>
      <c r="B6" s="66" t="s">
        <v>115</v>
      </c>
      <c r="C6" s="66" t="s">
        <v>116</v>
      </c>
      <c r="D6" s="66" t="s">
        <v>117</v>
      </c>
      <c r="E6" s="66" t="s">
        <v>118</v>
      </c>
      <c r="F6" s="66" t="s">
        <v>119</v>
      </c>
      <c r="G6" s="66" t="s">
        <v>120</v>
      </c>
      <c r="H6" s="66" t="s">
        <v>121</v>
      </c>
      <c r="I6" s="66" t="s">
        <v>122</v>
      </c>
      <c r="J6" s="66" t="s">
        <v>123</v>
      </c>
      <c r="K6" s="66" t="s">
        <v>124</v>
      </c>
      <c r="L6" s="66" t="s">
        <v>125</v>
      </c>
      <c r="M6" s="66" t="s">
        <v>126</v>
      </c>
      <c r="N6" s="66" t="s">
        <v>127</v>
      </c>
      <c r="O6" s="66" t="s">
        <v>128</v>
      </c>
      <c r="P6" s="66" t="s">
        <v>129</v>
      </c>
      <c r="Q6" s="66" t="s">
        <v>130</v>
      </c>
      <c r="R6" s="66" t="s">
        <v>131</v>
      </c>
      <c r="S6" s="66" t="s">
        <v>132</v>
      </c>
    </row>
    <row r="7" spans="1:22" x14ac:dyDescent="0.3">
      <c r="C7"/>
      <c r="D7"/>
    </row>
    <row r="8" spans="1:22" x14ac:dyDescent="0.3">
      <c r="C8"/>
      <c r="D8"/>
    </row>
  </sheetData>
  <mergeCells count="4">
    <mergeCell ref="B4:E4"/>
    <mergeCell ref="F4:I4"/>
    <mergeCell ref="J4:N4"/>
    <mergeCell ref="O4:S4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312AC-4642-41C6-8938-E33E67B00BAF}">
  <sheetPr codeName="Sheet27">
    <tabColor theme="4" tint="0.59999389629810485"/>
  </sheetPr>
  <dimension ref="A1:L8"/>
  <sheetViews>
    <sheetView workbookViewId="0">
      <selection activeCell="A5" sqref="A5"/>
    </sheetView>
  </sheetViews>
  <sheetFormatPr defaultColWidth="15.44140625" defaultRowHeight="14.4" x14ac:dyDescent="0.3"/>
  <cols>
    <col min="1" max="1" width="61.44140625" style="1" customWidth="1"/>
    <col min="2" max="2" width="48.21875" customWidth="1"/>
    <col min="3" max="4" width="15.44140625" style="4" customWidth="1"/>
    <col min="6" max="6" width="17.21875" customWidth="1"/>
  </cols>
  <sheetData>
    <row r="1" spans="1:12" s="1" customFormat="1" ht="40.200000000000003" customHeight="1" x14ac:dyDescent="0.3">
      <c r="C1"/>
      <c r="D1"/>
      <c r="E1"/>
      <c r="F1"/>
      <c r="G1"/>
      <c r="H1"/>
      <c r="I1"/>
      <c r="J1"/>
    </row>
    <row r="2" spans="1:12" ht="47.7" customHeight="1" x14ac:dyDescent="0.3">
      <c r="A2" s="53"/>
      <c r="B2" s="119" t="s">
        <v>289</v>
      </c>
      <c r="C2" s="119"/>
      <c r="D2" s="119"/>
      <c r="E2" s="119"/>
      <c r="F2" s="119"/>
      <c r="G2" s="119"/>
      <c r="H2" s="119"/>
      <c r="I2" s="119"/>
    </row>
    <row r="3" spans="1:12" s="1" customFormat="1" ht="122.25" customHeight="1" x14ac:dyDescent="0.3">
      <c r="A3" s="53" t="s">
        <v>84</v>
      </c>
      <c r="B3" s="54"/>
      <c r="C3" s="3"/>
      <c r="D3" s="3"/>
      <c r="E3" s="3"/>
      <c r="F3" s="3"/>
      <c r="G3" s="3"/>
      <c r="H3" s="3"/>
      <c r="I3" s="3"/>
      <c r="J3" s="3"/>
      <c r="K3" s="53"/>
      <c r="L3" s="53"/>
    </row>
    <row r="4" spans="1:12" s="1" customFormat="1" ht="19.5" customHeight="1" x14ac:dyDescent="0.3">
      <c r="A4" s="53"/>
      <c r="B4" s="127" t="s">
        <v>290</v>
      </c>
      <c r="C4" s="127"/>
      <c r="D4" s="127"/>
      <c r="E4" s="127"/>
      <c r="F4" s="127" t="s">
        <v>291</v>
      </c>
      <c r="G4" s="127"/>
      <c r="H4" s="127"/>
      <c r="I4" s="127"/>
      <c r="J4" s="127"/>
      <c r="K4" s="3"/>
      <c r="L4" s="3"/>
    </row>
    <row r="5" spans="1:12" s="3" customFormat="1" ht="57.75" customHeight="1" x14ac:dyDescent="0.3">
      <c r="A5" s="56" t="s">
        <v>88</v>
      </c>
      <c r="B5" s="28" t="s">
        <v>292</v>
      </c>
      <c r="C5" s="28" t="s">
        <v>293</v>
      </c>
      <c r="D5" s="28" t="s">
        <v>294</v>
      </c>
      <c r="E5" s="28" t="s">
        <v>292</v>
      </c>
      <c r="F5" s="28" t="s">
        <v>293</v>
      </c>
      <c r="G5" s="28" t="s">
        <v>295</v>
      </c>
      <c r="H5" s="28" t="s">
        <v>296</v>
      </c>
      <c r="I5" s="28" t="s">
        <v>297</v>
      </c>
      <c r="J5" s="28" t="s">
        <v>298</v>
      </c>
    </row>
    <row r="6" spans="1:12" ht="23.25" customHeight="1" x14ac:dyDescent="0.3">
      <c r="A6" s="55" t="s">
        <v>114</v>
      </c>
      <c r="B6" s="66" t="s">
        <v>115</v>
      </c>
      <c r="C6" s="66" t="s">
        <v>116</v>
      </c>
      <c r="D6" s="66" t="s">
        <v>117</v>
      </c>
      <c r="E6" s="66" t="s">
        <v>118</v>
      </c>
      <c r="F6" s="66" t="s">
        <v>119</v>
      </c>
      <c r="G6" s="66" t="s">
        <v>120</v>
      </c>
      <c r="H6" s="66" t="s">
        <v>121</v>
      </c>
      <c r="I6" s="66" t="s">
        <v>122</v>
      </c>
      <c r="J6" s="66" t="s">
        <v>123</v>
      </c>
      <c r="K6" s="3"/>
      <c r="L6" s="3"/>
    </row>
    <row r="7" spans="1:12" x14ac:dyDescent="0.3">
      <c r="C7"/>
      <c r="D7"/>
    </row>
    <row r="8" spans="1:12" x14ac:dyDescent="0.3">
      <c r="C8"/>
      <c r="D8"/>
    </row>
  </sheetData>
  <mergeCells count="3">
    <mergeCell ref="F4:J4"/>
    <mergeCell ref="B4:E4"/>
    <mergeCell ref="B2:I2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A62E-5F92-4EE1-901F-A90291EB9016}">
  <sheetPr codeName="Sheet28">
    <tabColor theme="7" tint="0.59999389629810485"/>
  </sheetPr>
  <dimension ref="A1:B7"/>
  <sheetViews>
    <sheetView topLeftCell="A2" workbookViewId="0">
      <selection activeCell="A3" sqref="A3"/>
    </sheetView>
  </sheetViews>
  <sheetFormatPr defaultColWidth="15.44140625" defaultRowHeight="14.4" x14ac:dyDescent="0.3"/>
  <cols>
    <col min="1" max="1" width="61.44140625" style="1" customWidth="1"/>
    <col min="2" max="2" width="48.21875" customWidth="1"/>
  </cols>
  <sheetData>
    <row r="1" spans="1:2" s="1" customFormat="1" ht="40.200000000000003" customHeight="1" x14ac:dyDescent="0.3"/>
    <row r="2" spans="1:2" ht="47.7" customHeight="1" x14ac:dyDescent="0.3">
      <c r="B2" s="23" t="s">
        <v>299</v>
      </c>
    </row>
    <row r="3" spans="1:2" s="1" customFormat="1" ht="122.25" customHeight="1" x14ac:dyDescent="0.3">
      <c r="A3" s="1" t="s">
        <v>84</v>
      </c>
      <c r="B3" s="22"/>
    </row>
    <row r="4" spans="1:2" s="1" customFormat="1" ht="19.5" customHeight="1" x14ac:dyDescent="0.3"/>
    <row r="5" spans="1:2" s="3" customFormat="1" ht="57.75" customHeight="1" x14ac:dyDescent="0.3">
      <c r="A5" s="56" t="s">
        <v>88</v>
      </c>
      <c r="B5" s="28" t="s">
        <v>300</v>
      </c>
    </row>
    <row r="6" spans="1:2" ht="23.25" customHeight="1" x14ac:dyDescent="0.3">
      <c r="A6" s="55" t="s">
        <v>114</v>
      </c>
      <c r="B6" s="66" t="s">
        <v>115</v>
      </c>
    </row>
    <row r="7" spans="1:2" x14ac:dyDescent="0.3">
      <c r="A7" s="1" t="s">
        <v>454</v>
      </c>
      <c r="B7" t="s">
        <v>461</v>
      </c>
    </row>
  </sheetData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04022-DE34-48F3-B44C-939F2CB1EB38}">
  <sheetPr codeName="Sheet29"/>
  <dimension ref="A1:E8"/>
  <sheetViews>
    <sheetView workbookViewId="0">
      <selection activeCell="A4" sqref="A4"/>
    </sheetView>
  </sheetViews>
  <sheetFormatPr defaultColWidth="15.44140625" defaultRowHeight="14.4" x14ac:dyDescent="0.3"/>
  <cols>
    <col min="1" max="1" width="38.21875" style="1" customWidth="1"/>
    <col min="2" max="2" width="29.21875" customWidth="1"/>
    <col min="3" max="4" width="15.44140625" style="4" customWidth="1"/>
  </cols>
  <sheetData>
    <row r="1" spans="1:5" s="1" customFormat="1" ht="40.200000000000003" customHeight="1" x14ac:dyDescent="0.3">
      <c r="C1"/>
      <c r="D1"/>
      <c r="E1"/>
    </row>
    <row r="2" spans="1:5" ht="47.7" customHeight="1" x14ac:dyDescent="0.3">
      <c r="A2" s="53"/>
      <c r="B2" s="79"/>
      <c r="C2" s="23" t="s">
        <v>301</v>
      </c>
      <c r="D2" s="62"/>
      <c r="E2" s="62"/>
    </row>
    <row r="3" spans="1:5" s="1" customFormat="1" ht="122.25" customHeight="1" x14ac:dyDescent="0.3">
      <c r="A3" s="53" t="s">
        <v>84</v>
      </c>
      <c r="B3" s="54"/>
      <c r="C3" s="3"/>
      <c r="D3" s="3"/>
      <c r="E3" s="3"/>
    </row>
    <row r="4" spans="1:5" s="1" customFormat="1" ht="19.5" customHeight="1" x14ac:dyDescent="0.3">
      <c r="A4" s="53"/>
      <c r="B4" s="127" t="s">
        <v>59</v>
      </c>
      <c r="C4" s="127"/>
      <c r="D4" s="127"/>
      <c r="E4" s="127"/>
    </row>
    <row r="5" spans="1:5" s="3" customFormat="1" ht="57.75" customHeight="1" x14ac:dyDescent="0.3">
      <c r="A5" s="56" t="s">
        <v>88</v>
      </c>
      <c r="B5" s="28" t="s">
        <v>302</v>
      </c>
      <c r="C5" s="28" t="s">
        <v>303</v>
      </c>
      <c r="D5" s="28" t="s">
        <v>304</v>
      </c>
      <c r="E5" s="28" t="s">
        <v>305</v>
      </c>
    </row>
    <row r="6" spans="1:5" ht="23.25" customHeight="1" x14ac:dyDescent="0.3">
      <c r="A6" s="55" t="s">
        <v>114</v>
      </c>
      <c r="B6" s="66" t="s">
        <v>115</v>
      </c>
      <c r="C6" s="66" t="s">
        <v>116</v>
      </c>
      <c r="D6" s="66" t="s">
        <v>117</v>
      </c>
      <c r="E6" s="66" t="s">
        <v>118</v>
      </c>
    </row>
    <row r="7" spans="1:5" x14ac:dyDescent="0.3">
      <c r="C7"/>
      <c r="D7"/>
    </row>
    <row r="8" spans="1:5" x14ac:dyDescent="0.3">
      <c r="C8"/>
      <c r="D8"/>
    </row>
  </sheetData>
  <mergeCells count="1">
    <mergeCell ref="B4:E4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60D1C-2D20-49F8-95DD-A6FB9C2F47D5}">
  <sheetPr codeName="Sheet30">
    <tabColor theme="9" tint="0.59999389629810485"/>
  </sheetPr>
  <dimension ref="A1:F8"/>
  <sheetViews>
    <sheetView workbookViewId="0">
      <selection activeCell="F1" sqref="F1"/>
    </sheetView>
  </sheetViews>
  <sheetFormatPr defaultColWidth="15.44140625" defaultRowHeight="14.4" x14ac:dyDescent="0.3"/>
  <cols>
    <col min="1" max="1" width="61.44140625" style="1" customWidth="1"/>
    <col min="2" max="2" width="30.21875" customWidth="1"/>
    <col min="3" max="4" width="15.44140625" style="4" customWidth="1"/>
  </cols>
  <sheetData>
    <row r="1" spans="1:6" s="1" customFormat="1" ht="40.200000000000003" customHeight="1" x14ac:dyDescent="0.3">
      <c r="C1"/>
      <c r="D1"/>
      <c r="E1"/>
    </row>
    <row r="2" spans="1:6" ht="47.7" customHeight="1" x14ac:dyDescent="0.3">
      <c r="A2" s="53"/>
      <c r="B2" s="119" t="s">
        <v>306</v>
      </c>
      <c r="C2" s="119"/>
      <c r="D2" s="119"/>
      <c r="E2" s="119"/>
      <c r="F2" s="3"/>
    </row>
    <row r="3" spans="1:6" s="1" customFormat="1" ht="122.25" customHeight="1" x14ac:dyDescent="0.3">
      <c r="A3" s="53" t="s">
        <v>84</v>
      </c>
      <c r="B3" s="54"/>
      <c r="C3" s="3"/>
      <c r="D3" s="3"/>
      <c r="E3" s="3"/>
      <c r="F3" s="53"/>
    </row>
    <row r="4" spans="1:6" s="1" customFormat="1" ht="19.5" customHeight="1" x14ac:dyDescent="0.3">
      <c r="A4" s="53"/>
      <c r="B4" s="127" t="s">
        <v>307</v>
      </c>
      <c r="C4" s="127"/>
      <c r="D4" s="127"/>
      <c r="E4" s="127"/>
      <c r="F4" s="127"/>
    </row>
    <row r="5" spans="1:6" s="3" customFormat="1" ht="57.75" customHeight="1" x14ac:dyDescent="0.3">
      <c r="A5" s="56" t="s">
        <v>88</v>
      </c>
      <c r="B5" s="28" t="s">
        <v>308</v>
      </c>
      <c r="C5" s="28" t="s">
        <v>309</v>
      </c>
      <c r="D5" s="28" t="s">
        <v>310</v>
      </c>
      <c r="E5" s="28" t="s">
        <v>311</v>
      </c>
      <c r="F5" s="28" t="s">
        <v>312</v>
      </c>
    </row>
    <row r="6" spans="1:6" ht="23.25" customHeight="1" x14ac:dyDescent="0.3">
      <c r="A6" s="55" t="s">
        <v>114</v>
      </c>
      <c r="B6" s="66" t="s">
        <v>115</v>
      </c>
      <c r="C6" s="66" t="s">
        <v>116</v>
      </c>
      <c r="D6" s="66" t="s">
        <v>117</v>
      </c>
      <c r="E6" s="66" t="s">
        <v>118</v>
      </c>
      <c r="F6" s="66" t="s">
        <v>119</v>
      </c>
    </row>
    <row r="7" spans="1:6" x14ac:dyDescent="0.3">
      <c r="A7" s="1" t="s">
        <v>455</v>
      </c>
      <c r="B7" t="s">
        <v>459</v>
      </c>
      <c r="C7" t="s">
        <v>456</v>
      </c>
      <c r="D7"/>
      <c r="E7" t="s">
        <v>457</v>
      </c>
      <c r="F7" t="s">
        <v>458</v>
      </c>
    </row>
    <row r="8" spans="1:6" x14ac:dyDescent="0.3">
      <c r="C8"/>
      <c r="D8"/>
    </row>
  </sheetData>
  <mergeCells count="2">
    <mergeCell ref="B2:E2"/>
    <mergeCell ref="B4:F4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722A-BB45-4078-9691-68C56CC4B4CC}">
  <sheetPr codeName="Sheet31">
    <tabColor theme="9" tint="0.59999389629810485"/>
  </sheetPr>
  <dimension ref="A1:R8"/>
  <sheetViews>
    <sheetView topLeftCell="A3" workbookViewId="0">
      <selection activeCell="A5" sqref="A5"/>
    </sheetView>
  </sheetViews>
  <sheetFormatPr defaultColWidth="15.44140625" defaultRowHeight="14.4" x14ac:dyDescent="0.3"/>
  <cols>
    <col min="1" max="1" width="61.44140625" style="1" customWidth="1"/>
    <col min="2" max="2" width="25.21875" customWidth="1"/>
    <col min="3" max="4" width="15.44140625" style="4" customWidth="1"/>
  </cols>
  <sheetData>
    <row r="1" spans="1:18" s="1" customFormat="1" ht="40.200000000000003" customHeight="1" x14ac:dyDescent="0.3">
      <c r="C1"/>
      <c r="D1"/>
      <c r="E1"/>
    </row>
    <row r="2" spans="1:18" ht="47.7" customHeight="1" x14ac:dyDescent="0.3">
      <c r="A2" s="53"/>
      <c r="B2" s="119" t="s">
        <v>313</v>
      </c>
      <c r="C2" s="119"/>
      <c r="D2" s="119"/>
      <c r="E2" s="119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s="1" customFormat="1" ht="122.25" customHeight="1" x14ac:dyDescent="0.3">
      <c r="A3" s="53" t="s">
        <v>84</v>
      </c>
      <c r="B3" s="54"/>
      <c r="C3" s="3"/>
      <c r="D3" s="3"/>
      <c r="E3" s="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</row>
    <row r="4" spans="1:18" s="1" customFormat="1" ht="26.55" customHeight="1" x14ac:dyDescent="0.3">
      <c r="A4" s="53"/>
      <c r="B4" s="127" t="s">
        <v>63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</row>
    <row r="5" spans="1:18" s="3" customFormat="1" ht="79.5" customHeight="1" x14ac:dyDescent="0.3">
      <c r="A5" s="56" t="s">
        <v>88</v>
      </c>
      <c r="B5" s="28" t="s">
        <v>314</v>
      </c>
      <c r="C5" s="28" t="s">
        <v>315</v>
      </c>
      <c r="D5" s="28" t="s">
        <v>316</v>
      </c>
      <c r="E5" s="28" t="s">
        <v>317</v>
      </c>
      <c r="F5" s="28" t="s">
        <v>318</v>
      </c>
      <c r="G5" s="28" t="s">
        <v>319</v>
      </c>
      <c r="H5" s="28" t="s">
        <v>320</v>
      </c>
      <c r="I5" s="28" t="s">
        <v>321</v>
      </c>
      <c r="J5" s="28" t="s">
        <v>322</v>
      </c>
      <c r="K5" s="28" t="s">
        <v>323</v>
      </c>
      <c r="L5" s="28" t="s">
        <v>324</v>
      </c>
      <c r="M5" s="28" t="s">
        <v>325</v>
      </c>
      <c r="N5" s="28" t="s">
        <v>326</v>
      </c>
      <c r="O5" s="28" t="s">
        <v>327</v>
      </c>
      <c r="P5" s="28" t="s">
        <v>328</v>
      </c>
      <c r="Q5" s="28" t="s">
        <v>329</v>
      </c>
      <c r="R5" s="28" t="s">
        <v>330</v>
      </c>
    </row>
    <row r="6" spans="1:18" ht="23.25" customHeight="1" x14ac:dyDescent="0.3">
      <c r="A6" s="55" t="s">
        <v>114</v>
      </c>
      <c r="B6" s="66" t="s">
        <v>115</v>
      </c>
      <c r="C6" s="66" t="s">
        <v>116</v>
      </c>
      <c r="D6" s="66" t="s">
        <v>117</v>
      </c>
      <c r="E6" s="66" t="s">
        <v>118</v>
      </c>
      <c r="F6" s="66" t="s">
        <v>119</v>
      </c>
      <c r="G6" s="66" t="s">
        <v>120</v>
      </c>
      <c r="H6" s="66" t="s">
        <v>121</v>
      </c>
      <c r="I6" s="66" t="s">
        <v>122</v>
      </c>
      <c r="J6" s="66" t="s">
        <v>123</v>
      </c>
      <c r="K6" s="66" t="s">
        <v>124</v>
      </c>
      <c r="L6" s="66" t="s">
        <v>125</v>
      </c>
      <c r="M6" s="66" t="s">
        <v>126</v>
      </c>
      <c r="N6" s="66" t="s">
        <v>127</v>
      </c>
      <c r="O6" s="66" t="s">
        <v>128</v>
      </c>
      <c r="P6" s="66" t="s">
        <v>129</v>
      </c>
      <c r="Q6" s="66" t="s">
        <v>130</v>
      </c>
      <c r="R6" s="66" t="s">
        <v>131</v>
      </c>
    </row>
    <row r="7" spans="1:18" x14ac:dyDescent="0.3">
      <c r="A7" s="1" t="s">
        <v>443</v>
      </c>
      <c r="B7" t="s">
        <v>442</v>
      </c>
      <c r="C7" t="s">
        <v>442</v>
      </c>
      <c r="D7" t="s">
        <v>442</v>
      </c>
      <c r="E7" t="s">
        <v>442</v>
      </c>
      <c r="F7" t="s">
        <v>442</v>
      </c>
      <c r="G7" t="s">
        <v>435</v>
      </c>
      <c r="H7" t="s">
        <v>436</v>
      </c>
      <c r="I7" t="s">
        <v>437</v>
      </c>
      <c r="J7" t="s">
        <v>438</v>
      </c>
      <c r="N7" t="s">
        <v>440</v>
      </c>
      <c r="O7" t="s">
        <v>441</v>
      </c>
      <c r="P7" t="s">
        <v>439</v>
      </c>
    </row>
    <row r="8" spans="1:18" x14ac:dyDescent="0.3">
      <c r="C8"/>
      <c r="D8"/>
    </row>
  </sheetData>
  <mergeCells count="2">
    <mergeCell ref="B2:E2"/>
    <mergeCell ref="B4:R4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DD86-ACE8-43F0-B917-F354FC2B6131}">
  <sheetPr codeName="Sheet32">
    <tabColor theme="9" tint="0.59999389629810485"/>
  </sheetPr>
  <dimension ref="A1:I8"/>
  <sheetViews>
    <sheetView topLeftCell="C1" workbookViewId="0">
      <selection activeCell="H5" sqref="H5"/>
    </sheetView>
  </sheetViews>
  <sheetFormatPr defaultColWidth="15.44140625" defaultRowHeight="14.4" x14ac:dyDescent="0.3"/>
  <cols>
    <col min="1" max="1" width="61.44140625" style="1" customWidth="1"/>
    <col min="2" max="2" width="26.77734375" customWidth="1"/>
    <col min="3" max="4" width="26.77734375" style="4" customWidth="1"/>
    <col min="5" max="9" width="26.77734375" customWidth="1"/>
  </cols>
  <sheetData>
    <row r="1" spans="1:9" s="1" customFormat="1" ht="40.200000000000003" customHeight="1" x14ac:dyDescent="0.3">
      <c r="C1"/>
      <c r="D1"/>
      <c r="E1"/>
    </row>
    <row r="2" spans="1:9" ht="47.7" customHeight="1" x14ac:dyDescent="0.3">
      <c r="A2" s="53"/>
      <c r="B2" s="119" t="s">
        <v>331</v>
      </c>
      <c r="C2" s="119"/>
      <c r="D2" s="119"/>
      <c r="E2" s="119"/>
      <c r="F2" s="3"/>
      <c r="G2" s="3"/>
      <c r="H2" s="3"/>
      <c r="I2" s="3"/>
    </row>
    <row r="3" spans="1:9" s="1" customFormat="1" ht="122.25" customHeight="1" x14ac:dyDescent="0.3">
      <c r="A3" s="53" t="s">
        <v>84</v>
      </c>
      <c r="B3" s="54"/>
      <c r="C3" s="3"/>
      <c r="D3" s="3"/>
      <c r="E3" s="3"/>
      <c r="F3" s="53"/>
      <c r="G3" s="53"/>
      <c r="H3" s="53"/>
      <c r="I3" s="53"/>
    </row>
    <row r="4" spans="1:9" s="1" customFormat="1" ht="19.5" customHeight="1" x14ac:dyDescent="0.3">
      <c r="A4" s="53"/>
      <c r="B4" s="127" t="s">
        <v>332</v>
      </c>
      <c r="C4" s="127"/>
      <c r="D4" s="127"/>
      <c r="E4" s="127"/>
      <c r="F4" s="127"/>
      <c r="G4" s="127"/>
      <c r="H4" s="127"/>
      <c r="I4" s="127"/>
    </row>
    <row r="5" spans="1:9" s="3" customFormat="1" ht="37.950000000000003" customHeight="1" x14ac:dyDescent="0.3">
      <c r="A5" s="56" t="s">
        <v>88</v>
      </c>
      <c r="B5" s="28" t="s">
        <v>314</v>
      </c>
      <c r="C5" s="28" t="s">
        <v>333</v>
      </c>
      <c r="D5" s="28" t="s">
        <v>334</v>
      </c>
      <c r="E5" s="28" t="s">
        <v>335</v>
      </c>
      <c r="F5" s="28" t="s">
        <v>336</v>
      </c>
      <c r="G5" s="28" t="s">
        <v>337</v>
      </c>
      <c r="H5" s="28" t="s">
        <v>338</v>
      </c>
      <c r="I5" s="28" t="s">
        <v>339</v>
      </c>
    </row>
    <row r="6" spans="1:9" ht="23.25" customHeight="1" x14ac:dyDescent="0.3">
      <c r="A6" s="55" t="s">
        <v>114</v>
      </c>
      <c r="B6" s="66" t="s">
        <v>115</v>
      </c>
      <c r="C6" s="66" t="s">
        <v>116</v>
      </c>
      <c r="D6" s="66" t="s">
        <v>117</v>
      </c>
      <c r="E6" s="66" t="s">
        <v>118</v>
      </c>
      <c r="F6" s="66" t="s">
        <v>119</v>
      </c>
      <c r="G6" s="66" t="s">
        <v>120</v>
      </c>
      <c r="H6" s="66" t="s">
        <v>121</v>
      </c>
      <c r="I6" s="66" t="s">
        <v>122</v>
      </c>
    </row>
    <row r="7" spans="1:9" x14ac:dyDescent="0.3">
      <c r="A7" s="1" t="s">
        <v>444</v>
      </c>
      <c r="B7" t="s">
        <v>442</v>
      </c>
      <c r="C7"/>
      <c r="D7"/>
    </row>
    <row r="8" spans="1:9" x14ac:dyDescent="0.3">
      <c r="C8"/>
      <c r="D8"/>
    </row>
  </sheetData>
  <mergeCells count="2">
    <mergeCell ref="B2:E2"/>
    <mergeCell ref="B4:I4"/>
  </mergeCells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D5C72-9E8E-4D2A-9A06-092D9E71ABE9}">
  <sheetPr codeName="Sheet33"/>
  <dimension ref="A1:G8"/>
  <sheetViews>
    <sheetView workbookViewId="0"/>
  </sheetViews>
  <sheetFormatPr defaultColWidth="15.44140625" defaultRowHeight="14.4" x14ac:dyDescent="0.3"/>
  <cols>
    <col min="1" max="1" width="61.44140625" style="1" customWidth="1"/>
    <col min="2" max="2" width="48.21875" customWidth="1"/>
    <col min="3" max="4" width="15.44140625" style="4" customWidth="1"/>
  </cols>
  <sheetData>
    <row r="1" spans="1:7" s="1" customFormat="1" ht="40.200000000000003" customHeight="1" x14ac:dyDescent="0.3">
      <c r="C1"/>
      <c r="D1"/>
      <c r="E1"/>
      <c r="F1"/>
    </row>
    <row r="2" spans="1:7" ht="47.7" customHeight="1" x14ac:dyDescent="0.3">
      <c r="A2" s="53"/>
      <c r="B2" s="119" t="s">
        <v>340</v>
      </c>
      <c r="C2" s="119"/>
      <c r="D2" s="119"/>
      <c r="E2" s="119"/>
      <c r="F2" s="62"/>
      <c r="G2" s="3"/>
    </row>
    <row r="3" spans="1:7" s="1" customFormat="1" ht="122.25" customHeight="1" x14ac:dyDescent="0.3">
      <c r="A3" s="53" t="s">
        <v>84</v>
      </c>
      <c r="B3" s="54"/>
      <c r="C3" s="3"/>
      <c r="D3" s="3"/>
      <c r="E3" s="3"/>
      <c r="F3" s="3"/>
      <c r="G3" s="53"/>
    </row>
    <row r="4" spans="1:7" s="1" customFormat="1" ht="19.5" customHeight="1" x14ac:dyDescent="0.3">
      <c r="A4" s="53"/>
      <c r="B4" s="127" t="s">
        <v>69</v>
      </c>
      <c r="C4" s="127"/>
      <c r="D4" s="127"/>
      <c r="E4" s="127"/>
      <c r="F4" s="127"/>
      <c r="G4" s="127"/>
    </row>
    <row r="5" spans="1:7" s="3" customFormat="1" ht="57.75" customHeight="1" x14ac:dyDescent="0.3">
      <c r="A5" s="56" t="s">
        <v>88</v>
      </c>
      <c r="B5" s="28" t="s">
        <v>341</v>
      </c>
      <c r="C5" s="28" t="s">
        <v>342</v>
      </c>
      <c r="D5" s="28" t="s">
        <v>343</v>
      </c>
      <c r="E5" s="28" t="s">
        <v>344</v>
      </c>
      <c r="F5" s="28" t="s">
        <v>345</v>
      </c>
      <c r="G5" s="28" t="s">
        <v>346</v>
      </c>
    </row>
    <row r="6" spans="1:7" ht="23.25" customHeight="1" x14ac:dyDescent="0.3">
      <c r="A6" s="55" t="s">
        <v>114</v>
      </c>
      <c r="B6" s="66" t="s">
        <v>115</v>
      </c>
      <c r="C6" s="66" t="s">
        <v>116</v>
      </c>
      <c r="D6" s="66" t="s">
        <v>117</v>
      </c>
      <c r="E6" s="66" t="s">
        <v>118</v>
      </c>
      <c r="F6" s="66" t="s">
        <v>119</v>
      </c>
      <c r="G6" s="66" t="s">
        <v>120</v>
      </c>
    </row>
    <row r="7" spans="1:7" x14ac:dyDescent="0.3">
      <c r="C7"/>
      <c r="D7"/>
    </row>
    <row r="8" spans="1:7" x14ac:dyDescent="0.3">
      <c r="C8"/>
      <c r="D8"/>
    </row>
  </sheetData>
  <mergeCells count="2">
    <mergeCell ref="B2:E2"/>
    <mergeCell ref="B4:G4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5C657-58A7-48F3-81D2-E7302BD8ABC1}">
  <sheetPr codeName="Sheet34"/>
  <dimension ref="A1:U8"/>
  <sheetViews>
    <sheetView zoomScale="85" zoomScaleNormal="85" workbookViewId="0">
      <selection activeCell="B5" sqref="B5"/>
    </sheetView>
  </sheetViews>
  <sheetFormatPr defaultColWidth="15.44140625" defaultRowHeight="14.4" x14ac:dyDescent="0.3"/>
  <cols>
    <col min="1" max="1" width="61.44140625" style="1" customWidth="1"/>
    <col min="2" max="2" width="48.21875" customWidth="1"/>
    <col min="3" max="4" width="15.44140625" style="4" customWidth="1"/>
  </cols>
  <sheetData>
    <row r="1" spans="1:21" s="1" customFormat="1" ht="40.200000000000003" customHeight="1" x14ac:dyDescent="0.3">
      <c r="C1"/>
      <c r="D1"/>
      <c r="E1"/>
      <c r="F1"/>
    </row>
    <row r="2" spans="1:21" ht="47.7" customHeight="1" x14ac:dyDescent="0.3">
      <c r="A2" s="53"/>
      <c r="B2" s="119" t="s">
        <v>347</v>
      </c>
      <c r="C2" s="119"/>
      <c r="D2" s="119"/>
      <c r="E2" s="119"/>
      <c r="F2" s="6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s="1" customFormat="1" ht="122.25" customHeight="1" x14ac:dyDescent="0.3">
      <c r="A3" s="53" t="s">
        <v>84</v>
      </c>
      <c r="B3" s="54"/>
      <c r="C3" s="3"/>
      <c r="D3" s="3"/>
      <c r="E3" s="3"/>
      <c r="F3" s="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</row>
    <row r="4" spans="1:21" s="1" customFormat="1" ht="19.5" customHeight="1" x14ac:dyDescent="0.3">
      <c r="A4" s="53"/>
      <c r="B4" s="127" t="s">
        <v>71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</row>
    <row r="5" spans="1:21" s="3" customFormat="1" ht="88.95" customHeight="1" x14ac:dyDescent="0.3">
      <c r="A5" s="56" t="s">
        <v>88</v>
      </c>
      <c r="B5" s="28" t="s">
        <v>348</v>
      </c>
      <c r="C5" s="28" t="s">
        <v>349</v>
      </c>
      <c r="D5" s="28" t="s">
        <v>350</v>
      </c>
      <c r="E5" s="28" t="s">
        <v>351</v>
      </c>
      <c r="F5" s="28" t="s">
        <v>352</v>
      </c>
      <c r="G5" s="28" t="s">
        <v>353</v>
      </c>
      <c r="H5" s="28" t="s">
        <v>354</v>
      </c>
      <c r="I5" s="28" t="s">
        <v>355</v>
      </c>
      <c r="J5" s="28" t="s">
        <v>356</v>
      </c>
      <c r="K5" s="28" t="s">
        <v>357</v>
      </c>
      <c r="L5" s="28" t="s">
        <v>358</v>
      </c>
      <c r="M5" s="28" t="s">
        <v>359</v>
      </c>
      <c r="N5" s="28" t="s">
        <v>360</v>
      </c>
      <c r="O5" s="28" t="s">
        <v>361</v>
      </c>
      <c r="P5" s="28" t="s">
        <v>362</v>
      </c>
      <c r="Q5" s="28" t="s">
        <v>363</v>
      </c>
      <c r="R5" s="28" t="s">
        <v>364</v>
      </c>
      <c r="S5" s="28" t="s">
        <v>365</v>
      </c>
      <c r="T5" s="28" t="s">
        <v>366</v>
      </c>
    </row>
    <row r="6" spans="1:21" ht="23.25" customHeight="1" x14ac:dyDescent="0.3">
      <c r="A6" s="55" t="s">
        <v>114</v>
      </c>
      <c r="B6" s="66" t="s">
        <v>115</v>
      </c>
      <c r="C6" s="66" t="s">
        <v>116</v>
      </c>
      <c r="D6" s="66" t="s">
        <v>117</v>
      </c>
      <c r="E6" s="66" t="s">
        <v>118</v>
      </c>
      <c r="F6" s="66" t="s">
        <v>119</v>
      </c>
      <c r="G6" s="66" t="s">
        <v>120</v>
      </c>
      <c r="H6" s="66" t="s">
        <v>121</v>
      </c>
      <c r="I6" s="66" t="s">
        <v>122</v>
      </c>
      <c r="J6" s="66" t="s">
        <v>123</v>
      </c>
      <c r="K6" s="66" t="s">
        <v>124</v>
      </c>
      <c r="L6" s="66" t="s">
        <v>125</v>
      </c>
      <c r="M6" s="66" t="s">
        <v>126</v>
      </c>
      <c r="N6" s="66" t="s">
        <v>127</v>
      </c>
      <c r="O6" s="66" t="s">
        <v>128</v>
      </c>
      <c r="P6" s="66" t="s">
        <v>129</v>
      </c>
      <c r="Q6" s="66" t="s">
        <v>130</v>
      </c>
      <c r="R6" s="66" t="s">
        <v>131</v>
      </c>
      <c r="S6" s="66" t="s">
        <v>132</v>
      </c>
      <c r="T6" s="66" t="s">
        <v>133</v>
      </c>
      <c r="U6" s="3"/>
    </row>
    <row r="7" spans="1:21" x14ac:dyDescent="0.3">
      <c r="C7"/>
      <c r="D7"/>
    </row>
    <row r="8" spans="1:21" x14ac:dyDescent="0.3">
      <c r="C8"/>
      <c r="D8"/>
    </row>
  </sheetData>
  <mergeCells count="2">
    <mergeCell ref="B2:E2"/>
    <mergeCell ref="B4:U4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860E2-0653-4DC8-994E-302637044B52}">
  <sheetPr codeName="Sheet35"/>
  <dimension ref="A1:H8"/>
  <sheetViews>
    <sheetView workbookViewId="0"/>
  </sheetViews>
  <sheetFormatPr defaultColWidth="15.44140625" defaultRowHeight="14.4" x14ac:dyDescent="0.3"/>
  <cols>
    <col min="1" max="1" width="61.44140625" style="1" customWidth="1"/>
    <col min="2" max="2" width="48.21875" customWidth="1"/>
    <col min="3" max="4" width="15.44140625" style="4" customWidth="1"/>
  </cols>
  <sheetData>
    <row r="1" spans="1:8" s="1" customFormat="1" ht="40.200000000000003" customHeight="1" x14ac:dyDescent="0.3">
      <c r="C1"/>
      <c r="D1"/>
      <c r="E1"/>
      <c r="F1"/>
    </row>
    <row r="2" spans="1:8" ht="47.7" customHeight="1" x14ac:dyDescent="0.3">
      <c r="A2" s="53"/>
      <c r="B2" s="119" t="s">
        <v>367</v>
      </c>
      <c r="C2" s="119"/>
      <c r="D2" s="119"/>
      <c r="E2" s="119"/>
      <c r="F2" s="62"/>
      <c r="G2" s="3"/>
      <c r="H2" s="3"/>
    </row>
    <row r="3" spans="1:8" s="1" customFormat="1" ht="122.25" customHeight="1" x14ac:dyDescent="0.3">
      <c r="A3" s="53" t="s">
        <v>84</v>
      </c>
      <c r="B3" s="54"/>
      <c r="C3" s="3"/>
      <c r="D3" s="3"/>
      <c r="E3" s="3"/>
      <c r="F3" s="3"/>
      <c r="G3" s="53"/>
      <c r="H3" s="53"/>
    </row>
    <row r="4" spans="1:8" s="1" customFormat="1" ht="19.5" customHeight="1" x14ac:dyDescent="0.3">
      <c r="A4" s="53"/>
      <c r="B4" s="127" t="s">
        <v>368</v>
      </c>
      <c r="C4" s="127"/>
      <c r="D4" s="127"/>
      <c r="E4" s="127"/>
      <c r="F4" s="127"/>
      <c r="G4" s="127"/>
      <c r="H4" s="127"/>
    </row>
    <row r="5" spans="1:8" s="3" customFormat="1" ht="57.75" customHeight="1" x14ac:dyDescent="0.3">
      <c r="A5" s="56" t="s">
        <v>88</v>
      </c>
      <c r="B5" s="28" t="s">
        <v>369</v>
      </c>
      <c r="C5" s="28" t="s">
        <v>370</v>
      </c>
      <c r="D5" s="28" t="s">
        <v>371</v>
      </c>
      <c r="E5" s="28" t="s">
        <v>372</v>
      </c>
      <c r="F5" s="28" t="s">
        <v>373</v>
      </c>
      <c r="G5" s="28" t="s">
        <v>374</v>
      </c>
      <c r="H5" s="28" t="s">
        <v>375</v>
      </c>
    </row>
    <row r="6" spans="1:8" ht="23.25" customHeight="1" x14ac:dyDescent="0.3">
      <c r="A6" s="55" t="s">
        <v>114</v>
      </c>
      <c r="B6" s="66" t="s">
        <v>115</v>
      </c>
      <c r="C6" s="66" t="s">
        <v>116</v>
      </c>
      <c r="D6" s="66" t="s">
        <v>117</v>
      </c>
      <c r="E6" s="66" t="s">
        <v>118</v>
      </c>
      <c r="F6" s="66" t="s">
        <v>119</v>
      </c>
      <c r="G6" s="66" t="s">
        <v>120</v>
      </c>
      <c r="H6" s="66" t="s">
        <v>121</v>
      </c>
    </row>
    <row r="7" spans="1:8" x14ac:dyDescent="0.3">
      <c r="C7"/>
      <c r="D7"/>
    </row>
    <row r="8" spans="1:8" x14ac:dyDescent="0.3">
      <c r="C8"/>
      <c r="D8"/>
    </row>
  </sheetData>
  <mergeCells count="2">
    <mergeCell ref="B2:E2"/>
    <mergeCell ref="B4:H4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34A1A-00AA-4C9E-8B16-178B4C81A4A6}">
  <sheetPr codeName="Sheet36"/>
  <dimension ref="A1:H8"/>
  <sheetViews>
    <sheetView workbookViewId="0">
      <selection activeCell="E5" sqref="E5"/>
    </sheetView>
  </sheetViews>
  <sheetFormatPr defaultColWidth="15.44140625" defaultRowHeight="14.4" x14ac:dyDescent="0.3"/>
  <cols>
    <col min="1" max="1" width="61.44140625" style="1" customWidth="1"/>
    <col min="2" max="2" width="48.21875" customWidth="1"/>
    <col min="3" max="4" width="15.44140625" style="4" customWidth="1"/>
  </cols>
  <sheetData>
    <row r="1" spans="1:8" s="1" customFormat="1" ht="40.200000000000003" customHeight="1" x14ac:dyDescent="0.3">
      <c r="C1"/>
      <c r="D1"/>
      <c r="E1"/>
      <c r="F1"/>
    </row>
    <row r="2" spans="1:8" ht="47.7" customHeight="1" x14ac:dyDescent="0.3">
      <c r="A2" s="53"/>
      <c r="B2" s="119" t="s">
        <v>376</v>
      </c>
      <c r="C2" s="119"/>
      <c r="D2" s="119"/>
      <c r="E2" s="119"/>
      <c r="F2" s="62"/>
      <c r="G2" s="3"/>
      <c r="H2" s="3"/>
    </row>
    <row r="3" spans="1:8" s="1" customFormat="1" ht="122.25" customHeight="1" x14ac:dyDescent="0.3">
      <c r="A3" s="53" t="s">
        <v>84</v>
      </c>
      <c r="B3" s="54"/>
      <c r="C3" s="3"/>
      <c r="D3" s="3"/>
      <c r="E3" s="3"/>
      <c r="F3" s="3"/>
      <c r="G3" s="53"/>
      <c r="H3" s="53"/>
    </row>
    <row r="4" spans="1:8" s="1" customFormat="1" ht="19.5" customHeight="1" x14ac:dyDescent="0.3">
      <c r="A4" s="53"/>
      <c r="B4" s="127" t="s">
        <v>75</v>
      </c>
      <c r="C4" s="127"/>
      <c r="D4" s="127"/>
      <c r="E4" s="127"/>
      <c r="F4" s="127"/>
      <c r="G4" s="127"/>
      <c r="H4" s="127"/>
    </row>
    <row r="5" spans="1:8" s="3" customFormat="1" ht="57.75" customHeight="1" x14ac:dyDescent="0.3">
      <c r="A5" s="56" t="s">
        <v>88</v>
      </c>
      <c r="B5" s="28" t="s">
        <v>377</v>
      </c>
      <c r="C5" s="28" t="s">
        <v>378</v>
      </c>
      <c r="D5" s="28" t="s">
        <v>379</v>
      </c>
      <c r="E5" s="28" t="s">
        <v>380</v>
      </c>
      <c r="F5" s="28" t="s">
        <v>381</v>
      </c>
      <c r="G5" s="28" t="s">
        <v>382</v>
      </c>
      <c r="H5" s="28" t="s">
        <v>383</v>
      </c>
    </row>
    <row r="6" spans="1:8" ht="23.25" customHeight="1" x14ac:dyDescent="0.3">
      <c r="A6" s="55" t="s">
        <v>114</v>
      </c>
      <c r="B6" s="66" t="s">
        <v>115</v>
      </c>
      <c r="C6" s="66" t="s">
        <v>116</v>
      </c>
      <c r="D6" s="66" t="s">
        <v>117</v>
      </c>
      <c r="E6" s="66" t="s">
        <v>118</v>
      </c>
      <c r="F6" s="66" t="s">
        <v>119</v>
      </c>
      <c r="G6" s="66" t="s">
        <v>120</v>
      </c>
      <c r="H6" s="66" t="s">
        <v>121</v>
      </c>
    </row>
    <row r="7" spans="1:8" x14ac:dyDescent="0.3">
      <c r="C7"/>
      <c r="D7"/>
    </row>
    <row r="8" spans="1:8" x14ac:dyDescent="0.3">
      <c r="C8"/>
      <c r="D8"/>
    </row>
  </sheetData>
  <mergeCells count="2">
    <mergeCell ref="B2:E2"/>
    <mergeCell ref="B4:H4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1BE19-E2A6-4FFC-A456-29D8C8D4DA2E}">
  <sheetPr codeName="Sheet37"/>
  <dimension ref="A1:P8"/>
  <sheetViews>
    <sheetView workbookViewId="0">
      <selection activeCell="B2" sqref="B2:E2"/>
    </sheetView>
  </sheetViews>
  <sheetFormatPr defaultColWidth="27.77734375" defaultRowHeight="14.4" x14ac:dyDescent="0.3"/>
  <cols>
    <col min="1" max="1" width="27.77734375" style="1"/>
    <col min="3" max="4" width="27.77734375" style="4"/>
  </cols>
  <sheetData>
    <row r="1" spans="1:16" s="1" customFormat="1" ht="40.200000000000003" customHeight="1" x14ac:dyDescent="0.3">
      <c r="C1"/>
      <c r="D1"/>
      <c r="E1"/>
      <c r="F1"/>
    </row>
    <row r="2" spans="1:16" ht="47.7" customHeight="1" x14ac:dyDescent="0.3">
      <c r="A2" s="53"/>
      <c r="B2" s="128" t="s">
        <v>384</v>
      </c>
      <c r="C2" s="128"/>
      <c r="D2" s="128"/>
      <c r="E2" s="128"/>
      <c r="F2" s="62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s="1" customFormat="1" ht="122.25" customHeight="1" x14ac:dyDescent="0.3">
      <c r="A3" s="53" t="s">
        <v>84</v>
      </c>
      <c r="B3" s="54"/>
      <c r="C3" s="3"/>
      <c r="D3" s="3"/>
      <c r="E3" s="3"/>
      <c r="F3" s="3"/>
      <c r="G3" s="53"/>
      <c r="H3" s="53"/>
      <c r="I3" s="53"/>
      <c r="J3" s="53"/>
      <c r="K3" s="53"/>
      <c r="L3" s="53"/>
      <c r="M3" s="53"/>
      <c r="N3" s="53"/>
      <c r="O3" s="53"/>
      <c r="P3" s="53"/>
    </row>
    <row r="4" spans="1:16" s="1" customFormat="1" ht="19.5" customHeight="1" x14ac:dyDescent="0.3">
      <c r="A4" s="53"/>
      <c r="B4" s="127" t="s">
        <v>77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</row>
    <row r="5" spans="1:16" s="3" customFormat="1" ht="57.75" customHeight="1" x14ac:dyDescent="0.3">
      <c r="A5" s="56" t="s">
        <v>88</v>
      </c>
      <c r="B5" s="28" t="s">
        <v>385</v>
      </c>
      <c r="C5" s="28" t="s">
        <v>386</v>
      </c>
      <c r="D5" s="28" t="s">
        <v>387</v>
      </c>
      <c r="E5" s="28" t="s">
        <v>388</v>
      </c>
      <c r="F5" s="28" t="s">
        <v>389</v>
      </c>
      <c r="G5" s="28" t="s">
        <v>390</v>
      </c>
      <c r="H5" s="28" t="s">
        <v>391</v>
      </c>
      <c r="I5" s="28" t="s">
        <v>392</v>
      </c>
      <c r="J5" s="28" t="s">
        <v>393</v>
      </c>
      <c r="K5" s="28" t="s">
        <v>394</v>
      </c>
      <c r="L5" s="28" t="s">
        <v>395</v>
      </c>
      <c r="M5" s="28" t="s">
        <v>396</v>
      </c>
      <c r="N5" s="28" t="s">
        <v>397</v>
      </c>
      <c r="O5" s="28" t="s">
        <v>398</v>
      </c>
      <c r="P5" s="28" t="s">
        <v>399</v>
      </c>
    </row>
    <row r="6" spans="1:16" ht="23.25" customHeight="1" x14ac:dyDescent="0.3">
      <c r="A6" s="55" t="s">
        <v>114</v>
      </c>
      <c r="B6" s="66" t="s">
        <v>115</v>
      </c>
      <c r="C6" s="66" t="s">
        <v>116</v>
      </c>
      <c r="D6" s="66" t="s">
        <v>117</v>
      </c>
      <c r="E6" s="66" t="s">
        <v>118</v>
      </c>
      <c r="F6" s="66" t="s">
        <v>119</v>
      </c>
      <c r="G6" s="66" t="s">
        <v>120</v>
      </c>
      <c r="H6" s="66" t="s">
        <v>121</v>
      </c>
      <c r="I6" s="66" t="s">
        <v>122</v>
      </c>
      <c r="J6" s="66" t="s">
        <v>123</v>
      </c>
      <c r="K6" s="66" t="s">
        <v>124</v>
      </c>
      <c r="L6" s="66" t="s">
        <v>125</v>
      </c>
      <c r="M6" s="66" t="s">
        <v>126</v>
      </c>
      <c r="N6" s="66" t="s">
        <v>127</v>
      </c>
      <c r="O6" s="66" t="s">
        <v>128</v>
      </c>
      <c r="P6" s="66" t="s">
        <v>129</v>
      </c>
    </row>
    <row r="7" spans="1:16" x14ac:dyDescent="0.3">
      <c r="C7"/>
      <c r="D7"/>
    </row>
    <row r="8" spans="1:16" x14ac:dyDescent="0.3">
      <c r="C8"/>
      <c r="D8"/>
    </row>
  </sheetData>
  <mergeCells count="2">
    <mergeCell ref="B2:E2"/>
    <mergeCell ref="B4:P4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AD95F-9DFD-47C9-A622-6FE08F97DC29}">
  <sheetPr codeName="Sheet38"/>
  <dimension ref="A1:E8"/>
  <sheetViews>
    <sheetView workbookViewId="0">
      <selection activeCell="B2" sqref="B2:E2"/>
    </sheetView>
  </sheetViews>
  <sheetFormatPr defaultColWidth="15.44140625" defaultRowHeight="14.4" x14ac:dyDescent="0.3"/>
  <cols>
    <col min="1" max="1" width="61.44140625" style="1" customWidth="1"/>
    <col min="2" max="2" width="48.21875" customWidth="1"/>
    <col min="3" max="4" width="15.44140625" style="4" customWidth="1"/>
  </cols>
  <sheetData>
    <row r="1" spans="1:5" s="1" customFormat="1" ht="40.200000000000003" customHeight="1" x14ac:dyDescent="0.3">
      <c r="C1"/>
      <c r="D1"/>
      <c r="E1"/>
    </row>
    <row r="2" spans="1:5" ht="47.7" customHeight="1" x14ac:dyDescent="0.3">
      <c r="A2" s="53"/>
      <c r="B2" s="128" t="s">
        <v>400</v>
      </c>
      <c r="C2" s="128"/>
      <c r="D2" s="128"/>
      <c r="E2" s="128"/>
    </row>
    <row r="3" spans="1:5" s="1" customFormat="1" ht="122.25" customHeight="1" x14ac:dyDescent="0.3">
      <c r="A3" s="53" t="s">
        <v>84</v>
      </c>
      <c r="B3" s="54"/>
      <c r="C3" s="3"/>
      <c r="D3" s="3"/>
      <c r="E3" s="3"/>
    </row>
    <row r="4" spans="1:5" s="1" customFormat="1" ht="19.5" customHeight="1" x14ac:dyDescent="0.3">
      <c r="A4" s="53"/>
      <c r="B4" s="127" t="s">
        <v>79</v>
      </c>
      <c r="C4" s="127"/>
      <c r="D4" s="127"/>
      <c r="E4" s="127"/>
    </row>
    <row r="5" spans="1:5" s="3" customFormat="1" ht="57.75" customHeight="1" x14ac:dyDescent="0.3">
      <c r="A5" s="56" t="s">
        <v>88</v>
      </c>
      <c r="B5" s="28" t="s">
        <v>401</v>
      </c>
      <c r="C5" s="28" t="s">
        <v>402</v>
      </c>
      <c r="D5" s="28" t="s">
        <v>403</v>
      </c>
      <c r="E5" s="28" t="s">
        <v>404</v>
      </c>
    </row>
    <row r="6" spans="1:5" ht="23.25" customHeight="1" x14ac:dyDescent="0.3">
      <c r="A6" s="55" t="s">
        <v>114</v>
      </c>
      <c r="B6" s="66" t="s">
        <v>115</v>
      </c>
      <c r="C6" s="66" t="s">
        <v>116</v>
      </c>
      <c r="D6" s="66" t="s">
        <v>117</v>
      </c>
      <c r="E6" s="66" t="s">
        <v>118</v>
      </c>
    </row>
    <row r="7" spans="1:5" x14ac:dyDescent="0.3">
      <c r="C7"/>
      <c r="D7"/>
    </row>
    <row r="8" spans="1:5" x14ac:dyDescent="0.3">
      <c r="C8"/>
      <c r="D8"/>
    </row>
  </sheetData>
  <mergeCells count="2">
    <mergeCell ref="B2:E2"/>
    <mergeCell ref="B4:E4"/>
  </mergeCells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76F44-CF40-4A07-9DF1-67FDD333DEC2}">
  <sheetPr codeName="Sheet39"/>
  <dimension ref="A1:I8"/>
  <sheetViews>
    <sheetView workbookViewId="0">
      <selection activeCell="B2" sqref="B2:E2"/>
    </sheetView>
  </sheetViews>
  <sheetFormatPr defaultColWidth="15.44140625" defaultRowHeight="14.4" x14ac:dyDescent="0.3"/>
  <cols>
    <col min="1" max="1" width="61.44140625" style="1" customWidth="1"/>
    <col min="2" max="2" width="20.44140625" customWidth="1"/>
    <col min="3" max="4" width="15.44140625" style="4" customWidth="1"/>
  </cols>
  <sheetData>
    <row r="1" spans="1:9" s="1" customFormat="1" ht="40.200000000000003" customHeight="1" x14ac:dyDescent="0.3">
      <c r="C1"/>
      <c r="D1"/>
      <c r="E1"/>
      <c r="F1"/>
    </row>
    <row r="2" spans="1:9" ht="47.7" customHeight="1" x14ac:dyDescent="0.3">
      <c r="A2" s="53"/>
      <c r="B2" s="119" t="s">
        <v>405</v>
      </c>
      <c r="C2" s="119"/>
      <c r="D2" s="119"/>
      <c r="E2" s="119"/>
      <c r="F2" s="62"/>
      <c r="G2" s="3"/>
      <c r="H2" s="3"/>
      <c r="I2" s="3"/>
    </row>
    <row r="3" spans="1:9" s="1" customFormat="1" ht="122.25" customHeight="1" x14ac:dyDescent="0.3">
      <c r="A3" s="53" t="s">
        <v>84</v>
      </c>
      <c r="B3" s="54"/>
      <c r="C3" s="3"/>
      <c r="D3" s="3"/>
      <c r="E3" s="3"/>
      <c r="F3" s="3"/>
      <c r="G3" s="53"/>
      <c r="H3" s="53"/>
      <c r="I3" s="53"/>
    </row>
    <row r="4" spans="1:9" s="1" customFormat="1" ht="19.5" customHeight="1" x14ac:dyDescent="0.3">
      <c r="A4" s="53"/>
      <c r="B4" s="127" t="s">
        <v>77</v>
      </c>
      <c r="C4" s="127"/>
      <c r="D4" s="127"/>
      <c r="E4" s="127"/>
      <c r="F4" s="127"/>
      <c r="G4" s="127"/>
      <c r="H4" s="127"/>
      <c r="I4" s="127"/>
    </row>
    <row r="5" spans="1:9" s="3" customFormat="1" ht="57.75" customHeight="1" x14ac:dyDescent="0.3">
      <c r="A5" s="56" t="s">
        <v>88</v>
      </c>
      <c r="B5" s="28" t="s">
        <v>406</v>
      </c>
      <c r="C5" s="28" t="s">
        <v>407</v>
      </c>
      <c r="D5" s="28" t="s">
        <v>408</v>
      </c>
      <c r="E5" s="28" t="s">
        <v>409</v>
      </c>
      <c r="F5" s="28" t="s">
        <v>410</v>
      </c>
      <c r="G5" s="28" t="s">
        <v>411</v>
      </c>
      <c r="H5" s="28" t="s">
        <v>412</v>
      </c>
      <c r="I5" s="28" t="s">
        <v>413</v>
      </c>
    </row>
    <row r="6" spans="1:9" ht="23.25" customHeight="1" x14ac:dyDescent="0.3">
      <c r="A6" s="55" t="s">
        <v>114</v>
      </c>
      <c r="B6" s="66" t="s">
        <v>115</v>
      </c>
      <c r="C6" s="66" t="s">
        <v>116</v>
      </c>
      <c r="D6" s="66" t="s">
        <v>117</v>
      </c>
      <c r="E6" s="66" t="s">
        <v>118</v>
      </c>
      <c r="F6" s="66" t="s">
        <v>119</v>
      </c>
      <c r="G6" s="66" t="s">
        <v>120</v>
      </c>
      <c r="H6" s="66" t="s">
        <v>121</v>
      </c>
      <c r="I6" s="66" t="s">
        <v>122</v>
      </c>
    </row>
    <row r="7" spans="1:9" x14ac:dyDescent="0.3">
      <c r="C7"/>
      <c r="D7"/>
    </row>
    <row r="8" spans="1:9" x14ac:dyDescent="0.3">
      <c r="C8"/>
      <c r="D8"/>
    </row>
  </sheetData>
  <mergeCells count="2">
    <mergeCell ref="B2:E2"/>
    <mergeCell ref="B4:I4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1681D7-CF6C-4F75-9333-5E0F2FD58178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EBFD6CF-4356-44CD-887E-BA1A12308A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A6640D-29AB-4815-B22A-2C7C0D7920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Templates Matrix</vt:lpstr>
      <vt:lpstr>AML.01.01</vt:lpstr>
      <vt:lpstr>AML.01.02</vt:lpstr>
      <vt:lpstr>AML.02.01</vt:lpstr>
      <vt:lpstr>AML.03.01</vt:lpstr>
      <vt:lpstr>AML.03.02</vt:lpstr>
      <vt:lpstr>AML.03.03</vt:lpstr>
      <vt:lpstr>AML.03.04</vt:lpstr>
      <vt:lpstr>AML.03.05</vt:lpstr>
      <vt:lpstr>AML.03.06</vt:lpstr>
      <vt:lpstr>AML.04.01</vt:lpstr>
      <vt:lpstr>AML.04.02</vt:lpstr>
      <vt:lpstr>AML.04.03</vt:lpstr>
      <vt:lpstr>AML.04.04</vt:lpstr>
      <vt:lpstr>AML.04.05</vt:lpstr>
      <vt:lpstr>AML.04.06</vt:lpstr>
      <vt:lpstr>AML.04.07</vt:lpstr>
      <vt:lpstr>AML.04.08</vt:lpstr>
      <vt:lpstr>AML.04.09</vt:lpstr>
      <vt:lpstr>AML.04.10</vt:lpstr>
      <vt:lpstr>AML.04.11</vt:lpstr>
      <vt:lpstr>AML.04.12</vt:lpstr>
      <vt:lpstr>AML.04.13</vt:lpstr>
      <vt:lpstr>AML.04.14</vt:lpstr>
      <vt:lpstr>AML.05.01</vt:lpstr>
      <vt:lpstr>AML.06.01</vt:lpstr>
      <vt:lpstr>AML.07.01</vt:lpstr>
      <vt:lpstr>AML.07.02</vt:lpstr>
      <vt:lpstr>AML.07.03</vt:lpstr>
      <vt:lpstr>AML.07.04</vt:lpstr>
      <vt:lpstr>AML.07.05</vt:lpstr>
      <vt:lpstr>AML.07.06</vt:lpstr>
      <vt:lpstr>AML.07.07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MÜLLER David Frank (AMLA)</dc:creator>
  <cp:keywords/>
  <dc:description/>
  <cp:lastModifiedBy>João Guilherme Beno Jardim</cp:lastModifiedBy>
  <cp:revision/>
  <dcterms:created xsi:type="dcterms:W3CDTF">2015-06-05T18:17:20Z</dcterms:created>
  <dcterms:modified xsi:type="dcterms:W3CDTF">2026-02-27T10:46:23Z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SIP_Label_d5bd0209-b4c6-43d7-bad4-1eb1b6095fad_Enabled">
    <vt:lpwstr>true</vt:lpwstr>
  </property>
  <property fmtid="{D5CDD505-2E9C-101B-9397-08002B2CF9AE}" pid="4" name="MSIP_Label_d5bd0209-b4c6-43d7-bad4-1eb1b6095fad_SetDate">
    <vt:lpwstr>2025-12-09T08:00:53Z</vt:lpwstr>
  </property>
  <property fmtid="{D5CDD505-2E9C-101B-9397-08002B2CF9AE}" pid="5" name="MSIP_Label_d5bd0209-b4c6-43d7-bad4-1eb1b6095fad_Method">
    <vt:lpwstr>Standard</vt:lpwstr>
  </property>
  <property fmtid="{D5CDD505-2E9C-101B-9397-08002B2CF9AE}" pid="6" name="MSIP_Label_d5bd0209-b4c6-43d7-bad4-1eb1b6095fad_Name">
    <vt:lpwstr>AMLA Regular</vt:lpwstr>
  </property>
  <property fmtid="{D5CDD505-2E9C-101B-9397-08002B2CF9AE}" pid="7" name="MSIP_Label_d5bd0209-b4c6-43d7-bad4-1eb1b6095fad_SiteId">
    <vt:lpwstr>56c0f15b-8d67-496c-b187-9de88d4ddbc3</vt:lpwstr>
  </property>
  <property fmtid="{D5CDD505-2E9C-101B-9397-08002B2CF9AE}" pid="8" name="MSIP_Label_d5bd0209-b4c6-43d7-bad4-1eb1b6095fad_ActionId">
    <vt:lpwstr>3eea3f28-2b32-40e8-894e-7a78d6a5653b</vt:lpwstr>
  </property>
  <property fmtid="{D5CDD505-2E9C-101B-9397-08002B2CF9AE}" pid="9" name="MSIP_Label_d5bd0209-b4c6-43d7-bad4-1eb1b6095fad_ContentBits">
    <vt:lpwstr>0</vt:lpwstr>
  </property>
  <property fmtid="{D5CDD505-2E9C-101B-9397-08002B2CF9AE}" pid="10" name="MSIP_Label_0c2abd79-57a9-4473-8700-c843f76a1e37_Enabled">
    <vt:lpwstr>true</vt:lpwstr>
  </property>
  <property fmtid="{D5CDD505-2E9C-101B-9397-08002B2CF9AE}" pid="11" name="MSIP_Label_0c2abd79-57a9-4473-8700-c843f76a1e37_SetDate">
    <vt:lpwstr>2026-02-11T19:26:01Z</vt:lpwstr>
  </property>
  <property fmtid="{D5CDD505-2E9C-101B-9397-08002B2CF9AE}" pid="12" name="MSIP_Label_0c2abd79-57a9-4473-8700-c843f76a1e37_Method">
    <vt:lpwstr>Privileged</vt:lpwstr>
  </property>
  <property fmtid="{D5CDD505-2E9C-101B-9397-08002B2CF9AE}" pid="13" name="MSIP_Label_0c2abd79-57a9-4473-8700-c843f76a1e37_Name">
    <vt:lpwstr>Internal</vt:lpwstr>
  </property>
  <property fmtid="{D5CDD505-2E9C-101B-9397-08002B2CF9AE}" pid="14" name="MSIP_Label_0c2abd79-57a9-4473-8700-c843f76a1e37_SiteId">
    <vt:lpwstr>35595a02-4d6d-44ac-99e1-f9ab4cd872db</vt:lpwstr>
  </property>
  <property fmtid="{D5CDD505-2E9C-101B-9397-08002B2CF9AE}" pid="15" name="MSIP_Label_0c2abd79-57a9-4473-8700-c843f76a1e37_ActionId">
    <vt:lpwstr>769bc520-762d-4034-a3f4-5275ed4f13d1</vt:lpwstr>
  </property>
  <property fmtid="{D5CDD505-2E9C-101B-9397-08002B2CF9AE}" pid="16" name="MSIP_Label_0c2abd79-57a9-4473-8700-c843f76a1e37_ContentBits">
    <vt:lpwstr>0</vt:lpwstr>
  </property>
  <property fmtid="{D5CDD505-2E9C-101B-9397-08002B2CF9AE}" pid="17" name="MSIP_Label_0c2abd79-57a9-4473-8700-c843f76a1e37_Tag">
    <vt:lpwstr>10, 0, 1, 1</vt:lpwstr>
  </property>
  <property fmtid="{D5CDD505-2E9C-101B-9397-08002B2CF9AE}" pid="18" name="SV_QUERY_LIST_4F35BF76-6C0D-4D9B-82B2-816C12CF3733">
    <vt:lpwstr>empty_477D106A-C0D6-4607-AEBD-E2C9D60EA279</vt:lpwstr>
  </property>
  <property fmtid="{D5CDD505-2E9C-101B-9397-08002B2CF9AE}" pid="19" name="SV_HIDDEN_GRID_QUERY_LIST_4F35BF76-6C0D-4D9B-82B2-816C12CF3733">
    <vt:lpwstr>empty_477D106A-C0D6-4607-AEBD-E2C9D60EA279</vt:lpwstr>
  </property>
</Properties>
</file>