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812/Shared Documents/General/02. Instant Payments/03. Documentação Produzida/01. Especificação/01. Análises/"/>
    </mc:Choice>
  </mc:AlternateContent>
  <xr:revisionPtr revIDLastSave="1" documentId="8_{1E68D600-50CF-4725-A5CE-979AF2ACBD77}" xr6:coauthVersionLast="47" xr6:coauthVersionMax="47" xr10:uidLastSave="{B89B47E3-F0E1-4382-9829-7F6AE0CE7493}"/>
  <bookViews>
    <workbookView xWindow="-108" yWindow="-108" windowWidth="23256" windowHeight="12456" xr2:uid="{3D2E4E7E-4F87-4521-9326-BCB5B1C0EA33}"/>
  </bookViews>
  <sheets>
    <sheet name="cfamilia contas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2" i="1" s="1"/>
  <c r="G18" i="1"/>
  <c r="F16" i="1"/>
  <c r="G15" i="1"/>
  <c r="G14" i="1"/>
  <c r="G13" i="1"/>
  <c r="G12" i="1"/>
  <c r="G11" i="1"/>
  <c r="F10" i="1"/>
  <c r="G7" i="1" s="1"/>
  <c r="G5" i="1"/>
  <c r="G8" i="1" l="1"/>
  <c r="G6" i="1"/>
  <c r="G9" i="1"/>
  <c r="G17" i="1"/>
  <c r="G19" i="1"/>
  <c r="G20" i="1"/>
  <c r="G21" i="1"/>
</calcChain>
</file>

<file path=xl/sharedStrings.xml><?xml version="1.0" encoding="utf-8"?>
<sst xmlns="http://schemas.openxmlformats.org/spreadsheetml/2006/main" count="95" uniqueCount="40">
  <si>
    <t>Análise de CFAMILIA por transferências</t>
  </si>
  <si>
    <t>coperac -&gt; SEPA</t>
  </si>
  <si>
    <t>periodo</t>
  </si>
  <si>
    <t>tipo_transferencia</t>
  </si>
  <si>
    <t>cfamilia</t>
  </si>
  <si>
    <t>descrição - 000602</t>
  </si>
  <si>
    <t>contagem</t>
  </si>
  <si>
    <t>%</t>
  </si>
  <si>
    <t>Notas</t>
  </si>
  <si>
    <t>Código</t>
  </si>
  <si>
    <t>coperac ?? -&gt; 3 caracteres -&gt; 021 (movimentos)</t>
  </si>
  <si>
    <t>2025</t>
  </si>
  <si>
    <t>SEN - Ordenante</t>
  </si>
  <si>
    <t>MN</t>
  </si>
  <si>
    <t>D.O. MOEDA NACIONAL</t>
  </si>
  <si>
    <t>select count(1), ORYD01H9_CBALCAO, ORYD01H9_CNUMCTA
FROM(
        select distinct ORYD01H9_CBALCAO, ORYD01H9_CNUMCTA, transfer_direction_code, dcyr8101_cfamilia
        FROM(
                SELECT distinct ORYD01H9_CBALCAO, ORYD01H9_CNUMCTA, transfer_direction_code, data_date_part
                FROM(
                        SELECT 'REC' as transfer_direction_code, *
                        FROM workbench_reportinghub.ort01_sepa_rec_17122025
                        UNION ALL
                        SELECT 'SEN' as transfer_direction_code, *
                        FROM workbench_reportinghub.ort01_sepa_emi_17122025
                        UNION ALL
                        SELECT 'INT' as transfer_direction_code, *
                        FROM workbench_reportinghub.ort01_sepa_int_17122025
                ) a
        ) a
        left join (
        select DCYR8101_CFAMILIA, DCYR8101_CKNUMCTA, DCYR8101_CKBALCAO, data_date_part
        from curated_internal_mainframe_contas.interface_dct01 
        ) dct01
        on (
                a.ORYD01H9_CBALCAO = dct01.DCYR8101_CKBALCAO 
                and a.ORYD01H9_CNUMCTA = dct01.DCYR8101_CKNUMCTA 
                and a.data_date_part = dct01.data_date_part
        )
) a
group by  ORYD01H9_CBALCAO, ORYD01H9_CNUMCTA--, dcyr8101_cfamilia
having count(1)&gt;1
;</t>
  </si>
  <si>
    <t>PAY (contas) - reportam comissões de SEPAs e SWIFTS (internacionais)</t>
  </si>
  <si>
    <t>IN</t>
  </si>
  <si>
    <t>CONTAS INTERNAS</t>
  </si>
  <si>
    <t>SEPA - João MIRA</t>
  </si>
  <si>
    <t>CR</t>
  </si>
  <si>
    <t>CRP - RENDIMENTO POUPANÇA</t>
  </si>
  <si>
    <t>Comissões de manutenção - Andreia (tat21)</t>
  </si>
  <si>
    <t>NT</t>
  </si>
  <si>
    <t>CONTAS NOSTRO</t>
  </si>
  <si>
    <t>null</t>
  </si>
  <si>
    <t>Porque no dia 18/set não existe cfamilia dado dct01 não ter dados</t>
  </si>
  <si>
    <t>TOTAL</t>
  </si>
  <si>
    <t>INT - Ordenante</t>
  </si>
  <si>
    <t>2.1)</t>
  </si>
  <si>
    <t>CC</t>
  </si>
  <si>
    <t>CONTAS CORRENTES</t>
  </si>
  <si>
    <t>REC - Beneficiario</t>
  </si>
  <si>
    <t>2.2)</t>
  </si>
  <si>
    <t>2.3)</t>
  </si>
  <si>
    <t>ME</t>
  </si>
  <si>
    <t>D.O. MOEDA ESTRANGEIRA</t>
  </si>
  <si>
    <t>Verificar se 1 conta tem 2 cfamilias</t>
  </si>
  <si>
    <t>Não, apenas no dia 18/set não existe cfamilia dado dct01 não ter dados</t>
  </si>
  <si>
    <t>SELECT *
FROM(
        select distinct ORYD01H9_CBALCAO, ORYD01H9_CNUMCTA, dcyr8101_cfamilia, a.data_date_part
        FROM(
                SELECT distinct ORYD01H9_CBALCAO, ORYD01H9_CNUMCTA, data_date_part
                FROM(
                        SELECT 'REC' as transfer_direction_code, *
                        FROM workbench_reportinghub.ort01_sepa_rec_17122025
                        UNION ALL
                        SELECT 'SEN' as transfer_direction_code, *
                        FROM workbench_reportinghub.ort01_sepa_emi_17122025
                        UNION ALL
                        SELECT 'INT' as transfer_direction_code, *
                        FROM workbench_reportinghub.ort01_sepa_int_17122025
                ) a
        ) a
        left join (
        select DCYR8101_CFAMILIA, DCYR8101_CKNUMCTA, DCYR8101_CKBALCAO, data_date_part
        from curated_internal_mainframe_contas.interface_dct01 
        where data_date_part like '2025%'
        ) dct01
        on (
                a.ORYD01H9_CBALCAO = dct01.DCYR8101_CKBALCAO 
                and a.ORYD01H9_CNUMCTA = dct01.DCYR8101_CKNUMCTA 
                and a.data_date_part = dct01.data_date_part
        )
) a
INNER JOIN (
        select distinct ORYD01H9_CBALCAO, ORYD01H9_CNUMCTA, dcyr8101_cfamilia, a.data_date_part
        FROM(
                SELECT distinct ORYD01H9_CBALCAO, ORYD01H9_CNUMCTA, data_date_part
                FROM(
                        SELECT 'REC' as transfer_direction_code, *
                        FROM workbench_reportinghub.ort01_sepa_rec_17122025
                        UNION ALL
                        SELECT 'SEN' as transfer_direction_code, *
                        FROM workbench_reportinghub.ort01_sepa_emi_17122025
                        UNION ALL
                        SELECT 'INT' as transfer_direction_code, *
                        FROM workbench_reportinghub.ort01_sepa_int_17122025
                ) a
        ) a
        left join (
        select DCYR8101_CFAMILIA, DCYR8101_CKNUMCTA, DCYR8101_CKBALCAO, data_date_part
        from curated_internal_mainframe_contas.interface_dct01 
        where data_date_part like '2025%'
        ) dct01
        on (
                a.ORYD01H9_CBALCAO = dct01.DCYR8101_CKBALCAO 
                and a.ORYD01H9_CNUMCTA = dct01.DCYR8101_CKNUMCTA 
                and a.data_date_part = dct01.data_date_part
        )
) b
on (
        a.ORYD01H9_CBALCAO = b.ORYD01H9_CBALCAO 
    and a.ORYD01H9_CNUMCTA = b.ORYD01H9_CNUMCTA 
)
where !(a.dcyr8101_cfamilia &lt;=&gt; b.dcyr8101_cfamilia)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</si>
</sst>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3" fontId="0" fillId="3" borderId="4" xfId="0" applyNumberFormat="1" applyFill="1" applyBorder="1"/>
    <xf numFmtId="10" fontId="0" fillId="0" borderId="4" xfId="2" applyNumberFormat="1" applyFont="1" applyBorder="1"/>
    <xf numFmtId="0" fontId="0" fillId="0" borderId="4" xfId="0" applyBorder="1"/>
    <xf numFmtId="0" fontId="5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5" xfId="0" applyBorder="1"/>
    <xf numFmtId="0" fontId="0" fillId="0" borderId="6" xfId="0" applyBorder="1"/>
    <xf numFmtId="0" fontId="0" fillId="4" borderId="0" xfId="0" applyFill="1"/>
    <xf numFmtId="3" fontId="0" fillId="4" borderId="0" xfId="0" applyNumberFormat="1" applyFill="1"/>
    <xf numFmtId="10" fontId="0" fillId="0" borderId="0" xfId="2" applyNumberFormat="1" applyFont="1" applyBorder="1"/>
    <xf numFmtId="0" fontId="5" fillId="0" borderId="6" xfId="0" applyFont="1" applyBorder="1" applyAlignment="1">
      <alignment horizontal="center" wrapText="1"/>
    </xf>
    <xf numFmtId="3" fontId="0" fillId="0" borderId="0" xfId="0" applyNumberFormat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3" fontId="6" fillId="2" borderId="9" xfId="1" applyNumberFormat="1" applyFont="1" applyBorder="1"/>
    <xf numFmtId="3" fontId="4" fillId="0" borderId="9" xfId="0" applyNumberFormat="1" applyFont="1" applyBorder="1"/>
    <xf numFmtId="0" fontId="0" fillId="0" borderId="9" xfId="0" applyBorder="1"/>
    <xf numFmtId="0" fontId="4" fillId="0" borderId="4" xfId="0" applyFont="1" applyBorder="1"/>
    <xf numFmtId="0" fontId="0" fillId="3" borderId="0" xfId="0" applyFill="1"/>
    <xf numFmtId="3" fontId="0" fillId="3" borderId="0" xfId="0" applyNumberFormat="1" applyFill="1"/>
    <xf numFmtId="0" fontId="5" fillId="0" borderId="8" xfId="0" applyFont="1" applyBorder="1" applyAlignment="1">
      <alignment horizontal="center" wrapText="1"/>
    </xf>
    <xf numFmtId="0" fontId="0" fillId="0" borderId="10" xfId="0" applyBorder="1"/>
    <xf numFmtId="0" fontId="4" fillId="0" borderId="10" xfId="0" applyFont="1" applyBorder="1" applyAlignment="1">
      <alignment vertical="center"/>
    </xf>
    <xf numFmtId="0" fontId="0" fillId="0" borderId="10" xfId="0" applyBorder="1" applyAlignment="1">
      <alignment wrapText="1"/>
    </xf>
    <xf numFmtId="0" fontId="5" fillId="0" borderId="10" xfId="0" quotePrefix="1" applyFont="1" applyBorder="1"/>
  </cellXfs>
  <cellStyles count="3">
    <cellStyle name="Good" xfId="1" builtinId="26"/>
    <cellStyle name="Normal" xfId="0" builtinId="0"/>
    <cellStyle name="Percent 2" xfId="2" xr:uid="{FE108874-311D-45B9-99E6-DA1B8AFFD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063B-406D-4585-8ABB-5B7CA62EA2F2}">
  <sheetPr>
    <tabColor theme="8" tint="0.79998168889431442"/>
  </sheetPr>
  <dimension ref="B2:K25"/>
  <sheetViews>
    <sheetView showGridLines="0" tabSelected="1" zoomScale="115" zoomScaleNormal="115" workbookViewId="0">
      <selection activeCell="E13" sqref="E13"/>
    </sheetView>
  </sheetViews>
  <sheetFormatPr defaultRowHeight="15.6" x14ac:dyDescent="0.3"/>
  <cols>
    <col min="1" max="1" width="4.3984375" customWidth="1"/>
    <col min="2" max="2" width="10.5" bestFit="1" customWidth="1"/>
    <col min="3" max="3" width="21.296875" bestFit="1" customWidth="1"/>
    <col min="4" max="4" width="12.3984375" bestFit="1" customWidth="1"/>
    <col min="5" max="5" width="27.3984375" bestFit="1" customWidth="1"/>
    <col min="6" max="6" width="11.3984375" bestFit="1" customWidth="1"/>
    <col min="8" max="8" width="48" customWidth="1"/>
    <col min="11" max="11" width="25.8984375" customWidth="1"/>
  </cols>
  <sheetData>
    <row r="2" spans="2:11" x14ac:dyDescent="0.3">
      <c r="B2" s="1" t="s">
        <v>0</v>
      </c>
    </row>
    <row r="3" spans="2:11" x14ac:dyDescent="0.3">
      <c r="K3" t="s">
        <v>1</v>
      </c>
    </row>
    <row r="4" spans="2:11" x14ac:dyDescent="0.3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K4" s="3" t="s">
        <v>10</v>
      </c>
    </row>
    <row r="5" spans="2:11" ht="17.399999999999999" customHeight="1" x14ac:dyDescent="0.3">
      <c r="B5" s="4" t="s">
        <v>11</v>
      </c>
      <c r="C5" s="5" t="s">
        <v>12</v>
      </c>
      <c r="D5" s="6" t="s">
        <v>13</v>
      </c>
      <c r="E5" s="6" t="s">
        <v>14</v>
      </c>
      <c r="F5" s="7">
        <v>1361593</v>
      </c>
      <c r="G5" s="8">
        <f>F5/$F$10</f>
        <v>0.99934824779207931</v>
      </c>
      <c r="H5" s="9"/>
      <c r="I5" s="10" t="s">
        <v>15</v>
      </c>
      <c r="K5" s="11" t="s">
        <v>16</v>
      </c>
    </row>
    <row r="6" spans="2:11" x14ac:dyDescent="0.3">
      <c r="B6" s="12" t="s">
        <v>11</v>
      </c>
      <c r="C6" s="13" t="s">
        <v>12</v>
      </c>
      <c r="D6" s="14" t="s">
        <v>17</v>
      </c>
      <c r="E6" s="14" t="s">
        <v>18</v>
      </c>
      <c r="F6" s="15">
        <v>234</v>
      </c>
      <c r="G6" s="16">
        <f>F6/$F$10</f>
        <v>1.7174551424937301E-4</v>
      </c>
      <c r="I6" s="17"/>
      <c r="K6" t="s">
        <v>19</v>
      </c>
    </row>
    <row r="7" spans="2:11" x14ac:dyDescent="0.3">
      <c r="B7" s="12" t="s">
        <v>11</v>
      </c>
      <c r="C7" s="13" t="s">
        <v>12</v>
      </c>
      <c r="D7" s="14" t="s">
        <v>20</v>
      </c>
      <c r="E7" s="14" t="s">
        <v>21</v>
      </c>
      <c r="F7" s="15">
        <v>652</v>
      </c>
      <c r="G7" s="16">
        <f>F7/$F$10</f>
        <v>4.7853878329312484E-4</v>
      </c>
      <c r="I7" s="17"/>
      <c r="K7" t="s">
        <v>22</v>
      </c>
    </row>
    <row r="8" spans="2:11" x14ac:dyDescent="0.3">
      <c r="B8" s="12" t="s">
        <v>11</v>
      </c>
      <c r="C8" s="13" t="s">
        <v>12</v>
      </c>
      <c r="D8" s="14" t="s">
        <v>23</v>
      </c>
      <c r="E8" s="14" t="s">
        <v>24</v>
      </c>
      <c r="F8" s="15">
        <v>1</v>
      </c>
      <c r="G8" s="16">
        <f>F8/$F$10</f>
        <v>7.3395518909988473E-7</v>
      </c>
      <c r="I8" s="17"/>
      <c r="K8" t="s">
        <v>22</v>
      </c>
    </row>
    <row r="9" spans="2:11" x14ac:dyDescent="0.3">
      <c r="B9" s="12" t="s">
        <v>11</v>
      </c>
      <c r="C9" s="13" t="s">
        <v>12</v>
      </c>
      <c r="D9" t="s">
        <v>25</v>
      </c>
      <c r="F9" s="18">
        <v>1</v>
      </c>
      <c r="G9" s="16">
        <f>F9/$F$10</f>
        <v>7.3395518909988473E-7</v>
      </c>
      <c r="H9" t="s">
        <v>26</v>
      </c>
      <c r="I9" s="17"/>
    </row>
    <row r="10" spans="2:11" x14ac:dyDescent="0.3">
      <c r="B10" s="19" t="s">
        <v>11</v>
      </c>
      <c r="C10" s="20" t="s">
        <v>12</v>
      </c>
      <c r="D10" s="21" t="s">
        <v>27</v>
      </c>
      <c r="E10" s="21"/>
      <c r="F10" s="22">
        <f>SUM(F5:F9)</f>
        <v>1362481</v>
      </c>
      <c r="G10" s="23"/>
      <c r="H10" s="24"/>
      <c r="I10" s="17"/>
    </row>
    <row r="11" spans="2:11" x14ac:dyDescent="0.3">
      <c r="B11" s="4" t="s">
        <v>11</v>
      </c>
      <c r="C11" s="5" t="s">
        <v>28</v>
      </c>
      <c r="D11" s="6" t="s">
        <v>13</v>
      </c>
      <c r="E11" s="6" t="s">
        <v>14</v>
      </c>
      <c r="F11" s="7">
        <v>952291</v>
      </c>
      <c r="G11" s="8">
        <f>F11/$F$16</f>
        <v>0.69787608570113646</v>
      </c>
      <c r="H11" s="25" t="s">
        <v>29</v>
      </c>
      <c r="I11" s="17"/>
    </row>
    <row r="12" spans="2:11" x14ac:dyDescent="0.3">
      <c r="B12" s="12" t="s">
        <v>11</v>
      </c>
      <c r="C12" s="13" t="s">
        <v>28</v>
      </c>
      <c r="D12" s="14" t="s">
        <v>20</v>
      </c>
      <c r="E12" s="14" t="s">
        <v>21</v>
      </c>
      <c r="F12" s="15">
        <v>404881</v>
      </c>
      <c r="G12" s="16">
        <f>F12/$F$16</f>
        <v>0.2967126303354351</v>
      </c>
      <c r="I12" s="17"/>
    </row>
    <row r="13" spans="2:11" x14ac:dyDescent="0.3">
      <c r="B13" s="12" t="s">
        <v>11</v>
      </c>
      <c r="C13" s="13" t="s">
        <v>28</v>
      </c>
      <c r="D13" s="14" t="s">
        <v>17</v>
      </c>
      <c r="E13" s="14" t="s">
        <v>18</v>
      </c>
      <c r="F13" s="15">
        <v>7376</v>
      </c>
      <c r="G13" s="16">
        <f>F13/$F$16</f>
        <v>5.4054212505752789E-3</v>
      </c>
      <c r="I13" s="17"/>
    </row>
    <row r="14" spans="2:11" x14ac:dyDescent="0.3">
      <c r="B14" s="12" t="s">
        <v>11</v>
      </c>
      <c r="C14" s="13" t="s">
        <v>28</v>
      </c>
      <c r="D14" s="14" t="s">
        <v>30</v>
      </c>
      <c r="E14" s="14" t="s">
        <v>31</v>
      </c>
      <c r="F14" s="15">
        <v>3</v>
      </c>
      <c r="G14" s="16">
        <f>F14/$F$16</f>
        <v>2.1985173199194463E-6</v>
      </c>
      <c r="I14" s="17"/>
    </row>
    <row r="15" spans="2:11" x14ac:dyDescent="0.3">
      <c r="B15" s="12" t="s">
        <v>11</v>
      </c>
      <c r="C15" s="13" t="s">
        <v>28</v>
      </c>
      <c r="D15" t="s">
        <v>25</v>
      </c>
      <c r="F15" s="18">
        <v>5</v>
      </c>
      <c r="G15" s="16">
        <f>F15/$F$16</f>
        <v>3.6641955331990771E-6</v>
      </c>
      <c r="H15" t="s">
        <v>26</v>
      </c>
      <c r="I15" s="17"/>
    </row>
    <row r="16" spans="2:11" x14ac:dyDescent="0.3">
      <c r="B16" s="19" t="s">
        <v>11</v>
      </c>
      <c r="C16" s="20" t="s">
        <v>28</v>
      </c>
      <c r="D16" s="21" t="s">
        <v>27</v>
      </c>
      <c r="E16" s="21"/>
      <c r="F16" s="22">
        <f>SUM(F11:F15)</f>
        <v>1364556</v>
      </c>
      <c r="G16" s="24"/>
      <c r="H16" s="24"/>
      <c r="I16" s="17"/>
    </row>
    <row r="17" spans="2:9" x14ac:dyDescent="0.3">
      <c r="B17" s="4" t="s">
        <v>11</v>
      </c>
      <c r="C17" s="13" t="s">
        <v>32</v>
      </c>
      <c r="D17" s="26" t="s">
        <v>13</v>
      </c>
      <c r="E17" s="26" t="s">
        <v>14</v>
      </c>
      <c r="F17" s="27">
        <v>1578521</v>
      </c>
      <c r="G17" s="16">
        <f>F17/F23</f>
        <v>0.97667639927064254</v>
      </c>
      <c r="H17" s="3" t="s">
        <v>33</v>
      </c>
      <c r="I17" s="17"/>
    </row>
    <row r="18" spans="2:9" x14ac:dyDescent="0.3">
      <c r="B18" s="12" t="s">
        <v>11</v>
      </c>
      <c r="C18" s="13" t="s">
        <v>32</v>
      </c>
      <c r="D18" s="14" t="s">
        <v>17</v>
      </c>
      <c r="E18" s="14" t="s">
        <v>18</v>
      </c>
      <c r="F18" s="15">
        <v>15778</v>
      </c>
      <c r="G18" s="16">
        <f>F18/F23</f>
        <v>9.762302958080506E-3</v>
      </c>
      <c r="H18" s="3" t="s">
        <v>34</v>
      </c>
      <c r="I18" s="17"/>
    </row>
    <row r="19" spans="2:9" x14ac:dyDescent="0.3">
      <c r="B19" s="12" t="s">
        <v>11</v>
      </c>
      <c r="C19" s="13" t="s">
        <v>32</v>
      </c>
      <c r="D19" s="14" t="s">
        <v>20</v>
      </c>
      <c r="E19" s="14" t="s">
        <v>21</v>
      </c>
      <c r="F19" s="15">
        <v>21886</v>
      </c>
      <c r="G19" s="16">
        <f>F19/F23</f>
        <v>1.3541498449774999E-2</v>
      </c>
      <c r="H19" s="3"/>
      <c r="I19" s="17"/>
    </row>
    <row r="20" spans="2:9" x14ac:dyDescent="0.3">
      <c r="B20" s="12" t="s">
        <v>11</v>
      </c>
      <c r="C20" s="13" t="s">
        <v>32</v>
      </c>
      <c r="D20" s="14" t="s">
        <v>30</v>
      </c>
      <c r="E20" s="14" t="s">
        <v>31</v>
      </c>
      <c r="F20" s="15">
        <v>29</v>
      </c>
      <c r="G20" s="16">
        <f>F20/$F$23</f>
        <v>1.794313511118866E-5</v>
      </c>
      <c r="I20" s="17"/>
    </row>
    <row r="21" spans="2:9" x14ac:dyDescent="0.3">
      <c r="B21" s="12" t="s">
        <v>11</v>
      </c>
      <c r="C21" s="13" t="s">
        <v>32</v>
      </c>
      <c r="D21" t="s">
        <v>35</v>
      </c>
      <c r="E21" t="s">
        <v>36</v>
      </c>
      <c r="F21" s="18">
        <v>1</v>
      </c>
      <c r="G21" s="16">
        <f>F21/$F$23</f>
        <v>6.1872879693753996E-7</v>
      </c>
      <c r="I21" s="17"/>
    </row>
    <row r="22" spans="2:9" x14ac:dyDescent="0.3">
      <c r="B22" s="12" t="s">
        <v>11</v>
      </c>
      <c r="C22" s="13" t="s">
        <v>32</v>
      </c>
      <c r="D22" t="s">
        <v>25</v>
      </c>
      <c r="F22" s="18">
        <v>2</v>
      </c>
      <c r="G22" s="16">
        <f>F22/$F$23</f>
        <v>1.2374575938750799E-6</v>
      </c>
      <c r="H22" t="s">
        <v>26</v>
      </c>
      <c r="I22" s="17"/>
    </row>
    <row r="23" spans="2:9" x14ac:dyDescent="0.3">
      <c r="B23" s="19" t="s">
        <v>11</v>
      </c>
      <c r="C23" s="20" t="s">
        <v>32</v>
      </c>
      <c r="D23" s="21" t="s">
        <v>27</v>
      </c>
      <c r="E23" s="24"/>
      <c r="F23" s="22">
        <f>SUM(F17:F22)</f>
        <v>1616217</v>
      </c>
      <c r="G23" s="24"/>
      <c r="H23" s="24"/>
      <c r="I23" s="28"/>
    </row>
    <row r="25" spans="2:9" ht="46.8" x14ac:dyDescent="0.3">
      <c r="B25" s="29"/>
      <c r="C25" s="30" t="s">
        <v>37</v>
      </c>
      <c r="D25" s="29"/>
      <c r="E25" s="31" t="s">
        <v>38</v>
      </c>
      <c r="F25" s="29"/>
      <c r="G25" s="29"/>
      <c r="H25" s="29"/>
      <c r="I25" s="32" t="s">
        <v>39</v>
      </c>
    </row>
  </sheetData>
  <mergeCells count="1">
    <mergeCell ref="I5:I23"/>
  </mergeCells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48FE76D-5F36-489B-A64D-8BFEE2FD4F73}"/>
</file>

<file path=customXml/itemProps2.xml><?xml version="1.0" encoding="utf-8"?>
<ds:datastoreItem xmlns:ds="http://schemas.openxmlformats.org/officeDocument/2006/customXml" ds:itemID="{DA1A0F9A-0275-4454-85CB-66938A1C2754}"/>
</file>

<file path=customXml/itemProps3.xml><?xml version="1.0" encoding="utf-8"?>
<ds:datastoreItem xmlns:ds="http://schemas.openxmlformats.org/officeDocument/2006/customXml" ds:itemID="{359D39F9-4790-4460-877E-9DCD8C9E4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cfamilia contas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Caldeira Santos</dc:creator>
  <cp:lastModifiedBy>Maria Inês Caldeira Santos</cp:lastModifiedBy>
  <dcterms:created xsi:type="dcterms:W3CDTF">2026-03-24T09:34:37Z</dcterms:created>
  <dcterms:modified xsi:type="dcterms:W3CDTF">2026-03-24T09:37:13Z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2026-03-24T09:36:58Z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c609dafc-f313-4e3e-b100-26de6f06a12c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MSIP_Label_3c41c091-3cbc-4dba-8b59-ce62f19500db_Tag">
    <vt:lpwstr>10, 0, 1, 1</vt:lpwstr>
  </property>
  <property fmtid="{D5CDD505-2E9C-101B-9397-08002B2CF9AE}" pid="12" name="ContentTypeId">
    <vt:lpwstr>0x010100AA0874B5E92DDC43AEE9A598BB9F45F7</vt:lpwstr>
  </property>
</Properties>
</file>