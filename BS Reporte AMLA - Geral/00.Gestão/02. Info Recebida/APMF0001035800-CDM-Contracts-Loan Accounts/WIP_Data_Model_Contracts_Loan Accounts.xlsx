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0-CDM-Contracts-Loan Accounts/"/>
    </mc:Choice>
  </mc:AlternateContent>
  <xr:revisionPtr revIDLastSave="2988" documentId="11_4CC070599C79D1471088BFD5310EC616C4CF36F9" xr6:coauthVersionLast="47" xr6:coauthVersionMax="47" xr10:uidLastSave="{41DAEF67-6087-4ADA-9D6D-1283EAAFE753}"/>
  <bookViews>
    <workbookView minimized="1" xWindow="7050" yWindow="3840" windowWidth="9600" windowHeight="485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tc={3ED646C8-5563-478B-8A94-26C725F8BA61}</author>
    <author>tc={34AD21A2-C1DF-4B73-861A-0EEA258A335D}</author>
    <author>tc={4754C2FA-DD9B-4227-98DA-57889F6C1109}</author>
  </authors>
  <commentList>
    <comment ref="U23" authorId="0" shapeId="0" xr:uid="{3ED646C8-5563-478B-8A94-26C725F8BA61}">
      <text>
        <t>[Threaded comment]
Your version of Excel allows you to read this threaded comment; however, any edits to it will get removed if the file is opened in a newer version of Excel. Learn more: https://go.microsoft.com/fwlink/?linkid=870924
Comment:
    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
Reply:
    Como fazer este case?</t>
      </text>
    </comment>
    <comment ref="U26" authorId="1" shapeId="0" xr:uid="{34AD21A2-C1DF-4B73-861A-0EEA258A335D}">
      <text>
        <t xml:space="preserve">[Threaded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text>
    </comment>
    <comment ref="U31" authorId="2" shapeId="0" xr:uid="{4754C2FA-DD9B-4227-98DA-57889F6C1109}">
      <text>
        <t>[Threaded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<sst xmlns="http://schemas.openxmlformats.org/spreadsheetml/2006/main" count="1863" uniqueCount="823">
  <si>
    <t>Common Data Model - Contracts - Loan Accounts</t>
  </si>
  <si>
    <t>SCHEMA</t>
  </si>
  <si>
    <t>TABELA</t>
  </si>
  <si>
    <t>DESCRIÇÃO</t>
  </si>
  <si>
    <t>common_contracts_loanaccounts</t>
  </si>
  <si>
    <t>loan_account</t>
  </si>
  <si>
    <t>Contains information about the loan accounts' contracts.</t>
  </si>
  <si>
    <t>loan_account_transaction</t>
  </si>
  <si>
    <t>Contains the loan account contracts' transactions information.</t>
  </si>
  <si>
    <t>operations_common_referencedata_core</t>
  </si>
  <si>
    <t>loan_account_universe</t>
  </si>
  <si>
    <t>Auxiliary table that defines the universe of loan accounts'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</si>
  <si>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</si>
  <si>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</si>
  <si>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</si>
  <si>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</si>
  <si>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</si>
  <si>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</si>
  <si>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</si>
  <si>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</si>
  <si>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</si>
  <si>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</si>
  <si>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</si>
  <si>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</si>
  <si>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</si>
  <si>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</si>
  <si>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</si>
  <si>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</si>
  <si>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</si>
  <si>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</si>
  <si>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</si>
  <si>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</si>
  <si>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</si>
  <si>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</si>
  <si>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</si>
  <si>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</si>
  <si>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</si>
  <si>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</si>
  <si>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</si>
  <si>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</si>
  <si>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</si>
  <si>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</si>
  <si>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</si>
  <si>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Loan Account Universe</t>
  </si>
  <si>
    <t>Bank ID</t>
  </si>
  <si>
    <t>bank_id</t>
  </si>
  <si>
    <t>Key - ID</t>
  </si>
  <si>
    <t>STRING</t>
  </si>
  <si>
    <t>Internal Santander's bank identifier (previously known as CEMPRESA).</t>
  </si>
  <si>
    <t>Código identificador do banco interno do Santander (CEMPRESA).</t>
  </si>
  <si>
    <t>X</t>
  </si>
  <si>
    <t>CURATED_INTERNAL_MAINFRAME_CONTAS
OPERATION_COMMON_REFERENCEDATA_CORE</t>
  </si>
  <si>
    <t>INTERFACE_DCT01
TCT09_OPERCN</t>
  </si>
  <si>
    <t>N\A
N\A</t>
  </si>
  <si>
    <r>
      <rPr>
        <b/>
        <sz val="11"/>
        <color rgb="FF000000"/>
        <rFont val="Calibri"/>
      </rPr>
      <t xml:space="preserve">SELECT ''
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</si>
  <si>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  Contas a Vista
TC - Contencioso</t>
  </si>
  <si>
    <t>"31"
"31"</t>
  </si>
  <si>
    <t>Loan Account</t>
  </si>
  <si>
    <t>OPERATION_COMMON_REFERENCEDATA_CORE
COMMON_REFERENCEDATA_CORE</t>
  </si>
  <si>
    <t>LITIGATION_UNIVERSE
PARAM_GENERAL_CODE_CONVERTER</t>
  </si>
  <si>
    <t>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</si>
  <si>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IF(LITIGATION_UNIVERSE.CKBALCAO IS NULL, 'DC', 'TC' ) AND PARAM_GENERAL_CODE_CONVERTER.TARGET_FIELD = 'bank_id' AND PARAM_GENERAL_CODE_CONVERTER.SOURCE_VALUE = '' AND PARAM_GENERAL_CODE_CONVERTER.OPTION_NUMBER = '1' AND 
AND LITIGATION_UNIVERSE.CONTRACT_ALIVE_INDICATOR = '1'
    </t>
    </r>
  </si>
  <si>
    <t>DC -  Contas a Vista</t>
  </si>
  <si>
    <t>N\A</t>
  </si>
  <si>
    <t>"31"</t>
  </si>
  <si>
    <t>Loan Account Transaction</t>
  </si>
  <si>
    <t>Ext Inf - Con Inf - ID</t>
  </si>
  <si>
    <t>CURATED_INTERNAL_MAINFRAME_CONTAS
OPERATION_COMMON_REFERENCEDATA_CORE
COMMON_REFERENCEDATA_CORE</t>
  </si>
  <si>
    <t>MOVIMENTOS_CONSOLIDADOS
TCT72_MOVCTA
PARAM_GENERAL_CODE_CONVERTER</t>
  </si>
  <si>
    <t>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</si>
  <si>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 WHERE</t>
    </r>
    <r>
      <rPr>
        <sz val="11"/>
        <color rgb="FF000000"/>
        <rFont val="Calibri"/>
      </rPr>
      <t xml:space="preserve"> PARAM_GENERAL_CODE_CONVERTER.TARGET_FIELD = 'bank_id' AND PARAM_GENERAL_CODE_CONVERTER.SOURCE_CODE = 'DC' AND PARAM_GENERAL_CODE_CONVERTER.SOURCE_VALUE = '' AND PARAM_GENERAL_CODE_CONVERTER.OPTION_NUMBER = '1'
SELECT</t>
    </r>
    <r>
      <rPr>
        <b/>
        <sz val="11"/>
        <color rgb="FF000000"/>
        <rFont val="Calibri"/>
      </rPr>
      <t xml:space="preserve"> PARAM_GENERAL_CODE_CONVERTER</t>
    </r>
    <r>
      <rPr>
        <sz val="11"/>
        <color rgb="FF000000"/>
        <rFont val="Calibri"/>
      </rPr>
      <t xml:space="preserve">.TARGET_VALUE
    </t>
    </r>
    <r>
      <rPr>
        <b/>
        <sz val="11"/>
        <color rgb="FF000000"/>
        <rFont val="Calibri"/>
      </rPr>
      <t xml:space="preserve">WHERE </t>
    </r>
    <r>
      <rPr>
        <sz val="11"/>
        <color rgb="FF000000"/>
        <rFont val="Calibri"/>
      </rPr>
      <t>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</si>
  <si>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</si>
  <si>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Contract ID</t>
  </si>
  <si>
    <t>contract_id</t>
  </si>
  <si>
    <t>Identifier of the contract.</t>
  </si>
  <si>
    <t>Identificador do contrato.</t>
  </si>
  <si>
    <t>DCYR8101_CKBALCAO, DCYR8101_CKNUMCTA
CKBALCAO, CKNUMCTA</t>
  </si>
  <si>
    <r>
      <rPr>
        <b/>
        <sz val="11"/>
        <color rgb="FF000000"/>
        <rFont val="Calibri"/>
      </rPr>
      <t>SELECT</t>
    </r>
    <r>
      <rPr>
        <sz val="11"/>
        <color rgb="FF000000"/>
        <rFont val="Calibri"/>
      </rPr>
      <t xml:space="preserve"> CONCAT( INTERFACE_DCT01.DCYR8101_CKBALCAO, INTERFACE_DCT01.DCYR8101_CKNUMCTA, '000000000000000' )
</t>
    </r>
    <r>
      <rPr>
        <b/>
        <sz val="11"/>
        <color rgb="FF000000"/>
        <rFont val="Calibri"/>
      </rPr>
      <t>WHERE</t>
    </r>
    <r>
      <rPr>
        <sz val="11"/>
        <color rgb="FF000000"/>
        <rFont val="Calibri"/>
      </rPr>
      <t xml:space="preserve"> INTERFACE_DCT01.DCRY8101_CFAMILIA = 'CC'
</t>
    </r>
    <r>
      <rPr>
        <b/>
        <sz val="11"/>
        <color rgb="FF000000"/>
        <rFont val="Calibri"/>
      </rPr>
      <t xml:space="preserve">
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</si>
  <si>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DCYR8101
TCT09_OPERCN</t>
  </si>
  <si>
    <t>CONCAT (CKBALCAO, CKNUMCTA, "000000000000000" )
CONCAT (CKBALCAO, CKNUMCTA, "000000000000000" )</t>
  </si>
  <si>
    <t>CURATED_INTERNAL_MAINFRAME_CONTAS</t>
  </si>
  <si>
    <t>INTERFACE_DCT01</t>
  </si>
  <si>
    <t>DCYR8101_CKBALCAO, DCYR8101_CKNUMCTA</t>
  </si>
  <si>
    <r>
      <rPr>
        <b/>
        <sz val="11"/>
        <color rgb="FF000000"/>
        <rFont val="Calibri"/>
      </rPr>
      <t xml:space="preserve">SELECT </t>
    </r>
    <r>
      <rPr>
        <sz val="11"/>
        <color rgb="FF000000"/>
        <rFont val="Calibri"/>
      </rPr>
      <t>CONCAT( INTERFACE_DCT01.DCYR8101_CKBALCAO, INTERFACE_DCT01.DCYR8101_CKNUMCTA, '000000000000000' )</t>
    </r>
  </si>
  <si>
    <t>DCYR8101</t>
  </si>
  <si>
    <t>CONCAT (CKBALCAO, CKNUMCTA, "000000000000000" )</t>
  </si>
  <si>
    <t>Identifier of the contract associated with the transaction.</t>
  </si>
  <si>
    <t>Identificador do contrato associado à transação.</t>
  </si>
  <si>
    <t xml:space="preserve">MOVIMENTOS_CONSOLIDADOS
TCT72_MOVCTA
</t>
  </si>
  <si>
    <t xml:space="preserve">DCYR9750_CKBALCAO, DCYR9750_CKNUMCTA
CKBALCAO, CKNUMCTA, ZDEPOSIT
</t>
  </si>
  <si>
    <r>
      <rPr>
        <b/>
        <sz val="11"/>
        <color rgb="FF000000"/>
        <rFont val="Calibri"/>
      </rPr>
      <t xml:space="preserve">SELECT </t>
    </r>
    <r>
      <rPr>
        <sz val="11"/>
        <color rgb="FF000000"/>
        <rFont val="Calibri"/>
      </rPr>
      <t xml:space="preserve">CONCAT( MOVIMENTOS_CONSOLIDADOS.DCYR9750_CKBALCAO, MOVIMENTOS_CONSOLIDADOS.DCYR9750_CKNUMCTA, '000000000000000' )
</t>
    </r>
    <r>
      <rPr>
        <b/>
        <sz val="11"/>
        <color rgb="FF000000"/>
        <rFont val="Calibri"/>
      </rPr>
      <t xml:space="preserve">SELECT </t>
    </r>
    <r>
      <rPr>
        <sz val="11"/>
        <color rgb="FF000000"/>
        <rFont val="Calibri"/>
      </rPr>
      <t xml:space="preserve">CONCAT( TCT72_MOVCTA.CKBALCAO, TCT72_MOVCTA.CKNUMCTA, '000000000000000' )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</si>
  <si>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TCT72_MOVCTA</t>
  </si>
  <si>
    <t>CONCAT( CKBALCAO, CKNUMCTA, "000000000000000"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</si>
  <si>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</si>
  <si>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</si>
  <si>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</si>
  <si>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</si>
  <si>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</si>
  <si>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
N\A</t>
  </si>
  <si>
    <r>
      <rPr>
        <b/>
        <sz val="11"/>
        <color rgb="FF000000"/>
        <rFont val="Calibri"/>
      </rPr>
      <t>SELECT</t>
    </r>
    <r>
      <rPr>
        <sz val="11"/>
        <color rgb="FF000000"/>
        <rFont val="Calibri"/>
      </rPr>
      <t xml:space="preserve"> IF(DCYR8101_CSITCTA IN ('0', '1', '2', '3', '5', '6', '7', '8', '9'), '1', '0')
</t>
    </r>
    <r>
      <rPr>
        <b/>
        <sz val="11"/>
        <color rgb="FF000000"/>
        <rFont val="Calibri"/>
      </rPr>
      <t>WHERE</t>
    </r>
    <r>
      <rPr>
        <sz val="11"/>
        <color rgb="FF000000"/>
        <rFont val="Calibri"/>
      </rPr>
      <t xml:space="preserve"> INTERFACE_DCT01.DCRY8101_CFAMILIA = 'CC'
</t>
    </r>
    <r>
      <rPr>
        <b/>
        <sz val="11"/>
        <color rgb="FF000000"/>
        <rFont val="Calibri"/>
      </rPr>
      <t xml:space="preserve">SELECT </t>
    </r>
    <r>
      <rPr>
        <sz val="11"/>
        <color rgb="FF000000"/>
        <rFont val="Calibri"/>
      </rPr>
      <t xml:space="preserve">CASE
    WHEN ISITUAC = '1' AND TCT09_OPERCN.DATA_DATE_PART &gt;= TCT09_OPERCN.DENTRADA THEN '1'
    ELSE '0'
</t>
    </r>
    <r>
      <rPr>
        <b/>
        <sz val="11"/>
        <color rgb="FF000000"/>
        <rFont val="Calibri"/>
      </rPr>
      <t xml:space="preserve">WHERE </t>
    </r>
    <r>
      <rPr>
        <sz val="11"/>
        <color rgb="FF000000"/>
        <rFont val="Calibri"/>
      </rPr>
      <t>INTERFACE_DCT01.DCRY8101_CFAMILIA = 'CC'
     AND MAX( CONTRACT_ALIVE_INDICATOR ) GROUP BY ( TCT09_OPERCN.CKBALCAO, TCT09_OPERCN.CKNUMCTA )</t>
    </r>
  </si>
  <si>
    <t>CSITCTA
N\A</t>
  </si>
  <si>
    <t>Product Family ID</t>
  </si>
  <si>
    <t>product_family_id</t>
  </si>
  <si>
    <t>Identifier of the product type.</t>
  </si>
  <si>
    <t>Identificador da família de produto (agregação de produtos), por exemplo: empréstimos, cartões crédito, etc.</t>
  </si>
  <si>
    <t>Product Type:
N\A; N\A</t>
  </si>
  <si>
    <t>CURATED_INTERNAL_MAINFRAME_CONTAS
COMMON_REFERENCEDATA_CORE</t>
  </si>
  <si>
    <t>INTERFACE_DCT01
PARAM_GENERAL_CODE_CONVERTER</t>
  </si>
  <si>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WHERE</t>
    </r>
    <r>
      <rPr>
        <sz val="11"/>
        <color rgb="FF000000"/>
        <rFont val="Calibri"/>
      </rPr>
      <t xml:space="preserve"> PARAM_GENERAL_CODE_CONVERTER.SOURCE_CODE = 'DC' AND PARAM_GENERAL_CODE_CONVERTER.TARGET_FIELD = 'product_family_id' AND PARAM_GENERAL_CODE_CONVERTER.SOURCE_VALUE =  INTERFACE_DCT01.DCYR8101_CFAMILIA AND PARAM_GENERAL_CODE_CONVERTER.OPTION_NUMBER= '1'</t>
    </r>
  </si>
  <si>
    <t>CFAMILIA</t>
  </si>
  <si>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</si>
  <si>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</si>
  <si>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</si>
  <si>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</si>
  <si>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</si>
  <si>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</si>
  <si>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 xml:space="preserve">CURATED_INTERNAL_MAINFRAME_CONTAS
OPERATION_COMMON_REFERENCEDATA_CORE
</t>
  </si>
  <si>
    <t xml:space="preserve">DCYR9750_ZMOVCTA 
ZMOVCTA 
</t>
  </si>
  <si>
    <r>
      <rPr>
        <b/>
        <sz val="11"/>
        <color rgb="FF000000"/>
        <rFont val="Calibri"/>
      </rPr>
      <t xml:space="preserve">SELECT </t>
    </r>
    <r>
      <rPr>
        <sz val="11"/>
        <color rgb="FF000000"/>
        <rFont val="Calibri"/>
      </rPr>
      <t xml:space="preserve">CAST( MOVIMENTOS_CONSOLIDADOS.DCYR9750_ZMOVCTA AS BIGINT )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TCT72_MOVCTA.DDIAOP &gt; SUBSTRING(LAST_DATA_DATE_PART, 1, 10) AND TCT72_MOVCTA.DDIAOP &lt;= SUBSTRING(LAST_DATA_DATE_PART, 11, 10)</t>
    </r>
  </si>
  <si>
    <t>ZMOVCTA
ZMOVCTA</t>
  </si>
  <si>
    <t>Current Authorized Amount</t>
  </si>
  <si>
    <t>current_authorized_amount</t>
  </si>
  <si>
    <t>Current amount that can be used as credit. In this case, it represents maximum amount that can be lended by the loan account contract.</t>
  </si>
  <si>
    <t>Valor atualmente autorizado no contrato, isto é, valor máximo que pode ser financiado no âmbito do contrato.</t>
  </si>
  <si>
    <t>DCYR8101_MDESAUT
N\A</t>
  </si>
  <si>
    <t xml:space="preserve">SELECT CASE
        WHEN TCT09_OPERCN.CKBALCAO IS NOT NULL THEN CAST( 0.00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WHERE TCT09_OPERCN.ISITUAC = '1' AND TCT09_OPERCN.DATA_DATE_PART &gt;= TCT09_OPERCN.DENTRADA AND ( GROUP BY TCT09_OPENRC.CKBALCAO, TCT09_OPERCN.CKNUMCTA, TCT09_OPERCN.ISITUAC ) 
</t>
  </si>
  <si>
    <t>DCYR8101 || DCYR8101</t>
  </si>
  <si>
    <t xml:space="preserve">MDESAUT|| MDESMAX </t>
  </si>
  <si>
    <t>N\A || N\A</t>
  </si>
  <si>
    <t>Current Available Amount</t>
  </si>
  <si>
    <t>current_available_amount</t>
  </si>
  <si>
    <t>Current total actual amount that can still be used as credit. In this case, the total amount minus the used amount.</t>
  </si>
  <si>
    <t>Valor atualmente disponível para financiamento no contrato.</t>
  </si>
  <si>
    <t>DCYR8101_MDESAUT, DCYR8101_MSALDODI, DCYR8101_MSLDCAT 
N\A</t>
  </si>
  <si>
    <t xml:space="preserve">SELECT CASE
        WHEN TCT09_OPERCN.CKBALCAO IS NOT NULL THEN CAST ( 0.00 AS DECIMAL( 23, 6 ) )
        WHEN INTERFACE_DCT01.DCYR8101_MSALDODI + INTERFACE_DCT01.DCYR8101_MSLDCAT &gt; INTERFACE_DCT01.DCYR8101_MDESAUT THEN CAST( - INTERFACE_DCT01.DCYR8101_MDESAUT AS DECIMAL ( 23, 6 ) )
        WHEN - INTERFACE_DCT01.DCYR8101_MSALDO &gt; INTERFACE_DCT01.DCYR8101_MDESAUT THEN CAST(0.00 AS DECIMAL( 23, 6 ) )
        ELSE - CAST( INTERFACE_DCT01.DCYR8101_MSALDODI + INTERFACE_DCT01.DCYR8101_MSLDCAT AS DECIMAL( 23, 6 ) )
WHERE TCT09_OPERCN.ISITUAC = '1' AND TCT09_OPERCN.DATA_DATE_PART &gt;= TCT09_OPERCN.DENTRADA AND ( GROUP BY TCT09_OPENRC.CKBALCAO, TCT09_OPERCN.CKNUMCTA, TCT09_OPERCN.ISITUAC ) </t>
  </si>
  <si>
    <t>DC -  Contas a Vista || TC - Terminal Contencioso</t>
  </si>
  <si>
    <t>DCYR8101 || N\A</t>
  </si>
  <si>
    <t>MSALDODI || N\A</t>
  </si>
  <si>
    <t>N\A || "0.00"</t>
  </si>
  <si>
    <t>cur_outsng_principal_balance</t>
  </si>
  <si>
    <t>DECIMAL</t>
  </si>
  <si>
    <t>The principal amount which has been used but has not reach its maturity date and is yet to be repaid.</t>
  </si>
  <si>
    <t>Saldo de capital vincendo do contrato.</t>
  </si>
  <si>
    <t>CURATED_INTERNAL_MAINFRAME_CONTAS
CURATED_INTERNAL_MAINFRAME_CONTENCIOSO</t>
  </si>
  <si>
    <t xml:space="preserve">SELECT CASE
        WHEN TCT09_OPERCN.CKBALCAO IS NOT NULL THEN CAST( 0.00 AS DECIMAL( 23, 6 ) )
        WHEN INTERFACE_DCT01.DCYR8101_MSALDODI + INTERFACE_DCT01.DCYR8101_MSLDCAT &gt; INTERFACE_DCT01.DCYR8101_MDESAUT THEN CAST( ( INTERFACE_DCT01.DCYR8101_MSALDODI + INTERFACE_DCT01.DCYR8101_MSLDCAT - INTERFACE_DCT01.DCYR8101_MDESAUT) AS DECIMAL( 23, 6 ) )
        WHEN  - INTERFACE_DCT01.DCYR8101_MSALDO &gt; INTERFACE_DCT01.DCYR8100_MDESAUT THEN - CAST( INTERFACE_DCT01.DCYR8101_MDESAUT AS DECIMAL ( 23, 6 ) )
        ELSE CAST( INTERFACE_DCT01.DCYR8101_MSALDO AS DECIMAL( 23, 6 ) )
WHERE TCT09_OPERCN.ISITUAC = '1' AND TCT09_OPERCN.DATA_DATE_PART &gt;= TCT09_OPERCN.DENTRADA AND ( GROUP BY TCT09_OPENRC.CKBALCAO, TCT09_OPERCN.CKNUMCTA, TCT09_OPERCN.ISITUAC ) </t>
  </si>
  <si>
    <t>( - MSALDO )|| N\A</t>
  </si>
  <si>
    <t>current_overdue_principal_bal</t>
  </si>
  <si>
    <t>Current principal amount which has been used but has reached its maturity date and is yet to be repaid.</t>
  </si>
  <si>
    <t>Saldo atual de capital em incumprimento associado ao contrato.</t>
  </si>
  <si>
    <t>DCYR8101_MDESAUT, DCYR8101_MSALDO
N\A</t>
  </si>
  <si>
    <t xml:space="preserve">SELECT CASE
       WHEN  TCT09_OPERCN.CKBALCAO.CKBALCAO IS NOT NULL THEN CAST ( 0.00 AS DECIMAL( 23, 6 ) )
       WHEN - INTERFACE_DCT01.DCYR8101_MSALDO &gt; INTERFACE_DCT01.DCYR8101_MDESAUT THEN CAST( INTERFACE_DCT01.DCYR8101_MDESAUT + INTERFACE_DCT01.DCYR8101_MSALDO AS DECIMAL ( 23, 6 ) )
       ELSE CAST ( 0.00 AS DECIMAL ( 23, 6 ) )
WHERE TCT09_OPERCN.ISITUAC = '1' AND TCT09_OPERCN.DATA_DATE_PART &gt;= TCT09_OPERCN.DENTRADA AND ( GROUP BY TCT09_OPENRC.CKBALCAO, TCT09_OPERCN.CKNUMCTA, TCT09_OPERCN.ISITUAC )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</si>
  <si>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</si>
  <si>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</si>
  <si>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</si>
  <si>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</si>
  <si>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</si>
  <si>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</si>
  <si>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</si>
  <si>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'TC'</t>
  </si>
  <si>
    <t>Product ID</t>
  </si>
  <si>
    <t>product_id</t>
  </si>
  <si>
    <t xml:space="preserve">Identifier of the level one product. </t>
  </si>
  <si>
    <t>Identificador do produto do contrato.</t>
  </si>
  <si>
    <t>Product Lvl 1
TAT91 - CTABELA 925; CURATED_INTERNAL_MAINFRAME_ESTRUTURAIS.TAT91_TABELAS - TAYD91C0_CTABELA 925</t>
  </si>
  <si>
    <t xml:space="preserve">DCRYR8101_CKPRODUT </t>
  </si>
  <si>
    <r>
      <rPr>
        <b/>
        <sz val="11"/>
        <color rgb="FF000000"/>
        <rFont val="Calibri"/>
      </rPr>
      <t xml:space="preserve">SELECT </t>
    </r>
    <r>
      <rPr>
        <sz val="11"/>
        <color rgb="FF000000"/>
        <rFont val="Calibri"/>
      </rPr>
      <t>IF( TRIM( INTERFACE_DCT01.DCRYR8101_CKPRODUT ) = '', NULL, INTERFACE_DCT01.DCRYR8101_CKPRODUT )</t>
    </r>
  </si>
  <si>
    <t>CKPRODUT</t>
  </si>
  <si>
    <t>Order Number Stage</t>
  </si>
  <si>
    <t>order_number_stage</t>
  </si>
  <si>
    <t>Represents the sequencial stage order inside of the transaction. In case of accounts the field does not apply unless it is a litigation transaction.</t>
  </si>
  <si>
    <t>Representa a nº da etapa dentro de uma transação.</t>
  </si>
  <si>
    <t>COMMON_REFERENCEDATA_CORE
CURATED_INTERNAL_MAINFRAME_CONTENCIOSO</t>
  </si>
  <si>
    <t xml:space="preserve">PARAM_GENERAL_CODE_CONVERTER
TCT72_MOVCTA
</t>
  </si>
  <si>
    <t xml:space="preserve">TARGET_VALUE
ZSEQMOV , N/A
</t>
  </si>
  <si>
    <r>
      <rPr>
        <sz val="11"/>
        <color rgb="FF000000"/>
        <rFont val="Calibri"/>
      </rPr>
      <t xml:space="preserve">   
</t>
    </r>
    <r>
      <rPr>
        <b/>
        <sz val="11"/>
        <color rgb="FF000000"/>
        <rFont val="Calibri"/>
      </rPr>
      <t>SELECT</t>
    </r>
    <r>
      <rPr>
        <sz val="11"/>
        <color rgb="FF000000"/>
        <rFont val="Calibri"/>
      </rPr>
      <t xml:space="preserve"> CAST (PARAM_GENERAL_CODE_CONVERTER.TARGET_VALUE AS BIGINT)
</t>
    </r>
    <r>
      <rPr>
        <b/>
        <sz val="11"/>
        <color rgb="FF000000"/>
        <rFont val="Calibri"/>
      </rPr>
      <t>WHERE</t>
    </r>
    <r>
      <rPr>
        <sz val="11"/>
        <color rgb="FF000000"/>
        <rFont val="Calibri"/>
      </rPr>
      <t xml:space="preserve"> PARAM_GENERAL_CODE_CONVERTER.SOURCE_CODE='DC'
AND  PARAM_GENERAL_CODE_CONVERTER.TARGET_FIELD='order_number_stage'
AND  PARAM_GENERAL_CODE_CONVERTER.SOURCE_VALUE=''
AND  PARAM_GENERAL_CODE_CONVERTER.OPTION_NUMBER='1'
SELECT
 CASE
      WHEN CAST(TCT72_MOVCTA.ZSEQMOV AS STRING) = '' THEN </t>
    </r>
    <r>
      <rPr>
        <b/>
        <sz val="11"/>
        <color rgb="FF000000"/>
        <rFont val="Calibri"/>
      </rPr>
      <t xml:space="preserve">CAST 
SELECT CAST (PARAM_GENERAL_CODE_CONVERTER.TARGET_VALUE AS BIGINT)
</t>
    </r>
    <r>
      <rPr>
        <sz val="11"/>
        <color rgb="FF000000"/>
        <rFont val="Calibri"/>
      </rPr>
      <t xml:space="preserve">      ELSE CAST (CAST(CAST(TCT72_MOVCTA.ZSEQMOV AS STRING) AS BIGINT) 
</t>
    </r>
    <r>
      <rPr>
        <b/>
        <sz val="11"/>
        <color rgb="FF000000"/>
        <rFont val="Calibri"/>
      </rPr>
      <t>WHERE</t>
    </r>
    <r>
      <rPr>
        <sz val="11"/>
        <color rgb="FF000000"/>
        <rFont val="Calibri"/>
      </rPr>
      <t xml:space="preserve"> 
 TCT72_MOVCTA.DDIAOP &gt; SUBSTRING(LAST_DATA_DATE_PART, 1, 10) AND TCT72_MOVCTA.DDIAOP &lt;= SUBSTRING(LAST_DATA_DATE_PART, 11, 10)
AND PARAM_GENERAL_CODE_CONVERTER.SOURCE_CODE='TC'
AND  PARAM_GENERAL_CODE_CONVERTER.TARGET_FIELD='order_number_stage'
AND  PARAM_GENERAL_CODE_CONVERTER.SOURCE_VALUE=CAST(TCT72_MOVCTA.ZSEQMOV AS STRING)
AND  PARAM_GENERAL_CODE_CONVERTER.OPTION_NUMBER='1'</t>
    </r>
  </si>
  <si>
    <t>N\A
TCT72_MOVCTA</t>
  </si>
  <si>
    <t>N\A
ZSEQMOV</t>
  </si>
  <si>
    <t>"1"
N\A</t>
  </si>
  <si>
    <t>Data Date Part</t>
  </si>
  <si>
    <t>data_date_part</t>
  </si>
  <si>
    <t>Key - Date</t>
  </si>
  <si>
    <t>Information reference date.</t>
  </si>
  <si>
    <t>Data de referência dos dados</t>
  </si>
  <si>
    <t>DATA_DATE_PART
DATA_DATE_PART</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</si>
  <si>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TCT09_OPERCN.DATA_DATE_PART
</t>
    </r>
    <r>
      <rPr>
        <b/>
        <sz val="11"/>
        <color rgb="FF000000"/>
        <rFont val="Calibri"/>
      </rPr>
      <t xml:space="preserve">WHERE </t>
    </r>
    <r>
      <rPr>
        <sz val="11"/>
        <color rgb="FF000000"/>
        <rFont val="Calibri"/>
      </rPr>
      <t>INTERFACE_DCT01.DCRY8101_CFAMILIA = 'CC'
         AND MAX( CONTRACT_ALIVE_INDICATOR ) GROUP BY ( TCT09_OPERCN.CKBALCAO, TCT09_OPERCN.CKNUMCTA )</t>
    </r>
  </si>
  <si>
    <t>Subproduct ID</t>
  </si>
  <si>
    <t>subproduct_id</t>
  </si>
  <si>
    <t>Identifier of the level two product (subproduct).</t>
  </si>
  <si>
    <t>Identificador do subproduto do contrato.</t>
  </si>
  <si>
    <t>Product Lvl 2
TAT91 - CTABELA 925; CURATED_INTERNAL_MAINFRAME_ESTRUTURAIS.TAT91_TABELAS - TAYD91C0_CTABELA 925</t>
  </si>
  <si>
    <t xml:space="preserve">DCYR8101_CKSUBPRO </t>
  </si>
  <si>
    <r>
      <rPr>
        <b/>
        <sz val="11"/>
        <color rgb="FF000000"/>
        <rFont val="Calibri"/>
      </rPr>
      <t xml:space="preserve">SELECT </t>
    </r>
    <r>
      <rPr>
        <sz val="11"/>
        <color rgb="FF000000"/>
        <rFont val="Calibri"/>
      </rPr>
      <t>IF( TRIM( INTERFACE_DCT01.DCYR8101_CKSUBPRO ) = '', NULL, INTERFACE_DCT01.DCYR8101_CKSUBPRO )</t>
    </r>
  </si>
  <si>
    <t>CKSUBPRO</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</si>
  <si>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</si>
  <si>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</si>
  <si>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</si>
  <si>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</si>
  <si>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</si>
  <si>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</si>
  <si>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CURATED_INTERNAL_MAINFRAME_CONTENCIOSO
CURATED_INTERNAL_MAINFRAME_ESTRUTURAIS
COMMON_REFERENCEDATA_CORE</t>
  </si>
  <si>
    <t>MOVIMENTOS_CONSOLIDADOS
TCT72_MOVCTA
TAT91_TABELAS_NEW
PARAM_GENERAL_CODE_CONVERTER</t>
  </si>
  <si>
    <t>N\A
N\A
N\A
TARGET_VALUE</t>
  </si>
  <si>
    <r>
      <rPr>
        <b/>
        <sz val="11"/>
        <color rgb="FF000000"/>
        <rFont val="Calibri"/>
      </rPr>
      <t>SELECT</t>
    </r>
    <r>
      <rPr>
        <sz val="11"/>
        <color rgb="FF000000"/>
        <rFont val="Calibri"/>
      </rPr>
      <t xml:space="preserve">  PARAM_GENERAL_CODE_CONVERTER(1).TARGET_VALUE
WHERE
PPARAM_GENERAL_CODE_CONVERTER (1).TARGET_VALUE = 'TRANSACTION_TYPE_CODE' AND PARAM_GENERAL_CODE_CONVERTER (1).SOURCE_CODE = '00' AND
PARAM_GENERAL_CODE_CONVERTER (1).OPTION_NUMBER = 1  AND
PARAM_GENERAL_CODE_CONVERTER (1).SOURCE_VALUE = 
( CASE
        WHEN MOVIMENTOS_CONSOLIDADOS.DCYR9750_OPERBAS = '160' AND MOVIMENTOS_CONSOLIDADOS.DCYR9750_OPERBAN = '001' THEN IF(TRIM(SUBSTRING(TAT91_TABELAS_NEW.TAYD91C0_NELEMC05, 3, 3)) IN ('', 'N/A'), NULL,SUBSTRING(TAT91_TABELAS_NEW.TAYD91C0_NELEMC05, 3, 3))
        ELSE PARAM_GENERAL_CODE_CONVERTER (OBB).TARGET_VALUE
END
 AND PARAM_GENERAL_CODE_CONVERTER (OBB).TARGET_FIELD = 'TRANSACTION_TYPE_CODE' AND PARAM_GENERAL_CODE_CONVERTER (OBB).SOURCE_CODE = 'MOVIMENTOS_CONSOLIDADOS.DCYR9750_CAPLIC AND PARAM_GENERAL_CODE_CONVERTER (OBB).SOURCE_VALUE =CONCAT(LPAD(MOVIMENTOS_CONSOLIDADOS.DCYR9750_OPERBAS, 3, '0'), LPAD ( MOVIMENTOS_CONSOLIDADOS..DCYR9750_OPERBAN, 3, '0' ) )
 AND TAT91_TABELAS_NEW.TAYD91C0_CTABELA = '021' AND SUBSTRING ( TAT91_TABELAS_NEW.TAYD91C0_CELEMTAB, 1, 3 ) = MOVIMENTOS_CONSOLIDADOS.DCYR9750_COPERAC )
SELECT PARAM_GENERAL_CODE_CONVERTER.TARGET_VALUE
WHERE  TCT72_MOVCTA.DDIAOP &gt; SUBSTRING(LAST_DATA_DATE_PART, 1, 10) AND TCT72_MOVCTA.DDIAOP &lt;= SUBSTRING(LAST_DATA_DATE_PART, 11, 10)
 AND
 PARAM_GENERAL_CODE_CONVERTER (1).TARGET_VALUE = 'TRANSACTION_TYPE_CODE' AND PARAM_GENERAL_CODE_CONVERTER (1).SOURCE_CODE = '00' AND
PARAM_GENERAL_CODE_CONVERTER (1).OPTION_NUMBER = 1  AND
PARAM_GENERAL_CODE_CONVERTER (1).SOURCE_VALUE = IF(TRIM(SUBSTRING(TAT91_TABELAS_NEW.TAYD91C0_NELEMC05, 3, 3)) IN ('', 'N/A'), NULL,SUBSTRING(TAT91_TABELAS_NEW.TAYD91C0_NELEMC05, 3, 3)
AND TAT91_TABELAS_NEW.TAYD91C0_CTABELA = '021' AND SUBSTRING( TAT91_TABELAS_NEW.TAYD91C0_CELEMTAB, 1, 3 ) = TCT72_MOVCTA.COPERAC 
</t>
    </r>
  </si>
  <si>
    <t xml:space="preserve">COPERAC || CONCAT( OPERBAS, OPERBAN )
COPERAC </t>
  </si>
  <si>
    <t>N\A || N\A
N\A</t>
  </si>
  <si>
    <t>Data Timestamp Part</t>
  </si>
  <si>
    <t>data_timestamp_part</t>
  </si>
  <si>
    <t>Tec - Date</t>
  </si>
  <si>
    <t>TIMESTAMP</t>
  </si>
  <si>
    <t>Record's load timestamp in common layer.</t>
  </si>
  <si>
    <t>Timestamp da data de execução</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</si>
  <si>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INTERFACE_DCT01.DCRY8101_CFAMILIA = 'CC'
         AND MAX( CONTRACT_ALIVE_INDICATOR ) GROUP BY ( TCT09_OPERCN.CKBALCAO, TCT09_OPERCN.CKNUMCTA )</t>
    </r>
  </si>
  <si>
    <t>Main Current Account Bank ID</t>
  </si>
  <si>
    <t>main_current_account_bank_id</t>
  </si>
  <si>
    <t>Bank identifier (internal Santander’s company identification code) that is related to the current account contract which anchors the loan account contract.</t>
  </si>
  <si>
    <t>Código identificador do banco interno do Santander (CEMPRESA) da conta âncora do contrato.</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</si>
  <si>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</si>
  <si>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</si>
  <si>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</si>
  <si>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'DC' AND PARAM_GENERAL_CODE_CONVERTER.TARGET_FIELD = 'main_current_account_bank_id' AND PARAM_GENERAL_CODE_CONVERTER.SOURCE_VALUE = '' AND PARAM_GENERAL_CODE_CONVERTER.OPTION_NUMBER= '1'</t>
    </r>
  </si>
  <si>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</si>
  <si>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</si>
  <si>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</si>
  <si>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</si>
  <si>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</si>
  <si>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</si>
  <si>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MOVIMENTOS_CONSOLIDADOS
TCT72_MOVCTA</t>
  </si>
  <si>
    <t>DCYR9750_COPERAC
COPERAC</t>
  </si>
  <si>
    <t>SELECT
CASE WHEN MOVIMENTOS_CONSOLIDADOS.DCYR9750_OPERBAS = '160' AND MOVIMENTOS_CONSOLIDADOS.DCYR9750_OPERBAN = '001' THEN IF ( TRIM(MOVIMENTOS_CONSOLIDADOS.DCYR9750_COPERAC ) = '', NULL, MOVIMENTOS_CONSOLIDADOS.DCYR9750_COPERAC )
ELSE '#N/A'
SELECT IF(TRIM(TCT72_MOVCTA.TCT72.COPERAC) = '', NULL, TCT72_MOVCTA.TCT72.COPERAC )
WHERE   TCT72_MOVCTA.DDIAOP &gt; SUBSTRING(LAST_DATA_DATE_PART, 1, 10) AND TCT72_MOVCTA.DDIAOP &lt;= SUBSTRING ( LAST_DATA_DATE_PART, 11, 10 )</t>
  </si>
  <si>
    <t>COPERAC
COPERAC</t>
  </si>
  <si>
    <t>Main Current Account Contract ID</t>
  </si>
  <si>
    <t>main_current_account_contract_id</t>
  </si>
  <si>
    <t>Contract identifier of the current account that anchors the loan account.</t>
  </si>
  <si>
    <t>Identificador do contrato da conta âncora do contrato.</t>
  </si>
  <si>
    <t>CURATED_INTERNAL_MAINFRAME_ESTRUTURAIS
CURATED_INTERNAL_MAINFRAME_ESTRUTURAIS</t>
  </si>
  <si>
    <t>COINT_CTOLOC_P
REL_CONTRATOS</t>
  </si>
  <si>
    <t>E2616_IDCENT_L, E2616_IDCONT_L
N\A</t>
  </si>
  <si>
    <r>
      <rPr>
        <b/>
        <sz val="11"/>
        <color rgb="FF000000"/>
        <rFont val="Calibri"/>
      </rPr>
      <t xml:space="preserve">SELECT </t>
    </r>
    <r>
      <rPr>
        <sz val="11"/>
        <color rgb="FF000000"/>
        <rFont val="Calibri"/>
      </rPr>
      <t xml:space="preserve">CONCAT( COINT_CTOLOC_P(REL).E2616_IDCENT_L, COINT_CTOLOC_P(REL).E2616_IDCONT_L, '000000000000000' )
</t>
    </r>
    <r>
      <rPr>
        <b/>
        <sz val="11"/>
        <color rgb="FF000000"/>
        <rFont val="Calibri"/>
      </rPr>
      <t xml:space="preserve">WHERE </t>
    </r>
    <r>
      <rPr>
        <sz val="11"/>
        <color rgb="FF000000"/>
        <rFont val="Calibri"/>
      </rPr>
      <t>REL_CONTRATOS.RCC_CORELCC = '040'  AND REL_CONTRATOS.RCC_FEVENCIM = '9999-12-31' AND REL_CONTRATOS.RCC_TIPOSIT = '10'</t>
    </r>
  </si>
  <si>
    <t>TA - Tabelas Gerais</t>
  </si>
  <si>
    <t>REL_CONTRATOS -&gt; COINT_LOC_CP</t>
  </si>
  <si>
    <t>CONCAT( IDCENTRE, IDPRODRE, IDCONTRRE ) -&gt; CONCAT( IDCENT_L, IDCONT_L, "000000000000000" )</t>
  </si>
  <si>
    <t>N\A -&gt;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</si>
  <si>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</si>
  <si>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</si>
  <si>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</si>
  <si>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</si>
  <si>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</si>
  <si>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DCYR9750_COPCAO
COPCAO</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</si>
  <si>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SELECT  </t>
    </r>
    <r>
      <rPr>
        <sz val="11"/>
        <color rgb="FF000000"/>
        <rFont val="Calibri"/>
      </rPr>
      <t xml:space="preserve">IF( TRIM( TCT72_MOVCTA.COPCAO ) = '', NULL, TCT72_MOVCTA.COPCAO )
</t>
    </r>
    <r>
      <rPr>
        <b/>
        <sz val="11"/>
        <color rgb="FF000000"/>
        <rFont val="Calibri"/>
      </rPr>
      <t xml:space="preserve">WHERE </t>
    </r>
    <r>
      <rPr>
        <sz val="11"/>
        <color rgb="FF000000"/>
        <rFont val="Calibri"/>
      </rPr>
      <t>TCT72_MOVCTA.DDIAOP &gt; SUBSTRING(LAST_DATA_DATE_PART, 1, 10) AND TCT72_MOVCTA.DDIAOP &lt;= SUBSTRING(LAST_DATA_DATE_PART, 11, 10)</t>
    </r>
  </si>
  <si>
    <t>COPCAO
COPCAO</t>
  </si>
  <si>
    <t>Opening Date</t>
  </si>
  <si>
    <t>opening_date</t>
  </si>
  <si>
    <t>Ext Inf - Con Inf - Date</t>
  </si>
  <si>
    <t>Date in which the client opened and formalised the contract.</t>
  </si>
  <si>
    <t>Data de abertura do contrato. Não corresponde à data de solicitação do contrato.</t>
  </si>
  <si>
    <t>DCYR8101_DABERTUR</t>
  </si>
  <si>
    <r>
      <rPr>
        <b/>
        <sz val="11"/>
        <color rgb="FF000000"/>
        <rFont val="Calibri"/>
      </rPr>
      <t xml:space="preserve">SELECT </t>
    </r>
    <r>
      <rPr>
        <sz val="11"/>
        <color rgb="FF000000"/>
        <rFont val="Calibri"/>
      </rPr>
      <t>IF( TRIM( INTERFACE_DCT01.DCYR8101_DABERTUR ) = '', NULL, CAST( INTERFACE_DCT01.DCYR8101_DABERTUR AS STRING ) )</t>
    </r>
  </si>
  <si>
    <t>DABERTUR</t>
  </si>
  <si>
    <t>Accounting Basic Bank Operation</t>
  </si>
  <si>
    <t>accounting_bank_basic_operation</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</si>
  <si>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</si>
  <si>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</si>
  <si>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</si>
  <si>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 xml:space="preserve">DCYR9750_OPERBAS, DCY9750_OPERBAN
</t>
  </si>
  <si>
    <r>
      <rPr>
        <b/>
        <sz val="11"/>
        <color rgb="FF000000"/>
        <rFont val="Calibri"/>
      </rPr>
      <t>SELECT I</t>
    </r>
    <r>
      <rPr>
        <sz val="11"/>
        <color rgb="FF000000"/>
        <rFont val="Calibri"/>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t>
    </r>
  </si>
  <si>
    <t>CONCAT( OPERBAS, OPERBAN )
N\A</t>
  </si>
  <si>
    <t>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</si>
  <si>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</si>
  <si>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</si>
  <si>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</si>
  <si>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</si>
  <si>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DCYR8100_DTVENCIM
DVENCIM</t>
  </si>
  <si>
    <r>
      <rPr>
        <b/>
        <sz val="11"/>
        <color rgb="FF000000"/>
        <rFont val="Calibri"/>
      </rPr>
      <t xml:space="preserve">SELECT </t>
    </r>
    <r>
      <rPr>
        <sz val="11"/>
        <color rgb="FF000000"/>
        <rFont val="Calibri"/>
      </rPr>
      <t xml:space="preserve">IF( TCT09_OPERCN.CKBALCAO IS NULL, 
    IF( TRIM( INTERFACE_DCT01.DCYR8100_DTVENCIM ) = '', NULL, INTERFACE_DCT01.DCYR8100_DTVENCIM ),
    IF( TRIM( TCT09_OPERCN.DVENCIM) = '', NULL, CAST( TCT09_OPERCN.DVENCIM AS STRING ) )
</t>
    </r>
    <r>
      <rPr>
        <b/>
        <sz val="11"/>
        <color rgb="FF000000"/>
        <rFont val="Calibri"/>
      </rPr>
      <t xml:space="preserve">WHERE </t>
    </r>
    <r>
      <rPr>
        <sz val="11"/>
        <color rgb="FF000000"/>
        <rFont val="Calibri"/>
      </rPr>
      <t xml:space="preserve">MAX( TCT09_OPERCN.DVENCIM ) AND TCT09_OPERCN.ISITUAC = '1' AND TCT09_OPERCN.DATA_DATE_PART &gt;= TCT09_OPERCN.DENTRADA AND ( GROUP BY TCT09_OPENRC.CKBALCAO, TCT09_OPERCN.CKNUMCTA, TCT09_OPERCN.ISITUAC ) </t>
    </r>
  </si>
  <si>
    <t>DTVENCIM</t>
  </si>
  <si>
    <t>Financial Flow Indicator</t>
  </si>
  <si>
    <t>financial_flow_indicator</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</si>
  <si>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</si>
  <si>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</si>
  <si>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CURATED_INTERNAL_MAINFRAME_CONTAS
CURATED_INTERNAL_MAINFRAME_ESTRUTURAIS
COMMON_REFERENCEDATA_CORE</t>
  </si>
  <si>
    <t>MOVIMENTOS_CONSOLIDADOS
TAT91_TABELAS_NEW
PARAM_GENERAL_CODE_CONVERTER</t>
  </si>
  <si>
    <t>N\A
TAYD91C0_NELEMC05
TARGET_VALUE</t>
  </si>
  <si>
    <r>
      <rPr>
        <sz val="11"/>
        <color rgb="FF000000"/>
        <rFont val="Calibri"/>
      </rPr>
      <t xml:space="preserve">SELECT PARAM_GENERAL_CODE_CONVERTER.TARGET_VALUE
</t>
    </r>
    <r>
      <rPr>
        <b/>
        <sz val="11"/>
        <color rgb="FF000000"/>
        <rFont val="Calibri"/>
      </rPr>
      <t>WHERE</t>
    </r>
    <r>
      <rPr>
        <sz val="11"/>
        <color rgb="FF000000"/>
        <rFont val="Calibri"/>
      </rPr>
      <t xml:space="preserve"> 
PARAM_GENERAL_CODE_CONVERTER.TARGET_FIELD = 'financial_flow_indicator'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WHERE 
  TAT91_TABELAS_NEW.TAYD91C0_CTABELA = '021' AND SUBSTRING( TAT91_TABELAS_NEW.TAYD91C0_CELEMTAB, 1, 3 ) = TCT72_MOVCTA.COPERAC
    AND TCT72_MOVCTA.DDIAOP &gt; SUBSTRING(LAST_DATA_DATE_PART, 1, 10) AND TCT72_MOVCTA.DDIAOP &lt;= SUBSTRING(LAST_DATA_DATE_PART, 11, 10)</t>
    </r>
  </si>
  <si>
    <t xml:space="preserve">N\A
COPERAC </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</si>
  <si>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</si>
  <si>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</si>
  <si>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</si>
  <si>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</si>
  <si>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</si>
  <si>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</si>
  <si>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DCYR8101_CMOEDA</t>
  </si>
  <si>
    <r>
      <rPr>
        <b/>
        <sz val="11"/>
        <color rgb="FF000000"/>
        <rFont val="Calibri"/>
      </rPr>
      <t xml:space="preserve">SELECT </t>
    </r>
    <r>
      <rPr>
        <sz val="11"/>
        <color rgb="FF000000"/>
        <rFont val="Calibri"/>
      </rPr>
      <t>IF( TRIM( INTERFACE_DCT01.DCYR8101_CMOEDA ) = '', NULL, INTERFACE_DCT01.DCYR8101_CMOEDA )</t>
    </r>
  </si>
  <si>
    <t>CMOEDA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</si>
  <si>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</si>
  <si>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</si>
  <si>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TAT91 - CTABELA 206; CURATED_INTERNAL_MAINFRAME_ESTRUTURAIS.TAT91_TABELAS - TAYD91C0_CTABELA 206</t>
  </si>
  <si>
    <t>DCYR9750_CMOEDA 
CMOEDAOR</t>
  </si>
  <si>
    <r>
      <rPr>
        <b/>
        <sz val="11"/>
        <color rgb="FF000000"/>
        <rFont val="Calibri"/>
      </rPr>
      <t>SELECT</t>
    </r>
    <r>
      <rPr>
        <sz val="11"/>
        <color rgb="FF000000"/>
        <rFont val="Calibri"/>
      </rPr>
      <t xml:space="preserve"> IF( TRIM( MOVIMENTOS_CONSOLIDADOS.DCYR9750_CMOEDA ) = '', NULL, MOVIMENTOS_CONSOLIDADOS.DCYR9750_CMOEDA )
</t>
    </r>
    <r>
      <rPr>
        <b/>
        <sz val="11"/>
        <color rgb="FF000000"/>
        <rFont val="Calibri"/>
      </rPr>
      <t>SELECT</t>
    </r>
    <r>
      <rPr>
        <sz val="11"/>
        <color rgb="FF000000"/>
        <rFont val="Calibri"/>
      </rPr>
      <t xml:space="preserve"> IF( TRIM( TCT72_MOVCTA.CMOEDAOR ) = '', NULL, TCT72_MOVCTA.CMOEDAOR )
</t>
    </r>
    <r>
      <rPr>
        <b/>
        <sz val="11"/>
        <color rgb="FF000000"/>
        <rFont val="Calibri"/>
      </rPr>
      <t xml:space="preserve">WHERE
</t>
    </r>
    <r>
      <rPr>
        <sz val="11"/>
        <color rgb="FF000000"/>
        <rFont val="Calibri"/>
      </rPr>
      <t>TCT72_MOVCTA.DDIAOP &gt; SUBSTRING(LAST_DATA_DATE_PART, 1, 10) AND TCT72_MOVCTA.DDIAOP &lt;= SUBSTRING(LAST_DATA_DATE_PART, 11, 10)</t>
    </r>
  </si>
  <si>
    <t>CMOEDA
CMOEDAOR</t>
  </si>
  <si>
    <t>Litigation Indicator</t>
  </si>
  <si>
    <t>litigation_indicator</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</si>
  <si>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</si>
  <si>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</si>
  <si>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IF( LITIGATION_UNIVERSE.CKBALCAO IS NULL, 'DC', 'TC' ) AND PARAM_GENERAL_CODE_CONVERTER.TARGET_FIELD= 'litigation_indicator' AND PARAM_GENERAL_CODE_CONVERTER.SOURCE_VALUE = IF( LITIGATION_UNIVERSE.CKBALCAO IS NULL, '', '' ) AND PARAM_GENERAL_CODE_CONVERTER.OPTION_NUMBER= '1' 
AND 
AND LITIGATION_UNIVERSE.CONTRACT_ALIVE_INDICATOR = '1'</t>
    </r>
  </si>
  <si>
    <t>"0" || "1"</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</si>
  <si>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</si>
  <si>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</si>
  <si>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</si>
  <si>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</si>
  <si>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</si>
  <si>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DCYR9750_DDIAVL
DDIAVL</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</si>
  <si>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 xml:space="preserve">SELECT </t>
    </r>
    <r>
      <rPr>
        <sz val="11"/>
        <color rgb="FF000000"/>
        <rFont val="Calibri"/>
      </rPr>
      <t>IF( TRIM( TCT72_MOVCTA.DDIAVL ) = '', NULL, TCT72_MOVCTA.DDIAVL )
    AND TCT72_MOVCTA.DDIAOP &gt; SUBSTRING(LAST_DATA_DATE_PART, 1, 10) AND TCT72_MOVCTA.DDIAOP &lt;= SUBSTRING(LAST_DATA_DATE_PART, 11, 10)</t>
    </r>
  </si>
  <si>
    <t>DDIAVL
DDIAVL</t>
  </si>
  <si>
    <t>Current Reserved Balance</t>
  </si>
  <si>
    <t>current_reserved_balance</t>
  </si>
  <si>
    <t>Ext Inf - Con Fin Inf - Value</t>
  </si>
  <si>
    <t>Represents the amount that is set aside in the account and it is not available for usage.</t>
  </si>
  <si>
    <t>Saldo atual em cativo da conta.</t>
  </si>
  <si>
    <t>DCYR8101_MSLDCAT</t>
  </si>
  <si>
    <r>
      <rPr>
        <b/>
        <sz val="11"/>
        <color rgb="FF000000"/>
        <rFont val="Calibri"/>
      </rPr>
      <t xml:space="preserve">SELECT </t>
    </r>
    <r>
      <rPr>
        <sz val="11"/>
        <color rgb="FF000000"/>
        <rFont val="Calibri"/>
      </rPr>
      <t>CAST( INTERFACE_DCT01.DCYR8101_MSLDCAT AS DECIMAL( 23, 6 ) )</t>
    </r>
  </si>
  <si>
    <t>MSLDCAT</t>
  </si>
  <si>
    <t>Transaction Execution Date</t>
  </si>
  <si>
    <t>transaction_execution_date</t>
  </si>
  <si>
    <t>Represents the date in which the transaction was actually executed. Not to be mistaken by the moment in which the transaction was performed.</t>
  </si>
  <si>
    <t>Data efetiva de execução da transação.</t>
  </si>
  <si>
    <t xml:space="preserve">CURATED_INTERNAL_MAINFRAME_CONTAS
CURATED_INTERNAL_MAINFRAME_CONTENCIOSO
</t>
  </si>
  <si>
    <t xml:space="preserve">DCYR9750_DDIAOP 
DDIAOP 
</t>
  </si>
  <si>
    <r>
      <rPr>
        <b/>
        <sz val="11"/>
        <color rgb="FF000000"/>
        <rFont val="Calibri"/>
      </rPr>
      <t xml:space="preserve">SELECT IF  ( TRIM (  </t>
    </r>
    <r>
      <rPr>
        <sz val="11"/>
        <color rgb="FF000000"/>
        <rFont val="Calibri"/>
      </rPr>
      <t xml:space="preserve">MOVIMENTOS_CONSOLIDADOS.DCYR9750_DDIAOP ) = '', NULL, MOVIMENTOS_CONSOLIDADOS.DCYR9750_DDIAOP)
</t>
    </r>
    <r>
      <rPr>
        <b/>
        <sz val="11"/>
        <color rgb="FF000000"/>
        <rFont val="Calibri"/>
      </rPr>
      <t xml:space="preserve">SELECT </t>
    </r>
    <r>
      <rPr>
        <sz val="11"/>
        <color rgb="FF000000"/>
        <rFont val="Calibri"/>
      </rPr>
      <t xml:space="preserve">TCT72_MOVCTA.DDIAOP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</si>
  <si>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 DCYR9750
TCT72_MOVCTA</t>
  </si>
  <si>
    <t>DDIAOP
DDIAOP</t>
  </si>
  <si>
    <t>OPERATION_COMMON_REFERENCEDATA_CORE</t>
  </si>
  <si>
    <t>LOAN_ACCOUNT_UNIVERSE</t>
  </si>
  <si>
    <t>CURRENT_AUTHORIZED_AMOUNT</t>
  </si>
  <si>
    <r>
      <rPr>
        <b/>
        <sz val="11"/>
        <color rgb="FF000000"/>
        <rFont val="Calibri"/>
      </rPr>
      <t>SELECT</t>
    </r>
    <r>
      <rPr>
        <sz val="11"/>
        <color rgb="FF000000"/>
        <rFont val="Calibri"/>
      </rPr>
      <t xml:space="preserve"> LOAN_ACCOUNT_UNIVERSE.CURRENT_AUTHORIZED_AMOUNT
</t>
    </r>
    <r>
      <rPr>
        <b/>
        <sz val="11"/>
        <color rgb="FF000000"/>
        <rFont val="Calibri"/>
      </rPr>
      <t xml:space="preserve">WHERE </t>
    </r>
    <r>
      <rPr>
        <sz val="11"/>
        <color rgb="FF000000"/>
        <rFont val="Calibri"/>
      </rPr>
      <t xml:space="preserve">LOAN_ACCOUNT_UNIVERSE.CONTRACT_ALIVE_INDICATOR = '1' </t>
    </r>
  </si>
  <si>
    <t xml:space="preserve">N\A </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</si>
  <si>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</si>
  <si>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</si>
  <si>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</si>
  <si>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</si>
  <si>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</si>
  <si>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 xml:space="preserve">DCYR9750_MMOVIM
MMOVIM </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</si>
  <si>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</si>
  <si>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MMOVIM
MMOVIM</t>
  </si>
  <si>
    <t>Current Authorized Amount Local Currency</t>
  </si>
  <si>
    <t>cur_authorized_amt_lcl_currcy</t>
  </si>
  <si>
    <t>Valor atualmente autorizado no contrato, isto é, valor máximo que pode ser financiado no âmbito do contrato, em moeda local</t>
  </si>
  <si>
    <t>OPERATION_COMMON_REFERENCEDATA_CORE
CURATED_INTERNAL_MAINFRAME_CAMBIOS</t>
  </si>
  <si>
    <t>LOAN_ACCOUNT_UNIVERSE
CBT02_CAMBIOS</t>
  </si>
  <si>
    <t>CURRENT_AUTHORIZED_AMOUNT
TCMBME</t>
  </si>
  <si>
    <r>
      <rPr>
        <b/>
        <sz val="11"/>
        <color rgb="FF000000"/>
        <rFont val="Calibri"/>
      </rPr>
      <t xml:space="preserve">SELECT </t>
    </r>
    <r>
      <rPr>
        <sz val="11"/>
        <color rgb="FF000000"/>
        <rFont val="Calibri"/>
      </rPr>
      <t xml:space="preserve">LOAN_ACCOUNT_UNIVERSE.CURRENT_AUTHORIZED_AMOUNT /  CBT02_CAMBIOS.TCMBME
</t>
    </r>
    <r>
      <rPr>
        <b/>
        <sz val="11"/>
        <color rgb="FF000000"/>
        <rFont val="Calibri"/>
      </rPr>
      <t xml:space="preserve">WHERE </t>
    </r>
    <r>
      <rPr>
        <sz val="11"/>
        <color rgb="FF000000"/>
        <rFont val="Calibri"/>
      </rPr>
      <t xml:space="preserve">LOAN_ACCOUNT_UNIVERSE.CONTRACT_ALIVE_INDICATOR = '1' AND CBT02_CAMBIOS.CTBCAMB = 'F' AND CBT02_CAMBIOS.CMARCA = 'BT' AND CBT02_CAMBIOS.ZSEQCAMB = '99'
</t>
    </r>
  </si>
  <si>
    <t>Check Number</t>
  </si>
  <si>
    <t>check_number</t>
  </si>
  <si>
    <t>Ext Inf - Trans Inf - Value</t>
  </si>
  <si>
    <t>If applicable, identifies the check associated with the transaction.</t>
  </si>
  <si>
    <t>Se aplicável, representa o identificador único do cheque utilizado para realizar a transação.</t>
  </si>
  <si>
    <t>CURATED_INTERNAL_MAINFRAME_CONTAS
CURATED_INTERNAL_MAINFRAME_CONTAS
CURATED_INTERNAL_MAINFRAME_CONTENCIOSO</t>
  </si>
  <si>
    <t>MOVIMENTOS_CONSOLIDADOS
INTERFACE_DCT01
TCT72_MOVCTA</t>
  </si>
  <si>
    <t xml:space="preserve">DCYR9750_ZCHQ
N\A
N\A
</t>
  </si>
  <si>
    <r>
      <rPr>
        <b/>
        <sz val="11"/>
        <color rgb="FF000000"/>
        <rFont val="Calibri"/>
      </rPr>
      <t xml:space="preserve">SELECT </t>
    </r>
    <r>
      <rPr>
        <sz val="11"/>
        <color rgb="FF000000"/>
        <rFont val="Calibri"/>
      </rPr>
      <t xml:space="preserve">IF( TRIM( MOVIMENTOS_CONSOLIDADOS.DCYR9750_ZCHQ ) = '', NULL, CAST ( MOVIMENTOS_CONSOLIDADOS.DCYR9750_ZCHQ AS STRING )
</t>
    </r>
    <r>
      <rPr>
        <b/>
        <sz val="11"/>
        <color rgb="FF000000"/>
        <rFont val="Calibri"/>
      </rPr>
      <t xml:space="preserve">WHERE </t>
    </r>
    <r>
      <rPr>
        <sz val="11"/>
        <color rgb="FF000000"/>
        <rFont val="Calibri"/>
      </rPr>
      <t xml:space="preserve">INTERFACE_DCT01.DCYR8101_CFAMILIA IN ( 'ME', 'MN'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INTERFACE_DCT01.DCYR8101_CFAMILIA IN ( 'CC' )
    AND TCT72_MOVCTA.DDIAOP &gt; SUBSTRING(LAST_DATA_DATE_PART, 1, 10) AND TCT72_MOVCTA.DDIAOP &lt;= SUBSTRING(LAST_DATA_DATE_PART, 11, 10)</t>
    </r>
  </si>
  <si>
    <t>DCYR9750
N\A</t>
  </si>
  <si>
    <t>ZCHQ
N\A</t>
  </si>
  <si>
    <t>N\A
"NULL"</t>
  </si>
  <si>
    <t>CURRENT_AVAILABLE_AMOUNT</t>
  </si>
  <si>
    <r>
      <rPr>
        <b/>
        <sz val="11"/>
        <color rgb="FF000000"/>
        <rFont val="Calibri"/>
      </rPr>
      <t>SELECT</t>
    </r>
    <r>
      <rPr>
        <sz val="11"/>
        <color rgb="FF000000"/>
        <rFont val="Calibri"/>
      </rPr>
      <t xml:space="preserve"> LOAN_ACCOUNT_UNIVERSE.CURRENT_AVAILABLE_AMOUNT
</t>
    </r>
    <r>
      <rPr>
        <b/>
        <sz val="11"/>
        <color rgb="FF000000"/>
        <rFont val="Calibri"/>
      </rPr>
      <t xml:space="preserve">WHERE </t>
    </r>
    <r>
      <rPr>
        <sz val="11"/>
        <color rgb="FF000000"/>
        <rFont val="Calibri"/>
      </rPr>
      <t xml:space="preserve">LOAN_ACCOUNT_UNIVERSE.CONTRACT_ALIVE_INDICATOR = '1' </t>
    </r>
  </si>
  <si>
    <t>Transfer Reference</t>
  </si>
  <si>
    <t>transfer_reference</t>
  </si>
  <si>
    <t>If the movement is a payment or a transfer it contains its reference.</t>
  </si>
  <si>
    <t>Se aplicável, identifica a transferência que gerou ou está associada à transação.</t>
  </si>
  <si>
    <t xml:space="preserve">CURATED_INTERNAL_MAINFRAME_CONTAS
</t>
  </si>
  <si>
    <t xml:space="preserve">MOVIMENTOS_CONSOLIDADOS
</t>
  </si>
  <si>
    <t xml:space="preserve">DCYR9750_GREFMOV
</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</si>
  <si>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TCT72_MOVCTA.DDIAOP &gt; SUBSTRING(LAST_DATA_DATE_PART, 1, 10) AND TCT72_MOVCTA.DDIAOP &lt;= SUBSTRING(LAST_DATA_DATE_PART, 11, 10)</t>
    </r>
  </si>
  <si>
    <t>GREFMOV
N\A</t>
  </si>
  <si>
    <t>Current Available Amount Local Currency</t>
  </si>
  <si>
    <t>current_available_amt_lcl_currcy</t>
  </si>
  <si>
    <t>Valor atualmente disponível para financiamento no contrato, em moeda local.</t>
  </si>
  <si>
    <t>CURRENT_AVAILABLE_AMOUNT
TCMBME</t>
  </si>
  <si>
    <r>
      <rPr>
        <b/>
        <sz val="11"/>
        <color rgb="FF000000"/>
        <rFont val="Calibri"/>
      </rPr>
      <t>SELECT</t>
    </r>
    <r>
      <rPr>
        <sz val="11"/>
        <color rgb="FF000000"/>
        <rFont val="Calibri"/>
      </rPr>
      <t xml:space="preserve"> LOAN_ACCOUNT_UNIVERSE.CURRENT_AVAILABLE_AMOUNT  /  CBT02_CAMBIOS.TCMBME
</t>
    </r>
    <r>
      <rPr>
        <b/>
        <sz val="11"/>
        <color rgb="FF000000"/>
        <rFont val="Calibri"/>
      </rPr>
      <t>WHERE</t>
    </r>
    <r>
      <rPr>
        <sz val="11"/>
        <color rgb="FF000000"/>
        <rFont val="Calibri"/>
      </rPr>
      <t xml:space="preserve"> LOAN_ACCOUNT_UNIVERSE.CONTRACT_ALIVE_INDICATOR = '1'   AND CBT02_CAMBIOS.CTBCAMB = 'F' AND CBT02_CAMBIOS.CMARCA = 'BT' AND CBT02_CAMBIOS.ZSEQCAMB = '99'</t>
    </r>
  </si>
  <si>
    <t>Description</t>
  </si>
  <si>
    <t>description</t>
  </si>
  <si>
    <t>Short description of the transaction. It can include payment details, transfer reference, etc.</t>
  </si>
  <si>
    <t>Pequena descrição da transação. Pode incluir detalhes do pagamento, referência da transferência, etc.</t>
  </si>
  <si>
    <t>MOVIMENTOS_CONSOLIDADOS</t>
  </si>
  <si>
    <t xml:space="preserve">DCYR9750_GDESMOV
</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</si>
  <si>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</si>
  <si>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GDESMOV
N\A</t>
  </si>
  <si>
    <t>N\A
" "</t>
  </si>
  <si>
    <t>Current Outstanding Principal Balance</t>
  </si>
  <si>
    <t>CUR_OUTSNG_PRINCIPAL_BALANCE</t>
  </si>
  <si>
    <r>
      <rPr>
        <b/>
        <sz val="11"/>
        <color rgb="FF000000"/>
        <rFont val="Calibri"/>
      </rPr>
      <t>SELECT</t>
    </r>
    <r>
      <rPr>
        <sz val="11"/>
        <color rgb="FF000000"/>
        <rFont val="Calibri"/>
      </rPr>
      <t xml:space="preserve"> LOAN_ACCOUNT_UNIVERSE.CUR_OUTSNG_PRINCIPAL_BALANCE
</t>
    </r>
    <r>
      <rPr>
        <b/>
        <sz val="11"/>
        <color rgb="FF000000"/>
        <rFont val="Calibri"/>
      </rPr>
      <t>WHERE</t>
    </r>
    <r>
      <rPr>
        <sz val="11"/>
        <color rgb="FF000000"/>
        <rFont val="Calibri"/>
      </rPr>
      <t xml:space="preserve"> LOAN_ACCOUNT_UNIVERSE.CONTRACT_ALIVE_INDICATOR = '1' </t>
    </r>
  </si>
  <si>
    <t>Full Description</t>
  </si>
  <si>
    <t>full_description</t>
  </si>
  <si>
    <t>Full description of the transaction. It can include payment details, transfer reference, etc.</t>
  </si>
  <si>
    <t>Descrição completa da transação. Pode incluir detalhes do pagamento, referência da transferência, etc.</t>
  </si>
  <si>
    <t>CURATED_INTERNAL_MAINFRAME_CONTAS
CURATED_INTERNAL_MAINFRAME_CONTENCIOSO
CURATED_INTERNAL_MAINFRAME_CONTENCIOSO</t>
  </si>
  <si>
    <t>MOVIMENTOS_CONSOLIDADOS
TCT72_MOVCTA
TCT09_OPERCN</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</si>
  <si>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</si>
  <si>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</si>
  <si>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DESCR01
N\A</t>
  </si>
  <si>
    <t>Current Outstanding Principal Balance Local Currency</t>
  </si>
  <si>
    <t>cur_outsng_prin_bal_lcl_currcy</t>
  </si>
  <si>
    <t>Saldo de capital vincendo do contrato, em moeda local</t>
  </si>
  <si>
    <t>CUR_OUTSNG_PRINCIPAL_BALANCE
TCMBME</t>
  </si>
  <si>
    <r>
      <rPr>
        <b/>
        <sz val="11"/>
        <color rgb="FF000000"/>
        <rFont val="Calibri"/>
      </rPr>
      <t xml:space="preserve">SELECT </t>
    </r>
    <r>
      <rPr>
        <sz val="11"/>
        <color rgb="FF000000"/>
        <rFont val="Calibri"/>
      </rPr>
      <t xml:space="preserve">LOAN_ACCOUNT_UNIVERSE.CUR_OUTSNG_PRINCIPAL_BALANCE /  CBT02_CAMBIOS.TCMBME
</t>
    </r>
    <r>
      <rPr>
        <b/>
        <sz val="11"/>
        <color rgb="FF000000"/>
        <rFont val="Calibri"/>
      </rPr>
      <t xml:space="preserve">WHERE </t>
    </r>
    <r>
      <rPr>
        <sz val="11"/>
        <color rgb="FF000000"/>
        <rFont val="Calibri"/>
      </rPr>
      <t>LOAN_ACCOUNT_UNIVERSE.CONTRACT_ALIVE_INDICATOR = '1' AND CBT02_CAMBIOS.CTBCAMB = 'F' AND CBT02_CAMBIOS.CMARCA = 'BT' AND CBT02_CAMBIOS.ZSEQCAMB = '99'</t>
    </r>
  </si>
  <si>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</si>
  <si>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</si>
  <si>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</si>
  <si>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</si>
  <si>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</si>
  <si>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</si>
  <si>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GOBSERV
N\A</t>
  </si>
  <si>
    <t>Current Overdue Principal Balance</t>
  </si>
  <si>
    <t>CURRENT_OVERDUE_PRINCIPAL_BAL</t>
  </si>
  <si>
    <r>
      <rPr>
        <b/>
        <sz val="11"/>
        <color rgb="FF000000"/>
        <rFont val="Calibri"/>
      </rPr>
      <t>SELECT</t>
    </r>
    <r>
      <rPr>
        <sz val="11"/>
        <color rgb="FF000000"/>
        <rFont val="Calibri"/>
      </rPr>
      <t xml:space="preserve"> LOAN_ACCOUNT_UNIVERSE.CURRENT_OVERDUE_PRINCIPAL_BAL
</t>
    </r>
    <r>
      <rPr>
        <b/>
        <sz val="11"/>
        <color rgb="FF000000"/>
        <rFont val="Calibri"/>
      </rPr>
      <t>WHERE</t>
    </r>
    <r>
      <rPr>
        <sz val="11"/>
        <color rgb="FF000000"/>
        <rFont val="Calibri"/>
      </rPr>
      <t xml:space="preserve"> LOAN_ACCOUNT_UNIVERSE.CONTRACT_ALIVE_INDICATOR = '1' </t>
    </r>
  </si>
  <si>
    <t>Sender Source Code</t>
  </si>
  <si>
    <t>sender_source_code</t>
  </si>
  <si>
    <t>Identifies the application that generated the transaction in the current account (DC) application.</t>
  </si>
  <si>
    <t>Identifica a aplicação que originou a movimentação na conta.</t>
  </si>
  <si>
    <t>DCYR9750_CAPLIC
CAPLIC</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</si>
  <si>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SELECT </t>
    </r>
    <r>
      <rPr>
        <sz val="11"/>
        <color rgb="FF000000"/>
        <rFont val="Calibri"/>
      </rPr>
      <t xml:space="preserve">IF( TRIM( TCT72_MOVCTA.CAPLIC ) = '', NULL, TCT72_MOVCTA.CAPLIC )
</t>
    </r>
    <r>
      <rPr>
        <b/>
        <sz val="11"/>
        <color rgb="FF000000"/>
        <rFont val="Calibri"/>
      </rPr>
      <t xml:space="preserve">WHERE
</t>
    </r>
    <r>
      <rPr>
        <sz val="11"/>
        <color rgb="FF000000"/>
        <rFont val="Calibri"/>
      </rPr>
      <t xml:space="preserve"> TCT72_MOVCTA.DDIAOP &gt; SUBSTRING(LAST_DATA_DATE_PART, 1, 10) AND TCT72_MOVCTA.DDIAOP &lt;= SUBSTRING(LAST_DATA_DATE_PART, 11, 10)</t>
    </r>
  </si>
  <si>
    <t>CAPLIC
CAPLIC</t>
  </si>
  <si>
    <t>Current Overdue Principal Balance Local Currency</t>
  </si>
  <si>
    <t>cur_overdue_prin_bal_lcl_currcy</t>
  </si>
  <si>
    <t>Saldo atual de capital em incumprimento associado ao contrato, em moeda local</t>
  </si>
  <si>
    <t>CURRENT_OVERDUE_PRINCIPAL_BAL
TCMBME</t>
  </si>
  <si>
    <r>
      <rPr>
        <b/>
        <sz val="11"/>
        <color rgb="FF000000"/>
        <rFont val="Calibri"/>
      </rPr>
      <t>SELECT</t>
    </r>
    <r>
      <rPr>
        <sz val="11"/>
        <color rgb="FF000000"/>
        <rFont val="Calibri"/>
      </rPr>
      <t xml:space="preserve"> LOAN_ACCOUNT_UNIVERSE.CURRENT_OVERDUE_PRINCIPAL_BAL  /  CBT02_CAMBIOS.TCMBME
</t>
    </r>
    <r>
      <rPr>
        <b/>
        <sz val="11"/>
        <color rgb="FF000000"/>
        <rFont val="Calibri"/>
      </rPr>
      <t>WHERE</t>
    </r>
    <r>
      <rPr>
        <sz val="11"/>
        <color rgb="FF000000"/>
        <rFont val="Calibri"/>
      </rPr>
      <t xml:space="preserve"> LOAN_ACCOUNT_UNIVERSE.CONTRACT_ALIVE_INDICATOR = '1'  AND CBT02_CAMBIOS.CTBCAMB = 'F' AND CBT02_CAMBIOS.CMARCA = 'BT' AND CBT02_CAMBIOS.ZSEQCAMB = '99'</t>
    </r>
  </si>
  <si>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</si>
  <si>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</si>
  <si>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</si>
  <si>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</si>
  <si>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N\A
</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</si>
  <si>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SUBSTRING(LAST_DATA_DATE_PART, 1, 10) AND TCT72_MOVCTA.DDIAOP &lt;= SUBSTRING(LAST_DATA_DATE_PART, 11, 10)</t>
    </r>
  </si>
  <si>
    <t>NUMMOVIM_OPER
N\A</t>
  </si>
  <si>
    <t>Current Overdue Interest Balance</t>
  </si>
  <si>
    <t>current_overdue_interest_bal</t>
  </si>
  <si>
    <t>Saldo atual de juros em incumprimento.</t>
  </si>
  <si>
    <r>
      <rPr>
        <b/>
        <sz val="11"/>
        <color rgb="FF000000"/>
        <rFont val="Calibri"/>
      </rPr>
      <t xml:space="preserve">SELECT </t>
    </r>
    <r>
      <rPr>
        <sz val="11"/>
        <color rgb="FF000000"/>
        <rFont val="Calibri"/>
      </rPr>
      <t>CAST(0.00 AS DECIMAL(23,6))</t>
    </r>
  </si>
  <si>
    <t>Identifica a aplicação onde foi realizada a transação.</t>
  </si>
  <si>
    <t>Information Source Application:
N\A; N\A
N\A; N\A</t>
  </si>
  <si>
    <r>
      <rPr>
        <b/>
        <sz val="11"/>
        <color rgb="FF000000"/>
        <rFont val="Calibri"/>
      </rPr>
      <t xml:space="preserve">SELECT </t>
    </r>
    <r>
      <rPr>
        <sz val="11"/>
        <color rgb="FF000000"/>
        <rFont val="Calibri"/>
      </rPr>
      <t xml:space="preserve">'DC'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SUBSTRING(LAST_DATA_DATE_PART, 1, 10) AND TCT72_MOVCTA.DDIAOP &lt;= SUBSTRING(LAST_DATA_DATE_PART, 11, 10)</t>
    </r>
  </si>
  <si>
    <t>"DC"
"TC"</t>
  </si>
  <si>
    <t>Current Overdue Interest Balance Local Currency</t>
  </si>
  <si>
    <t>cur_overdue_int_bal_lcl_currcy</t>
  </si>
  <si>
    <t>Saldo atual de juros em incumprimento, em moeda local.</t>
  </si>
  <si>
    <r>
      <rPr>
        <b/>
        <sz val="11"/>
        <color rgb="FF000000"/>
        <rFont val="Calibri"/>
      </rPr>
      <t xml:space="preserve">SELECT </t>
    </r>
    <r>
      <rPr>
        <sz val="11"/>
        <color rgb="FF000000"/>
        <rFont val="Calibri"/>
      </rPr>
      <t xml:space="preserve">MOVIMENTOS_CONSOLIDADOS.DATA_DATE_PART
</t>
    </r>
    <r>
      <rPr>
        <b/>
        <sz val="11"/>
        <color rgb="FF000000"/>
        <rFont val="Calibri"/>
      </rPr>
      <t xml:space="preserve">
</t>
    </r>
    <r>
      <rPr>
        <sz val="11"/>
        <color rgb="FF000000"/>
        <rFont val="Calibri"/>
      </rPr>
      <t xml:space="preserve">
</t>
    </r>
    <r>
      <rPr>
        <b/>
        <sz val="11"/>
        <color rgb="FF000000"/>
        <rFont val="Calibri"/>
      </rPr>
      <t>SELECT</t>
    </r>
    <r>
      <rPr>
        <sz val="11"/>
        <color rgb="FF000000"/>
        <rFont val="Calibri"/>
      </rPr>
      <t xml:space="preserve"> TCT72_MOVCTA.DATA_DATE_PART
</t>
    </r>
    <r>
      <rPr>
        <b/>
        <sz val="11"/>
        <color rgb="FF000000"/>
        <rFont val="Calibri"/>
      </rPr>
      <t xml:space="preserve">WHERE </t>
    </r>
    <r>
      <rPr>
        <sz val="11"/>
        <color rgb="FF000000"/>
        <rFont val="Calibri"/>
      </rPr>
      <t>TCT72_MOVCTA.DDIAOP &gt; SUBSTRING(LAST_DATA_DATE_PART, 1, 10) AND TCT72_MOVCTA.DDIAOP &lt;= SUBSTRING(LAST_DATA_DATE_PART, 11, 10)</t>
    </r>
  </si>
  <si>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</si>
  <si>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</si>
  <si>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</si>
  <si>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</si>
  <si>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OPERATION_COMMON_REFERENCEDATA_CORE
OPERATION_COMMON_REFERENCEDATA_CORE</t>
  </si>
  <si>
    <t>TCT09_OPERCN
TCT01_POSDIVID</t>
  </si>
  <si>
    <t>N\A
MCAPITALD</t>
  </si>
  <si>
    <r>
      <rPr>
        <b/>
        <sz val="11"/>
        <color rgb="FF000000"/>
        <rFont val="Calibri"/>
      </rPr>
      <t xml:space="preserve">SELECT </t>
    </r>
    <r>
      <rPr>
        <sz val="11"/>
        <color rgb="FF000000"/>
        <rFont val="Calibri"/>
      </rPr>
      <t xml:space="preserve">IF ( TCT09_OPERCN.CKBALCAO IS NULL, CAST ( 0.00 AS DECIMAL( 23, 6 ) ), CAST ( - TCT01_POSDIVID.MCAPITALD AS DECIMAL ( 23, 6 ) ) )
</t>
    </r>
    <r>
      <rPr>
        <b/>
        <sz val="11"/>
        <color rgb="FF000000"/>
        <rFont val="Calibri"/>
      </rPr>
      <t xml:space="preserve">WHERE </t>
    </r>
    <r>
      <rPr>
        <sz val="11"/>
        <color rgb="FF000000"/>
        <rFont val="Calibri"/>
      </rPr>
      <t xml:space="preserve">TCT01_POSDIVID.IACTIVO = 'S' AND SUM ( TCT01_POSDIVID.MCAPITALD )
     AND TCT09_OPERCN.ISITUAC = '1' AND TCT09_OPERCN.DATA_DATE_PART &gt;= TCT09_OPERCN.DENTRADA AND ( GROUP BY TCT09_OPENRC.CKBALCAO, TCT09_OPERCN.CKNUMCTA, TCT09_OPERCN.ISITUAC ) </t>
    </r>
  </si>
  <si>
    <t>N\A || TCT01_POSDIVID</t>
  </si>
  <si>
    <t>N\A || MCAPITALD</t>
  </si>
  <si>
    <t>"0.00" || N\A</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</si>
  <si>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</si>
  <si>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SUBSTRING(LAST_DATA_DATE_PART, 1, 10) AND TCT72_MOVCTA.DDIAOP &lt;= SUBSTRING(LAST_DATA_DATE_PART, 11, 10)</t>
    </r>
  </si>
  <si>
    <t>Current Debt Litigation Principal Balance Local Currency</t>
  </si>
  <si>
    <t>cur_debt_ltg_prin_bal_lcl_currcy</t>
  </si>
  <si>
    <t>Valor total de capital em dívida no âmbito do processo(s) de contencioso ativos associados ao contrato, em moeda local</t>
  </si>
  <si>
    <t>OPERATION_COMMON_REFERENCEDATA_CORE
OPERATION_COMMON_REFERENCEDATA_CORE
CURATED_INTERNAL_MAINFRAME_CAMBIOS</t>
  </si>
  <si>
    <t xml:space="preserve">
TCT09_OPERCN
TCT01_POSDIVID
CBT02_CAMBIOS</t>
  </si>
  <si>
    <t>N\A
MCAPITALD
TCMBME</t>
  </si>
  <si>
    <r>
      <rPr>
        <b/>
        <sz val="11"/>
        <color rgb="FF000000"/>
        <rFont val="Calibri"/>
      </rPr>
      <t>SELECT</t>
    </r>
    <r>
      <rPr>
        <sz val="11"/>
        <color rgb="FF000000"/>
        <rFont val="Calibri"/>
      </rPr>
      <t xml:space="preserve"> IF( TCT09_OPERCN.CKBALCAO IS NULL, CAST( 0.00 AS DECIMAL( 23, 6 ) ), CAST( - TCT01_POSDIVID.MCAPITALD / CBT02_CAMBIOS.TCMBME AS DECIMAL( 23, 6 ) ) )
</t>
    </r>
    <r>
      <rPr>
        <b/>
        <sz val="11"/>
        <color rgb="FF000000"/>
        <rFont val="Calibri"/>
      </rPr>
      <t>WHERE</t>
    </r>
    <r>
      <rPr>
        <sz val="11"/>
        <color rgb="FF000000"/>
        <rFont val="Calibri"/>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</si>
  <si>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Arrears Indicator</t>
  </si>
  <si>
    <t>arrears_indicator</t>
  </si>
  <si>
    <t>Ext Inf - Con Fin Inf - Date</t>
  </si>
  <si>
    <t>Indica se o contrato está atualmente em incumprimento (note-se que incumprimento poderá estar associado a não pagamento de juros, capital, o outras despesas associadas ao contrato).</t>
  </si>
  <si>
    <t>Arrears Start Date</t>
  </si>
  <si>
    <t>cur_arrears_start_date</t>
  </si>
  <si>
    <t>Apenas aplicável quando o contrato se encontra atualmente em incumprimento (independentemente se é incumprimento de capital, juros, comissoes, etc.). Este campo estará preenchido com a data de início de incumprimento nesta situação.</t>
  </si>
  <si>
    <t>Arrears End Date</t>
  </si>
  <si>
    <t>last_arrears_date</t>
  </si>
  <si>
    <t>Última data em que foi registado algum tipo de incumprimento no contrato (capital, juros, etc.)</t>
  </si>
  <si>
    <t>Automatic Renewal Indicator</t>
  </si>
  <si>
    <t>automatic_renewal_indicator</t>
  </si>
  <si>
    <t>Ext Inf - Con Inf - Ind</t>
  </si>
  <si>
    <t>Indicador de renovação automática do limite do descoberto da conta</t>
  </si>
  <si>
    <t>COMMON_REFERENCEDATA_CORE
CURATED_INTERNAL_MAINFRAME_CONTAS</t>
  </si>
  <si>
    <t>PARAM_GENERAL_CODE_CONVERTER
DCT77_MGA</t>
  </si>
  <si>
    <t>TARGET_VALUE
N/A</t>
  </si>
  <si>
    <t xml:space="preserve">SELECT PARAM_GENERAL_CODE_CONVERTER.TARGET_VALUE
WHERE PARAM_GENERAL_CODE_CONVERTER.SOURCE_CODE = 'DC' AND PARAM_GENERAL_CODE_CONVERTER.TARGET_FIELD = 'automatic_renewal_indicator' AND PARAM_GENERAL_CODE_CONVERTER.SOURCE_VALUE = (CASE
        WHEN TCT09_OPERCN.CKBALCAO IS NOT NULL THEN '#N\A'
        ELSE IF(TRIM(DCT77_MGA.IRENOVAR) = '', NULL, DCT77_MGA.IRENOVAR)
      END) AND PARAM_GENERAL_CODE_CONVERTER.OPTION_NUMBER = '1'
AND ROW_NUMBER() OVER(PARTITION BY DCT77_MGA.CKBALCAO, DCT77_MGA.CKNUMCTA ORDER BY DCT77_MGA.DABERTUR,DCT77_MGA.DCANCEL DESC) = 1
</t>
  </si>
  <si>
    <t>DCT77_MGA</t>
  </si>
  <si>
    <t>IRENOVAR</t>
  </si>
  <si>
    <t>Renewal Frequency Code</t>
  </si>
  <si>
    <t>renewal_frequency_code</t>
  </si>
  <si>
    <t>Ext Inf - Con Inf - Code</t>
  </si>
  <si>
    <t>Frequeência da renovação do limite do descoberto da conta</t>
  </si>
  <si>
    <t xml:space="preserve">SELECT  PARAM_GENERAL_CODE_CONVERTER.TARGET_VALUE
WHERE PARAM_GENERAL_CODE_CONVERTER.SOURCE_CODE = 'DC' AND PARAM_GENERAL_CODE_CONVERTER.TARGET_FIELD = 'renewal_frequency_code'
AND PARAM_GENERAL_CODE_CONVERTER.OPTION_NUMBER = '1' AND PARAM_GENERAL_CODE_CONVERTER.SOURCE_VALUE=
(CASE
        WHEN DCT77_MGA.IRENOVAR = 'S' THEN IF(TRIM(DCT77_MGA.CPRZREN) = '', NULL, DCT77_MGA.CPRZREN)
        WHEN DCT77_MGA.IRENOVAR = 'N' THEN ''
        ELSE NULL
      END )
AND ROW_NUMBER() OVER(PARTITION BY DCT77_MGA.CKBALCAO, DCT77_MGA.CKNUMCTA ORDER BY DCT77_MGA.DABERTUR,DCT77_MGA.DCANCEL DESC) = 1
</t>
  </si>
  <si>
    <t>CPRZREN</t>
  </si>
  <si>
    <t>Last Renewal Date</t>
  </si>
  <si>
    <t>last_renewal_date</t>
  </si>
  <si>
    <t>Data da última renovação do limite do descoberto da conta</t>
  </si>
  <si>
    <t>CURATED_INTERNAL_MAINFRAME_CONTAS
COMMON_REFERENCEDATA_CORE
CURATED_INTERNAL_MAINFRAME_CONTAS</t>
  </si>
  <si>
    <t>INTERFACE_DCT01
PARAM_GENERAL_CODE_CONVERTER
CONTBACH_CREDIT</t>
  </si>
  <si>
    <t>N\A
TARGET_VALUE
FEULTREN</t>
  </si>
  <si>
    <r>
      <rPr>
        <b/>
        <sz val="11"/>
        <color rgb="FF000000"/>
        <rFont val="Calibri"/>
      </rPr>
      <t>SELECT</t>
    </r>
    <r>
      <rPr>
        <sz val="11"/>
        <color rgb="FF000000"/>
        <rFont val="Calibri"/>
      </rPr>
      <t xml:space="preserve"> (IF(CONTBACH_CREDIT.FEULTREN = INTERFACE_DCT01.DCYR8101_DABERTUR, PARAM_GENERAL_CODE_CONVERTER.TARGET_VALUE, CONTBACH_CREDIT.FEULTREN)
</t>
    </r>
    <r>
      <rPr>
        <b/>
        <sz val="11"/>
        <color rgb="FF000000"/>
        <rFont val="Calibri"/>
      </rPr>
      <t>WHERE</t>
    </r>
    <r>
      <rPr>
        <sz val="11"/>
        <color rgb="FF000000"/>
        <rFont val="Calibri"/>
      </rPr>
      <t xml:space="preserve"> PARAM_GENERAL_CODE_CONVERTER.SOURCE_CODE = 'DC' AND PARAM_GENERAL_CODE_CONVERTER.TARGET_FIELD = 'last_renewal_date'
AND PARAM_GENERAL_CODE_CONVERTER.OPTION_NUMBER = '1' AND PARAM_GENERAL_CODE_CONVERTER.SOURCE_VALUE= ''
</t>
    </r>
  </si>
  <si>
    <t>CONTBACH_CREDIT</t>
  </si>
  <si>
    <t>FEULTREN</t>
  </si>
  <si>
    <t>Next Renewal Date</t>
  </si>
  <si>
    <t>next_renewal_date</t>
  </si>
  <si>
    <t>Data limite para a renovação do limite do descoberto da conta</t>
  </si>
  <si>
    <t>TARGET_VALUE
DCANCEL</t>
  </si>
  <si>
    <t xml:space="preserve">SELECT CASE
        WHEN DCT77_MGA.IRENOVAR = 'S' THEN IF(TRIM(DCT77_MGA.DCANCEL) = '', NULL, DCT77_MGA.DCANCEL)
        WHEN DCT77_MGA.IRENOVAR = 'N' THEN PARAM_GENERAL_CODE_CONVERTER.TARGET_VALUE
        ELSE NULL
      END
WHERE PARAM_GENERAL_CODE_CONVERTER.SOURCE_CODE = 'DC' AND PARAM_GENERAL_CODE_CONVERTER.TARGET_FIELD = 'next_renewal_date'
AND PARAM_GENERAL_CODE_CONVERTER.OPTION_NUMBER = '1' AND PARAM_GENERAL_CODE_CONVERTER.SOURCE_VALUE= ''
AND ROW_NUMBER() OVER(PARTITION BY DCT77_MGA.CKBALCAO, DCT77_MGA.CKNUMCTA ORDER BY DCT77_MGA.DABERTUR,DCT77_MGA.DCANCEL DESC) = 1
</t>
  </si>
  <si>
    <t>DCANCEL</t>
  </si>
  <si>
    <t>Current Amortization Type Code</t>
  </si>
  <si>
    <t>cur_amortization_type_code</t>
  </si>
  <si>
    <t>Código que identifica o tipo de amortização associado ao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</si>
  <si>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'cur_amortization_type_code' AND PARAM_GENERAL_CODE_CONVERTER.SOURCE_VALUE ='' AND PARAM_GENERAL_CODE_CONVERTER.OPTION_NUMBER = '1'
</t>
    </r>
  </si>
  <si>
    <t>"#N\A"</t>
  </si>
  <si>
    <t>Current Amortization Frequency Code</t>
  </si>
  <si>
    <t>cur_amortization_freq_code</t>
  </si>
  <si>
    <t>Código que identifica a frequência de amortizações associada ao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</si>
  <si>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'cur_amortization_freq_code' AND PARAM_GENERAL_CODE_CONVERTER.SOURCE_VALUE ='' AND PARAM_GENERAL_CODE_CONVERTER.OPTION_NUMBER = '1'
</t>
    </r>
  </si>
  <si>
    <t>Next Regular Amortization Due Date</t>
  </si>
  <si>
    <t>next_regular_amort_due_date</t>
  </si>
  <si>
    <t>Data de liquidação da próxima amortização programada.</t>
  </si>
  <si>
    <t>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</si>
  <si>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'next_regular_amort_due_date' AND PARAM_GENERAL_CODE_CONVERTER.SOURCE_VALUE ='' AND PARAM_GENERAL_CODE_CONVERTER.OPTION_NUMBER = '1'
</t>
    </r>
  </si>
  <si>
    <t xml:space="preserve">Rate Type Code  </t>
  </si>
  <si>
    <t>rate_type_code</t>
  </si>
  <si>
    <t>Ext Inf - Con Interest Inf - Code</t>
  </si>
  <si>
    <t>Código do tipo de taxa contratuada (se mista, fixa ou variável).</t>
  </si>
  <si>
    <t>CURATED_INTERNAL_MAINFRAME_PRECIOS
CURATED_INTERNAL_MAINFRAME_PRECIOS
CURATED_INTERNAL_MAINFRAME_CONTAS
OPERATION_COMMON_REFERENCEDATA_CORE
CURATED_INTERNAL_MAINFRAME_ESTRUTURAIS
COMMON_REFERENCEDATA_CORE</t>
  </si>
  <si>
    <t>PRECIO_ESTANDAR
PREPART_CREDITO
INTERFACE_DCT01
TCT09_OPERCN
TAT29_INDEXANT
PARAM_GENERAL_CODE_CONVERTER</t>
  </si>
  <si>
    <t>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</si>
  <si>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='DC' AND PARAM_GENERAL_CODE_CONVERTER.TARGET_FIELD = 'rate_type_code' AND PARAM_GENERAL_CODE_CONVERTER.OPTION_NUMBER = '1'
 AND 
PARAM_GENERAL_CODE_CONVERTER.SOURCE_VALUE = (
CASE
      WHEN PREPART_CREDITO(CUR).CREDI_CDEMPRES IS NOT NULL THEN  (CASE
      WHEN PREPART_CREDITO(CUR).CREDI_COTREFER = '' THEN 'FIX'
      ELSE PARAM_GENERAL_CODE_CONVERTER(RATE).TARGET_VALUE IS NULL THEN 'UNCLASSIFIED'
      ELSE PARAM_GENERAL_CODE_CONVERTER(RATE).TARGET_VALUE
    END)
        WHEN PRECIO_ESTANDAR(CUR).AAAA_IDEMPR IS NOT NULL THEN (CASE   WHEN PRECIO_ESTANDAR(CUR).AAAA_COTREFER = '' THEN 'FIX'  
 ELSE  PARAM_GENERAL_CODE_CONVERTER(RATE).TARGET_VALUE IS NULL THEN 'UNCLASSIFIED'
ELSE PARAM_GENERAL_CODE_CONVERTER(RATE).TARGET_VALUE)
      END )
PARAM_GENERAL_CODE_CONVERTER(RATE).SOURCE_CODE ='DC' AND 
PARAM_GENERAL_CODE_CONVERTER(RATE).TARGET_FIELD = 'rate_type_code' 
AND PARAM_GENERAL_CODE_CONVERTER(RATE).OPTION_NUMBER = '1'
AND PARAM_GENERAL_CODE_CONVERTER(INDEXING).SOURCE_VALUE = TRIM(TAT29_INDEXANT.CTXREF)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t>
    </r>
  </si>
  <si>
    <t>Initial Conditions Type Code</t>
  </si>
  <si>
    <t>initial_conditions_type_code</t>
  </si>
  <si>
    <t xml:space="preserve">Código identificador do tipo de condições (standard ou negociadas) inicialmente acordadas no contrato.
</t>
  </si>
  <si>
    <t>COMMON_REFERENCEDATA_CORE
CURATED_INTERNAL_MAINFRAME_PRECIOS
CURATED_INTERNAL_MAINFRAME_PRECIOS
CURATED_INTERNAL_MAINFRAME_CONTAS</t>
  </si>
  <si>
    <t>PARAM_GENERAL_CODE_CONVERTER
PRECIO_ESTANDAR
PREPART_CREDITO
INTERFACE_DCT01</t>
  </si>
  <si>
    <t>TARGET_VALUE
N\A
N\A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</si>
  <si>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='DC' AND PARAM_GENERAL_CODE_CONVERTER.TARGET_FIELD = 'initial_conditions_type_code' AND PARAM_GENERAL_CODE_CONVERTER.SOURCE_VALUE = ''  AND PARAM_GENERAL_CODE_CONVERTER.OPTION_NUMBER = ((SELECT CASE
        WHEN PREPART_CREDITO(INIT).CREDI_CDEMPRES IS NOT NULL THEN 1
        WHEN PRECIO_ESTANDAR(INIT).AAAA_IDEMPR IS NOT NULL THEN 2
        ELSE NULL
      END
)
AND 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t>
    </r>
  </si>
  <si>
    <t xml:space="preserve">Initial Active Rate Type Code </t>
  </si>
  <si>
    <t>initial_active_rate_type_code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</si>
  <si>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</si>
  <si>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</si>
  <si>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</si>
  <si>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CURATED_INTERNAL_MAINFRAME_PRECIOS
CURATED_INTERNAL_MAINFRAME_PRECIOS
COMMON_REFERENCEDATA_CORE
CURATED_INTERNAL_MAINFRAME_CONTAS
OPERATION_COMMON_REFERENCEDATA_CORE
COMMON_REFERENCEDATA_CORE</t>
  </si>
  <si>
    <t>PRECIO_ESTANDAR
PREPART_CREDITO
PARAM_INDEXING_RATE_TYPE
INTERFACE_DCT01
TCT09_OPERCN
PARAM_GENERAL_CODE_CONVERTER</t>
  </si>
  <si>
    <r>
      <rPr>
        <b/>
        <sz val="11"/>
        <color rgb="FF000000"/>
        <rFont val="Calibri"/>
        <scheme val="minor"/>
      </rPr>
      <t xml:space="preserve">SELECT </t>
    </r>
    <r>
      <rPr>
        <sz val="11"/>
        <color rgb="FF000000"/>
        <rFont val="Calibri"/>
        <scheme val="minor"/>
      </rPr>
      <t>PARAM_GENERAL_CODE_CONVERTER.TARGET_VALUE
WHERE PARAM_GENERAL_CODE_CONVERTER.SOURCE_CODE ='DC' AND PARAM_GENERAL_CODE_CONVERTER.TARGET_FIELD = 'initial_conditions_type_code' AND PARAM_GENERAL_CODE_CONVERTER.SOURCE_VALUE =( CASE
      WHEN PREPART_CREDITO(INIT).CREDI_CDEMPRES IS NOT NULL THEN  (CASE
      WHEN PREPART_CREDITO(INIT).CREDI_COTREFER = '' THEN 'FIX'
      ELSE PARAM_GENERAL_CODE_CONVERTER(RATE).TARGET_VALUE IS NULL THEN 'UNCLASSIFIED'
      ELSE PARAM_GENERAL_CODE_CONVERTER(RATE).TARGET_VALUE
    END)
        WHEN PRECIO_ESTANDAR(INIT).AAAA_IDEMPR IS NOT NULL THEN (CASE  
        WHEN PRECIO_ESTANDAR(INIT).AAAA_COTREFER = '' THEN 'FIX'       
        ELSE  ELSE PARAM_GENERAL_CODE_CONVERTER(RATE).TARGET_VALUE IS NULL THEN 'UNCLASSIFIED'
        ELSE PARAM_GENERAL_CODE_CONVERTER(RATE).TARGET_VALUE)
        ELSE NULL
      END
) AND PARAM_GENERAL_CODE_CONVERTER.OPTION_NUMBER = '1'
PARAM_GENERAL_CODE_CONVERTER(RATE).SOURCE_CODE ='DC' AND 
PARAM_GENERAL_CODE_CONVERTER(RATE).TARGET_FIELD = 'rate_type_code' 
AND PARAM_GENERAL_CODE_CONVERTER(RATE).OPTION_NUMBER = '1'
AND PARAM_GENERAL_CODE_CONVERTER(INDEXING).SOURCE_VALUE = TRIM(TAT29_INDEXANT.CTXREF)
AND 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t>
    </r>
  </si>
  <si>
    <t>?</t>
  </si>
  <si>
    <t>PRECIO_ESTANDAR || PREPART_CREDITO</t>
  </si>
  <si>
    <t>COTREFER || COTREFER</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</si>
  <si>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</si>
  <si>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</si>
  <si>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</si>
  <si>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</si>
  <si>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INTERES_REFENCI -&gt; CAT01_TAXREF</t>
  </si>
  <si>
    <t>CURATED_INTERNAL_MAINFRAME_PRECIOS
CURATED_INTERNAL_MAINFRAME_PRECIOS
CURATED_INTERNAL_MAINFRAME_CONTAS
CURATED_INTERNAL_MAINFRAME_ESTRUTURAIS
COMMON_REFERENCEDATA_CORE</t>
  </si>
  <si>
    <t>PRECIO_ESTANDAR
PREPART_CREDITO
INTERFACE_DCT01
TAT29_INDEXANT
PARAM_GENERAL_CODE_CONVERTER</t>
  </si>
  <si>
    <t>N\A
N\A
N\A
CTXREF
TARGET_VALUE</t>
  </si>
  <si>
    <r>
      <rPr>
        <b/>
        <sz val="11"/>
        <color rgb="FF000000"/>
        <rFont val="Calibri"/>
        <scheme val="minor"/>
      </rPr>
      <t xml:space="preserve">SELECT </t>
    </r>
    <r>
      <rPr>
        <sz val="11"/>
        <color rgb="FF000000"/>
        <rFont val="Calibri"/>
        <scheme val="minor"/>
      </rPr>
      <t xml:space="preserve">CASE
      WHEN PREPART_CREDITO(INIT).CREDI_CDEMPRES IS NOT NULL THEN IF(( CASE
      WHEN PREPART_CREDITO(INIT).CREDI_COTREFER = '' THEN 'FIX'
      ELSE PARAM_GENERAL_CODE_CONVERTER(RATE).TARGET_VALUE IS NULL THEN 'UNCLASSIFIED'
      ELSE PARAM_GENERAL_CODE_CONVERTER(RATE).TARGET_VALUE
    END)
     = 'FIX', PARAM_GENERAL_CODE_CONVERT.TARGET_VALUE, CAST(TRIM(TAT29_INDEXANT(CREDITO).CTXREF) AS STRING))
    WHEN PRECIO_ESTANDAR(INIT).AAAA_IDEMPR IS NOT NULL THEN IF(CASE  
        WHEN PRECIO_ESTANDAR(INIT).AAAA_COTREFER = '' THEN 'FIX'       
        ELSE  ELSE PARAM_GENERAL_CODE_CONVERTER(RATE).TARGET_VALUE IS NULL THEN 'UNCLASSIFIED'
        ELSE PARAM_GENERAL_CODE_CONVERTER(RATE).TARGET_VALUE)
    = 'FIX', PARAM_GENERAL_CODE_CONVERT.TARGET_VALUE, CAST(TRIM(TAT29_INDEXANT(PRECIO).CTXREF) AS STRING))
        ELSE NULL
      END
</t>
    </r>
    <r>
      <rPr>
        <b/>
        <sz val="11"/>
        <color rgb="FF000000"/>
        <rFont val="Calibri"/>
        <scheme val="minor"/>
      </rPr>
      <t xml:space="preserve">WHERE 
</t>
    </r>
    <r>
      <rPr>
        <sz val="11"/>
        <color rgb="FF000000"/>
        <rFont val="Calibri"/>
        <scheme val="minor"/>
      </rPr>
      <t>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AND PARAM_GENERAL_CODE_CONVERTER.SOURCE_CODE = 'DC' AND PARAM_GENERAL_CODE_CONVERTER.TARGET_FIELD = 'initial_active_indexing' AND PARAM_GENERAL_CODE_CONVERTER.SOURCE_VALUE ='' AND PARAM_GENERAL_CODE_CONVERTER.OPTION_NUMBER = '1'
PARAM_GENERAL_CODE_CONVERTER(RATE).SOURCE_CODE ='DC' AND 
PARAM_GENERAL_CODE_CONVERTER(RATE).TARGET_FIELD = 'rate_type_code' 
AND PARAM_GENERAL_CODE_CONVERTER(RATE).OPTION_NUMBER = '1'
AND PARAM_GENERAL_CODE_CONVERTER(INDEXING).SOURCE_VALUE = TRIM(TAT29_INDEXANT.CTXREF)</t>
    </r>
  </si>
  <si>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</si>
  <si>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</si>
  <si>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</si>
  <si>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</si>
  <si>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</si>
  <si>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PRECIO_ESTANDAR
PREPART_CREDITO
INTERFACE_DCT01
INTERES_REFERENCI
PARAM_GENERAL_CODE_CONVERTER</t>
  </si>
  <si>
    <t>N\A
CREDI_TASA,CREDI_DIFERNCI, CREDI_TASAREF
N\A
IRF_TASA
N\A</t>
  </si>
  <si>
    <r>
      <rPr>
        <b/>
        <sz val="11"/>
        <color rgb="FF000000"/>
        <rFont val="Calibri"/>
      </rPr>
      <t xml:space="preserve">SELECT </t>
    </r>
    <r>
      <rPr>
        <sz val="11"/>
        <color rgb="FF000000"/>
        <rFont val="Calibri"/>
      </rPr>
      <t xml:space="preserve">CASE
        WHEN PREPART_CREDITO(INIT).CREDI_CDEMPRES IS NOT NULL THEN IF( ( CASE
      WHEN PREPART_CREDITO(INIT).CREDI_COTREFER = '' THEN 'FIX'
      ELSE PARAM_GENERAL_CODE_CONVERTER(RATE).TARGET_VALUE IS NULL THEN 'UNCLASSIFIED'
      ELSE PARAM_GENERAL_CODE_CONVERTER(RATE).TARGET_VALUE
    END))
 = 'FIX',
          NULL, PREPART_CREDITO(INIT).INITIAL_ACTIVE_INDEX_RATE)
WHEN PRECIO_ESTANDAR(INIT).AAAA_IDEMPR IS NOT NULL THEN IF((CASE  
        WHEN PRECIO_ESTANDAR(INIT).AAAA_COTREFER = '' THEN 'FIX'       
        ELSE  PARAM_GENERAL_CODE_CONVERTER(RATE).TARGET_VALUE IS NULL THEN 'UNCLASSIFIED'
        ELSE PARAM_GENERAL_CODE_CONVERTER(RATE).TARGET_VALUE) = 'FIX', NULL, CAST(INTERES_REFERENCI(INIT).IRF_TASA AS DECIMAL(23,6)))
        ELSE NULL
      END
WHERE
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AND INTERFACE_DCT01.DCYR8101_DABERTUR &gt;= INTERES_REFERENCI(INIT).CREDI_FECOMVAL AND INTERFACE_DCT01.DCYR8101_DABERTUR &lt;= INTERES_REFERENCI(INIT).CREDI_FEFINVAL
AND INTERFACE_DCT01.DCYR8101_DABERTUR &gt;= B5_BONIFICACION(INIT).BONI_FECOMVAL
AND INTERFACE_DCT01.DCYR8101_DABERTUR &lt;= B5_BONIFICACION(INIT).BONI_FEFINVAL
AND B5_BONIFICACION(INIT).BONI_COCONCLI = 101
AND PARAM_GENERAL_CODE_CONVERTER(RATE).SOURCE_CODE ='DC' AND 
PARAM_GENERAL_CODE_CONVERTER(RATE).TARGET_FIELD = 'rate_type_code' 
AND PARAM_GENERAL_CODE_CONVERTER(RATE).OPTION_NUMBER = '1'
AND PARAM_GENERAL_CODE_CONVERTER(INDEXING).SOURCE_VALUE = TRIM(TAT29_INDEXANT.CTXREF)
</t>
    </r>
    <r>
      <rPr>
        <b/>
        <sz val="11"/>
        <color rgb="FF000000"/>
        <rFont val="Calibri"/>
      </rPr>
      <t xml:space="preserve">ATTENTION:   PREPART_CREDITO(INIT).INITIAL_ACTIVE_INDEX_RATE  IS DEFINIED AS 
</t>
    </r>
    <r>
      <rPr>
        <sz val="11"/>
        <color rgb="FF000000"/>
        <rFont val="Calibri"/>
      </rPr>
      <t>CASE
      WHEN PREPART_CREDITO(INIT).CREDI_INTACTUA = 0 AND ABS(PREPART_CREDITO(INIT).CREDI_TASA - PREPART_CREDITO(INIT).CREDI_TASAREF) &gt; 0.01 AND (PREPART_CREDITO(INIT).CREDI_TASAREF &gt; PREPART_CREDITO(INIT).CREDI_TASAMINI OR PREPART_CREDITO(INIT).CREDI_TASA != PREPART_CREDITO(INIT).CREDI_TASAMINI) AND (PREPART_CREDITO(INIT).CREDI_TASAREF &lt; PREPART_CREDITO(INIT).CREDI_TASAMAXI OR PREPART_CREDITO(INIT).CREDI_TASA != PREPART_CREDITO(INIT).CREDI_TASAMAXI) THEN
        CAST(PREPART_CREDITO(INIT).CREDI_TASA AS DECIMAL(23, 6))
      WHEN PREPART_CREDITO(INIT).CREDI_INTACTUA = 1 AND ABS(PREPART_CREDITO(INIT).CREDI_TASA - (PREPART_CREDITO(INIT).CREDI_TASAREF + PREPART_CREDITO(INIT).CREDI_DIFERNCI)) &gt; 0.01 AND (PREPART_CREDITO(INIT).CREDI_TASAREF + PREPART_CREDITO(INIT).CREDI_DIFERNCI &gt; PREPART_CREDITO(INIT).CREDI_TASAMINI OR PREPART_CREDITO(INIT).CREDI_TASA != PREPART_CREDITO(INIT).CREDI_TASAMINI) AND (PREPART_CREDITO(INIT).CREDI_TASAREF + PREPART_CREDITO(INIT).CREDI_DIFERNCI &lt; PREPART_CREDITO(INIT).CREDI_TASAMAXI OR PREPART_CREDITO(INIT).CREDI_TASA != PREPART_CREDITO(INIT).CREDI_TASAMAXI) THEN 
        CAST(PREPART_CREDITO(INIT).CREDI_TASA - PREPART_CREDITO(INIT).CREDI_DIFERNCI AS DECIMAL(23, 6))
      WHEN PREPART_CREDITO(INIT).CREDI_INTACTUA = 2 AND ABS(PREPART_CREDITO(INIT).CREDI_TASA - (PREPART_CREDITO(INIT).CREDI_TASAREF - PREPART_CREDITO(INIT).CREDI_DIFERNCI)) &gt; 0.01 AND (PREPART_CREDITO(INIT).CREDI_TASAREF - PREPART_CREDITO(INIT).CREDI_DIFERNCI &gt; PREPART_CREDITO(INIT).CREDI_TASAMINI OR PREPART_CREDITO(INIT).CREDI_TASA != PREPART_CREDITO(INIT).CREDI_TASAMINI) AND (PREPART_CREDITO(INIT).CREDI_TASAREF - PREPART_CREDITO(INIT).CREDI_DIFERNCI &lt; PREPART_CREDITO(INIT).CREDI_TASAMAXI OR PREPART_CREDITO(INIT).CREDI_TASA != PREPART_CREDITO(INIT).CREDI_TASAMAXI) THEN 
        CAST(PREPART_CREDITO(INIT).CREDI_TASA + PREPART_CREDITO(INIT).CREDI_DIFERNCI AS DECIMAL(23, 6))
      WHEN PREPART_CREDITO(INIT).CREDI_INTACTUA = 3 AND ABS(PREPART_CREDITO(INIT).CREDI_TASA - (PREPART_CREDITO(INIT).CREDI_TASAREF * PREPART_CREDITO(INIT).CREDI_DIFERNCI)) &gt; 0.01 AND (PREPART_CREDITO(INIT).CREDI_TASAREF * PREPART_CREDITO(INIT).CREDI_DIFERNCI &gt; PREPART_CREDITO(INIT).CREDI_TASAMINI OR PREPART_CREDITO(INIT).CREDI_TASA != PREPART_CREDITO(INIT).CREDI_TASAMINI) AND (PREPART_CREDITO(INIT).CREDI_TASAREF * PREPART_CREDITO(INIT).CREDI_DIFERNCI &lt; PREPART_CREDITO(INIT).CREDI_TASAMAXI OR PREPART_CREDITO(INIT).CREDI_TASA != PREPART_CREDITO(INIT).CREDI_TASAMAXI) THEN
        CAST(PREPART_CREDITO(INIT).CREDI_TASA / PREPART_CREDITO(INIT).CREDI_DIFERNCI AS DECIMAL(23, 6))
      ELSE
        CAST(PREPART_CREDITO(INIT).CREDI_TASAREF AS DECIMAL(23, 6)) ) )</t>
    </r>
  </si>
  <si>
    <t>Initial Index Coefficient</t>
  </si>
  <si>
    <t>initial_index_coefficient</t>
  </si>
  <si>
    <t>Fator inicial do spread. Este campo retrata sempre a visão banco, independentemente da percentagem da dívida efetivamente ao encargo do cliente.</t>
  </si>
  <si>
    <t>CURATED_INTERNAL_MAINFRAME_PRECIOS
CURATED_INTERNAL_MAINFRAME_PRECIOS
CURATED_INTERNAL_MAINFRAME_CONTAS
CURATED_INTERNAL_MAINFRAME_CONTAS
COMMON_REFERENCEDATA_CORE</t>
  </si>
  <si>
    <t>PRECIO_ESTANDAR
PREPART_CREDITO
INTERFACE_DCT01
B5_BONIFICACION
PARAM_GENERAL_CODE_CONVERTER</t>
  </si>
  <si>
    <t>AAAA_TASA
CREDI_DIFERNCI
N\A
BONI_BONPORCA
N\A</t>
  </si>
  <si>
    <r>
      <rPr>
        <b/>
        <sz val="11"/>
        <color rgb="FF000000"/>
        <rFont val="Calibri"/>
      </rPr>
      <t>SELEC﻿T</t>
    </r>
    <r>
      <rPr>
        <sz val="11"/>
        <color rgb="FF000000"/>
        <rFont val="Calibri"/>
      </rPr>
      <t xml:space="preserve"> CASE
       WHEN PREPART_CREDITO(INIT).CREDI_CDEMPRES IS NOT NULL THEN IF( CASE
      WHEN PREPART_CREDITO(INIT).CREDI_COTREFER = '' THEN 'FIX'
      ELSE PARAM_GENERAL_CODE_CONVERTER(RATE).TARGET_VALUE IS NULL THEN 'UNCLASSIFIED'
      ELSE PARAM_GENERAL_CODE_CONVERTER(RATE).TARGET_VALUE
    END) = 'FIX', 
          NULL, 
          PREPART_CREDITO(INIT).INITIAL_INDEX_COEFFICIENT )
        WHEN PRECIO_ESTANDAR(INIT).AAAA_IDEMPR IS NOT NULL THEN IF((CASE  
        WHEN PRECIO_ESTANDAR(INIT).AAAA_COTREFER = '' THEN 'FIX'       
        ELSE  PARAM_GENERAL_CODE_CONVERTER(RATE).TARGET_VALUE IS NULL THEN 'UNCLASSIFIED'
        ELSE PARAM_GENERAL_CODE_CONVERTER(RATE).TARGET_VALUE) = 'FIX', 
          NULL, PRECIO_ESTANDAR(INIT).INITIAL_INDEX_COEFFICIENT)
      ELSE NULL
      END
</t>
    </r>
    <r>
      <rPr>
        <b/>
        <sz val="11"/>
        <color rgb="FF000000"/>
        <rFont val="Calibri"/>
      </rPr>
      <t xml:space="preserve">WHERE
</t>
    </r>
    <r>
      <rPr>
        <sz val="11"/>
        <color rgb="FF000000"/>
        <rFont val="Calibri"/>
      </rPr>
      <t xml:space="preserve">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AND PARAM_GENERAL_CODE_CONVERTER(RATE).SOURCE_CODE ='DC' AND 
PARAM_GENERAL_CODE_CONVERTER(RATE).TARGET_FIELD = 'rate_type_code' 
AND PARAM_GENERAL_CODE_CONVERTER(RATE).OPTION_NUMBER = '1'
AND PARAM_GENERAL_CODE_CONVERTER(INDEXING).SOURCE_VALUE = TRIM(TAT29_INDEXANT.CTXREF)
AND B5_BONIFICACION(INIT).BONI_COCONCLI = 101
AND  INTERFACE_DCT01.DCYR8101_DABERTUR &gt;= B5_BONIFICACION(INIT).BONI_FECOMVAL
 AND INTERFACE_DCT01.DCYR8101_DABERTUR &lt;= B5_BONIFICACION(INIT).BONI_FEFINVAL
</t>
    </r>
    <r>
      <rPr>
        <b/>
        <sz val="11"/>
        <color rgb="FF000000"/>
        <rFont val="Calibri"/>
      </rPr>
      <t xml:space="preserve">ATENTION: 
PREPART_CREDITO(INIT).INITIAL_INDEX_COEFFICIENT IS DEFINIED AS
 </t>
    </r>
    <r>
      <rPr>
        <sz val="11"/>
        <color rgb="FF000000"/>
        <rFont val="Calibri"/>
      </rPr>
      <t xml:space="preserve">CASE
           WHEN B5_BONIFICACION(INIT).BONI_CDEMPRES IS NULL OR B5_BONIFICACION(INIT).BONI_INTACTUA = 0 THEN
          IF(PREPART_CREDITO(INIT).CREDI_INTACTUA = 3, 
          CAST(PREPART_CREDITO(INIT).CREDI_DIFERNCI AS DECIMAL(23, 6)),
          CAST(1 AS DECIMAL(23, 6)))
           WHEN B5_BONIFICACION(INIT).BONI_CDEMPRES IS NOT NULL AND B5_BONIFICACION(INIT).BONI_INTACTUA = 1 THEN
          IF(PREPART_CREDITO(INIT).CREDI_INTACTUA = 3, 
          CAST(PREPART_CREDITO(INIT).CREDI_DIFERNCI + B5_BONIFICACION(INIT).BONI_BONPORCA AS DECIMAL(23, 6)),
          CAST(1 AS DECIMAL(23, 6)))
           WHEN B5_BONIFICACION(INIT).BONI_CDEMPRES IS NOT NULL AND B5_BONIFICACION(INIT).BONI_INTACTUA = 2 THEN
          IF(PREPART_CREDITO(INIT).CREDI_INTACTUA = 3, 
          CAST(PREPART_CREDITO(INIT).CREDI_DIFERNCI - B5_BONIFICACION(INIT).BONI_BONPORCA AS DECIMAL(23, 6)),
          CAST(1 AS DECIMAL(23, 6)))
           ELSE NULL
</t>
    </r>
    <r>
      <rPr>
        <b/>
        <sz val="11"/>
        <color rgb="FF000000"/>
        <rFont val="Calibri"/>
      </rPr>
      <t xml:space="preserve">PRECIO_ESTANDAR(INIT).INITIAL_INDEX_COEFFICIENT IS DEFINIED AS
</t>
    </r>
    <r>
      <rPr>
        <sz val="11"/>
        <color rgb="FF000000"/>
        <rFont val="Calibri"/>
      </rPr>
      <t>CASE
          WHEN B5_BONIFICACION(INIT).BONI_CDEMPRES IS NULL OR B5_BONIFICACION(INIT).BONI_INTACTUA = 0 THEN
          IF(PRECIO_ESTANDAR(INIT).AAAA_INTACTUA = 3,
          CAST(PRECIO_ESTANDAR(INIT).AAAA_TASA AS DECIMAL(23, 6)),
          CAST(1 AS DECIMAL(23, 6)))
          WHEN B5_BONIFICACION(INIT).BONI_CDEMPRES IS NOT NULL AND B5_BONIFICACION(INIT).BONI_INTACTUA = 1 THEN
           IF(PRECIO_ESTANDAR(INIT).AAAA_INTACTUA = 3,
          CAST(PRECIO_ESTANDAR(INIT).AAAA_TASA + B5_BONIFICACION(INIT).BONI_BONPORCA AS DECIMAL(23, 6)),
          CAST(1 AS DECIMAL(23, 6)))
           WHEN B5_BONIFICACION(INIT).BONI_CDEMPRES IS NOT NULL AND B5_BONIFICACION(INIT).BONI_INTACTUA = 2 THEN
           IF(PRECIO_ESTANDAR(INIT).AAAA_INTACTUA = 3,
          CAST(PRECIO_ESTANDAR(INIT).AAAA_TASA - B5_BONIFICACION(INIT).BONI_BONPORCA AS DECIMAL(23, 6)),
          CAST(1 AS DECIMAL(23, 6))) 
          ELSE NULL</t>
    </r>
  </si>
  <si>
    <t>Initial Active Spread</t>
  </si>
  <si>
    <t>initial_active_spread</t>
  </si>
  <si>
    <t>Represents the initial defined interest rate of additional interests or margins applied to the contract's principal.</t>
  </si>
  <si>
    <t>Taxa de spread ativa (devedora) inicialmente acordada no contrato.</t>
  </si>
  <si>
    <t>AAAA_TASA 
CREDI_DIFERNCI 
N\A
BONI_BONPORCA
TARGET_VALUE</t>
  </si>
  <si>
    <r>
      <rPr>
        <b/>
        <sz val="11"/>
        <color rgb="FF000000"/>
        <rFont val="Calibri"/>
      </rPr>
      <t>SELECT</t>
    </r>
    <r>
      <rPr>
        <sz val="11"/>
        <color rgb="FF000000"/>
        <rFont val="Calibri"/>
      </rPr>
      <t xml:space="preserve"> CASE
        WHEN PREPART_CREDITO(INIT).CREDI_CDEMPRES IS NOT NULL THEN IF( CASE
      WHEN PREPART_CREDITO(INIT).CREDI_COTREFER = '' THEN 'FIX'
      ELSE PARAM_GENERAL_CODE_CONVERTER(RATE).TARGET_VALUE IS NULL THEN 'UNCLASSIFIED'
      ELSE PARAM_GENERAL_CODE_CONVERTER(RATE).TARGET_VALUE
    END) = 'FIX',
          NULL,
         PREPART_CREDITO(INIT).INITIAL_ACTIVE_SPREAD)
        WHEN PRECIO_ESTANDAR(INIT).AAAA_IDEMPR IS NOT NULL THEN IF(((CASE  
        WHEN PRECIO_ESTANDAR(INIT).AAAA_COTREFER = '' THEN 'FIX'       
        ELSE  PARAM_GENERAL_CODE_CONVERTER(RATE).TARGET_VALUE IS NULL THEN 'UNCLASSIFIED'
        ELSE PARAM_GENERAL_CODE_CONVERTER(RATE).TARGET_VALUE) = 'FIX, 
          NULL, PRECIO_ESTANDAR(INIT).INITIAL_ACTIVE_SPREAD)
        ELSE NULL
      END
</t>
    </r>
    <r>
      <rPr>
        <b/>
        <sz val="11"/>
        <color rgb="FF000000"/>
        <rFont val="Calibri"/>
      </rPr>
      <t xml:space="preserve">WHERE
</t>
    </r>
    <r>
      <rPr>
        <sz val="11"/>
        <color rgb="FF000000"/>
        <rFont val="Calibri"/>
      </rPr>
      <t xml:space="preserve">PREPART_CREDITO(INIT).CREDI_COCONCLI = 101 A
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AND B5_BONIFICACION(INIT).BONI_COCONCLI = 101
AND  INTERFACE_DCT01.DCYR8101_DABERTUR &gt;= B5_BONIFICACION(INIT).BONI_FECOMVAL
 AND INTERFACE_DCT01.DCYR8101_DABERTUR &lt;= B5_BONIFICACION(INIT).BONI_FEFINVAL
</t>
    </r>
    <r>
      <rPr>
        <b/>
        <sz val="11"/>
        <color rgb="FF000000"/>
        <rFont val="Calibri"/>
      </rPr>
      <t xml:space="preserve">ATENTION: 
PREPART_CREDITO(INIT).INITIAL_ACTIVE_SPREAD IS DEFINIED AS
</t>
    </r>
    <r>
      <rPr>
        <sz val="11"/>
        <color rgb="FF000000"/>
        <rFont val="Calibri"/>
      </rPr>
      <t xml:space="preserve">CASE
      WHEN B5_BONIFICACION(INIT).BONI_CDEMPRES IS NULL OR B5_BONIFICACION(INIT).BONI_INTACTUA = 0 THEN
        IF(PREPART_CREDITO(INIT).CREDI_INTACTUA = 1,
          CAST(PREPART_CREDITO(INIT).CREDI_DIFERNCI AS DECIMAL(23, 6)),
          IF(PREPART_CREDITO(INIT).CREDI_INTACTUA = 2,
            - CAST(PREPART_CREDITO(INIT).CREDI_DIFERNCI AS DECIMAL(23, 6)),
            CAST(0.0 AS DECIMAL(23, 6)))) 
      WHEN B5_BONIFICACION(INIT).BONI_CDEMPRES IS NOT NULL AND B5_BONIFICACION(INIT).BONI_INTACTUA = 1 THEN
        IF(PREPART_CREDITO(INIT).CREDI_INTACTUA = 1,
          CAST(PREPART_CREDITO(INIT).CREDI_DIFERNCI + B5_BONIFICACION(INIT).BONI_BONPORCA AS DECIMAL(23, 6)),
          IF(PREPART_CREDITO(INIT).CREDI_INTACTUA = 2,
            - CAST(PREPART_CREDITO(INIT).CREDI_DIFERNCI + B5_BONIFICACION(INIT).BONI_BONPORCA AS DECIMAL(23, 6)),
            CAST(0.0 AS DECIMAL(23, 6)))) 
      WHEN B5_BONIFICACION(INIT).BONI_CDEMPRES IS NOT NULL AND B5_BONIFICACION(INIT).BONI_INTACTUA = 2 THEN
        IF(PREPART_CREDITO(INIT).CREDI_INTACTUA = 1,
          CAST(PREPART_CREDITO(INIT).CREDI_DIFERNCI - B5_BONIFICACION(INIT).BONI_BONPORCA AS DECIMAL(23, 6)),
          IF(PREPART_CREDITO(INIT).CREDI_INTACTUA = 2,
            - CAST(PREPART_CREDITO(INIT).CREDI_DIFERNCI - B5_BONIFICACION(INIT).BONI_BONPORCA AS DECIMAL(23, 6)),
            CAST(0.0 AS DECIMAL(23, 6)))) 
   ELSE NULL
    END
</t>
    </r>
    <r>
      <rPr>
        <b/>
        <sz val="11"/>
        <color rgb="FF000000"/>
        <rFont val="Calibri"/>
      </rPr>
      <t xml:space="preserve">
PRECIO_ESTANDAR(INIT).INITIAL_ACTIVE_SPREAD  IS DEFINIED AS
</t>
    </r>
    <r>
      <rPr>
        <sz val="11"/>
        <color rgb="FF000000"/>
        <rFont val="Calibri"/>
      </rPr>
      <t xml:space="preserve">CASE
      WHEN B5_BONIFICACION(INIT).BONI_CDEMPRES IS NULL OR B5_BONIFICACION(INIT).BONI_INTACTUA = 0 THEN
        IF(PRECIO_ESTANDAR(INIT).AAAA_INTACTUA = 1,
          CAST(PRECIO_ESTANDAR(INIT).AAAA_TASA AS DECIMAL(23, 6)),
          IF(PRECIO_ESTANDAR(INIT).AAAA_INTACTUA = 2,
            - CAST(PRECIO_ESTANDAR(INIT).AAAA_TASA AS DECIMAL(23, 6)),
            CAST(0.0 AS DECIMAL(23, 6)))) 
      WHEN B5_BONIFICACION(INIT).BONI_CDEMPRES IS NOT NULL AND B5_BONIFICACION(INIT).BONI_INTACTUA = 1 THEN
        IF(PRECIO_ESTANDAR(INIT).AAAA_INTACTUA = 1,
          CAST(PRECIO_ESTANDAR(INIT).AAAA_TASA + B5_BONIFICACION(INIT).BONI_BONPORCA AS DECIMAL(23, 6)),
          IF(PRECIO_ESTANDAR(INIT).AAAA_INTACTUA = 2,
            - CAST(PRECIO_ESTANDAR(INIT).AAAA_TASA + B5_BONIFICACION(INIT).BONI_BONPORCA AS DECIMAL(23, 6)),
            CAST(0.0 AS DECIMAL(23, 6)))) 
      WHEN B5_BONIFICACION(INIT).BONI_CDEMPRES IS NOT NULL AND B5_BONIFICACION(INIT).BONI_INTACTUA = 2 THEN
        IF(PRECIO_ESTANDAR(INIT).AAAA_INTACTUA = 1,
          CAST(PRECIO_ESTANDAR(INIT).AAAA_TASA - B5_BONIFICACION(INIT).BONI_BONPORCA AS DECIMAL(23, 6)),
          IF(PRECIO_ESTANDAR(INIT).AAAA_INTACTUA = 2,
            - CAST(PRECIO_ESTANDAR(INIT).AAAA_TASA - B5_BONIFICACION(INIT).BONI_BONPORCA AS DECIMAL(23, 6)),
            CAST(0.0 AS DECIMAL(23, 6)))) 
      ELSE NULL
</t>
    </r>
  </si>
  <si>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</si>
  <si>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</si>
  <si>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</si>
  <si>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</si>
  <si>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CURATED_INTERNAL_MAINFRAME_PRECIOS
CURATED_INTERNAL_MAINFRAME_PRECIOS
CURATED_INTERNAL_MAINFRAME_CONTAS
CURATED_INTERNAL_MAINFRAME_CONTAS
COMMON_REFERENCEDATA_CORE
CURATED_INTERNAL_MAINFRAME_ESTRUTURAIS</t>
  </si>
  <si>
    <t>PRECIO_ESTANDAR
PREPART_CREDITO
INTERFACE_DCT01
B5_BONIFICACION
PARAM_GENERAL_CODE_CONVERTER
INTERES_REFERENCI</t>
  </si>
  <si>
    <t>AAAA_TASA, AAAA_TASAMAXI
CREDI_DIFERNCI,CREDI_TASAMINI,CREDI_TASAMAXI,CREDI_TASA,CREDI_TASAREF
N\A
BONI_BONPORCA
TARGET_VALUE
IRF_TASA</t>
  </si>
  <si>
    <r>
      <rPr>
        <b/>
        <sz val="11"/>
        <color rgb="FF000000"/>
        <rFont val="Calibri"/>
      </rPr>
      <t>SELECT</t>
    </r>
    <r>
      <rPr>
        <sz val="11"/>
        <color rgb="FF000000"/>
        <rFont val="Calibri"/>
      </rPr>
      <t xml:space="preserve"> CASE
        WHEN PREPART_CREDITO(INIT).CREDI_CDEMPRES IS NOT NULL THEN PREPART_CREDITO(INIT).INITIAL_ACTIVE_INTEREST_RATE
        WHEN PRECIO_ESTANDAR(INIT).AAAA_IDEMPR IS NOT NULL THEN PRECIO_ESTANDAR(INIT).INITIAL_ACTIVE_INTEREST_RATE
      END
</t>
    </r>
    <r>
      <rPr>
        <b/>
        <sz val="11"/>
        <color rgb="FF000000"/>
        <rFont val="Calibri"/>
      </rPr>
      <t xml:space="preserve">WHERE 
</t>
    </r>
    <r>
      <rPr>
        <sz val="11"/>
        <color rgb="FF000000"/>
        <rFont val="Calibri"/>
      </rPr>
      <t xml:space="preserve">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
AND INTERFACE_DCT01.DCYR8101_DABERTUR &gt;= INTERES_REFERENCI(INIT).CREDI_FECOMVAL 
AND INTERFACE_DCT01.DCYR8101_DABERTUR &lt;= INTERES_REFERENCI(INIT).CREDI_FEFINVAL
AND B5_BONIFICACION(INIT).BONI_COCONCLI = 101
AND  INTERFACE_DCT01.DCYR8101_DABERTUR &gt;= B5_BONIFICACION(INIT).BONI_FECOMVAL
 AND INTERFACE_DCT01.DCYR8101_DABERTUR &lt;= B5_BONIFICACION(INIT).BONI_FEFINVAL
</t>
    </r>
    <r>
      <rPr>
        <b/>
        <sz val="11"/>
        <color rgb="FF000000"/>
        <rFont val="Calibri"/>
      </rPr>
      <t xml:space="preserve">ATENTION: 
PREPART_CREDITO(INIT).INITIAL_ACTIVE_INTEREST_RATE IS DEFINIED AS
</t>
    </r>
    <r>
      <rPr>
        <sz val="11"/>
        <color rgb="FF000000"/>
        <rFont val="Calibri"/>
      </rPr>
      <t xml:space="preserve">CASE
      WHEN B5_BONIFICACION(INIT).BONI_CDEMPRES IS NULL OR B5_BONIFICACION(INIT).BONI_INTACTUA = 0 THEN CAST(PREPART_CREDITO(INIT).CREDI_TASA AS DECIMAL(23, 6))
      WHEN B5_BONIFICACION(INIT).BONI_CDEMPRES IS NOT NULL AND PREPART_CREDITO(INIT).CREDI_COTREFER = '' THEN
        IF(B5_BONIFICACION(INIT).BONI_INTACTUA = 1,
          CAST(PREPART_CREDITO(INIT).CREDI_TASA + B5_BONIFICACION(INIT).BONI_BONPORCA AS DECIMAL(23, 6)),
          IF(B5_BONIFICACION(INIT).BONI_INTACTUA = 2,
            CAST(PREPART_CREDITO(INIT).CREDI_TASA - B5_BONIFICACION(INIT).BONI_BONPORCA AS DECIMAL(23, 6)),
            NULL))
      WHEN B5_BONIFICACION(INIT).BONI_CDEMPRES IS NOT NULL AND PREPART_CREDITO(INIT).CREDI_COTREFER != '' THEN CAST(
        IF(PREPART_CREDITO(INIT).CREDI_INTACTUA = 0,
          CASE
            WHEN PREPART_CREDITO(INIT).INITIAL_ACTIVE_INDEX_RATE &lt; PREPART_CREDITO(INIT).CREDI_TASAMINI THEN PREPART_CREDITO(INIT).CREDI_TASAMINI
            WHEN PREPART_CREDITO(INIT).INITIAL_ACTIVE_INDEX_RATE &gt; PREPART_CREDITO(INIT).CREDI_TASAMAXI THEN PREPART_CREDITO(INIT).CREDI_TASAMAXI
            ELSE PREPART_CREDITO(INIT).INITIAL_ACTIVE_INDEX_RATE
          END,
          IF(PREPART_CREDITO(INIT).CREDI_INTACTUA IN (1, 2),
            CASE
              WHEN PREPART_CREDITO(INIT).INITIAL_ACTIVE_INDEX_RATE + PREPART_CREDITO(INIT).INITIAL_ACTIVE_SPREAD &lt; PREPART_CREDITO(INIT).CREDI_TASAMINI THEN PREPART_CREDITO(INIT).CREDI_TASAMINI
              WHEN PREPART_CREDITO(INIT).INITIAL_ACTIVE_INDEX_RATE + PREPART_CREDITO(INIT).INITIAL_ACTIVE_SPREAD &gt; PREPART_CREDITO(INIT).CREDI_TASAMAXI THEN PREPART_CREDITO(INIT).CREDI_TASAMAXI
              ELSE PREPART_CREDITO(INIT).INITIAL_ACTIVE_INDEX_RATE + PREPART_CREDITO(INIT).INITIAL_ACTIVE_SPREAD
            END,
            IF(PREPART_CREDITO(INIT).CREDI_INTACTUA = 3,
              CASE
                WHEN PREPART_CREDITO(INIT).INITIAL_ACTIVE_INDEX_RATE * PREPART_CREDITO(INIT).INITIAL_INDEX_COEFFICIENT &lt; PREPART_CREDITO(INIT).CREDI_TASAMINI THEN PREPART_CREDITO(INIT).CREDI_TASAMINI
                WHEN PREPART_CREDITO(INIT).INITIAL_ACTIVE_INDEX_RATE * PREPART_CREDITO(INIT).INITIAL_INDEX_COEFFICIENT &gt; PREPART_CREDITO(INIT).CREDI_TASAMAXI THEN PREPART_CREDITO(INIT).CREDI_TASAMAXI
                ELSE PREPART_CREDITO(INIT).INITIAL_ACTIVE_INDEX_RATE * PREPART_CREDITO(INIT).INITIAL_INDEX_COEFFICIENT
              END,
              NULL
            )
          )
        ) AS DECIMAL(23, 6)
      )
      ELSE NULL
</t>
    </r>
    <r>
      <rPr>
        <b/>
        <sz val="11"/>
        <color rgb="FF000000"/>
        <rFont val="Calibri"/>
      </rPr>
      <t xml:space="preserve">PRECIO_ESTANDAR_INTEREST_RATE.INITIAL_ACTIVE_INTEREST_RATE IS DEFINIED AS 
</t>
    </r>
    <r>
      <rPr>
        <sz val="11"/>
        <color rgb="FF000000"/>
        <rFont val="Calibri"/>
      </rPr>
      <t xml:space="preserve">CASE
      WHEN TRIM(PRECIO_ESTANDAR(INIT).AAAA_COTREFER) != '' THEN CAST(
        IF(PRECIO_ESTANDAR(INIT).AAAA_INTACTUA = 0,
          CASE
            WHEN INTERES_REFERENCI(INIT).IRF_TASA &lt; PRECIO_ESTANDAR(INIT).AAAA_TASAMINI THEN PRECIO_ESTANDAR(INIT).AAAA_TASAMINI
            WHEN INTERES_REFERENCI(INIT).IRF_TASA &gt; PRECIO_ESTANDAR(INIT).AAAA_TASAMAXI THEN PRECIO_ESTANDAR(INIT).AAAA_TASAMAXI
            ELSE INTERES_REFERENCI(INIT).IRF_TASA
          END,
          IF(PRECIO_ESTANDAR(INIT).AAAA_INTACTUA IN (1, 2),
            CASE
              WHEN INTERES_REFERENCI(INIT).IRF_TASA + PRECIO_ESTANDAR(INIT).INITIAL_ACTIVE_SPREAD &lt; PRECIO_ESTANDAR(INIT).AAAA_TASAMINI THEN PRECIO_ESTANDAR(INIT).AAAA_TASAMINI
              WHEN INTERES_REFERENCI(INIT).IRF_TASA + PRECIO_ESTANDAR(INIT).INITIAL_ACTIVE_SPREAD &gt; PRECIO_ESTANDAR(INIT).AAAA_TASAMAXI THEN PRECIO_ESTANDAR(INIT).AAAA_TASAMAXI
              ELSE INTERES_REFERENCI(INIT).IRF_TASA + PRECIO_ESTANDAR(INIT).INITIAL_ACTIVE_SPREAD
            END,
            IF(PRECIO_ESTANDAR(INIT).AAAA_INTACTUA = 3,
              CASE
                WHEN INTERES_REFERENCI(INIT).IRF_TASA * PRECIO_ESTANDAR(INIT).INITIAL_INDEX_COEFFICIENT &lt; PRECIO_ESTANDAR(INIT).AAAA_TASAMINI THEN PRECIO_ESTANDAR(INIT).AAAA_TASAMINI
                WHEN INTERES_REFERENCI(INIT).IRF_TASA * PRECIO_ESTANDAR(INIT).INITIAL_INDEX_COEFFICIENT &gt; PRECIO_ESTANDAR(INIT).AAAA_TASAMAXI THEN PRECIO_ESTANDAR(INIT).AAAA_TASAMAXI
                ELSE INTERES_REFERENCI(INIT).IRF_TASA * PRECIO_ESTANDAR(INIT).INITIAL_INDEX_COEFFICIENT
              END,
              NULL
            )
          )
        ) AS DECIMAL(23, 6)
      )
      WHEN TRIM(PRECIO_ESTANDAR(INIT).AAAA_COTREFER) = '' THEN 
        IF(B5_BONIFICACION(INIT).BONI_CDEMPRES IS NULL OR B5_BONIFICACION(INIT).BONI_INTACTUA = 0,
          CAST(PRECIO_ESTANDAR(INIT).AAAA_TASA AS DECIMAL(23, 6)),
          IF(B5_BONIFICACION(INIT).BONI_INTACTUA = 1,
            CAST(PRECIO_ESTANDAR(INIT).AAAA_TASA + B5_BONIFICACION(INIT).BONI_BONPORCA AS DECIMAL(23, 6)),
            IF(B5_BONIFICACION(INIT).BONI_INTACTUA = 2,
              CAST(PRECIO_ESTANDAR(INIT).AAAA_TASA - B5_BONIFICACION(INIT).BONI_BONPORCA AS DECIMAL(23, 6)),
              NULL)))
    END
</t>
    </r>
  </si>
  <si>
    <t>Initial Minimum Interest Rate</t>
  </si>
  <si>
    <t>initial_min_interest_rate</t>
  </si>
  <si>
    <t>Taxa de juro mínima inicialmente acordada no contrato. Limita inferiormente a taxa de juro ativa inicialmente.</t>
  </si>
  <si>
    <t>CURATED_INTERNAL_MAINFRAME_PRECIOS
CURATED_INTERNAL_MAINFRAME_PRECIOS
CURATED_INTERNAL_MAINFRAME_CONTAS</t>
  </si>
  <si>
    <t>PRECIO_ESTANDAR
PREPART_CREDITO
INTERFACE_DCT01</t>
  </si>
  <si>
    <t>AAAA_TASAMINI
CREDI_TASAMINI
N\A</t>
  </si>
  <si>
    <r>
      <rPr>
        <b/>
        <sz val="11"/>
        <color rgb="FF000000"/>
        <rFont val="Calibri"/>
        <scheme val="minor"/>
      </rPr>
      <t>SELECT</t>
    </r>
    <r>
      <rPr>
        <sz val="11"/>
        <color rgb="FF000000"/>
        <rFont val="Calibri"/>
        <scheme val="minor"/>
      </rPr>
      <t xml:space="preserve"> CASE
        WHEN PREPART_CREDITO(INIT).CREDI_CDEMPRES IS NOT NULL THEN CAST(PREPART_CREDITO(INIT).CREDI_TASAMINI AS DECIMAL(23, 6))
        WHEN PRECIO_ESTANDAR(INIT).AAAA_IDEMPR IS NOT NULL THEN CAST(PRECIO_ESTANDAR(INIT).AAAA_TASAMINI AS DECIMAL(23, 6))
      END
</t>
    </r>
    <r>
      <rPr>
        <b/>
        <sz val="11"/>
        <color rgb="FF000000"/>
        <rFont val="Calibri"/>
        <scheme val="minor"/>
      </rPr>
      <t>WHERE</t>
    </r>
    <r>
      <rPr>
        <sz val="11"/>
        <color rgb="FF000000"/>
        <rFont val="Calibri"/>
        <scheme val="minor"/>
      </rPr>
      <t xml:space="preserve"> 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t>
    </r>
  </si>
  <si>
    <t>Initial Maximum Interest Rate</t>
  </si>
  <si>
    <t>initial_max_interest_rate</t>
  </si>
  <si>
    <t>Taxa de juro mínima inicialmente acordada no contrato. Limita superiormente a taxa de juro ativa inicialmente.</t>
  </si>
  <si>
    <t>AAAA_TASAMAXI
CREDI_TASAMAXI
N\A</t>
  </si>
  <si>
    <r>
      <rPr>
        <b/>
        <sz val="11"/>
        <color rgb="FF000000"/>
        <rFont val="Calibri"/>
        <scheme val="minor"/>
      </rPr>
      <t xml:space="preserve">SELECT </t>
    </r>
    <r>
      <rPr>
        <sz val="11"/>
        <color rgb="FF000000"/>
        <rFont val="Calibri"/>
        <scheme val="minor"/>
      </rPr>
      <t xml:space="preserve">CASE
        WHEN PREPART_CREDITO(INIT).CREDI_CDEMPRES IS NOT NULL THEN CAST(PREPART_CREDITO(INIT).CREDI_TASAMAXI AS DECIMAL(23, 6))
        WHEN PRECIO_ESTANDAR(INIT).AAAA_IDEMPR IS NOT NULL THEN CAST(PRECIO_ESTANDAR(INIT).AAAA_TASAMAXI AS DECIMAL(23, 6))
      END
</t>
    </r>
    <r>
      <rPr>
        <b/>
        <sz val="11"/>
        <color rgb="FF000000"/>
        <rFont val="Calibri"/>
        <scheme val="minor"/>
      </rPr>
      <t xml:space="preserve">WHERE 
</t>
    </r>
    <r>
      <rPr>
        <sz val="11"/>
        <color rgb="FF000000"/>
        <rFont val="Calibri"/>
        <scheme val="minor"/>
      </rPr>
      <t>PREPART_CREDITO(INIT).CREDI_COCONCLI = 101
 AND INTERFACE_DCT01.DCYR8101_DABERTUR &gt;= PREPART_CREDITO(INIT).CREDI_FECOMVAL 
AND INTERFACE_DCT01.DCYR8101_DABERTUR &lt;= PREPART_CREDITO(INIT).CREDI_FEFINVAL
AND PRECIO_ESTANDAR(INIT).AAA_COCONCLI = 101
AND  INTERFACE_DCT01.DCYR8101_DABERTUR &gt;= PRECIO_ESTANDAR(INIT).AAAA_FECOMVAL
 AND INTERFACE_DCT01.DCYR8101_DABERTUR &lt;= PRECIO_ESTANDAR(INIT).AAAA_FEFINVAL</t>
    </r>
  </si>
  <si>
    <t>Current Conditions Type Code</t>
  </si>
  <si>
    <t>current_conditions_type_code</t>
  </si>
  <si>
    <t>Código identificador do tipo de condições (standard ou negociadas) atualmente acordadas no contrato.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</si>
  <si>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'DC', 'TC'
 AND PARAM_GENERAL_CODE_CONVERTER.OPTION_NUMBER = 1 
AND PARAM_GENERAL_CODE_CONVERTER.TARGET_FIELD = 'current_conditions_type_code' 
AND PARAM_GENERAL_CODE_CONVERTER.SOURCE_VALUE = (CASE
        WHEN PREPART_CREDITO(CUR).CREDI_CDEMPRES IS NOT NULL THEN 1
        WHEN PRECIO_ESTANDAR(CUR).AAAA_IDEMPR IS NOT NULL THEN 2
        ELSE NULL
      END)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t>
    </r>
  </si>
  <si>
    <t xml:space="preserve">Current Active Rate Type Code </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</si>
  <si>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</si>
  <si>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</si>
  <si>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</si>
  <si>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Rate Type: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</si>
  <si>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PARAM_GENERAL_CODE_CONVERTER.SOURCE_CODE ='DC'
 AND PARAM_GENERAL_CODE_CONVERTER.TARGET_FIELD = 'cur_active_rate_type_code'
 AND PARAM_GENERAL_CODE_CONVERTER.SOURCE_VALUE =(CASE
      WHEN PREPART_CREDITO(CUR).CREDI_COTREFER = '' THEN 'FIX'
      ELSE PARAM_GENERAL_CODE_CONVERTER(RATE).TARGET_VALUE IS NULL THEN 'UNCLASSIFIED'
      ELSE PARAM_GENERAL_CODE_CONVERTER(RATE).TARGET_VALUE
    END)
        WHEN PRECIO_ESTANDAR(CUR).AAAA_IDEMPR IS NOT NULL THEN (
CASE   WHEN PRECIO_ESTANDAR(CUR).AAAA_COTREFER = '' THEN 'FIX'  
 ELSE  PARAM_GENERAL_CODE_CONVERTER(RATE).TARGET_VALUE IS NULL THEN 'UNCLASSIFIED'
ELSE PARAM_GENERAL_CODE_CONVERTER(RATE).TARGET_VALUE)
        ELSE NULL
      END ) AND PARAM_GENERAL_CODE_CONVERTER.OPTION_NUMBER = '1'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PARAM_GENERAL_CODE_CONVERTER(RATE).SOURCE_CODE ='DC' AND 
PARAM_GENERAL_CODE_CONVERTER(RATE).TARGET_FIELD = 'rate_type_code' 
AND PARAM_GENERAL_CODE_CONVERTER(RATE).OPTION_NUMBER = '1'
AND PARAM_GENERAL_CODE_CONVERTER(INDEXING).SOURCE_VALUE = TRIM(TAT29_INDEXANT.CTXREF)
</t>
    </r>
  </si>
  <si>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</si>
  <si>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</si>
  <si>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</si>
  <si>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</si>
  <si>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INTERES_REFENCI -&gt; CAT01_TAXREF</t>
  </si>
  <si>
    <t>CURATED_INTERNAL_MAINFRAME_PRECIOS
CURATED_INTERNAL_MAINFRAME_PRECIOS
COMMON_REFERENCEDATA_CORE
CURATED_INTERNAL_MAINFRAME_CONTAS
CURATED_INTERNAL_MAINFRAME_ESTRUTURAIS
COMMON_REFERENCEDATA_CORE</t>
  </si>
  <si>
    <t>PRECIO_ESTANDAR
PREPART_CREDITO
PARAM_INDEXING_RATE_TYPE
INTERFACE_DCT01
TAT29_INDEXANT
PARAM_GENERAL_CODE_CONVERTER</t>
  </si>
  <si>
    <t>N\A
N\A
N\A
N\A
CTXREF
TARGET_VALUE</t>
  </si>
  <si>
    <r>
      <rPr>
        <b/>
        <sz val="11"/>
        <color rgb="FF000000"/>
        <rFont val="Calibri"/>
        <scheme val="minor"/>
      </rPr>
      <t xml:space="preserve">SELECT 
</t>
    </r>
    <r>
      <rPr>
        <sz val="11"/>
        <color rgb="FF000000"/>
        <rFont val="Calibri"/>
        <scheme val="minor"/>
      </rPr>
      <t xml:space="preserve">CASE
        WHEN PREPART_CREDITO(CUR).CREDI_CDEMPRES IS NOT NULL THEN
          IF((CASE
         WHEN PREPART_CREDITO(CUR).CREDI_COTREFER = '' THEN 'FIX'
         ELSE PARAM_GENERAL_CODE_CONVERTER(RATE).TARGET_VALUE IS NULL THEN 'UNCLASSIFIED'
         ELSE PARAM_GENERAL_CODE_CONVERTER(RATE).TARGET_VALUE
         END) = 'FIX',
           PARAM_GENERAL_CODE_CONVERTER.TARGET_VALUE,
            CAST(TRIM(TAT29_INDEXANT(CREDITO).CTXREF AS STRING))
        WHEN PRECIO_ESTANDAR(CUR).AAAA_IDEMPR IS NOT NULL THEN
          IF((CASE   WHEN PRECIO_ESTANDAR(CUR).AAAA_COTREFER = '' THEN 'FIX'  
           ELSE  PARAM_GENERAL_CODE_CONVERTER(RATE).TARGET_VALUE IS NULL THEN 'UNCLASSIFIED'
           ELSE PARAM_GENERAL_CODE_CONVERTER(RATE).TARGET_VALUE) = 'FIX',
         PARAM_GENERAL_CODE_CONVERTER.TARGET_VALUE,
          CAST(TRIM(TAT29_INDEXANT(PRECIO).CTXREF AS STRING))
        ELSE NULL
      END
</t>
    </r>
    <r>
      <rPr>
        <b/>
        <sz val="11"/>
        <color rgb="FF000000"/>
        <rFont val="Calibri"/>
        <scheme val="minor"/>
      </rPr>
      <t xml:space="preserve">WHERE 
</t>
    </r>
    <r>
      <rPr>
        <sz val="11"/>
        <color rgb="FF000000"/>
        <rFont val="Calibri"/>
        <scheme val="minor"/>
      </rPr>
      <t xml:space="preserve">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PARAM_GENERAL_CODE_CONVERTER.SOURCE_CODE = 'DC' 
AND PARAM_GENERAL_CODE_CONVERTER.TARGET_FIELD = 'current_active_indexing'
AND PARAM_GENERAL_CODE_CONVERTER.SOURCE_VALUE ='' 
AND PARAM_GENERAL_CODE_CONVERTER.OPTION_NUMBER = '1'
AND PARAM_GENERAL_CODE_CONVERTER(RATE).SOURCE_CODE ='DC' AND 
PARAM_GENERAL_CODE_CONVERTER(RATE).TARGET_FIELD = 'rate_type_code' 
AND PARAM_GENERAL_CODE_CONVERTER(RATE).OPTION_NUMBER = '1'
AND PARAM_GENERAL_CODE_CONVERTER(INDEXING).SOURCE_VALUE = TRIM(TAT29_INDEXANT.CTXREF)
</t>
    </r>
  </si>
  <si>
    <t>PRECIO_ESTANDAR || N\A || PREPART_CREDITO || N\A</t>
  </si>
  <si>
    <t>COTREFER || N\A || COTREFER || N\A</t>
  </si>
  <si>
    <t>N\A || NULL || N\A || NULL</t>
  </si>
  <si>
    <t>Current Index Rate Fixing Frequency Code</t>
  </si>
  <si>
    <t>cur_index_rate_fixing_freq_code</t>
  </si>
  <si>
    <t>Código de frequência com que o indexante é atualizado, se aplicável.</t>
  </si>
  <si>
    <t>COMMON_REFERENCEDATA_CORE
CURATED_INTERNAL_MAINFRAME_PRECIOS
CURATED_INTERNAL_MAINFRAME_PRECIOS
CURATED_INTERNAL_MAINFRAME_CONTAS
CURATED_INTERNAL_MAINFRAME_ESTRUTURAIS</t>
  </si>
  <si>
    <t>PARAM_GENERAL_CODE_CONVERTER
PRECIO_ESTANDAR
PREPART_CREDITO
INTERFACE_DCT01
PROD_ER_ELEMENT</t>
  </si>
  <si>
    <t>TARGET_VALUE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</si>
  <si>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PARAM_GENERAL_CODE_CONVERTER.SOURCE_CODE = 'DC' 
AND PARAM_GENERAL_CODE_CONVERTER.TARGET_FIELD = 'cur_active_rate_type_code'
AND PARAM_GENERAL_CODE_CONVERTER.SOURCE_VALUE =( CASE
        WHEN PREPART_CREDITO(CUR).CREDI_CDEMPRES IS NOT NULL THEN
          IF((CASE
         WHEN PREPART_CREDITO(CUR).CREDI_COTREFER = '' THEN 'FIX'
         ELSE PARAM_GENERAL_CODE_CONVERTER(RATE).TARGET_VALUE IS NULL THEN 'UNCLASSIFIED'
         ELSE PARAM_GENERAL_CODE_CONVERTER(RATE).TARGET_VALUE
         END)  = 'FIX',
            '',
            CAST(CONCAT(PREPART_CREDITO(CUR).CREDI_COTPERIO, LPAD(PREPART_CREDITO(CUR).CREDI_NUUNIPER, 2, '0')) AS STRING))
        WHEN PRECIO_ESTANDAR(CUR).AAAA_IDEMPR IS NOT NULL THEN
          IF((CASE  WHEN PRECIO_ESTANDAR(CUR).AAAA_COTREFER = '' THEN 'FIX'  
           ELSE  PARAM_GENERAL_CODE_CONVERTER(RATE).TARGET_VALUE IS NULL THEN 'UNCLASSIFIED'
           ELSE PARAM_GENERAL_CODE_CONVERTER(RATE).TARGET_VALUE) = 'FIX',
            '',
            IF(PRECIO_ESTANDAR(CUR).AAAA_FETASREF = '1971-02-02',
              IF(TRIM(PROD_ER_ELEMENT(CUR).COPERLIQ) = '',
                NULL,
                PROD_ER_ELEMENT(CUR).COPERLIQ),
              NULL))
        ELSE NULL
      END)
AND PARAM_GENERAL_CODE_CONVERTER.OPTION_NUMBER = ( CASE
        WHEN PREPART_CREDITO(CUR).CREDI_CDEMPRES IS NOT NULL THEN 1
        WHEN PRECIO_ESTANDAR(CUR).AAAA_IDEMPR IS NOT NULL THEN 2
        ELSE NULL
      END)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(IF(INTERFACE_DCT01.DCYR8100_DTVENCIM &lt; INTERFACE_DCT01.DATA_DATE_PART, INTERFACE_DCT01.DCYR8100_DTVENCIM, INTERFACE_DCT01.DATA_DATE_PART)
)  &gt;= PROD_ER_ELEMENT(CUR).FECOMVAL
AND (IF(INTERFACE_DCT01.DCYR8100_DTVENCIM &lt; INTERFACE_DCT01.DATA_DATE_PART, INTERFACE_DCT01.DCYR8100_DTVENCIM, INTERFACE_DCT01.DATA_DATE_PART)
)  &lt;=  PROD_ER_ELEMENT(CUR).FEFINVAL
(IF(INTERFACE_DCT01.DCYR8100_DTVENCIM &lt; INTERFACE_DCT01.DATA_DATE_PART, INTERFACE_DCT01.DCYR8100_DTVENCIM, INTERFACE_DCT01.DATA_DATE_PART)
) &gt;= PROD_ER_ELEMENT(CUR).CREDI_FECOMVAL
 AND (IF(INTERFACE_DCT01.DCYR8100_DTVENCIM &lt; INTERFACE_DCT01.DATA_DATE_PART, INTERFACE_DCT01.DCYR8100_DTVENCIM, INTERFACE_DCT01.DATA_DATE_PART)
)  &lt;= PROD_ER_ELEMENT(CUR).CREDI_FEFINVAL
AND PARAM_GENERAL_CODE_CONVERTER(RATE).SOURCE_CODE ='DC' AND 
PARAM_GENERAL_CODE_CONVERTER(RATE).TARGET_FIELD = 'rate_type_code' 
AND PARAM_GENERAL_CODE_CONVERTER(RATE).OPTION_NUMBER = '1'
AND PARAM_GENERAL_CODE_CONVERTER(INDEXING).SOURCE_VALUE = TRIM(TAT29_INDEXANT.CTXREF)</t>
    </r>
  </si>
  <si>
    <t>Current Index Rate Fixing Date</t>
  </si>
  <si>
    <t>cur_index_rate_fixing_date</t>
  </si>
  <si>
    <t>Data de fixação da taxa de juro atual, se aplicável.</t>
  </si>
  <si>
    <t>COMMON_REFERENCEDATA_CORE
CURATED_INTERNAL_MAINFRAME_PRECIOS
CURATED_INTERNAL_MAINFRAME_PRECIOS
CURATED_INTERNAL_MAINFRAME_CONTAS
CURATED_INTERNAL_MAINFRAME_CONTAS</t>
  </si>
  <si>
    <t>PARAM_GENERAL_CODE_CONVERTER
PRECIO_ESTANDAR
PREPART_CREDITO
INTERFACE_DCT01
CONTBACH_CREDIT</t>
  </si>
  <si>
    <t>TARGET_VALUE
N\A
CREDI_FETASREF
DCYR8101_DABERTUR
FEULTLIQ</t>
  </si>
  <si>
    <r>
      <rPr>
        <b/>
        <sz val="11"/>
        <color rgb="FF000000"/>
        <rFont val="Calibri"/>
        <scheme val="minor"/>
      </rPr>
      <t>SELECT</t>
    </r>
    <r>
      <rPr>
        <sz val="11"/>
        <color rgb="FF000000"/>
        <rFont val="Calibri"/>
        <scheme val="minor"/>
      </rPr>
      <t xml:space="preserve"> CASE
        WHEN PREPART_CREDITO(CUR).CREDI_CDEMPRES IS NOT NULL THEN
          IF((CASE
         WHEN PREPART_CREDITO(CUR).CREDI_COTREFER = '' THEN 'FIX'
         ELSE PARAM_GENERAL_CODE_CONVERTER(RATE).TARGET_VALUE IS NULL THEN 'UNCLASSIFIED'
         ELSE PARAM_GENERAL_CODE_CONVERTER(RATE).TARGET_VALUE
         END) = 'FIX',
            PARAM_GENERAL_CODE_CONVERTER.TARGET_VALUE,
            CAST(IF(PREPART_CREDITO(CUR).CREDI_FETASREF = '1971-02-02',
              IF(TRIM(CONTBACH_CREDIT.FEULTLIQ) = '0001-01-01',
                IF(TRIM(INTERFACE_DCT01.DCYR8101_DABERTUR) = '',
                  NULL,
                  DCT01.DCYR8101_DABERTUR),
                IF(TRIM(CONTBACH_CREDIT.FEULTLIQ) = '',
                  NULL,
                  CONTBACH_CREDIT.FEULTLIQ)),
              IF(TRIM(PREPART_CREDITO(CUR).CREDI_FETASREF) = '',
                NULL,
                PREPART_CREDITO(CUR).CREDI_FETASREF))
            AS STRING))
        WHEN PRECIO_ESTANDAR(CUR).AAAA_IDEMPR IS NOT NULL THEN
          IF((CASE  WHEN PRECIO_ESTANDAR(CUR).AAAA_COTREFER = '' THEN 'FIX'  
           ELSE  PARAM_GENERAL_CODE_CONVERTER(RATE).TARGET_VALUE IS NULL THEN 'UNCLASSIFIED'
           ELSE PARAM_GENERAL_CODE_CONVERTER(RATE).TARGET_VALUE) = 'FIX',
               PARAM_GENERAL_CODE_CONVERTER.TARGET_VALUE,
            CAST(IF(PRECIO_ESTANDAR(CUR).AAAA_FETASREF = '1971-02-02',
              IF(TRIM(CONTBACH_CREDIT.FEULTLIQ) = '0001-01-01',
                IF(TRIM(INTERFACE_DCT01.DCYR8101_DABERTUR) = '',
                  NULL,
                  INTERFACE_DCT01.DCYR8101_DABERTUR),
                IF(TRIM(CONTBACH_CREDIT.FEULTLIQ) = '',
                  NULL,
                  CONTBACH_CREDIT.FEULTLIQ)),
              NULL)
            AS STRING))
        ELSE NULL
      END
</t>
    </r>
    <r>
      <rPr>
        <b/>
        <sz val="11"/>
        <color rgb="FF000000"/>
        <rFont val="Calibri"/>
        <scheme val="minor"/>
      </rPr>
      <t xml:space="preserve">WHERE 
</t>
    </r>
    <r>
      <rPr>
        <sz val="11"/>
        <color rgb="FF000000"/>
        <rFont val="Calibri"/>
        <scheme val="minor"/>
      </rPr>
      <t>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PARAM_GENERAL_CODE_CONVERTER.SOURCE_CODE = 'DC' 
AND PARAM_GENERAL_CODE_CONVERTER.TARGET_FIELD = 'current_index_rate_fixing_date'
AND PARAM_GENERAL_CODE_CONVERTER.SOURCE_VALUE ='' 
AND PARAM_GENERAL_CODE_CONVERTER.OPTION_NUMBER = '1'
AND PARAM_GENERAL_CODE_CONVERTER(RATE).SOURCE_CODE ='DC' AND 
PARAM_GENERAL_CODE_CONVERTER(RATE).TARGET_FIELD = 'rate_type_code' 
AND PARAM_GENERAL_CODE_CONVERTER(RATE).OPTION_NUMBER = '1'
AND PARAM_GENERAL_CODE_CONVERTER(INDEXING).SOURCE_VALUE = TRIM(TAT29_INDEXANT.CTXREF)</t>
    </r>
  </si>
  <si>
    <t>Next Index Rate Fixing Date</t>
  </si>
  <si>
    <t>next_index_rate_fixing_date</t>
  </si>
  <si>
    <t>COMMON_REFERENCEDATA_CORE
CURATED_INTERNAL_MAINFRAME_PRECIOS
CURATED_INTERNAL_MAINFRAME_PRECIOS
CURATED_INTERNAL_MAINFRAME_CONTAS
CURATED_INTERNAL_MAINFRAME_CONTAS
CURATED_INTERNAL_MAINFRAME_CONTAS
OPERATION_COMMON_REFERENCEDATA_CORE</t>
  </si>
  <si>
    <t>PARAM_GENERAL_CODE_CONVERTER
PRECIO_ESTANDAR
PREPART_CREDITO
INTERFACE_DCT01
CONTBACH_CREDIT
DCT77_MGA
LITIGATION_UNIVERSE</t>
  </si>
  <si>
    <t>TARGET_VALUE
N/A
N/A
N/A
FEPROLIQ
N/A
N/A</t>
  </si>
  <si>
    <r>
      <rPr>
        <b/>
        <sz val="11"/>
        <color rgb="FF000000"/>
        <rFont val="Calibri"/>
        <scheme val="minor"/>
      </rPr>
      <t>SELECT</t>
    </r>
    <r>
      <rPr>
        <sz val="11"/>
        <color rgb="FF000000"/>
        <rFont val="Calibri"/>
        <scheme val="minor"/>
      </rPr>
      <t xml:space="preserve"> CASE
        WHEN PREPART_CREDITO(NEXT).CREDI_CDEMPRES IS NOT NULL THEN
          IF((CASE
         WHEN PREPART_CREDITO(NEXT).CREDI_COTREFER = '' THEN 'FIX'
         ELSE PARAM_GENERAL_CODE_CONVERTER(RATE).TARGET_VALUE IS NULL THEN 'UNCLASSIFIED'
         ELSE PARAM_GENERAL_CODE_CONVERTER(RATE).TARGET_VALUE
         END) = 'FIX',
             PARAM_GENERAL_CODE_CONVERTER.TARGET_VALUE,
            CAST(IF(PREPART_CREDITO(NEXT).CREDI_FETASREF = '1971-02-02',
              IF(TRIM(CONTBACH_CREDIT.FEPROLIQ) = '',
                NULL,
                IF(LITIGATION_UNIVERSE.CKBALCAO IS NOT NULL AND CONTBACH_CREDIT.FEPROLIQ &gt;= LITIGATION_UNIVERSE.CURRENT_MATURITY_DATE,
                  PARAM_GENERAL_CODE_CONVERTER.TARGET_VALUE,
                  CONTBACH_CREDIT.FEPROLIQ)),
              IF(TRIM(PREPART_CREDITO(NEXT).CREDI_FETASREF) = '',
                NULL,
                IF(LITIGATION_UNIVERSE.CKBALCAO IS NOT NULL AND PREPART_CREDITO(NEXT).CREDI_FETASREF &gt;= LITIGATION_UNIVERSE.CURRENT_MATURITY_DATE,
                  PARAM_GENERAL_CODE_CONVERTER.TARGET_VALUE,
                  PREPART_CREDITO(NEXT).CREDI_FETASREF)))
            AS STRING))
        WHEN PREPART_CREDITO(CUR).CREDI_CDEMPRES IS NOT NULL AND PREPART_CREDITO(NEXT).CREDI_CDEMPRES IS NULL THEN NULL -- AGUARDA MAPEAMENTO PAULA
        WHEN PRECIO_ESTANDAR(CUR).AAAA_IDEMPR IS NOT NULL THEN
          IF((CASE  WHEN PRECIO_ESTANDAR(CUR).AAAA_COTREFER = '' THEN 'FIX'  
           ELSE  PARAM_GENERAL_CODE_CONVERTER(RATE).TARGET_VALUE IS NULL THEN 'UNCLASSIFIED'
           ELSE PARAM_GENERAL_CODE_CONVERTER(RATE).TARGET_VALUE) = 'FIX',
            PARAM_GENERAL_CODE_CONVERTER.TARGET_VALUE,
            CAST(IF(PRECIO_ESTANDAR(CUR).AAAA_FETASREF = '1971-02-02',
              IF(TRIM(CONTBACH_CREDIT.FEPROLIQ) = '',
                NULL,
                IF((LITIGATION_UNIVERSE.CKBALCAO IS NOT NULL AND PREPART_CREDITO(NEXT).CREDI_FETASREF &gt;= LITIGATION_UNIVERSE.CURRENT_MATURITY_DATE) OR (DCT77_MGA.IRENOVAR = 'N' AND CONTBACH_CREDIT.FEPROLIQ &gt;= DCT01.DCYR8100_DTVENCIM),
                  PARAM_GENERAL_CODE_CONVERTER.TARGET_VALUE,
                  CONTBACH_CREDIT.FEPROLIQ)),
              NULL)
            AS STRING))
        ELSE NULL
      END
</t>
    </r>
    <r>
      <rPr>
        <b/>
        <sz val="11"/>
        <color rgb="FF000000"/>
        <rFont val="Calibri"/>
        <scheme val="minor"/>
      </rPr>
      <t xml:space="preserve">WHERE 
</t>
    </r>
    <r>
      <rPr>
        <sz val="11"/>
        <color rgb="FF000000"/>
        <rFont val="Calibri"/>
        <scheme val="minor"/>
      </rPr>
      <t xml:space="preserve">PARAM_GENERAL_CODE_CONVERTER(RATE).SOURCE_CODE ='DC' AND 
PARAM_GENERAL_CODE_CONVERTER(RATE).TARGET_FIELD = 'rate_type_code' 
AND PARAM_GENERAL_CODE_CONVERTER(RATE).OPTION_NUMBER = '1'
AND PARAM_GENERAL_CODE_CONVERTER(INDEXING).SOURCE_VALUE = TRIM(TAT29_INDEXANT.CTXREF)
AND PARAM_GENERAL_CODE_CONVERTER.SOURCE_CODE = 'DC' 
AND PARAM_GENERAL_CODE_CONVERTER.TARGET_FIELD = 'next_index_rate_fixing_date'
AND PARAM_GENERAL_CODE_CONVERTER.SOURCE_VALUE ='' 
AND PARAM_GENERAL_CODE_CONVERTER.OPTION_NUMBER = '1'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LITIGATION_UNIVERSE.CONTRACT_ALIVE_INDICATOR = '1'
AND ROW_NUMBER() OVER(PARTITION BY DCT77_MGA.CKBALCAO, DCT77_MGA.CKNUMCTA ORDER BY DCT77_MGA.DABERTUR,DCT77_MGA.DCANCEL DESC) = 1
AND PREPART_CREDITO(NEXT).CREDI_COCONCLI = 101 
AND PREPART_CREDITO(NEXT).CREDI_FECOMVAL &gt; PREPART_CREDITO(NEXT).DATA_DATE_PART
AND ROW_NUMBER() OVER (PARTITION BY PREPART_CREDITO(NEXT).CREDI_CDCENTR, PREPART_CREDITO(NEXT).CREDI_CDEMPRES, PREPART_CREDITO(NEXT).CREDI_IDCONTR ORDER BY PREPART_CREDITO(NEXT).CREDI_FECOMVAL ASC) = 1
</t>
    </r>
  </si>
  <si>
    <t>Current Interest Period Start Date</t>
  </si>
  <si>
    <t>cur_interest_period_start_date</t>
  </si>
  <si>
    <t>Data de início do atual período de juros.</t>
  </si>
  <si>
    <t xml:space="preserve">CONTBACH_CREDIT
INTERFACE_DCT01
</t>
  </si>
  <si>
    <t>FEULTLIQ
DCYR8101_DABERTUR</t>
  </si>
  <si>
    <r>
      <rPr>
        <b/>
        <sz val="11"/>
        <color rgb="FF000000"/>
        <rFont val="Calibri"/>
        <scheme val="minor"/>
      </rPr>
      <t xml:space="preserve">SELECT </t>
    </r>
    <r>
      <rPr>
        <sz val="11"/>
        <color rgb="FF000000"/>
        <rFont val="Calibri"/>
        <scheme val="minor"/>
      </rPr>
      <t xml:space="preserve">IF(TRIM(CONTBACH_CREDIT.FEULTLIQ) = '0001-01-01',
        IF(TRIM(INTERFACE_DCT01.DCYR8101_DABERTUR) = '',
          NULL,
          INTERFACE_DCT01.DCYR8101_DABERTUR),
        IF(TRIM(CONTBACH_CREDIT.FEULTLIQ) = '',
          NULL,
          CONTBACH_CREDIT.FEULTLIQ)) 
</t>
    </r>
  </si>
  <si>
    <t>Next Interest Period Start Date</t>
  </si>
  <si>
    <t>next_interest_period_start_date</t>
  </si>
  <si>
    <t>Data de início do próximo período de juros.</t>
  </si>
  <si>
    <t>COMMON_REFERENCEDATA_CORE
CURATED_INTERNAL_MAINFRAME_CONTAS
CURATED_INTERNAL_MAINFRAME_CONTAS
CURATED_INTERNAL_MAINFRAME_CONTAS
OPERATION_COMMON_REFERENCEDATA_CORE</t>
  </si>
  <si>
    <t>PARAM_GENERAL_CODE_CONVERTER
INTERFACE_DCT01
CONTBACH_CREDIT
DCT77_MGA
LITIGATION_UNIVERSE</t>
  </si>
  <si>
    <r>
      <rPr>
        <b/>
        <sz val="11"/>
        <color rgb="FF000000"/>
        <rFont val="Calibri"/>
        <scheme val="minor"/>
      </rPr>
      <t>SELECT</t>
    </r>
    <r>
      <rPr>
        <sz val="11"/>
        <color rgb="FF000000"/>
        <rFont val="Calibri"/>
        <scheme val="minor"/>
      </rPr>
      <t xml:space="preserve"> IF(TRIM(CONTBACH_CREDIT.FEPROLIQ) = '',
        NULL,
        IF((LITIGATION_UNIVERSE.CKBALCAO IS NOT NULL AND PREPART_CREDITO(NEXT).CREDI_FETASREF &gt;= LITIGATION_UNIVERSE.CURRENT_MATURITY_DATE) OR (DCT77_MGA.IRENOVAR = 'N' AND CONTBACH_CREDIT.FEPROLIQ &gt;= INTERFACE_DCT01.DCYR8100_DTVENCIM),
          PARAM_GENERAL_CODE_CONVERTER.TARGET_VALUE,
          CONTBACH_CREDIT.FEPROLIQ)
      )
</t>
    </r>
    <r>
      <rPr>
        <b/>
        <sz val="11"/>
        <color rgb="FF000000"/>
        <rFont val="Calibri"/>
        <scheme val="minor"/>
      </rPr>
      <t xml:space="preserve">WHERE
</t>
    </r>
    <r>
      <rPr>
        <sz val="11"/>
        <color rgb="FF000000"/>
        <rFont val="Calibri"/>
        <scheme val="minor"/>
      </rPr>
      <t xml:space="preserve">PARAM_GENERAL_CODE_CONVERTER.SOURCE_CODE = 'DC' 
AND PARAM_GENERAL_CODE_CONVERTER.TARGET_FIELD = 'next_interest_period_start_date'
AND PARAM_GENERAL_CODE_CONVERTER.SOURCE_VALUE ='' 
AND PARAM_GENERAL_CODE_CONVERTER.OPTION_NUMBER = '1'
AND LITIGATION_UNIVERSE.CONTRACT_ALIVE_INDICATOR = '1'
AND ROW_NUMBER() OVER(PARTITION BY DCT77_MGA.CKBALCAO, DCT77_MGA.CKNUMCTA ORDER BY DCT77_MGA.DABERTUR,DCT77_MGA.DCANCEL DESC) = 1
AND PREPART_CREDITO(NEXT).CREDI_COCONCLI = 101 
AND PREPART_CREDITO(NEXT).CREDI_FECOMVAL &gt; PREPART_CREDITO(NEXT).DATA_DATE_PART
AND ROW_NUMBER() OVER (PARTITION BY PREPART_CREDITO(NEXT).CREDI_CDCENTR, PREPART_CREDITO(NEXT).CREDI_CDEMPRES, PREPART_CREDITO(NEXT).CREDI_IDCONTR ORDER BY PREPART_CREDITO(NEXT).CREDI_FECOMVAL ASC) = 1
</t>
    </r>
  </si>
  <si>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</si>
  <si>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</si>
  <si>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</si>
  <si>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</si>
  <si>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N\A
CREDI_TASAREF
N\A
IRF_TASA
N\A</t>
  </si>
  <si>
    <r>
      <rPr>
        <b/>
        <sz val="11"/>
        <color rgb="FF000000"/>
        <rFont val="Calibri"/>
        <scheme val="minor"/>
      </rPr>
      <t>SELECT</t>
    </r>
    <r>
      <rPr>
        <sz val="11"/>
        <color rgb="FF000000"/>
        <rFont val="Calibri"/>
        <scheme val="minor"/>
      </rPr>
      <t xml:space="preserve">  CASE
        WHEN  PREPART_CREDITO(CUR).CREDI_CDEMPRES IS NOT NULL THEN
          IF((CASE
         WHEN PREPART_CREDITO(CUR).CREDI_COTREFER = '' THEN 'FIX'
         ELSE PARAM_GENERAL_CODE_CONVERTER(RATE).TARGET_VALUE IS NULL THEN 'UNCLASSIFIED'
         ELSE PARAM_GENERAL_CODE_CONVERTER(RATE).TARGET_VALUE
         END) = 'FIX',
            NULL,
            CAST( PREPART_CREDITO(CUR).CREDI_TASAREF AS DECIMAL(23, 6)))
        WHEN PRECIO_ESTANDAR(CUR).AAAA_IDEMPR IS NOT NULL THEN
          IF((CASE   WHEN PRECIO_ESTANDAR(CUR).AAAA_COTREFER = '' THEN 'FIX'  
           ELSE  PARAM_GENERAL_CODE_CONVERTER(RATE).TARGET_VALUE IS NULL THEN 'UNCLASSIFIED'
           ELSE PARAM_GENERAL_CODE_CONVERTER(RATE).TARGET_VALUE) = 'FIX',
            NULL,
            CAST(INTERES_REFERENCI(CUR).IRF_TASA AS DECIMAL(23, 6)))
        ELSE NULL
      END
</t>
    </r>
    <r>
      <rPr>
        <b/>
        <sz val="11"/>
        <color rgb="FF000000"/>
        <rFont val="Calibri"/>
        <scheme val="minor"/>
      </rPr>
      <t xml:space="preserve">WHERE 
</t>
    </r>
    <r>
      <rPr>
        <sz val="11"/>
        <color rgb="FF000000"/>
        <rFont val="Calibri"/>
        <scheme val="minor"/>
      </rPr>
      <t xml:space="preserve">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(IF(INTERFACE_DCT01.DCYR8100_DTVENCIM &lt; INTERFACE_DCT01.DATA_DATE_PART, INTERFACE_DCT01.DCYR8100_DTVENCIM, INTERFACE_DCT01.DATA_DATE_PART) &gt;= INTERES_REFERENCI(CUR).CREDI_FECOMVAL AND (IF(INTERFACE_DCT01.DCYR8100_DTVENCIM &lt; INTERFACE_DCT01.DATA_DATE_PART, INTERFACE_DCT01.DCYR8100_DTVENCIM, INTERFACE_DCT01.DATA_DATE_PART) &lt;= INTERES_REFERENCI(CUR).CREDI_FEFINVAL
AND
PARAM_GENERAL_CODE_CONVERTER(RATE).SOURCE_CODE ='DC' AND 
PARAM_GENERAL_CODE_CONVERTER(RATE).TARGET_FIELD = 'rate_type_code' 
AND PARAM_GENERAL_CODE_CONVERTER(RATE).OPTION_NUMBER = '1'
AND PARAM_GENERAL_CODE_CONVERTER(INDEXING).SOURCE_VALUE = TRIM(TAT29_INDEXANT.CTXREF)
</t>
    </r>
  </si>
  <si>
    <t>PRECIO_ESTANDAR -&gt; INTERES_REFERNCI || PREPART_CREDITO || N\A</t>
  </si>
  <si>
    <t>TASA|| DIFERNCI INTANCTUA TASA || N\A</t>
  </si>
  <si>
    <t>N\A || N\A || NULL</t>
  </si>
  <si>
    <t>Current Index Coefficient</t>
  </si>
  <si>
    <t>current_index_coefficient</t>
  </si>
  <si>
    <t>Valor a multiplicar pelo indexante atual, no cálculo da taxa de juro. Apenas aplicável em taxas variáveis.</t>
  </si>
  <si>
    <t>AAAA_TASA
CREDI_DIFERENCI
N\A
BONI_BONPORCA
N\A</t>
  </si>
  <si>
    <r>
      <rPr>
        <b/>
        <sz val="11"/>
        <color rgb="FF000000"/>
        <rFont val="Calibri"/>
        <scheme val="minor"/>
      </rPr>
      <t>SELECT</t>
    </r>
    <r>
      <rPr>
        <sz val="11"/>
        <color rgb="FF000000"/>
        <rFont val="Calibri"/>
        <scheme val="minor"/>
      </rPr>
      <t xml:space="preserve"> "CASE
        WHEN PREPART_CREDITO(CUR).CREDI_CDEMPRES IS NOT NULL THEN
          IF((CASE
         WHEN PREPART_CREDITO(CUR).CREDI_COTREFER = '' THEN 'FIX'
         ELSE PARAM_GENERAL_CODE_CONVERTER(RATE).TARGET_VALUE IS NULL THEN 'UNCLASSIFIED'
         ELSE PARAM_GENERAL_CODE_CONVERTER(RATE).TARGET_VALUE
         END) = 'FIX', 
            NULL, 
            PREPART_CREDITO(CUR).CURRENT_INDEX_COEFFICIENT)
        WHEN PRECIO_ESTANDAR(CUR).AAAA_IDEMPR IS NOT NULL THEN
          IF((CASE   WHEN PRECIO_ESTANDAR(CUR).AAAA_COTREFER = '' THEN 'FIX'  
           ELSE  PARAM_GENERAL_CODE_CONVERTER(RATE).TARGET_VALUE IS NULL THEN 'UNCLASSIFIED'
           ELSE PARAM_GENERAL_CODE_CONVERTER(RATE).TARGET_VALUE) = 'FIX', 
            NULL, 
            PRECIO_ESTANDAR(CUR).CURRENT_INDEX_COEFFICIENT)
        ELSE NULL
      END
</t>
    </r>
    <r>
      <rPr>
        <b/>
        <sz val="11"/>
        <color rgb="FF000000"/>
        <rFont val="Calibri"/>
        <scheme val="minor"/>
      </rPr>
      <t xml:space="preserve">WHERE
</t>
    </r>
    <r>
      <rPr>
        <sz val="11"/>
        <color rgb="FF000000"/>
        <rFont val="Calibri"/>
        <scheme val="minor"/>
      </rPr>
      <t xml:space="preserve">
AND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B5_BONIFICACION(CUR).BONI_COCONCLI = 101
AND (IF(INTERFACE_DCT01.DCYR8100_DTVENCIM &lt; INTERFACE_DCT01.DATA_DATE_PART, INTERFACE_DCT01.DCYR8100_DTVENCIM, INTERFACE_DCT01.DATA_DATE_PART)
)  &gt;= B5_BONIFICACION(CUR).BONI_FECOMVAL
AND (IF(INTERFACE_DCT01.DCYR8100_DTVENCIM &lt; INTERFACE_DCT01.DATA_DATE_PART, INTERFACE_DCT01.DCYR8100_DTVENCIM, INTERFACE_DCT01.DATA_DATE_PART)
)  &lt;=  B5_BONIFICACION(CUR).BONI_FEFINVAL
AND
PARAM_GENERAL_CODE_CONVERTER(RATE).SOURCE_CODE ='DC' AND 
PARAM_GENERAL_CODE_CONVERTER(RATE).TARGET_FIELD = 'rate_type_code' 
AND PARAM_GENERAL_CODE_CONVERTER(RATE).OPTION_NUMBER = '1'
AND PARAM_GENERAL_CODE_CONVERTER(INDEXING).SOURCE_VALUE = TRIM(TAT29_INDEXANT.CTXREF)
</t>
    </r>
    <r>
      <rPr>
        <b/>
        <sz val="11"/>
        <color rgb="FF000000"/>
        <rFont val="Calibri"/>
        <scheme val="minor"/>
      </rPr>
      <t xml:space="preserve">ATENTION: 
PREPART_CREDITO(CUR).CURRENT_INDEX_COEFFICIENT IS DEFINIED AS
</t>
    </r>
    <r>
      <rPr>
        <sz val="11"/>
        <color rgb="FF000000"/>
        <rFont val="Calibri"/>
        <scheme val="minor"/>
      </rPr>
      <t xml:space="preserve">
CASE
      WHEN B5_BONIFICACION(CUR).BONI_CDEMPRES IS NULL OR B5_BONIFICACION(CUR).BONI_INTACTUA = 0 THEN
        IF(PREPART_CREDITO(CUR).CREDI_INTACTUA = 3, 
          CAST(PREPART_CREDITO(CUR).CREDI_DIFERNCI AS DECIMAL(23, 6)),
          CAST(1 AS DECIMAL(23, 6)))
      WHEN B5_BONIFICACION(CUR).BONI_CDEMPRES IS NOT NULL AND B5_BONIFICACION(CUR).BONI_INTACTUA = 1 THEN
        IF(PREPART_CREDITO(CUR).CREDI_INTACTUA = 3, 
          CAST(PREPART_CREDITO(CUR).CREDI_DIFERNCI + B5_BONIFICACION(CUR).BONI_BONPORCA AS DECIMAL(23, 6)),
          CAST(1 AS DECIMAL(23, 6)))
      WHEN B5_BONIFICACION(CUR).BONI_CDEMPRES IS NOT NULL AND B5_BONIFICACION(CUR).BONI_INTACTUA = 2 THEN
        IF(PREPART_CREDITO(CUR).CREDI_INTACTUA = 3, 
          CAST(PREPART_CREDITO(CUR).CREDI_DIFERNCI - B5_BONIFICACION(CUR).BONI_BONPORCA AS DECIMAL(23, 6)),
          CAST(1 AS DECIMAL(23, 6)))
      ELSE NULL
    END
</t>
    </r>
    <r>
      <rPr>
        <b/>
        <sz val="11"/>
        <color rgb="FF000000"/>
        <rFont val="Calibri"/>
        <scheme val="minor"/>
      </rPr>
      <t xml:space="preserve">ATENTION: 
PRECIO_ESTANDAR(CUR).CURRENT_INDEX_COEFFICIENT IS DEFINIED AS
</t>
    </r>
    <r>
      <rPr>
        <sz val="11"/>
        <color rgb="FF000000"/>
        <rFont val="Calibri"/>
        <scheme val="minor"/>
      </rPr>
      <t xml:space="preserve">CASE
      WHEN B5_BONIFICACION(CUR).BONI_CDEMPRES IS NULL OR B5_BONIFICACION(CUR).BONI_INTACTUA = 0 THEN
        IF(PRECIO_ESTANDAR(CUR).AAAA_INTACTUA = 3,
          CAST(PRECIO_ESTANDAR(CUR).AAAA_TASA AS DECIMAL(23, 6)),
          CAST(1 AS DECIMAL(23, 6)))
      WHEN B5_BONIFICACION(CUR).BONI_CDEMPRES IS NOT NULL AND B5_BONIFICACION(CUR).BONI_INTACTUA = 1 THEN
        IF(PRECIO_ESTANDAR(CUR).AAAA_INTACTUA = 3,
          CAST(PRECIO_ESTANDAR(CUR).AAAA_TASA + B5_BONIFICACION(CUR).BONI_BONPORCA AS DECIMAL(23, 6)),
          CAST(1 AS DECIMAL(23, 6)))
      WHEN B5_BONIFICACION(CUR).BONI_CDEMPRES IS NOT NULL AND B5_BONIFICACION(CUR).BONI_INTACTUA = 2 THEN
        IF(PRECIO_ESTANDAR(CUR).AAAA_INTACTUA = 3,
          CAST(PRECIO_ESTANDAR(CUR).AAAA_TASA - B5_BONIFICACION(CUR).BONI_BONPORCA AS DECIMAL(23, 6)),
          CAST(1 AS DECIMAL(23, 6)))
      ELSE NULL
    END
</t>
    </r>
  </si>
  <si>
    <t>Current Active Spread</t>
  </si>
  <si>
    <t>current_active_spread</t>
  </si>
  <si>
    <t>Represents the current defined interest rate of additional interests or margins applied to the contract's principal.</t>
  </si>
  <si>
    <t>Taxa de spread ativa (devedora) atualmente acordada no contrato.</t>
  </si>
  <si>
    <r>
      <rPr>
        <b/>
        <sz val="11"/>
        <color rgb="FF000000"/>
        <rFont val="Calibri"/>
        <scheme val="minor"/>
      </rPr>
      <t>SELECT</t>
    </r>
    <r>
      <rPr>
        <sz val="11"/>
        <color rgb="FF000000"/>
        <rFont val="Calibri"/>
        <scheme val="minor"/>
      </rPr>
      <t xml:space="preserve"> CASE
        WHEN PREPART_CREDITO(CUR).CREDI_CDEMPRES IS NOT NULL THEN
          IF((CASE
         WHEN PREPART_CREDITO(CUR).CREDI_COTREFER = '' THEN 'FIX'
         ELSE PARAM_GENERAL_CODE_CONVERTER(RATE).TARGET_VALUE IS NULL THEN 'UNCLASSIFIED'
         ELSE PARAM_GENERAL_CODE_CONVERTER(RATE).TARGET_VALUE
         END) = 'FIX',
            NULL,
            PREPART_CRED_SPREAD.CURRENT_ACTIVE_SPREAD)
        WHEN PRECIO_ESTANDAR(CUR).AAAA_IDEMPR IS NOT NULL THEN
          IF((CASE   WHEN PRECIO_ESTANDAR(CUR).AAAA_COTREFER = '' THEN 'FIX'  
           ELSE  PARAM_GENERAL_CODE_CONVERTER(RATE).TARGET_VALUE IS NULL THEN 'UNCLASSIFIED'
           ELSE PARAM_GENERAL_CODE_CONVERTER(RATE).TARGET_VALUE) = 'FIX',
            NULL,
            PRECIO_ESTANDAR_SPREAD.CURRENT_ACTIVE_SPREAD)
      END
</t>
    </r>
    <r>
      <rPr>
        <b/>
        <sz val="11"/>
        <color rgb="FF000000"/>
        <rFont val="Calibri"/>
        <scheme val="minor"/>
      </rPr>
      <t xml:space="preserve">WHERE
</t>
    </r>
    <r>
      <rPr>
        <sz val="11"/>
        <color rgb="FF000000"/>
        <rFont val="Calibri"/>
        <scheme val="minor"/>
      </rPr>
      <t xml:space="preserve">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B5_BONIFICACION(CUR).BONI_COCONCLI = 101
AND (IF(INTERFACE_DCT01.DCYR8100_DTVENCIM &lt; INTERFACE_DCT01.DATA_DATE_PART, INTERFACE_DCT01.DCYR8100_DTVENCIM, INTERFACE_DCT01.DATA_DATE_PART)
)  &gt;= B5_BONIFICACION(CUR).BONI_FECOMVAL
AND (IF(INTERFACE_DCT01.DCYR8100_DTVENCIM &lt; INTERFACE_DCT01.DATA_DATE_PART, INTERFACE_DCT01.DCYR8100_DTVENCIM, INTERFACE_DCT01.DATA_DATE_PART)
)  &lt;=  B5_BONIFICACION(CUR).BONI_FEFINVAL
AND
PARAM_GENERAL_CODE_CONVERTER(RATE).SOURCE_CODE ='DC' AND 
PARAM_GENERAL_CODE_CONVERTER(RATE).TARGET_FIELD = 'rate_type_code' 
AND PARAM_GENERAL_CODE_CONVERTER(RATE).OPTION_NUMBER = '1'
AND PARAM_GENERAL_CODE_CONVERTER(INDEXING).SOURCE_VALUE = TRIM(TAT29_INDEXANT.CTXREF)
</t>
    </r>
    <r>
      <rPr>
        <b/>
        <sz val="11"/>
        <color rgb="FF000000"/>
        <rFont val="Calibri"/>
        <scheme val="minor"/>
      </rPr>
      <t xml:space="preserve">ATENTION: 
PREPART_CREDITO(CUR).CURRENT_ACTIVE_SPREAD IS DEFINIED AS
</t>
    </r>
    <r>
      <rPr>
        <sz val="11"/>
        <color rgb="FF000000"/>
        <rFont val="Calibri"/>
        <scheme val="minor"/>
      </rPr>
      <t xml:space="preserve">CASE
      WHEN B5_BONIFICACION(CUR).BONI_CDEMPRES IS NULL OR B5_BONIFICACION(CUR).BONI_INTACTUA = 0 THEN
        IF(PREPART_CREDITO(CUR).CREDI_INTACTUA = 1,
          CAST(PREPART_CREDITO(CUR).CREDI_DIFERNCI AS DECIMAL(23, 6)),
          IF(PREPART_CREDITO(CUR).CREDI_INTACTUA = 2,
            - CAST(PREPART_CREDITO(CUR).CREDI_DIFERNCI AS DECIMAL(23, 6)),
            CAST(0.0 AS DECIMAL(23, 6))))  
      WHEN B5_BONIFICACION(CUR).BONI_CDEMPRES IS NOT NULL AND B5_BONIFICACION(CUR).BONI_INTACTUA = 1 THEN
        IF(PREPART_CREDITO(CUR).CREDI_INTACTUA = 1,
          CAST(PREPART_CREDITO(CUR).CREDI_DIFERNCI + B5_BONIFICACION(CUR).BONI_BONPORCA AS DECIMAL(23, 6)),
          IF(PREPART_CREDITO(CUR).CREDI_INTACTUA = 2,
            - CAST(PREPART_CREDITO(CUR).CREDI_DIFERNCI + B5_BONIFICACION(CUR).BONI_BONPORCA AS DECIMAL(23, 6)),
            CAST(0.0 AS DECIMAL(23, 6))))      WHEN B5_BONIFICACION(CUR).BONI_CDEMPRES IS NOT NULL AND B5_BONIFICACION(CUR).BONI_INTACTUA = 2 THEN
        IF(PREPART_CREDITO(CUR).CREDI_INTACTUA = 1,
          CAST(PREPART_CREDITO(CUR).CREDI_DIFERNCI - B5_BONIFICACION(CUR).BONI_BONPORCA AS DECIMAL(23, 6)),
          IF(PREPART_CREDITO(CUR).CREDI_INTACTUA = 2,
            - CAST(PREPART_CREDITO(CUR).CREDI_DIFERNCI - B5_BONIFICACION(CUR).BONI_BONPORCA AS DECIMAL(23, 6)),
            CAST(0.0 AS DECIMAL(23, 6)))) 
      ELSE NULL
    END
</t>
    </r>
    <r>
      <rPr>
        <b/>
        <sz val="11"/>
        <color rgb="FF000000"/>
        <rFont val="Calibri"/>
        <scheme val="minor"/>
      </rPr>
      <t xml:space="preserve">ATENTION: 
PRECIO_ESTANDAR(CUR).CURRENT_ACTIVE_SPREAD IS DEFINIED AS
</t>
    </r>
    <r>
      <rPr>
        <sz val="11"/>
        <color rgb="FF000000"/>
        <rFont val="Calibri"/>
        <scheme val="minor"/>
      </rPr>
      <t xml:space="preserve">CASE
      WHEN B5_BONIFICACION(CUR).BONI_CDEMPRES IS NULL OR B5_BONIFICACION(CUR).BONI_INTACTUA = 0 THEN
        IF(PRECIO_ESTANDAR(CUR).AAAA_INTACTUA = 1,
          CAST(PRECIO_ESTANDAR(CUR).AAAA_TASA AS DECIMAL(23, 6)),
          IF(PRECIO_ESTANDAR(CUR).AAAA_INTACTUA = 2,
            - CAST(PRECIO_ESTANDAR(CUR).AAAA_TASA AS DECIMAL(23, 6)),
            CAST(0.0 AS DECIMAL(23, 6)))) -- CONFIRMAR LCM DIFF
      WHEN B5_BONIFICACION(CUR).BONI_CDEMPRES IS NOT NULL AND B5_BONIFICACION(CUR).BONI_INTACTUA = 1 THEN
        IF(PRECIO_ESTANDAR(CUR).AAAA_INTACTUA = 1,
          CAST(PRECIO_ESTANDAR(CUR).AAAA_TASA + B5_BONIFICACION(CUR).BONI_BONPORCA AS DECIMAL(23, 6)),
          IF(PRECIO_ESTANDAR(CUR).AAAA_INTACTUA = 2,
            - CAST(PRECIO_ESTANDAR(CUR).AAAA_TASA + B5_BONIFICACION(CUR).BONI_BONPORCA AS DECIMAL(23, 6)),
            CAST(0.0 AS DECIMAL(23, 6)))) -- CONFIRMAR LCM DIFF
      WHEN B5_BONIFICACION(CUR).BONI_CDEMPRES IS NOT NULL AND B5_BONIFICACION(CUR).BONI_INTACTUA = 2 THEN
        IF(PRECIO_ESTANDAR(CUR).AAAA_INTACTUA = 1,
          CAST(PRECIO_ESTANDAR(CUR).AAAA_TASA - B5_BONIFICACION(CUR).BONI_BONPORCA AS DECIMAL(23, 6)),
          IF(PRECIO_ESTANDAR(CUR).AAAA_INTACTUA = 2,
            - CAST(PRECIO_ESTANDAR(CUR).AAAA_TASA - B5_BONIFICACION(CUR).BONI_BONPORCA AS DECIMAL(23, 6)),
            CAST(0.0 AS DECIMAL(23, 6)))) -- CONFIRMAR LCM DIFF
      ELSE NULL
    END
</t>
    </r>
  </si>
  <si>
    <t>PRECIO_ESTANDAR || PREPART_CREDITO || N\A</t>
  </si>
  <si>
    <t>TASA|| DIFERNCI || N\A</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</si>
  <si>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</si>
  <si>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</si>
  <si>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</si>
  <si>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</si>
  <si>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scheme val="minor"/>
      </rPr>
      <t>SELECT</t>
    </r>
    <r>
      <rPr>
        <sz val="11"/>
        <color rgb="FF000000"/>
        <rFont val="Calibri"/>
        <scheme val="minor"/>
      </rPr>
      <t xml:space="preserve"> "CASE
        WHEN PREPART_CREDITO(CUR).CREDI_CDEMPRES IS NOT NULL THEN PREPART_CREDITO(CUR).CURRENT_ACTIVE_INTEREST_RATE
        WHEN PRECIO_ESTANDAR(CUR).AAAA_IDEMPR IS NOT NULL THEN PRECIO_ESTANDAR(CUR).CURRENT_ACTIVE_INTEREST_RATE
      END
</t>
    </r>
    <r>
      <rPr>
        <b/>
        <sz val="11"/>
        <color rgb="FF000000"/>
        <rFont val="Calibri"/>
        <scheme val="minor"/>
      </rPr>
      <t xml:space="preserve">WHERE
</t>
    </r>
    <r>
      <rPr>
        <sz val="11"/>
        <color rgb="FF000000"/>
        <rFont val="Calibri"/>
        <scheme val="minor"/>
      </rPr>
      <t xml:space="preserve">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AND  B5_BONIFICACION(CUR).BONI_COCONCLI = 101
AND (IF(INTERFACE_DCT01.DCYR8100_DTVENCIM &lt; INTERFACE_DCT01.DATA_DATE_PART, INTERFACE_DCT01.DCYR8100_DTVENCIM, INTERFACE_DCT01.DATA_DATE_PART)
)  &gt;= B5_BONIFICACION(CUR).BONI_FECOMVAL
AND (IF(INTERFACE_DCT01.DCYR8100_DTVENCIM &lt; INTERFACE_DCT01.DATA_DATE_PART, INTERFACE_DCT01.DCYR8100_DTVENCIM, INTERFACE_DCT01.DATA_DATE_PART)
)  &lt;=  B5_BONIFICACION(CUR).BONI_FEFINVAL
AND (IF(INTERFACE_DCT01.DCYR8100_DTVENCIM &lt; INTERFACE_DCT01.DATA_DATE_PART, INTERFACE_DCT01.DCYR8100_DTVENCIM, INTERFACE_DCT01.DATA_DATE_PART) &gt;= INTERES_REFERENCI(CUR).CREDI_FECOMVAL AND (IF(INTERFACE_DCT01.DCYR8100_DTVENCIM &lt; INTERFACE_DCT01.DATA_DATE_PART, INTERFACE_DCT01.DCYR8100_DTVENCIM, INTERFACE_DCT01.DATA_DATE_PART) &lt;= INTERES_REFERENCI(CUR).CREDI_FEFINVAL
</t>
    </r>
    <r>
      <rPr>
        <b/>
        <sz val="11"/>
        <color rgb="FF000000"/>
        <rFont val="Calibri"/>
        <scheme val="minor"/>
      </rPr>
      <t xml:space="preserve">ATENTION: 
PREPART_CREDITO(CUR).CURRENT_ACTIVE_INTEREST_RATE IS DEFINIED AS
</t>
    </r>
    <r>
      <rPr>
        <sz val="11"/>
        <color rgb="FF000000"/>
        <rFont val="Calibri"/>
        <scheme val="minor"/>
      </rPr>
      <t xml:space="preserve">CASE
      WHEN B5_BONIFICACION(CUR).BONI_CDEMPRES IS NULL OR B5_BONIFICACION(CUR).BONI_INTACTUA = 0 THEN CAST(PREPART_CREDITO(CUR).CREDI_TASA AS DECIMAL(23, 6))
      WHEN B5_BONIFICACION(CUR).BONI_CDEMPRES IS NOT NULL AND PREPART_CREDITO(CUR).CREDI_COTREFER = '' THEN
        IF(B5_BONIFICACION(CUR).BONI_INTACTUA = 1,
          CAST(PREPART_CREDITO(CUR).CREDI_TASA + B5_BONIFICACION(CUR).BONI_BONPORCA AS DECIMAL(23, 6)),
          IF(B5_BONIFICACION(CUR).BONI_INTACTUA = 2,
            CAST(PREPART_CREDITO(CUR).CREDI_TASA - B5_BONIFICACION(CUR).BONI_BONPORCA AS DECIMAL(23, 6)),
            NULL))
      WHEN B5_BONIFICACION(CUR).BONI_CDEMPRES IS NOT NULL AND PREPART_CREDITO(CUR).CREDI_COTREFER != '' THEN CAST(
        IF(PREPART_CREDITO(CUR).CREDI_INTACTUA = 0,
          CASE
            WHEN PREPART_CREDITO(CUR).CREDI_TASAREF &lt; PREPART_CREDITO(CUR).CREDI_TASAMINI THEN PREPART_CREDITO(CUR).CREDI_TASAMINI
            WHEN PREPART_CREDITO(CUR).CREDI_TASAREF &gt; PREPART_CREDITO(CUR).CREDI_TASAMAXI THEN PREPART_CREDITO(CUR).CREDI_TASAMAXI
            ELSE PREPART_CREDITO(CUR).CREDI_TASAREF
          END,
          IF(PREPART_CREDITO(CUR).CREDI_INTACTUA IN (1, 2),
            CASE
              WHEN PREPART_CREDITO(CUR).CREDI_TASAREF + PREPART_CRED_SPREAD.CURRENT_ACTIVE_SPREAD &lt; PREPART_CREDITO(CUR).CREDI_TASAMINI THEN PREPART_CREDITO(CUR).CREDI_TASAMINI
              WHEN PREPART_CREDITO(CUR).CREDI_TASAREF + PREPART_CRED_SPREAD.CURRENT_ACTIVE_SPREAD &gt; PREPART_CREDITO(CUR).CREDI_TASAMAXI THEN PREPART_CREDITO(CUR).CREDI_TASAMAXI
              ELSE PREPART_CREDITO(CUR).CREDI_TASAREF + PREPART_CRED_SPREAD.CURRENT_ACTIVE_SPREAD
            END,
            IF(PREPART_CREDITO(CUR).CREDI_INTACTUA = 3,
              CASE
                WHEN PREPART_CREDITO(CUR).CREDI_TASAREF * PREPART_CRED_SPREAD.CURRENT_INDEX_COEFFICIENT &lt; PREPART_CREDITO(CUR).CREDI_TASAMINI THEN PREPART_CREDITO(CUR).CREDI_TASAMINI
                WHEN PREPART_CREDITO(CUR).CREDI_TASAREF * PREPART_CRED_SPREAD.CURRENT_INDEX_COEFFICIENT &gt; PREPART_CREDITO(CUR).CREDI_TASAMAXI THEN PREPART_CREDITO(CUR).CREDI_TASAMAXI
                ELSE PREPART_CREDITO(CUR).CREDI_TASAREF * PREPART_CRED_SPREAD.CURRENT_INDEX_COEFFICIENT
              END,
              NULL
            )
          )
        ) AS DECIMAL(23, 6)
      )
      ELSE NULL
    END
</t>
    </r>
    <r>
      <rPr>
        <b/>
        <sz val="11"/>
        <color rgb="FF000000"/>
        <rFont val="Calibri"/>
        <scheme val="minor"/>
      </rPr>
      <t xml:space="preserve">PRECIO_ESTANDAR(CUR).CURRENT_ACTIVE_INTEREST_RATE IS DEFINIED AS 
</t>
    </r>
    <r>
      <rPr>
        <sz val="11"/>
        <color rgb="FF000000"/>
        <rFont val="Calibri"/>
        <scheme val="minor"/>
      </rPr>
      <t xml:space="preserve">CASE
      WHEN TRIM(PRECIO_ESTANDAR(CUR).AAAA_COTREFER) != '' THEN CAST(
        IF(PRECIO_ESTANDAR(CUR).AAAA_INTACTUA = 0,
          CASE
            WHEN INTERES_REFERENCI(CUR).IRF_TASA &lt; PRECIO_ESTANDAR(CUR).AAAA_TASAMINI THEN PRECIO_ESTANDAR(CUR).AAAA_TASAMINI
            WHEN INTERES_REFERENCI(CUR).IRF_TASA &gt; PRECIO_ESTANDAR(CUR).AAAA_TASAMAXI THEN PRECIO_ESTANDAR(CUR).AAAA_TASAMAXI
            ELSE INTERES_REFERENCI(CUR).IRF_TASA
          END,
          IF(PRECIO_ESTANDAR(CUR).AAAA_INTACTUA IN (1, 2),
            CASE
              WHEN INTERES_REFERENCI(CUR).IRF_TASA + PRECIO_ESTANDAR_SPREAD.CURRENT_ACTIVE_SPREAD &lt; PRECIO_ESTANDAR(CUR).AAAA_TASAMINI THEN PRECIO_ESTANDAR(CUR).AAAA_TASAMINI
              WHEN INTERES_REFERENCI(CUR).IRF_TASA + PRECIO_ESTANDAR_SPREAD.CURRENT_ACTIVE_SPREAD &gt; PRECIO_ESTANDAR(CUR).AAAA_TASAMAXI THEN PRECIO_ESTANDAR(CUR).AAAA_TASAMAXI
              ELSE INTERES_REFERENCI(CUR).IRF_TASA + PRECIO_ESTANDAR_SPREAD.CURRENT_ACTIVE_SPREAD
            END,
            IF(PRECIO_ESTANDAR(CUR).AAAA_INTACTUA = 3,
              CASE
                WHEN INTERES_REFERENCI(CUR).IRF_TASA * PRECIO_ESTANDAR_SPREAD.CURRENT_INDEX_COEFFICIENT &lt; PRECIO_ESTANDAR(CUR).AAAA_TASAMINI THEN PRECIO_ESTANDAR(CUR).AAAA_TASAMINI
                WHEN INTERES_REFERENCI(CUR).IRF_TASA * PRECIO_ESTANDAR_SPREAD.CURRENT_INDEX_COEFFICIENT &gt; PRECIO_ESTANDAR(CUR).AAAA_TASAMAXI THEN PRECIO_ESTANDAR(CUR).AAAA_TASAMAXI
                ELSE INTERES_REFERENCI(CUR).IRF_TASA * PRECIO_ESTANDAR_SPREAD.CURRENT_INDEX_COEFFICIENT
              END,
              NULL
            )
          )
        ) AS DECIMAL(23, 6)
      )
      WHEN TRIM(PRECIO_ESTANDAR(CUR).AAAA_COTREFER) = '' THEN
        IF(B5_BONIFICACION(CUR).BONI_CDEMPRES IS NULL OR B5_BONIFICACION(CUR).BONI_INTACTUA = 0,
          CAST(PRECIO_ESTANDAR(CUR).AAAA_TASA AS DECIMAL(23, 6)),
          IF(B5_BONIFICACION(CUR).BONI_INTACTUA = 1,
            CAST(PRECIO_ESTANDAR(CUR).AAAA_TASA + B5_BONIFICACION(CUR).BONI_BONPORCA AS DECIMAL(23, 6)),
            IF(B5_BONIFICACION(CUR).BONI_INTACTUA = 2,
              CAST(PRECIO_ESTANDAR(CUR).AAAA_TASA - B5_BONIFICACION(CUR).BONI_BONPORCA AS DECIMAL(23, 6)),
              NULL)))
    END
</t>
    </r>
  </si>
  <si>
    <t>PRECIO_ESTANDAR (1), INTERES_REFERNCI (2) || PREPART_CREDITO || N\A</t>
  </si>
  <si>
    <t>(1)TASA (1)INTACTUA (2)TASA || TASA || TASA</t>
  </si>
  <si>
    <t>N\A || N\A || N\A</t>
  </si>
  <si>
    <t>Current Minimum Interest Rate</t>
  </si>
  <si>
    <t>current_min_interest_rate</t>
  </si>
  <si>
    <t>Taxa de juro mínima atualmente acordada no contrato. Limita inferiormente a taxa de juro ativa atualmente.</t>
  </si>
  <si>
    <r>
      <rPr>
        <b/>
        <sz val="11"/>
        <color rgb="FF000000"/>
        <rFont val="Calibri"/>
        <scheme val="minor"/>
      </rPr>
      <t>SELECT</t>
    </r>
    <r>
      <rPr>
        <sz val="11"/>
        <color rgb="FF000000"/>
        <rFont val="Calibri"/>
        <scheme val="minor"/>
      </rPr>
      <t xml:space="preserve"> CASE
        WHEN PREPART_CREDITO(CUR).CREDI_CDEMPRES IS NOT NULL THEN CAST(PREPART_CREDITO(CUR).CREDI_TASAMINI AS DECIMAL(23, 6))
        WHEN PRECIO_ESTANDAR(CUR).AAAA_IDEMPR IS NOT NULL THEN CAST(PRECIO_ESTANDAR(CUR).AAAA_TASAMINI AS DECIMAL(23, 6))
      END"
</t>
    </r>
    <r>
      <rPr>
        <b/>
        <sz val="11"/>
        <color rgb="FF000000"/>
        <rFont val="Calibri"/>
        <scheme val="minor"/>
      </rPr>
      <t xml:space="preserve">WHERE
</t>
    </r>
    <r>
      <rPr>
        <sz val="11"/>
        <color rgb="FF000000"/>
        <rFont val="Calibri"/>
        <scheme val="minor"/>
      </rPr>
      <t>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t>
    </r>
  </si>
  <si>
    <t>Current Maximum Interest Rate</t>
  </si>
  <si>
    <t>current_max_interest_rate</t>
  </si>
  <si>
    <t>Taxa de juro máxima atualmente acordada no contrato. Limita superiormente a taxa de juro ativa atualmente.</t>
  </si>
  <si>
    <r>
      <rPr>
        <b/>
        <sz val="11"/>
        <color rgb="FF000000"/>
        <rFont val="Calibri"/>
        <scheme val="minor"/>
      </rPr>
      <t>SELECT</t>
    </r>
    <r>
      <rPr>
        <sz val="11"/>
        <color rgb="FF000000"/>
        <rFont val="Calibri"/>
        <scheme val="minor"/>
      </rPr>
      <t xml:space="preserve"> CASE
        WHEN PREPART_CREDITO_CUR.CREDI_CDEMPRES IS NOT NULL THEN CAST(PREPART_CREDITO(CUR).CREDI_TASAMAXI AS DECIMAL(23, 6))
        WHEN PRECIO_ESTANDAR_CUR.AAAA_IDEMPR IS NOT NULL THEN CAST(PRECIO_ESTANDAR(CUR).AAAA_TASAMAXI AS DECIMAL(23, 6))
      END
</t>
    </r>
    <r>
      <rPr>
        <b/>
        <sz val="11"/>
        <color rgb="FF000000"/>
        <rFont val="Calibri"/>
        <scheme val="minor"/>
      </rPr>
      <t xml:space="preserve">WHERE 
</t>
    </r>
    <r>
      <rPr>
        <sz val="11"/>
        <color rgb="FF000000"/>
        <rFont val="Calibri"/>
        <scheme val="minor"/>
      </rPr>
      <t xml:space="preserve">
PREPART_CREDITO(CUR).CREDI_COCONCLI = 101 AND  (IF(INTERFACE_DCT01.DCYR8100_DTVENCIM &lt; INTERFACE_DCT01.DATA_DATE_PART, INTERFACE_DCT01.DCYR8100_DTVENCIM, INTERFACE_DCT01.DATA_DATE_PART)
) &gt;= PREPART_CREDITO(CUR).CREDI_FECOMVAL
 AND (IF(INTERFACE_DCT01.DCYR8100_DTVENCIM &lt; INTERFACE_DCT01.DATA_DATE_PART, INTERFACE_DCT01.DCYR8100_DTVENCIM, INTERFACE_DCT01.DATA_DATE_PART)
)  &lt;= PREPART_CREDITO(CUR).CREDI_FEFINVAL
AND PRECIO_ESTANDAR(CUR).AAA_COCONCLI = 101
AND (IF(INTERFACE_DCT01.DCYR8100_DTVENCIM &lt; INTERFACE_DCT01.DATA_DATE_PART, INTERFACE_DCT01.DCYR8100_DTVENCIM, INTERFACE_DCT01.DATA_DATE_PART)
)  &gt;= PRECIO_ESTANDAR(CUR).AAAA_FECOMVAL
AND (IF(INTERFACE_DCT01.DCYR8100_DTVENCIM &lt; INTERFACE_DCT01.DATA_DATE_PART, INTERFACE_DCT01.DCYR8100_DTVENCIM, INTERFACE_DCT01.DATA_DATE_PART)
)  &lt;=  PRECIO_ESTANDAR(CUR).AAAA_FEFINVAL
</t>
    </r>
  </si>
  <si>
    <t>Current Rate Day Count Convention Code</t>
  </si>
  <si>
    <t>cur_rate_day_cnt_convnt_code</t>
  </si>
  <si>
    <t>Convenção para a contagem de dias para o cálculo dos juros.</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</si>
  <si>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PARAM_GENERAL_CODE_CONVERTER.SOURCE_CODE = 'DC' AND PARAM_GENERAL_CODE_CONVERTER.OPTION_NUMBER = 1 AND PARAM_GENERAL_CODE_CONVERTER.TARGET_FIELD = 'cur_rate_day_cnt_convnt_code' AND PARAM_GENERAL_CODE_CONVERTER.SOURCE_VALUE = ''
</t>
    </r>
  </si>
  <si>
    <t>Current Interest Payment Frequency Code</t>
  </si>
  <si>
    <t>cur_interest_payment_freq_code</t>
  </si>
  <si>
    <t>Código de Frequência com que são pagos juros atualmente.</t>
  </si>
  <si>
    <t>COMMON_REFERENCEDATA_CORE
CURATED_INTERNAL_MAINFRAME_CONTAS
CURATED_INTERNAL_MAINFRAME_ESTRUTURAIS</t>
  </si>
  <si>
    <t>PARAM_GENERAL_CODE_CONVERTER
INTERFACE_DCT01
PROD_ER_ELEMENT</t>
  </si>
  <si>
    <t>TARGET_VALUE
N\A
N\A</t>
  </si>
  <si>
    <r>
      <rPr>
        <b/>
        <sz val="11"/>
        <color rgb="FF000000"/>
        <rFont val="Calibri"/>
        <scheme val="minor"/>
      </rPr>
      <t>SELECT</t>
    </r>
    <r>
      <rPr>
        <sz val="11"/>
        <color rgb="FF000000"/>
        <rFont val="Calibri"/>
        <scheme val="minor"/>
      </rPr>
      <t xml:space="preserve"> PARAM_GENERAL_CODE_CONVERTER.TARGET_VALUE
WHERE PARAM_GENERAL_CODE_CONVERTER.SOURCE_CODE = 'DC' AND PARAM_GENERAL_CODE_CONVERTER.OPTION_NUMBER = 1 AND PARAM_GENERAL_CODE_CONVERTER.TARGET_FIELD = 'cur_interest_payment_freq_code' AND PARAM_GENERAL_CODE_CONVERTER.SOURCE_VALUE = '( IF(TRIM(PROD_ER_ELEMENT(CUR).COPERLIQ) = '', NULL, PROD_ER_ELEMENT(CUR.)COPERLIQ))
</t>
    </r>
    <r>
      <rPr>
        <b/>
        <sz val="11"/>
        <color rgb="FF000000"/>
        <rFont val="Calibri"/>
        <scheme val="minor"/>
      </rPr>
      <t xml:space="preserve">
WHERE
</t>
    </r>
    <r>
      <rPr>
        <sz val="11"/>
        <color rgb="FF000000"/>
        <rFont val="Calibri"/>
        <scheme val="minor"/>
      </rPr>
      <t xml:space="preserve">(IF(INTERFACE_DCT01.DCYR8100_DTVENCIM &lt; INTERFACE_DCT01.DATA_DATE_PART, INTERFACE_DCT01.DCYR8100_DTVENCIM, INTERFACE_DCT01.DATA_DATE_PART)
) &gt;= PROD_ER_ELEMENT(CUR).CREDI_FECOMVAL
 AND (IF(INTERFACE_DCT01.DCYR8100_DTVENCIM &lt; INTERFACE_DCT01.DATA_DATE_PART, INTERFACE_DCT01.DCYR8100_DTVENCIM, INTERFACE_DCT01.DATA_DATE_PART)
)  &lt;= PROD_ER_ELEMENT(CUR).CREDI_FEFINVAL
</t>
    </r>
  </si>
  <si>
    <t>Current Interest Payment Due Date</t>
  </si>
  <si>
    <t>cur_interest_payment_due_date</t>
  </si>
  <si>
    <t>Data de pagamento dos juros devedores calculados no período de juros que está a decorrer.</t>
  </si>
  <si>
    <t>FEPROLIQ</t>
  </si>
  <si>
    <t xml:space="preserve">SELECT  IF(TRIM(CONTBACH_CREDIT.FEPROLIQ) = '', NULL, CONTBACH_CREDIT.FEPROLIQ) </t>
  </si>
  <si>
    <t>Contract Status Code</t>
  </si>
  <si>
    <t>contract_status_code</t>
  </si>
  <si>
    <t>Int Inf - Con Inf - Code</t>
  </si>
  <si>
    <t>Identifier of the contract status.</t>
  </si>
  <si>
    <t>Código do estado do contrato, por exemplo, aberto, suspenso, etc.</t>
  </si>
  <si>
    <t>Contract Status:
TAT91 - CTABELA 205; CURATED_INTERNAL_MAINFRAME_ESTRUTURAIS.TAT91_TABELAS - TAYD91C0_CTABELA 205</t>
  </si>
  <si>
    <r>
      <rPr>
        <b/>
        <sz val="11"/>
        <color rgb="FF000000"/>
        <rFont val="Calibri"/>
      </rPr>
      <t>SELECT</t>
    </r>
    <r>
      <rPr>
        <sz val="11"/>
        <color rgb="FF000000"/>
        <rFont val="Calibri"/>
      </rPr>
      <t xml:space="preserve"> PARAM_GENERAL_CODE_CONVERTER.TARGET_VALUE
</t>
    </r>
    <r>
      <rPr>
        <b/>
        <sz val="11"/>
        <color rgb="FF000000"/>
        <rFont val="Calibri"/>
      </rPr>
      <t xml:space="preserve">
WHERE </t>
    </r>
    <r>
      <rPr>
        <sz val="11"/>
        <color rgb="FF000000"/>
        <rFont val="Calibri"/>
      </rPr>
      <t>PARAM_GENERAL_CODE_CONVERTER.SOURCE_CODE = IF( TCT09_OPERCN.CKBALCAO IS NULL, 'DC', 'TC' ) AND PARAM_GENERAL_CODE_CONVERTER.TARGET_FIELD = 'contract_status_code' AND ( PARAM_GENERAL_CODE_CONVERTER.SOURCE_VALUE =  IF(LITIGATION_UNIVERSE.CKBALCAO IS NULL,
        IF(TRIM(DCT01.DCYR8101_CSITCTA) = '',
          NULL,
          DCT01.DCYR8101_CSITCTA),
        LITIGATION_UNIVERSE.CONTRACT_STATUS_CODE
      )
 AND PARAM_GENERAL_CODE_CONVERTER.OPTION_NUMBER = '1'
  AND LITIGATION_UNIVERSE.CONTRACT_ALIVE_INDICATOR = '1'</t>
    </r>
  </si>
  <si>
    <t>DCYR8101 || TCT09_OPERCN</t>
  </si>
  <si>
    <t>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</si>
  <si>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</si>
  <si>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</si>
  <si>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</si>
  <si>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</si>
  <si>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</si>
  <si>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IF(LITIGATION_UNIVERSE.CKBALCAO IS NULL, 'DC', 'TC' ) AND PARAM_GENERAL_CODE_CONVERTER.TARGET_FIELD = 'contract_opening_channel_code' AND PARAM_GENERAL_CODE_CONVERTER.SOURCE_VALUE =  '' AND PARAM_GENERAL_CODE_CONVERTER.OPTION_NUMBER= '1'
    AND LITIGATION_UNIVERSE.CONTRACT_ALIVE_INDICATOR = '1'</t>
    </r>
  </si>
  <si>
    <t>"Branch"</t>
  </si>
  <si>
    <t>Source:
N\A; N\A</t>
  </si>
  <si>
    <t>LITIGATION_UNIVERSE</t>
  </si>
  <si>
    <r>
      <rPr>
        <b/>
        <sz val="11"/>
        <color rgb="FF000000"/>
        <rFont val="Calibri"/>
      </rPr>
      <t xml:space="preserve">SELECT </t>
    </r>
    <r>
      <rPr>
        <sz val="11"/>
        <color rgb="FF000000"/>
        <rFont val="Calibri"/>
      </rPr>
      <t xml:space="preserve">IF( LITIGATION_UNIVERSE.CKBALCAO IS NULL, 'DC', 'TC' )
</t>
    </r>
    <r>
      <rPr>
        <b/>
        <sz val="11"/>
        <color rgb="FF000000"/>
        <rFont val="Calibri"/>
      </rPr>
      <t>WHERE</t>
    </r>
    <r>
      <rPr>
        <sz val="11"/>
        <color rgb="FF000000"/>
        <rFont val="Calibri"/>
      </rPr>
      <t xml:space="preserve">   LITIGATION_UNIVERSE.CONTRACT_ALIVE_INDICATOR = '1'</t>
    </r>
  </si>
  <si>
    <t>"DC" || "TC"</t>
  </si>
  <si>
    <t>DATA_DATE_PART</t>
  </si>
  <si>
    <r>
      <rPr>
        <b/>
        <sz val="11"/>
        <color rgb="FF000000"/>
        <rFont val="Calibri"/>
      </rPr>
      <t xml:space="preserve">SELECT </t>
    </r>
    <r>
      <rPr>
        <sz val="11"/>
        <color rgb="FF000000"/>
        <rFont val="Calibri"/>
      </rPr>
      <t>INTERFACE_DCT01.DATA_DATE_PART</t>
    </r>
  </si>
  <si>
    <r>
      <rPr>
        <b/>
        <sz val="11"/>
        <color rgb="FF000000"/>
        <rFont val="Calibri"/>
      </rPr>
      <t xml:space="preserve">SELECT </t>
    </r>
    <r>
      <rPr>
        <sz val="11"/>
        <color rgb="FF000000"/>
        <rFont val="Calibri"/>
      </rPr>
      <t>NOW()</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</si>
  <si>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</si>
  <si>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</si>
  <si>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</si>
  <si>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</si>
  <si>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</si>
  <si>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</si>
  <si>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</si>
  <si>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</si>
  <si>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</si>
  <si>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curated_internal_mainframe_cambios</t>
  </si>
  <si>
    <t>cbt02_cambios</t>
  </si>
  <si>
    <t>interface_dct01.dcyr8201_cmoeda =cbt02_cambios.cmoeda</t>
  </si>
  <si>
    <t>left</t>
  </si>
  <si>
    <t>curated_internal_mainframe_estruturais</t>
  </si>
  <si>
    <t>tat91_tabelas_new</t>
  </si>
  <si>
    <t xml:space="preserve">tayd91c0_ctabela = '206' AND TRIM(tayd91c0_celemtab)= interface_dct01.dcyr8201_cmoeda </t>
  </si>
  <si>
    <t>tat22_produto</t>
  </si>
  <si>
    <t>interface_dct01.dcyr8101_ckprodut = tat22_produto.ckprodut AND interface_dct01.dcyr8101_cksubpro = tat22_produto.cksubpro</t>
  </si>
  <si>
    <t xml:space="preserve"> curated_internal_mainframe_contas</t>
  </si>
  <si>
    <t>coint_ctoloc_p</t>
  </si>
  <si>
    <t xml:space="preserve"> coint_ctoloc_p.e2616_idcent_l = dct01.dcyr8101_ckbalcao
      AND coint_ctoloc_p.e2616_idcont_l = dct01.dcyr8101_cknumcta</t>
  </si>
  <si>
    <t xml:space="preserve">coint_ctoloc_p </t>
  </si>
  <si>
    <t>rel_contratos</t>
  </si>
  <si>
    <t>rel_contratos.rcc_idempr = coint_ctoloc_p .e2616_idempr AND rel_contratos.rcc_idcent = coint_ctoloc_p .e2616_idcent AND rel_contratos.rcc_idprod = coint_ctoloc_p .e2616_idprod AND rel_contratos.rcc_idcontr = coint_ctoloc_p .e2616_idcontr</t>
  </si>
  <si>
    <t>coint_ctoloc_p (rel)</t>
  </si>
  <si>
    <t>rel_contratos.rcc_idemprre = coint_ctoloc_p .e2616_idempr AND rel_contratos.rcc_idcentre = coint_ctoloc_p .e2616_idcent AND rel_contratos.rcc_idprodre= coint_ctoloc_p .e2616_idprod AND rel_contratos.rcc_idcontrrr = coint_ctoloc_p .e2616_idcontr</t>
  </si>
  <si>
    <t>litigation_universe</t>
  </si>
  <si>
    <t>interface_dct01.dcyr8101_ckbalcao = litigation_universe.ckbalcao 
AND interface_dct01.dcyr8101_cknumcta = litigation_universe.cknumcta
AND litigation_universe.contract_alive_indicator = '1'</t>
  </si>
  <si>
    <t>dct77_mga</t>
  </si>
  <si>
    <t>interface_dct01.dcyr8101_ckbalcao = dct77_mga.ckbalcao
      AND interface_dct01.dcyr8101_cknumcta = dct77_mga.cknumcta</t>
  </si>
  <si>
    <t>contbach_credit</t>
  </si>
  <si>
    <t>ON coint_ctoloc_p.e2616_idcent = contbach_credit.idcent
AND coint_ctoloc_p.e2616_idempr = contbach_credit.idempr
 AND coint_ctoloc_p.e2616_idcontr = contbach_credit.idcontr</t>
  </si>
  <si>
    <t>lefy</t>
  </si>
  <si>
    <t>curated_internal_mainframe_precios</t>
  </si>
  <si>
    <t>prepart_credito</t>
  </si>
  <si>
    <t>tat29_indexant</t>
  </si>
  <si>
    <t>TRIM(tat29_indexant.cotrefer)=prepart_credito.credi_cotrefer</t>
  </si>
  <si>
    <t>precio_estandar</t>
  </si>
  <si>
    <t>TRIM(tat29_indexant.cotrefer)=precio_estandar.credi_cotrefer</t>
  </si>
  <si>
    <t>interes_referenci</t>
  </si>
  <si>
    <t>prepart_credito.credi_cotrefer = interes_referenci.irf_cotrefer</t>
  </si>
  <si>
    <t>curated_internal_mainframe_contas,curated_internal_mainframe_estruturais</t>
  </si>
  <si>
    <t>interface_dct01,coint_ctoloc_p</t>
  </si>
  <si>
    <t>b5_bonificacion(init)</t>
  </si>
  <si>
    <t xml:space="preserve">  ON coint_ctoloc_p.e2616_idcent = b5_bonificacion(init).boni_cdcentr
    AND coint_ctoloc_p.e2616_idempr = b5_bonificacion(init).boni_cdempres
    AND coint_ctoloc_p.e2616_idcontr = b5_bonificacion(init).boni_idcontr
    AND coint_ctoloc_p.e2616_idprod = b5_bonificacion(init).boni_idprod
    AND interface_dct01.dcyr8101_dabertur &gt;= b5_bonificacion(init).boni_fecomval
    AND interface_dct01.dcyr8101_dabertur &lt;= b5_bonificacion(init).boni_fefinval</t>
  </si>
  <si>
    <t>b5_bonificacion(cur)</t>
  </si>
  <si>
    <t>ON coint_ctoloc_p.e2616_idcent = b5_bonificacion(cur).boni_cdcentr
    AND coint_ctoloc_p.e2616_idempr = b5_bonificacion(cur).boni_cdempres
    AND coint_ctoloc_p.e2616_idcontr = b5_bonificacion(cur).boni_idcontr
    AND coint_ctoloc_p.e2616_idprod = b5_bonificacion(cur).boni_idprod
AND  IF(interface_dct01.dcyr8100_dtvencim &lt; data_date_part, interface_dct01.dcyr8100_dtvencim, data_date_part) &gt;= b5_bonificacion(cur).credi_fecomval
      AND  IF(interface_dct01.dcyr8100_dtvencim &lt; data_date_part, interface_dct01.dcyr8100_dtvencim, data_date_part) &lt;= b5_bonificacion(cur).credi_fefinval</t>
  </si>
  <si>
    <t>curated_internal_mainframe_contas, curated_internal_mainframe_estruturais</t>
  </si>
  <si>
    <t>prepart_credito(init)</t>
  </si>
  <si>
    <t>coint_ctoloc_p.e2616_idcent = prepart_credito.credi_cdcentr
      AND coint_ctoloc_p.e2616_idempr = prepart_credito.credi_cdempres
      AND coint_ctoloc_p.e2616_idcontr = prepart_credito.credi_idcontr
 AND interface_dct01.dabertur &gt;= prepart_credito.credi_fecomval
      AND interface_dct01.dabertur &lt;= prepart_credito.credi_fefinval</t>
  </si>
  <si>
    <t>prepart_credito(cur)</t>
  </si>
  <si>
    <t>coint_ctoloc_p.e2616_idcent = prepart_credito.credi_cdcentr
      AND coint_ctoloc_p.e2616_idempr = prepart_credito.credi_cdempres
      AND coint_ctoloc_p.e2616_idcontr = prepart_credito.credi_idcontr
   AND  IF(interface_dct01.dcyr8100_dtvencim &lt; data_date_part, interface_dct01.dcyr8100_dtvencim, data_date_part) &gt;= prepart_credito_cur.credi_fecomval
      AND  IF(interface_dct01.dcyr8100_dtvencim &lt; data_date_part, interface_dct01.dcyr8100_dtvencim, data_date_part) &lt;= prepart_credito_cur.credi_fefinval</t>
  </si>
  <si>
    <t>prepart_credito(next)</t>
  </si>
  <si>
    <t>coint_ctoloc_p.e2616_idcent = prepart_credito(next).credi_cdcentr
      AND coint_ctoloc_p.e2616_idempr = prepart_credito(next).credi_cdempres
      AND coint_ctoloc_p.e2616_idcontr = prepart_credito(next).credi_idcontr
      AND  ROW_NUMBER() OVER (PARTITION BY prepart_credito(next).credi_cdcentr, prepart_credito(next).credi_cdempres, prepart_credito(next).credi_idcontr ORDER BY credi_fecomval ASC)=1</t>
  </si>
  <si>
    <t>curated_internal_mainframe_contas, curated_internal_mainframe_estruturais, curated_internal_mainframe_estruturais</t>
  </si>
  <si>
    <t>interface_dct01,coint_ctoloc_p, tat22_produto, tat91_tabelas_new</t>
  </si>
  <si>
    <t>precio_estandar(init)</t>
  </si>
  <si>
    <t>ON coint_ctoloc_p.e2616_idempr = precio_estandar.aaaa_idempr
      AND tat22_produto.codprod = precio_estandar.aaaa_codprod
      AND tat22_produto.codsprod = precio_estandar.aaaa_codsprod 
      AND tat22_produto.coestref = precio_estandar.aaaa_coestref
      AND SUBSTRING(tat91_tabelas_new.tayd91c0_nelemc01, 1, 3) = precio_estandar.aaaa_codmonsw
AND   interface_dct01.dcyr8101_dabertur &gt;= precio_estandar_init.aaaa_fecomval
      AND interface_dct01.dcyr8101_dabertur &lt;= precio_estandar_init.aaaa_fefinval</t>
  </si>
  <si>
    <t>curated_internal_mainframe_contas, curated_internal_mainframe_estruturais, curated_internal_mainframe_estruturais, curated_internal_mainframe_estruturais</t>
  </si>
  <si>
    <t>precio_estandar(cur)</t>
  </si>
  <si>
    <t>ON coint_ctoloc_p.e2616_idempr = precio_estandar.aaaa_idempr
      AND tat22_produto.codprod = precio_estandar.aaaa_codprod
      AND tat22_produto.codsprod = precio_estandar.aaaa_codsprod 
      AND tat22_produto.coestref = precio_estandar.aaaa_coestref
      AND SUBSTRING(tat91_tabelas_new.tayd91c0_nelemc01, 1, 3) = precio_estandar.aaaa_codmonsw
AND  IF(interface_dct01.dcyr8100_dtvencim) &lt; data_date_part, interface_dct01.dcyr8100_dtvencim, data_date_part)  &gt;= precio_estandar.aaaa_fecomval
      AND IF(interface_dct01.dcyr8100_dtvencim &lt; data_date_part, interface_dct01.dcyr8100_dtvencim, data_date_part)  &lt;= precio_estandar.aaaa_fefinval</t>
  </si>
  <si>
    <t>interface_dct01,coint_ctoloc_p, tat22_produto</t>
  </si>
  <si>
    <t>prod_er_element(cur)</t>
  </si>
  <si>
    <t>coint_ctoloc_p.e2616_idempr = prod_er_element(cur).idempr
      AND tat22_produto.codprod = prod_er_element(cur).codprod
      AND tat22_produto.codsprod = prod_er_element(cur).codsprod 
      AND tat22_produto.coestref = prod_er_element(cur).coestref
      AND  IF(interface_dct01.dcyr8100_dtvencim) &lt; data_date_part, interface_dct01.dcyr8100_dtvencim, data_date_part)  &gt;= prod_er_element(cur).fecomval
      AND  IF(interface_dct01.dcyr8100_dtvencim) &lt; data_date_part, interface_dct01.dcyr8100_dtvencim, data_date_part)   &lt; prod_er_element(cur).fefinval</t>
  </si>
  <si>
    <t>curated_internal_mainframe_contas,curated_internal_mainframe_precios</t>
  </si>
  <si>
    <t>interface_dct01,precio_estandar(init)</t>
  </si>
  <si>
    <t>interes_referenci(init)</t>
  </si>
  <si>
    <t>precio_estandar.aaaa_cotrefer = interes_referenci.irf_cotrefer AND  dct01.dcyr8101_dabertur &gt;= interes_referenci.irf_fecomval
      AND dct01.dcyr8101_dabertur &lt; interes_referenci.irf_fefinval</t>
  </si>
  <si>
    <t>interface_dct01,precio_estandar(cur)</t>
  </si>
  <si>
    <t>interes_referenci(cur)</t>
  </si>
  <si>
    <t>precio_estandar.aaaa_cotrefer = interes_referenci.irf_cotrefer AND IF(interface_dct01.dcyr8100_dtvencim) &lt; data_date_part, interface_dct01.dcyr8100_dtvencim, data_date_part) &gt;= interes_referenci_cur.irf_fecomval AND IF(interface_dct01.dcyr8100_dtvencim) &lt; data_date_part, interface_dct01.dcyr8100_dtvencim, data_date_part)  &lt; interes_referenci_cur.irf_fefinval</t>
  </si>
  <si>
    <t>coint_ctoloc_p .e2616_idcent = contbach_credit.idcent
      AND coint_ctoloc_p .e2616_idempr = contbach_credit.idempr
      AND coint_ctoloc_p t.e2616_idcontr = contbach_credit.idcontr</t>
  </si>
  <si>
    <t>loan_account_universe.contract_id = CONCAT( interface_dct01.dcyr8101_ckbalcao, interface_dct01.dcyr8101_cknumcta, '000000000000000' ) AND loan_account_universe.bank_id = '' AND 1 = loan_account_universe.contract_alive_indicator = '1' AND 'DC' = loan_account_universe.source_code</t>
  </si>
  <si>
    <t>inner</t>
  </si>
  <si>
    <t>movimentos_consolidados</t>
  </si>
  <si>
    <t>loan_account_universe.contract_id = CONCAT(movimentos_consolidados.dcyr9750_ckbalcao, movimentos_consolidados.dcyr9750_cknumcta, '000000000000000') AND loan_account_universe.bank_id = '' AND  'DC' = loan_account_universe.source_code AND loan_account_universe.contract_alive_indicator = '1'</t>
  </si>
  <si>
    <t>curated_internal_mainframe_contencioso</t>
  </si>
  <si>
    <t>tct72_movcta</t>
  </si>
  <si>
    <t>loan_account_universe.contract_id = CONCAT(tct72_movcta.ckbalcao, tct72_movcta.cknumcta, '000000000000000') AND loan_account_universe.bank_id = '' AND  'TC' = loan_account_universe.source_code</t>
  </si>
  <si>
    <t xml:space="preserve">tct09_opercn </t>
  </si>
  <si>
    <t xml:space="preserve">interface_dct01 </t>
  </si>
  <si>
    <t xml:space="preserve"> CONCAT(interface_dct01.dcyr8101_ckbalcao, interface_dct01.dcyr8101_cknumcta) = CONCAT(tct09_opercn.ckbalcao, tct09_opercn.cknumcta)</t>
  </si>
  <si>
    <t>NOME FÍSICO BD FONTE</t>
  </si>
  <si>
    <t>NOME FÍSICO TABELA FONTE</t>
  </si>
  <si>
    <t>REGRA DE ATAQUE</t>
  </si>
  <si>
    <t>DESCRIÇÃO ESTADOS CONSIDERADOS</t>
  </si>
  <si>
    <t>DESCRIÇÃO ESTADOS DESCONSIDERADOS</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</si>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</sst>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i/>
      <sz val="11"/>
      <color rgb="FF000000"/>
      <name val="Calibri"/>
      <scheme val="minor"/>
    </font>
    <font>
      <b/>
      <sz val="8"/>
      <color rgb="FFFFFFFF"/>
      <name val="Arial"/>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color rgb="FF000000"/>
      <name val="Calibri"/>
      <charset val="1"/>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FF"/>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969696"/>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9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wrapText="1"/>
    </xf>
    <xf numFmtId="0" fontId="28" fillId="0" borderId="11" xfId="0" applyFont="1" applyBorder="1" applyAlignment="1">
      <alignment vertical="center" wrapText="1"/>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0" fillId="2" borderId="12" xfId="0" applyFill="1" applyBorder="1" applyAlignment="1">
      <alignment horizontal="left" vertical="center" wrapText="1"/>
    </xf>
    <xf numFmtId="0" fontId="32" fillId="0" borderId="12" xfId="0" applyFont="1" applyBorder="1" applyAlignment="1">
      <alignment horizontal="left" vertical="center" wrapText="1"/>
    </xf>
    <xf numFmtId="0" fontId="32" fillId="0" borderId="11" xfId="0" applyFont="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9" fillId="0" borderId="11" xfId="0" applyFont="1" applyBorder="1" applyAlignment="1">
      <alignment vertical="center" wrapText="1"/>
    </xf>
    <xf numFmtId="0" fontId="0" fillId="0" borderId="12" xfId="0" applyBorder="1" applyAlignment="1" applyProtection="1">
      <alignment vertical="center"/>
      <protection locked="0"/>
    </xf>
    <xf numFmtId="0" fontId="35" fillId="0" borderId="11" xfId="0" applyFont="1" applyBorder="1" applyAlignment="1">
      <alignment horizontal="left" vertical="center" wrapText="1"/>
    </xf>
    <xf numFmtId="0" fontId="0" fillId="2" borderId="12" xfId="0" applyFill="1" applyBorder="1" applyAlignment="1">
      <alignment horizontal="left" vertical="center"/>
    </xf>
    <xf numFmtId="0" fontId="0" fillId="0" borderId="11" xfId="0" quotePrefix="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28" fillId="10" borderId="11" xfId="0" applyFont="1" applyFill="1" applyBorder="1" applyAlignment="1">
      <alignment horizontal="left" vertical="center"/>
    </xf>
    <xf numFmtId="0" fontId="35" fillId="10" borderId="11" xfId="0" applyFont="1" applyFill="1" applyBorder="1" applyAlignment="1">
      <alignment horizontal="left" vertical="center" wrapText="1"/>
    </xf>
    <xf numFmtId="0" fontId="0" fillId="10" borderId="11" xfId="0" applyFill="1" applyBorder="1" applyAlignment="1" applyProtection="1">
      <alignment horizontal="center" vertical="center"/>
      <protection locked="0"/>
    </xf>
    <xf numFmtId="0" fontId="24" fillId="0" borderId="0" xfId="0" applyFont="1" applyAlignment="1">
      <alignment horizontal="left" vertical="center" indent="1"/>
    </xf>
    <xf numFmtId="0" fontId="24" fillId="0" borderId="24" xfId="0" applyFont="1" applyBorder="1" applyAlignment="1">
      <alignment horizontal="left" vertical="center" indent="1"/>
    </xf>
    <xf numFmtId="0" fontId="0" fillId="0" borderId="0" xfId="0" applyAlignment="1">
      <alignment horizontal="left" vertical="center" wrapText="1"/>
    </xf>
    <xf numFmtId="0" fontId="35" fillId="8" borderId="11" xfId="0" applyFont="1" applyFill="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38" fillId="0" borderId="11" xfId="0" applyFont="1" applyBorder="1" applyAlignment="1">
      <alignment horizontal="center" vertical="center" wrapText="1"/>
    </xf>
    <xf numFmtId="0" fontId="38" fillId="0" borderId="11" xfId="0" applyFont="1" applyBorder="1" applyAlignment="1">
      <alignment horizontal="left" vertical="center" wrapText="1"/>
    </xf>
    <xf numFmtId="0" fontId="39" fillId="0" borderId="11" xfId="0" applyFont="1" applyBorder="1" applyAlignment="1">
      <alignment horizontal="center" vertical="center" wrapText="1"/>
    </xf>
    <xf numFmtId="0" fontId="32" fillId="0" borderId="11" xfId="0" applyFont="1" applyBorder="1" applyAlignment="1">
      <alignment vertical="center"/>
    </xf>
    <xf numFmtId="0" fontId="38" fillId="0" borderId="12" xfId="0" applyFont="1" applyBorder="1" applyAlignment="1">
      <alignment vertical="center" wrapText="1"/>
    </xf>
    <xf numFmtId="0" fontId="38" fillId="0" borderId="12" xfId="0" applyFont="1" applyBorder="1" applyAlignment="1">
      <alignment horizontal="left" vertical="center"/>
    </xf>
    <xf numFmtId="0" fontId="38" fillId="0" borderId="0" xfId="0" applyFont="1" applyAlignment="1">
      <alignment vertical="center" wrapText="1"/>
    </xf>
    <xf numFmtId="0" fontId="32" fillId="0" borderId="12" xfId="0" applyFont="1" applyBorder="1" applyAlignment="1">
      <alignment vertical="center" wrapText="1"/>
    </xf>
    <xf numFmtId="0" fontId="35" fillId="2" borderId="11" xfId="0" applyFont="1" applyFill="1" applyBorder="1" applyAlignment="1">
      <alignment vertical="center" wrapText="1"/>
    </xf>
    <xf numFmtId="0" fontId="0" fillId="2" borderId="11" xfId="0" applyFill="1" applyBorder="1" applyAlignment="1">
      <alignment vertical="center" wrapText="1"/>
    </xf>
    <xf numFmtId="0" fontId="35" fillId="0" borderId="17" xfId="0" applyFont="1" applyBorder="1" applyAlignment="1">
      <alignment horizontal="left" vertical="center" wrapText="1"/>
    </xf>
    <xf numFmtId="0" fontId="0" fillId="2" borderId="12" xfId="0" applyFill="1" applyBorder="1" applyAlignment="1">
      <alignment vertical="center"/>
    </xf>
    <xf numFmtId="0" fontId="38" fillId="2" borderId="11" xfId="0" applyFont="1" applyFill="1" applyBorder="1" applyAlignment="1">
      <alignment vertical="center" wrapText="1"/>
    </xf>
    <xf numFmtId="0" fontId="0" fillId="2" borderId="12" xfId="0" applyFill="1" applyBorder="1" applyAlignment="1">
      <alignment vertical="center" wrapText="1"/>
    </xf>
    <xf numFmtId="0" fontId="0" fillId="10" borderId="12" xfId="0" applyFill="1" applyBorder="1" applyAlignment="1" applyProtection="1">
      <alignment horizontal="center" vertical="center"/>
      <protection locked="0"/>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2" xfId="0" applyFill="1" applyBorder="1" applyAlignment="1">
      <alignment horizontal="center" vertical="center"/>
    </xf>
    <xf numFmtId="0" fontId="0" fillId="11" borderId="11" xfId="0" applyFill="1" applyBorder="1" applyAlignment="1">
      <alignment vertical="center" wrapText="1"/>
    </xf>
    <xf numFmtId="0" fontId="0" fillId="11" borderId="11" xfId="0" applyFill="1" applyBorder="1" applyAlignment="1">
      <alignment vertical="center"/>
    </xf>
    <xf numFmtId="0" fontId="0" fillId="11" borderId="11" xfId="0" applyFill="1" applyBorder="1" applyAlignment="1">
      <alignment horizontal="left" vertical="center" wrapText="1"/>
    </xf>
    <xf numFmtId="0" fontId="35"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28" fillId="11" borderId="11" xfId="0" applyFont="1" applyFill="1" applyBorder="1" applyAlignment="1">
      <alignment vertical="center" wrapText="1"/>
    </xf>
    <xf numFmtId="0" fontId="0" fillId="0" borderId="16" xfId="0" applyBorder="1" applyAlignment="1">
      <alignment horizontal="left" vertical="center"/>
    </xf>
    <xf numFmtId="0" fontId="0" fillId="12" borderId="11" xfId="0" applyFill="1" applyBorder="1" applyAlignment="1">
      <alignment horizontal="left" vertical="center"/>
    </xf>
    <xf numFmtId="0" fontId="32" fillId="11" borderId="11" xfId="0" applyFont="1" applyFill="1" applyBorder="1" applyAlignment="1">
      <alignment horizontal="left" vertical="center" wrapText="1"/>
    </xf>
    <xf numFmtId="0" fontId="32" fillId="10" borderId="11" xfId="0" applyFont="1" applyFill="1" applyBorder="1" applyAlignment="1">
      <alignment horizontal="left" vertical="center" wrapText="1"/>
    </xf>
    <xf numFmtId="0" fontId="0" fillId="2" borderId="22" xfId="0" applyFill="1" applyBorder="1" applyAlignment="1">
      <alignment horizontal="left" vertical="center"/>
    </xf>
    <xf numFmtId="0" fontId="0" fillId="0" borderId="17" xfId="0" applyBorder="1" applyAlignment="1">
      <alignment horizontal="left" vertical="center"/>
    </xf>
    <xf numFmtId="0" fontId="0" fillId="13" borderId="0" xfId="0" applyFill="1"/>
    <xf numFmtId="0" fontId="0" fillId="0" borderId="22" xfId="0" applyBorder="1" applyAlignment="1">
      <alignment horizontal="left" vertical="center"/>
    </xf>
    <xf numFmtId="0" fontId="0" fillId="2" borderId="11" xfId="0" applyFill="1" applyBorder="1" applyAlignment="1">
      <alignment horizontal="left" vertical="center"/>
    </xf>
    <xf numFmtId="0" fontId="0" fillId="0" borderId="25" xfId="0" applyBorder="1" applyAlignment="1">
      <alignment horizontal="left" vertical="center"/>
    </xf>
    <xf numFmtId="0" fontId="0" fillId="2" borderId="18" xfId="0" applyFill="1" applyBorder="1" applyAlignment="1">
      <alignment vertical="center"/>
    </xf>
    <xf numFmtId="0" fontId="0" fillId="11" borderId="11" xfId="0" applyFill="1" applyBorder="1" applyAlignment="1" applyProtection="1">
      <alignment horizontal="center" vertical="center"/>
      <protection locked="0"/>
    </xf>
    <xf numFmtId="0" fontId="0" fillId="0" borderId="12" xfId="0" applyBorder="1" applyAlignment="1">
      <alignment horizontal="center" vertical="center"/>
    </xf>
    <xf numFmtId="0" fontId="0" fillId="0" borderId="14" xfId="0" applyBorder="1" applyAlignment="1">
      <alignment vertical="center" wrapText="1"/>
    </xf>
    <xf numFmtId="0" fontId="35" fillId="0" borderId="12" xfId="0" applyFont="1" applyBorder="1" applyAlignment="1">
      <alignment vertical="center" wrapText="1"/>
    </xf>
    <xf numFmtId="0" fontId="35" fillId="2" borderId="11" xfId="0" applyFont="1" applyFill="1" applyBorder="1" applyAlignment="1">
      <alignment wrapText="1"/>
    </xf>
    <xf numFmtId="0" fontId="35" fillId="0" borderId="0" xfId="0" applyFont="1" applyAlignment="1">
      <alignment horizontal="left" vertical="center" wrapText="1"/>
    </xf>
    <xf numFmtId="0" fontId="32" fillId="11" borderId="12" xfId="0" applyFont="1" applyFill="1" applyBorder="1" applyAlignment="1">
      <alignment horizontal="left" vertical="center" wrapText="1"/>
    </xf>
    <xf numFmtId="0" fontId="0" fillId="0" borderId="16" xfId="0" applyBorder="1" applyAlignment="1">
      <alignment horizontal="left" vertical="center" wrapText="1"/>
    </xf>
    <xf numFmtId="0" fontId="0" fillId="11" borderId="0" xfId="0" applyFill="1" applyAlignment="1">
      <alignment vertical="center" wrapText="1"/>
    </xf>
    <xf numFmtId="0" fontId="0" fillId="8" borderId="0" xfId="0" applyFill="1" applyProtection="1">
      <protection locked="0"/>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8" borderId="11" xfId="0" applyFill="1" applyBorder="1" applyAlignment="1">
      <alignment vertical="center" wrapText="1"/>
    </xf>
    <xf numFmtId="0" fontId="0" fillId="8" borderId="11" xfId="0" applyFill="1" applyBorder="1" applyAlignment="1">
      <alignment horizontal="left" vertical="center" wrapText="1"/>
    </xf>
    <xf numFmtId="49" fontId="0" fillId="8" borderId="11" xfId="0" applyNumberFormat="1" applyFill="1" applyBorder="1" applyAlignment="1">
      <alignment horizontal="center" vertical="center"/>
    </xf>
    <xf numFmtId="0" fontId="0" fillId="8" borderId="0" xfId="0" applyFill="1" applyAlignment="1" applyProtection="1">
      <alignment vertical="center"/>
      <protection locked="0"/>
    </xf>
    <xf numFmtId="0" fontId="38" fillId="0" borderId="11" xfId="0" applyFont="1" applyBorder="1" applyAlignment="1">
      <alignment horizontal="left" vertical="center"/>
    </xf>
    <xf numFmtId="0" fontId="38" fillId="0" borderId="11" xfId="0" applyFont="1" applyBorder="1" applyAlignment="1">
      <alignment horizontal="center" vertical="center"/>
    </xf>
    <xf numFmtId="0" fontId="0" fillId="0" borderId="12" xfId="0" applyBorder="1" applyAlignment="1" applyProtection="1">
      <alignment horizontal="center" vertical="center"/>
      <protection locked="0"/>
    </xf>
    <xf numFmtId="0" fontId="0" fillId="0" borderId="17" xfId="0" applyBorder="1" applyAlignment="1">
      <alignment horizontal="left" vertical="center" wrapText="1"/>
    </xf>
    <xf numFmtId="0" fontId="0" fillId="11" borderId="14" xfId="0" applyFill="1" applyBorder="1" applyAlignment="1">
      <alignment horizontal="left" vertical="center" wrapText="1"/>
    </xf>
    <xf numFmtId="0" fontId="0" fillId="11" borderId="16" xfId="0" applyFill="1" applyBorder="1" applyAlignment="1">
      <alignment horizontal="left" vertical="center"/>
    </xf>
    <xf numFmtId="0" fontId="35" fillId="11" borderId="17" xfId="0" applyFont="1" applyFill="1" applyBorder="1" applyAlignment="1">
      <alignment horizontal="left" vertical="center" wrapText="1"/>
    </xf>
    <xf numFmtId="0" fontId="0" fillId="11" borderId="16" xfId="0" applyFill="1" applyBorder="1" applyAlignment="1">
      <alignment vertical="center"/>
    </xf>
    <xf numFmtId="0" fontId="35" fillId="11" borderId="16" xfId="0" applyFont="1" applyFill="1" applyBorder="1" applyAlignment="1">
      <alignment horizontal="left" vertical="center" wrapText="1"/>
    </xf>
    <xf numFmtId="0" fontId="35" fillId="11" borderId="26" xfId="0" applyFont="1" applyFill="1" applyBorder="1" applyAlignment="1">
      <alignment horizontal="left" vertical="center" wrapText="1"/>
    </xf>
    <xf numFmtId="0" fontId="0" fillId="11" borderId="12" xfId="0" applyFill="1" applyBorder="1" applyAlignment="1">
      <alignment horizontal="left" vertical="center" wrapText="1"/>
    </xf>
    <xf numFmtId="0" fontId="0" fillId="11" borderId="17" xfId="0" applyFill="1" applyBorder="1" applyAlignment="1">
      <alignment horizontal="left" vertical="center" wrapText="1"/>
    </xf>
    <xf numFmtId="0" fontId="0" fillId="11" borderId="12" xfId="0" applyFill="1" applyBorder="1" applyAlignment="1">
      <alignment vertical="center" wrapText="1"/>
    </xf>
    <xf numFmtId="0" fontId="0" fillId="2" borderId="25" xfId="0" applyFill="1" applyBorder="1" applyAlignment="1">
      <alignment horizontal="left" vertical="center"/>
    </xf>
    <xf numFmtId="0" fontId="0" fillId="0" borderId="18" xfId="0" applyBorder="1" applyAlignment="1">
      <alignment horizontal="left" vertical="center"/>
    </xf>
    <xf numFmtId="0" fontId="0" fillId="10" borderId="16" xfId="0" applyFill="1" applyBorder="1" applyAlignment="1">
      <alignment horizontal="left" vertical="center"/>
    </xf>
    <xf numFmtId="0" fontId="0" fillId="12" borderId="11" xfId="0" applyFill="1" applyBorder="1" applyAlignment="1">
      <alignment horizontal="center" vertical="center"/>
    </xf>
    <xf numFmtId="0" fontId="0" fillId="10" borderId="14" xfId="0" applyFill="1" applyBorder="1" applyAlignment="1">
      <alignment vertical="center" wrapText="1"/>
    </xf>
    <xf numFmtId="0" fontId="40" fillId="0" borderId="11" xfId="0" applyFont="1" applyBorder="1"/>
    <xf numFmtId="0" fontId="0" fillId="10" borderId="22" xfId="0" applyFill="1" applyBorder="1" applyAlignment="1">
      <alignment vertical="center" wrapText="1"/>
    </xf>
    <xf numFmtId="0" fontId="0" fillId="11" borderId="12" xfId="0" applyFill="1" applyBorder="1" applyAlignment="1">
      <alignment vertical="center"/>
    </xf>
    <xf numFmtId="0" fontId="0" fillId="11" borderId="14" xfId="0" applyFill="1" applyBorder="1" applyAlignment="1">
      <alignment horizontal="left" vertical="center"/>
    </xf>
    <xf numFmtId="0" fontId="0" fillId="11" borderId="17" xfId="0" applyFill="1" applyBorder="1" applyAlignment="1">
      <alignment vertical="center"/>
    </xf>
    <xf numFmtId="0" fontId="0" fillId="10" borderId="21" xfId="0" applyFill="1" applyBorder="1" applyAlignment="1">
      <alignment vertical="center" wrapText="1"/>
    </xf>
    <xf numFmtId="0" fontId="32" fillId="10" borderId="25" xfId="0" applyFont="1" applyFill="1" applyBorder="1" applyAlignment="1">
      <alignment horizontal="left" vertical="center" wrapText="1"/>
    </xf>
    <xf numFmtId="0" fontId="32" fillId="10" borderId="17"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4" fillId="3" borderId="12" xfId="0" applyFont="1" applyFill="1" applyBorder="1" applyAlignment="1" applyProtection="1">
      <alignment horizontal="center" vertical="center" wrapText="1" readingOrder="1"/>
      <protection locked="0"/>
    </xf>
    <xf numFmtId="0" fontId="34"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2" borderId="11" xfId="0" applyFont="1" applyFill="1" applyBorder="1" applyAlignment="1">
      <alignment horizontal="left" vertical="center" wrapText="1"/>
    </xf>
    <xf numFmtId="0" fontId="1" fillId="0" borderId="11" xfId="0" quotePrefix="1" applyFont="1" applyBorder="1" applyAlignment="1">
      <alignment horizontal="left" vertical="center" wrapText="1"/>
    </xf>
    <xf numFmtId="0" fontId="1" fillId="13" borderId="11" xfId="0" applyFont="1" applyFill="1" applyBorder="1" applyAlignment="1">
      <alignment horizontal="left" vertical="center"/>
    </xf>
    <xf numFmtId="0" fontId="1" fillId="13" borderId="11" xfId="0" quotePrefix="1" applyFont="1" applyFill="1" applyBorder="1" applyAlignment="1">
      <alignment horizontal="left" vertical="center" wrapText="1"/>
    </xf>
    <xf numFmtId="0" fontId="1" fillId="0" borderId="25" xfId="0" applyFont="1" applyBorder="1" applyAlignment="1">
      <alignment horizontal="left" vertical="center"/>
    </xf>
    <xf numFmtId="0" fontId="1" fillId="0" borderId="14" xfId="0" applyFont="1" applyBorder="1" applyAlignment="1">
      <alignment horizontal="left" vertical="center"/>
    </xf>
    <xf numFmtId="0" fontId="1" fillId="0" borderId="21"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CA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7</xdr:row>
      <xdr:rowOff>57150</xdr:rowOff>
    </xdr:from>
    <xdr:ext cx="10410825" cy="42005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657350"/>
          <a:ext cx="10410825" cy="42005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1</xdr:row>
      <xdr:rowOff>57150</xdr:rowOff>
    </xdr:from>
    <xdr:to>
      <xdr:col>1</xdr:col>
      <xdr:colOff>1219200</xdr:colOff>
      <xdr:row>2</xdr:row>
      <xdr:rowOff>44450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247650"/>
          <a:ext cx="1123950" cy="180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1</xdr:col>
      <xdr:colOff>720166</xdr:colOff>
      <xdr:row>0</xdr:row>
      <xdr:rowOff>330075</xdr:rowOff>
    </xdr:to>
    <xdr:pic>
      <xdr:nvPicPr>
        <xdr:cNvPr id="2" name="Picture 1">
          <a:extLst>
            <a:ext uri="{FF2B5EF4-FFF2-40B4-BE49-F238E27FC236}">
              <a16:creationId xmlns:a16="http://schemas.microsoft.com/office/drawing/2014/main" id="{1400A7D3-BBA0-4D55-975F-D5519F9879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7" tableBorderDxfId="68" totalsRowBorderDxfId="66">
  <autoFilter ref="B5:D671" xr:uid="{00000000-0009-0000-0100-000001000000}"/>
  <sortState xmlns:xlrd2="http://schemas.microsoft.com/office/spreadsheetml/2017/richdata2" ref="B6:D63">
    <sortCondition ref="B5:B6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6" totalsRowShown="0" headerRowDxfId="62" dataDxfId="61" tableBorderDxfId="60">
  <autoFilter ref="B7:Y106" xr:uid="{00000000-0009-0000-0100-000003000000}">
    <filterColumn colId="1">
      <filters>
        <filter val="Loan Account"/>
      </filters>
    </filterColumn>
  </autoFilter>
  <sortState xmlns:xlrd2="http://schemas.microsoft.com/office/spreadsheetml/2017/richdata2" ref="B8:Y106">
    <sortCondition ref="I7:I106"/>
  </sortState>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00000000-0010-0000-0100-000005000000}"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9" totalsRowShown="0" headerRowDxfId="35" dataDxfId="34" tableBorderDxfId="33">
  <autoFilter ref="B2:I29" xr:uid="{00000000-0009-0000-0100-000005000000}"/>
  <sortState xmlns:xlrd2="http://schemas.microsoft.com/office/spreadsheetml/2017/richdata2" ref="B3:I226">
    <sortCondition ref="C2:C226"/>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3" dT="2025-07-18T09:13:20.11" personId="{26201A40-CF6C-47D1-8871-5C6CCB7B3A07}" id="{3ED646C8-5563-478B-8A94-26C725F8BA61}">
    <text>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text>
  </threadedComment>
  <threadedComment ref="U23" dT="2025-07-18T09:14:01.69" personId="{26201A40-CF6C-47D1-8871-5C6CCB7B3A07}" id="{267C9F21-A415-4550-92A0-F40C772246DD}" parentId="{3ED646C8-5563-478B-8A94-26C725F8BA61}">
    <text>Como fazer este case?</text>
  </threadedComment>
  <threadedComment ref="U26" dT="2025-07-17T14:57:47.97" personId="{26201A40-CF6C-47D1-8871-5C6CCB7B3A07}" id="{34AD21A2-C1DF-4B73-861A-0EEA258A335D}">
    <tex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ext>
  </threadedComment>
  <threadedComment ref="U31" dT="2025-07-18T09:32:32.78" personId="{26201A40-CF6C-47D1-8871-5C6CCB7B3A07}" id="{4754C2FA-DD9B-4227-98DA-57889F6C1109}">
    <text>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ext>
  </threadedComment>
</ThreadedComments>
</file>

<file path=xl/threadedComments/threadedComment2.xml><?xml version="1.0" encoding="utf-8"?>
<ThreadedComments xmlns="http://schemas.microsoft.com/office/spreadsheetml/2018/threadedcomments" xmlns:x="http://schemas.openxmlformats.org/spreadsheetml/2006/main">
  <threadedComment ref="C3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0" defaultRowHeight="12.6" zeroHeight="1"/>
  <cols>
    <col min="1" max="1" width="3.7109375" style="1" customWidth="1"/>
    <col min="2" max="13" width="9.42578125" style="1" customWidth="1"/>
    <col min="14" max="14" width="19.7109375" style="1" customWidth="1"/>
    <col min="15" max="15" width="12.28515625" style="1" customWidth="1"/>
    <col min="16" max="16" width="21.140625" style="1" customWidth="1"/>
    <col min="17" max="16383" width="9.42578125" style="1" hidden="1"/>
    <col min="16384" max="16384" width="23.8554687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election activeCell="B30" sqref="B3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39" t="s">
        <v>6</v>
      </c>
    </row>
    <row r="7" spans="1:5" s="4" customFormat="1">
      <c r="B7" s="90" t="s">
        <v>4</v>
      </c>
      <c r="C7" s="90" t="s">
        <v>7</v>
      </c>
      <c r="D7" s="91" t="s">
        <v>8</v>
      </c>
    </row>
    <row r="8" spans="1:5" s="4" customFormat="1">
      <c r="B8" s="38" t="s">
        <v>9</v>
      </c>
      <c r="C8" s="38" t="s">
        <v>10</v>
      </c>
      <c r="D8" s="39" t="s">
        <v>11</v>
      </c>
    </row>
    <row r="9" spans="1:5" s="4" customFormat="1">
      <c r="B9" s="38"/>
      <c r="C9"/>
      <c r="D9" s="39"/>
    </row>
    <row r="10" spans="1:5" s="4" customFormat="1">
      <c r="B10" s="38"/>
      <c r="C10"/>
      <c r="D10" s="39"/>
    </row>
    <row r="11" spans="1:5" s="4" customFormat="1">
      <c r="B11" s="38"/>
      <c r="C11"/>
      <c r="D11" s="25"/>
    </row>
    <row r="12" spans="1:5" s="4" customFormat="1">
      <c r="B12" s="38"/>
      <c r="C12"/>
      <c r="D12" s="25"/>
    </row>
    <row r="13" spans="1:5" s="4" customFormat="1">
      <c r="B13" s="38"/>
      <c r="C13"/>
      <c r="D13" s="39"/>
    </row>
    <row r="14" spans="1:5" s="4" customFormat="1">
      <c r="B14" s="38"/>
      <c r="C14"/>
      <c r="D14" s="25"/>
    </row>
    <row r="15" spans="1:5" s="4" customFormat="1">
      <c r="B15" s="38"/>
      <c r="C15"/>
      <c r="D15" s="39"/>
    </row>
    <row r="16" spans="1:5" s="4" customFormat="1">
      <c r="B16" s="38"/>
      <c r="C16"/>
      <c r="D16" s="39"/>
    </row>
    <row r="17" spans="2:4" s="4" customFormat="1">
      <c r="B17" s="38"/>
      <c r="C17"/>
      <c r="D17" s="25"/>
    </row>
    <row r="18" spans="2:4" s="4" customFormat="1">
      <c r="B18" s="38"/>
      <c r="C18"/>
      <c r="D18" s="25"/>
    </row>
    <row r="19" spans="2:4" s="4" customFormat="1">
      <c r="B19" s="38"/>
      <c r="C19"/>
      <c r="D19" s="25"/>
    </row>
    <row r="20" spans="2:4" s="4" customFormat="1">
      <c r="B20" s="38"/>
      <c r="C20"/>
      <c r="D20" s="25"/>
    </row>
    <row r="21" spans="2:4" s="4" customFormat="1">
      <c r="B21" s="38"/>
      <c r="C21"/>
      <c r="D21" s="39"/>
    </row>
    <row r="22" spans="2:4" s="4" customFormat="1">
      <c r="B22" s="38"/>
      <c r="C22"/>
      <c r="D22" s="39"/>
    </row>
    <row r="23" spans="2:4" s="4" customFormat="1">
      <c r="B23" s="38"/>
      <c r="C23"/>
      <c r="D23" s="39"/>
    </row>
    <row r="24" spans="2:4" s="4" customFormat="1">
      <c r="B24" s="38"/>
      <c r="C24"/>
      <c r="D24" s="25"/>
    </row>
    <row r="25" spans="2:4" s="4" customFormat="1">
      <c r="B25" s="38"/>
      <c r="C25"/>
      <c r="D25" s="39"/>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43"/>
      <c r="C41"/>
      <c r="D41" s="44"/>
    </row>
    <row r="42" spans="2:4" s="4" customFormat="1">
      <c r="B42" s="47"/>
      <c r="C42"/>
      <c r="D42" s="46"/>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c r="B232" s="47"/>
      <c r="D232" s="46"/>
    </row>
    <row r="233" spans="2:4">
      <c r="B233" s="47"/>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6"/>
  <sheetViews>
    <sheetView showGridLines="0" tabSelected="1" topLeftCell="Q1" zoomScale="85" zoomScaleNormal="85" workbookViewId="0">
      <selection activeCell="R1" sqref="R1:S1048576"/>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customWidth="1"/>
    <col min="6" max="6" width="69.85546875" style="29" customWidth="1"/>
    <col min="7" max="7" width="31.28515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50.28515625" style="29" customWidth="1"/>
    <col min="19" max="19" width="38.5703125" style="30" customWidth="1"/>
    <col min="20" max="20" width="44.140625" style="29" customWidth="1"/>
    <col min="21" max="21" width="88.42578125" style="26" customWidth="1"/>
    <col min="22" max="22" width="55.28515625" style="26" customWidth="1"/>
    <col min="23" max="23" width="46.5703125" style="26" customWidth="1"/>
    <col min="24" max="24" width="137.7109375" style="29" customWidth="1"/>
    <col min="25" max="25" width="99" style="28"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5"/>
    </row>
    <row r="5" spans="1:25" s="26" customFormat="1" ht="30" customHeight="1">
      <c r="B5" s="175" t="s">
        <v>13</v>
      </c>
      <c r="C5" s="175"/>
      <c r="D5" s="175"/>
      <c r="E5" s="175"/>
      <c r="F5" s="175"/>
      <c r="G5" s="175"/>
      <c r="H5" s="175"/>
      <c r="I5" s="175"/>
      <c r="J5" s="175"/>
      <c r="K5" s="175"/>
      <c r="L5" s="175"/>
      <c r="M5" s="175"/>
      <c r="N5" s="175"/>
      <c r="O5" s="175"/>
      <c r="P5" s="175"/>
      <c r="Q5" s="176"/>
      <c r="R5" s="181" t="s">
        <v>14</v>
      </c>
      <c r="S5" s="182"/>
      <c r="T5" s="182"/>
      <c r="U5" s="183"/>
      <c r="V5" s="174" t="s">
        <v>15</v>
      </c>
      <c r="W5" s="174"/>
      <c r="X5" s="174"/>
      <c r="Y5" s="174"/>
    </row>
    <row r="6" spans="1:25" ht="30" customHeight="1">
      <c r="B6" s="177" t="s">
        <v>16</v>
      </c>
      <c r="C6" s="177"/>
      <c r="D6" s="177"/>
      <c r="E6" s="177"/>
      <c r="F6" s="177"/>
      <c r="G6" s="177"/>
      <c r="H6" s="177"/>
      <c r="I6" s="177"/>
      <c r="J6" s="177"/>
      <c r="K6" s="177"/>
      <c r="L6" s="177"/>
      <c r="M6" s="177"/>
      <c r="N6" s="177"/>
      <c r="O6" s="177"/>
      <c r="P6" s="177"/>
      <c r="Q6" s="178"/>
      <c r="R6" s="73"/>
      <c r="S6" s="179" t="s">
        <v>17</v>
      </c>
      <c r="T6" s="179"/>
      <c r="U6" s="180"/>
      <c r="V6" s="173" t="s">
        <v>18</v>
      </c>
      <c r="W6" s="173"/>
      <c r="X6" s="173"/>
      <c r="Y6" s="173"/>
    </row>
    <row r="7" spans="1:25" s="62"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5" t="s">
        <v>42</v>
      </c>
    </row>
    <row r="8" spans="1:25" ht="89.25" hidden="1" customHeight="1">
      <c r="B8" s="49" t="s">
        <v>9</v>
      </c>
      <c r="C8" s="49" t="s">
        <v>43</v>
      </c>
      <c r="D8" s="49" t="s">
        <v>10</v>
      </c>
      <c r="E8" s="50">
        <v>0</v>
      </c>
      <c r="F8" s="49" t="s">
        <v>44</v>
      </c>
      <c r="G8" s="49" t="s">
        <v>45</v>
      </c>
      <c r="H8" s="49" t="s">
        <v>46</v>
      </c>
      <c r="I8" s="50">
        <v>1</v>
      </c>
      <c r="J8" s="49" t="s">
        <v>47</v>
      </c>
      <c r="K8" s="50">
        <v>4</v>
      </c>
      <c r="L8" s="50"/>
      <c r="M8" s="50"/>
      <c r="N8" s="77" t="s">
        <v>48</v>
      </c>
      <c r="O8" s="51" t="s">
        <v>49</v>
      </c>
      <c r="P8" s="50" t="s">
        <v>50</v>
      </c>
      <c r="Q8" s="49"/>
      <c r="R8" s="53" t="s">
        <v>51</v>
      </c>
      <c r="S8" s="53" t="s">
        <v>52</v>
      </c>
      <c r="T8" s="138" t="s">
        <v>53</v>
      </c>
      <c r="U8" s="79" t="s">
        <v>54</v>
      </c>
      <c r="V8" s="92" t="s">
        <v>55</v>
      </c>
      <c r="W8" s="95" t="s">
        <v>53</v>
      </c>
      <c r="X8" s="51" t="s">
        <v>53</v>
      </c>
      <c r="Y8" s="58" t="s">
        <v>56</v>
      </c>
    </row>
    <row r="9" spans="1:25" ht="89.25" customHeight="1">
      <c r="B9" s="49" t="s">
        <v>4</v>
      </c>
      <c r="C9" s="49" t="s">
        <v>57</v>
      </c>
      <c r="D9" s="49" t="s">
        <v>5</v>
      </c>
      <c r="E9" s="50">
        <v>1</v>
      </c>
      <c r="F9" s="49" t="s">
        <v>44</v>
      </c>
      <c r="G9" s="49" t="s">
        <v>45</v>
      </c>
      <c r="H9" s="49" t="s">
        <v>46</v>
      </c>
      <c r="I9" s="50">
        <v>1</v>
      </c>
      <c r="J9" s="49" t="s">
        <v>47</v>
      </c>
      <c r="K9" s="50">
        <v>4</v>
      </c>
      <c r="L9" s="50"/>
      <c r="M9" s="50"/>
      <c r="N9" s="76" t="s">
        <v>48</v>
      </c>
      <c r="O9" s="51" t="s">
        <v>49</v>
      </c>
      <c r="P9" s="50" t="s">
        <v>50</v>
      </c>
      <c r="Q9" s="49"/>
      <c r="R9" s="150" t="s">
        <v>58</v>
      </c>
      <c r="S9" s="150" t="s">
        <v>59</v>
      </c>
      <c r="T9" s="53" t="s">
        <v>60</v>
      </c>
      <c r="U9" s="79" t="s">
        <v>61</v>
      </c>
      <c r="V9" s="49" t="s">
        <v>62</v>
      </c>
      <c r="W9" s="52" t="s">
        <v>63</v>
      </c>
      <c r="X9" s="52" t="s">
        <v>63</v>
      </c>
      <c r="Y9" s="50" t="s">
        <v>64</v>
      </c>
    </row>
    <row r="10" spans="1:25" ht="89.25" hidden="1" customHeight="1">
      <c r="B10" s="76" t="s">
        <v>4</v>
      </c>
      <c r="C10" s="76" t="s">
        <v>65</v>
      </c>
      <c r="D10" s="76" t="s">
        <v>7</v>
      </c>
      <c r="E10" s="96">
        <v>2</v>
      </c>
      <c r="F10" s="52" t="s">
        <v>44</v>
      </c>
      <c r="G10" s="52" t="s">
        <v>45</v>
      </c>
      <c r="H10" s="52" t="s">
        <v>66</v>
      </c>
      <c r="I10" s="50">
        <v>1</v>
      </c>
      <c r="J10" s="49" t="s">
        <v>47</v>
      </c>
      <c r="K10" s="50">
        <v>4</v>
      </c>
      <c r="L10" s="50"/>
      <c r="M10" s="50"/>
      <c r="N10" s="76" t="s">
        <v>48</v>
      </c>
      <c r="O10" s="51" t="s">
        <v>49</v>
      </c>
      <c r="P10" s="50" t="s">
        <v>50</v>
      </c>
      <c r="Q10" s="49"/>
      <c r="R10" s="51" t="s">
        <v>67</v>
      </c>
      <c r="S10" s="51" t="s">
        <v>68</v>
      </c>
      <c r="T10" s="51" t="s">
        <v>69</v>
      </c>
      <c r="U10" s="75" t="s">
        <v>70</v>
      </c>
      <c r="V10" s="76" t="s">
        <v>71</v>
      </c>
      <c r="W10" s="51" t="s">
        <v>53</v>
      </c>
      <c r="X10" s="51" t="s">
        <v>53</v>
      </c>
      <c r="Y10" s="58" t="s">
        <v>56</v>
      </c>
    </row>
    <row r="11" spans="1:25" ht="89.25" hidden="1" customHeight="1">
      <c r="B11" s="49" t="s">
        <v>9</v>
      </c>
      <c r="C11" s="49" t="s">
        <v>43</v>
      </c>
      <c r="D11" s="49" t="s">
        <v>10</v>
      </c>
      <c r="E11" s="50">
        <v>0</v>
      </c>
      <c r="F11" s="49" t="s">
        <v>72</v>
      </c>
      <c r="G11" s="49" t="s">
        <v>73</v>
      </c>
      <c r="H11" s="49" t="s">
        <v>46</v>
      </c>
      <c r="I11" s="50">
        <v>2</v>
      </c>
      <c r="J11" s="49" t="s">
        <v>47</v>
      </c>
      <c r="K11" s="50">
        <v>30</v>
      </c>
      <c r="L11" s="50"/>
      <c r="M11" s="50"/>
      <c r="N11" s="51" t="s">
        <v>74</v>
      </c>
      <c r="O11" s="51" t="s">
        <v>75</v>
      </c>
      <c r="P11" s="50" t="s">
        <v>50</v>
      </c>
      <c r="Q11" s="49"/>
      <c r="R11" s="53" t="s">
        <v>51</v>
      </c>
      <c r="S11" s="53" t="s">
        <v>52</v>
      </c>
      <c r="T11" s="53" t="s">
        <v>76</v>
      </c>
      <c r="U11" s="79" t="s">
        <v>77</v>
      </c>
      <c r="V11" s="53" t="s">
        <v>55</v>
      </c>
      <c r="W11" s="51" t="s">
        <v>78</v>
      </c>
      <c r="X11" s="51" t="s">
        <v>79</v>
      </c>
      <c r="Y11" s="58" t="s">
        <v>53</v>
      </c>
    </row>
    <row r="12" spans="1:25" ht="89.25" customHeight="1">
      <c r="B12" s="49" t="s">
        <v>4</v>
      </c>
      <c r="C12" s="49" t="s">
        <v>57</v>
      </c>
      <c r="D12" s="49" t="s">
        <v>5</v>
      </c>
      <c r="E12" s="50">
        <v>1</v>
      </c>
      <c r="F12" s="49" t="s">
        <v>72</v>
      </c>
      <c r="G12" s="49" t="s">
        <v>73</v>
      </c>
      <c r="H12" s="49" t="s">
        <v>46</v>
      </c>
      <c r="I12" s="50">
        <v>2</v>
      </c>
      <c r="J12" s="49" t="s">
        <v>47</v>
      </c>
      <c r="K12" s="50">
        <v>30</v>
      </c>
      <c r="L12" s="50"/>
      <c r="M12" s="50"/>
      <c r="N12" s="51" t="s">
        <v>74</v>
      </c>
      <c r="O12" s="51" t="s">
        <v>75</v>
      </c>
      <c r="P12" s="50" t="s">
        <v>50</v>
      </c>
      <c r="Q12" s="49"/>
      <c r="R12" s="53" t="s">
        <v>80</v>
      </c>
      <c r="S12" s="53" t="s">
        <v>81</v>
      </c>
      <c r="T12" s="53" t="s">
        <v>82</v>
      </c>
      <c r="U12" s="79" t="s">
        <v>83</v>
      </c>
      <c r="V12" s="49" t="s">
        <v>62</v>
      </c>
      <c r="W12" s="52" t="s">
        <v>84</v>
      </c>
      <c r="X12" s="52" t="s">
        <v>85</v>
      </c>
      <c r="Y12" s="50" t="s">
        <v>63</v>
      </c>
    </row>
    <row r="13" spans="1:25" ht="89.25" hidden="1" customHeight="1">
      <c r="B13" s="76" t="s">
        <v>4</v>
      </c>
      <c r="C13" s="76" t="s">
        <v>65</v>
      </c>
      <c r="D13" s="76" t="s">
        <v>7</v>
      </c>
      <c r="E13" s="96">
        <v>2</v>
      </c>
      <c r="F13" s="52" t="s">
        <v>72</v>
      </c>
      <c r="G13" s="52" t="s">
        <v>73</v>
      </c>
      <c r="H13" s="52" t="s">
        <v>66</v>
      </c>
      <c r="I13" s="50">
        <v>2</v>
      </c>
      <c r="J13" s="49" t="s">
        <v>47</v>
      </c>
      <c r="K13" s="50">
        <v>30</v>
      </c>
      <c r="L13" s="50"/>
      <c r="M13" s="50"/>
      <c r="N13" s="76" t="s">
        <v>86</v>
      </c>
      <c r="O13" s="51" t="s">
        <v>87</v>
      </c>
      <c r="P13" s="50" t="s">
        <v>50</v>
      </c>
      <c r="Q13" s="49"/>
      <c r="R13" s="51" t="s">
        <v>51</v>
      </c>
      <c r="S13" s="51" t="s">
        <v>88</v>
      </c>
      <c r="T13" s="51" t="s">
        <v>89</v>
      </c>
      <c r="U13" s="134" t="s">
        <v>90</v>
      </c>
      <c r="V13" s="76" t="s">
        <v>71</v>
      </c>
      <c r="W13" s="51" t="s">
        <v>91</v>
      </c>
      <c r="X13" s="51" t="s">
        <v>92</v>
      </c>
      <c r="Y13" s="96" t="s">
        <v>53</v>
      </c>
    </row>
    <row r="14" spans="1:25" ht="89.25" hidden="1" customHeight="1">
      <c r="B14" s="49" t="s">
        <v>9</v>
      </c>
      <c r="C14" s="49" t="s">
        <v>43</v>
      </c>
      <c r="D14" s="49" t="s">
        <v>10</v>
      </c>
      <c r="E14" s="50">
        <v>0</v>
      </c>
      <c r="F14" s="49" t="s">
        <v>93</v>
      </c>
      <c r="G14" s="49" t="s">
        <v>94</v>
      </c>
      <c r="H14" s="49" t="s">
        <v>95</v>
      </c>
      <c r="I14" s="50">
        <v>3</v>
      </c>
      <c r="J14" s="49" t="s">
        <v>47</v>
      </c>
      <c r="K14" s="50">
        <v>1</v>
      </c>
      <c r="L14" s="50"/>
      <c r="M14" s="50"/>
      <c r="N14" s="51" t="s">
        <v>96</v>
      </c>
      <c r="O14" s="51" t="s">
        <v>97</v>
      </c>
      <c r="P14" s="50"/>
      <c r="Q14" s="49"/>
      <c r="R14" s="53" t="s">
        <v>51</v>
      </c>
      <c r="S14" s="53" t="s">
        <v>52</v>
      </c>
      <c r="T14" s="133" t="s">
        <v>98</v>
      </c>
      <c r="U14" s="79" t="s">
        <v>99</v>
      </c>
      <c r="V14" s="138" t="s">
        <v>55</v>
      </c>
      <c r="W14" s="51" t="s">
        <v>78</v>
      </c>
      <c r="X14" s="53" t="s">
        <v>100</v>
      </c>
      <c r="Y14" s="58" t="s">
        <v>53</v>
      </c>
    </row>
    <row r="15" spans="1:25" ht="89.25" customHeight="1">
      <c r="B15" s="49" t="s">
        <v>4</v>
      </c>
      <c r="C15" s="49" t="s">
        <v>57</v>
      </c>
      <c r="D15" s="49" t="s">
        <v>5</v>
      </c>
      <c r="E15" s="50">
        <v>1</v>
      </c>
      <c r="F15" s="49" t="s">
        <v>101</v>
      </c>
      <c r="G15" s="49" t="s">
        <v>102</v>
      </c>
      <c r="H15" s="52" t="s">
        <v>66</v>
      </c>
      <c r="I15" s="50">
        <v>3</v>
      </c>
      <c r="J15" s="49" t="s">
        <v>47</v>
      </c>
      <c r="K15" s="50">
        <v>4</v>
      </c>
      <c r="L15" s="50"/>
      <c r="M15" s="50"/>
      <c r="N15" s="51" t="s">
        <v>103</v>
      </c>
      <c r="O15" s="51" t="s">
        <v>104</v>
      </c>
      <c r="P15" s="50"/>
      <c r="Q15" s="51" t="s">
        <v>105</v>
      </c>
      <c r="R15" s="53" t="s">
        <v>106</v>
      </c>
      <c r="S15" s="53" t="s">
        <v>107</v>
      </c>
      <c r="T15" s="53" t="s">
        <v>60</v>
      </c>
      <c r="U15" s="136" t="s">
        <v>108</v>
      </c>
      <c r="V15" s="53" t="s">
        <v>62</v>
      </c>
      <c r="W15" s="51" t="s">
        <v>84</v>
      </c>
      <c r="X15" s="53" t="s">
        <v>109</v>
      </c>
      <c r="Y15" s="50" t="s">
        <v>63</v>
      </c>
    </row>
    <row r="16" spans="1:25" ht="89.25" hidden="1" customHeight="1">
      <c r="B16" s="76" t="s">
        <v>4</v>
      </c>
      <c r="C16" s="76" t="s">
        <v>65</v>
      </c>
      <c r="D16" s="76" t="s">
        <v>7</v>
      </c>
      <c r="E16" s="96">
        <v>2</v>
      </c>
      <c r="F16" s="76" t="s">
        <v>110</v>
      </c>
      <c r="G16" s="76" t="s">
        <v>111</v>
      </c>
      <c r="H16" s="52" t="s">
        <v>112</v>
      </c>
      <c r="I16" s="50">
        <v>3</v>
      </c>
      <c r="J16" s="52" t="s">
        <v>113</v>
      </c>
      <c r="K16" s="50"/>
      <c r="L16" s="50"/>
      <c r="M16" s="50"/>
      <c r="N16" s="76" t="s">
        <v>114</v>
      </c>
      <c r="O16" s="51" t="s">
        <v>115</v>
      </c>
      <c r="P16" s="50" t="s">
        <v>50</v>
      </c>
      <c r="Q16" s="49"/>
      <c r="R16" s="51" t="s">
        <v>116</v>
      </c>
      <c r="S16" s="51" t="s">
        <v>88</v>
      </c>
      <c r="T16" s="51" t="s">
        <v>117</v>
      </c>
      <c r="U16" s="75" t="s">
        <v>118</v>
      </c>
      <c r="V16" s="76" t="s">
        <v>71</v>
      </c>
      <c r="W16" s="76" t="s">
        <v>91</v>
      </c>
      <c r="X16" s="76" t="s">
        <v>119</v>
      </c>
      <c r="Y16" s="96" t="s">
        <v>53</v>
      </c>
    </row>
    <row r="17" spans="2:25" ht="89.25" hidden="1" customHeight="1">
      <c r="B17" s="49" t="s">
        <v>9</v>
      </c>
      <c r="C17" s="49" t="s">
        <v>43</v>
      </c>
      <c r="D17" s="49" t="s">
        <v>10</v>
      </c>
      <c r="E17" s="50">
        <v>0</v>
      </c>
      <c r="F17" s="147" t="s">
        <v>120</v>
      </c>
      <c r="G17" s="147" t="s">
        <v>121</v>
      </c>
      <c r="H17" s="52"/>
      <c r="I17" s="50"/>
      <c r="J17" s="49"/>
      <c r="K17" s="50"/>
      <c r="L17" s="50"/>
      <c r="M17" s="149"/>
      <c r="N17" s="76" t="s">
        <v>122</v>
      </c>
      <c r="O17" s="105" t="s">
        <v>123</v>
      </c>
      <c r="P17" s="50"/>
      <c r="Q17" s="49"/>
      <c r="R17" s="51" t="s">
        <v>51</v>
      </c>
      <c r="S17" s="52"/>
      <c r="T17" s="51" t="s">
        <v>124</v>
      </c>
      <c r="U17" s="75" t="s">
        <v>125</v>
      </c>
      <c r="V17" s="147" t="s">
        <v>62</v>
      </c>
      <c r="W17" s="147" t="s">
        <v>126</v>
      </c>
      <c r="X17" s="147" t="s">
        <v>127</v>
      </c>
      <c r="Y17" s="148" t="s">
        <v>128</v>
      </c>
    </row>
    <row r="18" spans="2:25" ht="89.25" hidden="1" customHeight="1">
      <c r="B18" s="49" t="s">
        <v>9</v>
      </c>
      <c r="C18" s="49" t="s">
        <v>43</v>
      </c>
      <c r="D18" s="49" t="s">
        <v>10</v>
      </c>
      <c r="E18" s="50">
        <v>0</v>
      </c>
      <c r="F18" s="147" t="s">
        <v>129</v>
      </c>
      <c r="G18" s="147" t="s">
        <v>130</v>
      </c>
      <c r="H18" s="52"/>
      <c r="I18" s="50"/>
      <c r="J18" s="49"/>
      <c r="K18" s="50"/>
      <c r="L18" s="50"/>
      <c r="M18" s="149"/>
      <c r="N18" s="76" t="s">
        <v>131</v>
      </c>
      <c r="O18" s="105" t="s">
        <v>132</v>
      </c>
      <c r="P18" s="50"/>
      <c r="Q18" s="49"/>
      <c r="R18" s="51" t="s">
        <v>51</v>
      </c>
      <c r="S18" s="52"/>
      <c r="T18" s="51" t="s">
        <v>133</v>
      </c>
      <c r="U18" s="75" t="s">
        <v>134</v>
      </c>
      <c r="V18" s="147" t="s">
        <v>135</v>
      </c>
      <c r="W18" s="147" t="s">
        <v>136</v>
      </c>
      <c r="X18" s="147" t="s">
        <v>137</v>
      </c>
      <c r="Y18" s="148" t="s">
        <v>138</v>
      </c>
    </row>
    <row r="19" spans="2:25" ht="89.25" hidden="1" customHeight="1">
      <c r="B19" s="49" t="s">
        <v>9</v>
      </c>
      <c r="C19" s="49" t="s">
        <v>43</v>
      </c>
      <c r="D19" s="49" t="s">
        <v>10</v>
      </c>
      <c r="E19" s="50">
        <v>0</v>
      </c>
      <c r="F19" s="147"/>
      <c r="G19" s="147" t="s">
        <v>139</v>
      </c>
      <c r="H19" s="52"/>
      <c r="I19" s="50">
        <v>17</v>
      </c>
      <c r="J19" s="49" t="s">
        <v>140</v>
      </c>
      <c r="K19" s="50">
        <v>23</v>
      </c>
      <c r="L19" s="50">
        <v>6</v>
      </c>
      <c r="M19" s="149"/>
      <c r="N19" s="76" t="s">
        <v>141</v>
      </c>
      <c r="O19" s="51" t="s">
        <v>142</v>
      </c>
      <c r="P19" s="50"/>
      <c r="Q19" s="49"/>
      <c r="R19" s="51" t="s">
        <v>143</v>
      </c>
      <c r="S19" s="51" t="s">
        <v>52</v>
      </c>
      <c r="T19" s="51" t="s">
        <v>133</v>
      </c>
      <c r="U19" s="75" t="s">
        <v>144</v>
      </c>
      <c r="V19" s="147" t="s">
        <v>135</v>
      </c>
      <c r="W19" s="147" t="s">
        <v>136</v>
      </c>
      <c r="X19" s="147" t="s">
        <v>145</v>
      </c>
      <c r="Y19" s="148" t="s">
        <v>138</v>
      </c>
    </row>
    <row r="20" spans="2:25" ht="89.25" hidden="1" customHeight="1">
      <c r="B20" s="49" t="s">
        <v>9</v>
      </c>
      <c r="C20" s="49" t="s">
        <v>43</v>
      </c>
      <c r="D20" s="49" t="s">
        <v>10</v>
      </c>
      <c r="E20" s="50">
        <v>0</v>
      </c>
      <c r="F20" s="147"/>
      <c r="G20" s="147" t="s">
        <v>146</v>
      </c>
      <c r="H20" s="52"/>
      <c r="I20" s="50">
        <v>19</v>
      </c>
      <c r="J20" s="49" t="s">
        <v>140</v>
      </c>
      <c r="K20" s="50">
        <v>23</v>
      </c>
      <c r="L20" s="50">
        <v>6</v>
      </c>
      <c r="M20" s="149"/>
      <c r="N20" s="76" t="s">
        <v>147</v>
      </c>
      <c r="O20" s="51" t="s">
        <v>148</v>
      </c>
      <c r="P20" s="50"/>
      <c r="Q20" s="49"/>
      <c r="R20" s="51" t="s">
        <v>143</v>
      </c>
      <c r="S20" s="51" t="s">
        <v>52</v>
      </c>
      <c r="T20" s="51" t="s">
        <v>149</v>
      </c>
      <c r="U20" s="75" t="s">
        <v>150</v>
      </c>
      <c r="V20" s="147" t="s">
        <v>135</v>
      </c>
      <c r="W20" s="147" t="s">
        <v>136</v>
      </c>
      <c r="X20" s="147" t="s">
        <v>145</v>
      </c>
      <c r="Y20" s="148" t="s">
        <v>138</v>
      </c>
    </row>
    <row r="21" spans="2:25" ht="89.25" hidden="1" customHeight="1">
      <c r="B21" s="49" t="s">
        <v>9</v>
      </c>
      <c r="C21" s="49" t="s">
        <v>43</v>
      </c>
      <c r="D21" s="49" t="s">
        <v>10</v>
      </c>
      <c r="E21" s="50">
        <v>0</v>
      </c>
      <c r="F21" s="49" t="s">
        <v>151</v>
      </c>
      <c r="G21" s="49" t="s">
        <v>152</v>
      </c>
      <c r="H21" s="49" t="s">
        <v>153</v>
      </c>
      <c r="I21" s="50">
        <v>4</v>
      </c>
      <c r="J21" s="49" t="s">
        <v>47</v>
      </c>
      <c r="K21" s="50">
        <v>2</v>
      </c>
      <c r="L21" s="50"/>
      <c r="M21" s="50"/>
      <c r="N21" s="51" t="s">
        <v>154</v>
      </c>
      <c r="O21" s="51" t="s">
        <v>155</v>
      </c>
      <c r="P21" s="74" t="s">
        <v>50</v>
      </c>
      <c r="Q21" s="51" t="s">
        <v>156</v>
      </c>
      <c r="R21" s="53" t="s">
        <v>143</v>
      </c>
      <c r="S21" s="53" t="s">
        <v>52</v>
      </c>
      <c r="T21" s="51" t="s">
        <v>53</v>
      </c>
      <c r="U21" s="79" t="s">
        <v>157</v>
      </c>
      <c r="V21" s="53" t="s">
        <v>55</v>
      </c>
      <c r="W21" s="51" t="s">
        <v>78</v>
      </c>
      <c r="X21" s="53" t="s">
        <v>53</v>
      </c>
      <c r="Y21" s="61" t="s">
        <v>158</v>
      </c>
    </row>
    <row r="22" spans="2:25" ht="89.25" customHeight="1">
      <c r="B22" s="49" t="s">
        <v>4</v>
      </c>
      <c r="C22" s="49" t="s">
        <v>57</v>
      </c>
      <c r="D22" s="49" t="s">
        <v>5</v>
      </c>
      <c r="E22" s="50">
        <v>1</v>
      </c>
      <c r="F22" s="49" t="s">
        <v>159</v>
      </c>
      <c r="G22" s="49" t="s">
        <v>160</v>
      </c>
      <c r="H22" s="52" t="s">
        <v>66</v>
      </c>
      <c r="I22" s="50">
        <v>4</v>
      </c>
      <c r="J22" s="49" t="s">
        <v>47</v>
      </c>
      <c r="K22" s="50">
        <v>4</v>
      </c>
      <c r="L22" s="50"/>
      <c r="M22" s="50"/>
      <c r="N22" s="51" t="s">
        <v>161</v>
      </c>
      <c r="O22" s="51" t="s">
        <v>162</v>
      </c>
      <c r="P22" s="50"/>
      <c r="Q22" s="53" t="s">
        <v>163</v>
      </c>
      <c r="R22" s="53" t="s">
        <v>80</v>
      </c>
      <c r="S22" s="53" t="s">
        <v>81</v>
      </c>
      <c r="T22" s="53" t="s">
        <v>164</v>
      </c>
      <c r="U22" s="79" t="s">
        <v>165</v>
      </c>
      <c r="V22" s="49" t="s">
        <v>62</v>
      </c>
      <c r="W22" s="52" t="s">
        <v>84</v>
      </c>
      <c r="X22" s="52" t="s">
        <v>166</v>
      </c>
      <c r="Y22" s="50" t="s">
        <v>63</v>
      </c>
    </row>
    <row r="23" spans="2:25" ht="89.25" hidden="1" customHeight="1">
      <c r="B23" s="76" t="s">
        <v>4</v>
      </c>
      <c r="C23" s="76" t="s">
        <v>65</v>
      </c>
      <c r="D23" s="76" t="s">
        <v>7</v>
      </c>
      <c r="E23" s="50">
        <v>2</v>
      </c>
      <c r="F23" s="76" t="s">
        <v>167</v>
      </c>
      <c r="G23" s="76" t="s">
        <v>168</v>
      </c>
      <c r="H23" s="52" t="s">
        <v>112</v>
      </c>
      <c r="I23" s="50">
        <v>4</v>
      </c>
      <c r="J23" s="52" t="s">
        <v>113</v>
      </c>
      <c r="K23" s="50"/>
      <c r="L23" s="50"/>
      <c r="M23" s="50"/>
      <c r="N23" s="76" t="s">
        <v>169</v>
      </c>
      <c r="O23" s="51" t="s">
        <v>170</v>
      </c>
      <c r="P23" s="50" t="s">
        <v>50</v>
      </c>
      <c r="Q23" s="49"/>
      <c r="R23" s="51" t="s">
        <v>171</v>
      </c>
      <c r="S23" s="51" t="s">
        <v>172</v>
      </c>
      <c r="T23" s="105" t="s">
        <v>173</v>
      </c>
      <c r="U23" s="104" t="s">
        <v>174</v>
      </c>
      <c r="V23" s="76" t="s">
        <v>71</v>
      </c>
      <c r="W23" s="76" t="s">
        <v>175</v>
      </c>
      <c r="X23" s="51" t="s">
        <v>176</v>
      </c>
      <c r="Y23" s="96" t="s">
        <v>177</v>
      </c>
    </row>
    <row r="24" spans="2:25" ht="89.25" hidden="1" customHeight="1">
      <c r="B24" s="49" t="s">
        <v>9</v>
      </c>
      <c r="C24" s="49" t="s">
        <v>43</v>
      </c>
      <c r="D24" s="49" t="s">
        <v>10</v>
      </c>
      <c r="E24" s="50">
        <v>0</v>
      </c>
      <c r="F24" s="49" t="s">
        <v>178</v>
      </c>
      <c r="G24" s="49" t="s">
        <v>179</v>
      </c>
      <c r="H24" s="49" t="s">
        <v>180</v>
      </c>
      <c r="I24" s="50">
        <v>5</v>
      </c>
      <c r="J24" s="49" t="s">
        <v>47</v>
      </c>
      <c r="K24" s="50">
        <v>10</v>
      </c>
      <c r="L24" s="50"/>
      <c r="M24" s="50"/>
      <c r="N24" s="51" t="s">
        <v>181</v>
      </c>
      <c r="O24" s="51" t="s">
        <v>182</v>
      </c>
      <c r="P24" s="74" t="s">
        <v>50</v>
      </c>
      <c r="Q24" s="49"/>
      <c r="R24" s="53" t="s">
        <v>143</v>
      </c>
      <c r="S24" s="53" t="s">
        <v>52</v>
      </c>
      <c r="T24" s="51" t="s">
        <v>183</v>
      </c>
      <c r="U24" s="79" t="s">
        <v>184</v>
      </c>
      <c r="V24" s="53" t="s">
        <v>55</v>
      </c>
      <c r="W24" s="51" t="s">
        <v>78</v>
      </c>
      <c r="X24" s="53" t="s">
        <v>183</v>
      </c>
      <c r="Y24" s="58" t="s">
        <v>53</v>
      </c>
    </row>
    <row r="25" spans="2:25" ht="89.25" customHeight="1">
      <c r="B25" s="49" t="s">
        <v>4</v>
      </c>
      <c r="C25" s="49" t="s">
        <v>57</v>
      </c>
      <c r="D25" s="49" t="s">
        <v>5</v>
      </c>
      <c r="E25" s="50">
        <v>1</v>
      </c>
      <c r="F25" s="49" t="s">
        <v>185</v>
      </c>
      <c r="G25" s="49" t="s">
        <v>186</v>
      </c>
      <c r="H25" s="52" t="s">
        <v>66</v>
      </c>
      <c r="I25" s="50">
        <v>5</v>
      </c>
      <c r="J25" s="49" t="s">
        <v>47</v>
      </c>
      <c r="K25" s="50">
        <v>4</v>
      </c>
      <c r="L25" s="50"/>
      <c r="M25" s="50"/>
      <c r="N25" s="51" t="s">
        <v>187</v>
      </c>
      <c r="O25" s="51" t="s">
        <v>188</v>
      </c>
      <c r="P25" s="50"/>
      <c r="Q25" s="53" t="s">
        <v>189</v>
      </c>
      <c r="R25" s="53" t="s">
        <v>80</v>
      </c>
      <c r="S25" s="53" t="s">
        <v>81</v>
      </c>
      <c r="T25" s="53" t="s">
        <v>190</v>
      </c>
      <c r="U25" s="79" t="s">
        <v>191</v>
      </c>
      <c r="V25" s="49" t="s">
        <v>62</v>
      </c>
      <c r="W25" s="52" t="s">
        <v>84</v>
      </c>
      <c r="X25" s="52" t="s">
        <v>192</v>
      </c>
      <c r="Y25" s="50" t="s">
        <v>63</v>
      </c>
    </row>
    <row r="26" spans="2:25" ht="89.25" hidden="1" customHeight="1">
      <c r="B26" s="76" t="s">
        <v>4</v>
      </c>
      <c r="C26" s="76" t="s">
        <v>65</v>
      </c>
      <c r="D26" s="76" t="s">
        <v>7</v>
      </c>
      <c r="E26" s="96">
        <v>2</v>
      </c>
      <c r="F26" s="66" t="s">
        <v>193</v>
      </c>
      <c r="G26" s="66" t="s">
        <v>194</v>
      </c>
      <c r="H26" s="52" t="s">
        <v>195</v>
      </c>
      <c r="I26" s="50">
        <v>5</v>
      </c>
      <c r="J26" s="52" t="s">
        <v>47</v>
      </c>
      <c r="K26" s="50">
        <v>4</v>
      </c>
      <c r="L26" s="50"/>
      <c r="M26" s="50"/>
      <c r="N26" s="66" t="s">
        <v>196</v>
      </c>
      <c r="O26" s="51" t="s">
        <v>197</v>
      </c>
      <c r="P26" s="50"/>
      <c r="Q26" s="53" t="s">
        <v>198</v>
      </c>
      <c r="R26" s="51" t="s">
        <v>199</v>
      </c>
      <c r="S26" s="51" t="s">
        <v>200</v>
      </c>
      <c r="T26" s="51" t="s">
        <v>201</v>
      </c>
      <c r="U26" s="135" t="s">
        <v>202</v>
      </c>
      <c r="V26" s="76" t="s">
        <v>71</v>
      </c>
      <c r="W26" s="76" t="s">
        <v>91</v>
      </c>
      <c r="X26" s="60" t="s">
        <v>203</v>
      </c>
      <c r="Y26" s="96" t="s">
        <v>204</v>
      </c>
    </row>
    <row r="27" spans="2:25" ht="89.25" hidden="1" customHeight="1">
      <c r="B27" s="49" t="s">
        <v>9</v>
      </c>
      <c r="C27" s="49" t="s">
        <v>43</v>
      </c>
      <c r="D27" s="49" t="s">
        <v>10</v>
      </c>
      <c r="E27" s="50">
        <v>0</v>
      </c>
      <c r="F27" s="49" t="s">
        <v>205</v>
      </c>
      <c r="G27" s="49" t="s">
        <v>206</v>
      </c>
      <c r="H27" s="49" t="s">
        <v>207</v>
      </c>
      <c r="I27" s="50">
        <v>6</v>
      </c>
      <c r="J27" s="49" t="s">
        <v>208</v>
      </c>
      <c r="K27" s="50">
        <v>23</v>
      </c>
      <c r="L27" s="50"/>
      <c r="M27" s="50"/>
      <c r="N27" s="51" t="s">
        <v>209</v>
      </c>
      <c r="O27" s="51" t="s">
        <v>210</v>
      </c>
      <c r="P27" s="50"/>
      <c r="Q27" s="49"/>
      <c r="R27" s="53" t="s">
        <v>143</v>
      </c>
      <c r="S27" s="53" t="s">
        <v>52</v>
      </c>
      <c r="T27" s="51" t="s">
        <v>53</v>
      </c>
      <c r="U27" s="79" t="s">
        <v>211</v>
      </c>
      <c r="V27" s="53" t="s">
        <v>55</v>
      </c>
      <c r="W27" s="51" t="s">
        <v>78</v>
      </c>
      <c r="X27" s="53" t="s">
        <v>53</v>
      </c>
      <c r="Y27" s="58" t="s">
        <v>53</v>
      </c>
    </row>
    <row r="28" spans="2:25" ht="89.25" customHeight="1">
      <c r="B28" s="49" t="s">
        <v>4</v>
      </c>
      <c r="C28" s="49" t="s">
        <v>57</v>
      </c>
      <c r="D28" s="49" t="s">
        <v>5</v>
      </c>
      <c r="E28" s="50">
        <v>1</v>
      </c>
      <c r="F28" s="49" t="s">
        <v>212</v>
      </c>
      <c r="G28" s="49" t="s">
        <v>213</v>
      </c>
      <c r="H28" s="52" t="s">
        <v>66</v>
      </c>
      <c r="I28" s="50">
        <v>6</v>
      </c>
      <c r="J28" s="49" t="s">
        <v>47</v>
      </c>
      <c r="K28" s="50">
        <v>4</v>
      </c>
      <c r="L28" s="50"/>
      <c r="M28" s="50"/>
      <c r="N28" s="63" t="s">
        <v>214</v>
      </c>
      <c r="O28" s="51" t="s">
        <v>215</v>
      </c>
      <c r="P28" s="50"/>
      <c r="Q28" s="49"/>
      <c r="R28" s="53" t="s">
        <v>216</v>
      </c>
      <c r="S28" s="53" t="s">
        <v>217</v>
      </c>
      <c r="T28" s="53" t="s">
        <v>218</v>
      </c>
      <c r="U28" s="93" t="s">
        <v>219</v>
      </c>
      <c r="V28" s="49" t="s">
        <v>62</v>
      </c>
      <c r="W28" s="52" t="s">
        <v>63</v>
      </c>
      <c r="X28" s="52" t="s">
        <v>63</v>
      </c>
      <c r="Y28" s="50" t="s">
        <v>64</v>
      </c>
    </row>
    <row r="29" spans="2:25" ht="89.25" hidden="1" customHeight="1">
      <c r="B29" s="76" t="s">
        <v>4</v>
      </c>
      <c r="C29" s="76" t="s">
        <v>65</v>
      </c>
      <c r="D29" s="76" t="s">
        <v>7</v>
      </c>
      <c r="E29" s="50">
        <v>2</v>
      </c>
      <c r="F29" s="77" t="s">
        <v>220</v>
      </c>
      <c r="G29" s="77" t="s">
        <v>221</v>
      </c>
      <c r="H29" s="52" t="s">
        <v>222</v>
      </c>
      <c r="I29" s="50">
        <v>6</v>
      </c>
      <c r="J29" s="52" t="s">
        <v>47</v>
      </c>
      <c r="K29" s="50">
        <v>4</v>
      </c>
      <c r="L29" s="50"/>
      <c r="M29" s="50"/>
      <c r="N29" s="76" t="s">
        <v>223</v>
      </c>
      <c r="O29" s="51" t="s">
        <v>224</v>
      </c>
      <c r="P29" s="74"/>
      <c r="Q29" s="53" t="s">
        <v>225</v>
      </c>
      <c r="R29" s="51" t="s">
        <v>143</v>
      </c>
      <c r="S29" s="51" t="s">
        <v>226</v>
      </c>
      <c r="T29" s="51" t="s">
        <v>227</v>
      </c>
      <c r="U29" s="135" t="s">
        <v>228</v>
      </c>
      <c r="V29" s="76" t="s">
        <v>71</v>
      </c>
      <c r="W29" s="51" t="s">
        <v>91</v>
      </c>
      <c r="X29" s="60" t="s">
        <v>229</v>
      </c>
      <c r="Y29" s="96" t="s">
        <v>53</v>
      </c>
    </row>
    <row r="30" spans="2:25" ht="89.25" customHeight="1">
      <c r="B30" s="49" t="s">
        <v>4</v>
      </c>
      <c r="C30" s="49" t="s">
        <v>57</v>
      </c>
      <c r="D30" s="49" t="s">
        <v>5</v>
      </c>
      <c r="E30" s="50">
        <v>1</v>
      </c>
      <c r="F30" s="49" t="s">
        <v>230</v>
      </c>
      <c r="G30" s="49" t="s">
        <v>231</v>
      </c>
      <c r="H30" s="52" t="s">
        <v>66</v>
      </c>
      <c r="I30" s="50">
        <v>7</v>
      </c>
      <c r="J30" s="49" t="s">
        <v>47</v>
      </c>
      <c r="K30" s="50">
        <v>30</v>
      </c>
      <c r="L30" s="50"/>
      <c r="M30" s="132"/>
      <c r="N30" s="51" t="s">
        <v>232</v>
      </c>
      <c r="O30" s="51" t="s">
        <v>233</v>
      </c>
      <c r="P30" s="50"/>
      <c r="Q30" s="49"/>
      <c r="R30" s="53" t="s">
        <v>234</v>
      </c>
      <c r="S30" s="53" t="s">
        <v>235</v>
      </c>
      <c r="T30" s="53" t="s">
        <v>236</v>
      </c>
      <c r="U30" s="79" t="s">
        <v>237</v>
      </c>
      <c r="V30" s="53" t="s">
        <v>238</v>
      </c>
      <c r="W30" s="51" t="s">
        <v>239</v>
      </c>
      <c r="X30" s="51" t="s">
        <v>240</v>
      </c>
      <c r="Y30" s="58" t="s">
        <v>241</v>
      </c>
    </row>
    <row r="31" spans="2:25" ht="89.25" hidden="1" customHeight="1">
      <c r="B31" s="76" t="s">
        <v>4</v>
      </c>
      <c r="C31" s="76" t="s">
        <v>65</v>
      </c>
      <c r="D31" s="76" t="s">
        <v>7</v>
      </c>
      <c r="E31" s="50">
        <v>2</v>
      </c>
      <c r="F31" s="77" t="s">
        <v>242</v>
      </c>
      <c r="G31" s="77" t="s">
        <v>243</v>
      </c>
      <c r="H31" s="52" t="s">
        <v>222</v>
      </c>
      <c r="I31" s="50">
        <v>7</v>
      </c>
      <c r="J31" s="52" t="s">
        <v>47</v>
      </c>
      <c r="K31" s="50">
        <v>4</v>
      </c>
      <c r="L31" s="50"/>
      <c r="M31" s="50"/>
      <c r="N31" s="76" t="s">
        <v>244</v>
      </c>
      <c r="O31" s="51" t="s">
        <v>245</v>
      </c>
      <c r="P31" s="74"/>
      <c r="Q31" s="53" t="s">
        <v>246</v>
      </c>
      <c r="R31" s="51" t="s">
        <v>143</v>
      </c>
      <c r="S31" s="51" t="s">
        <v>226</v>
      </c>
      <c r="T31" s="51" t="s">
        <v>247</v>
      </c>
      <c r="U31" s="75" t="s">
        <v>248</v>
      </c>
      <c r="V31" s="76" t="s">
        <v>71</v>
      </c>
      <c r="W31" s="51" t="s">
        <v>91</v>
      </c>
      <c r="X31" s="77" t="s">
        <v>249</v>
      </c>
      <c r="Y31" s="96" t="s">
        <v>53</v>
      </c>
    </row>
    <row r="32" spans="2:25" ht="89.25" customHeight="1">
      <c r="B32" s="49" t="s">
        <v>4</v>
      </c>
      <c r="C32" s="49" t="s">
        <v>57</v>
      </c>
      <c r="D32" s="49" t="s">
        <v>5</v>
      </c>
      <c r="E32" s="50">
        <v>1</v>
      </c>
      <c r="F32" s="49" t="s">
        <v>250</v>
      </c>
      <c r="G32" s="49" t="s">
        <v>251</v>
      </c>
      <c r="H32" s="52" t="s">
        <v>252</v>
      </c>
      <c r="I32" s="58">
        <v>8</v>
      </c>
      <c r="J32" s="49" t="s">
        <v>47</v>
      </c>
      <c r="K32" s="50">
        <v>10</v>
      </c>
      <c r="L32" s="50"/>
      <c r="M32" s="50"/>
      <c r="N32" s="51" t="s">
        <v>253</v>
      </c>
      <c r="O32" s="51" t="s">
        <v>254</v>
      </c>
      <c r="P32" s="50"/>
      <c r="Q32" s="49"/>
      <c r="R32" s="53" t="s">
        <v>80</v>
      </c>
      <c r="S32" s="53" t="s">
        <v>81</v>
      </c>
      <c r="T32" s="53" t="s">
        <v>255</v>
      </c>
      <c r="U32" s="79" t="s">
        <v>256</v>
      </c>
      <c r="V32" s="49" t="s">
        <v>62</v>
      </c>
      <c r="W32" s="52" t="s">
        <v>84</v>
      </c>
      <c r="X32" s="52" t="s">
        <v>257</v>
      </c>
      <c r="Y32" s="50" t="s">
        <v>63</v>
      </c>
    </row>
    <row r="33" spans="1:25" ht="89.25" hidden="1" customHeight="1">
      <c r="B33" s="76" t="s">
        <v>4</v>
      </c>
      <c r="C33" s="76" t="s">
        <v>65</v>
      </c>
      <c r="D33" s="76" t="s">
        <v>7</v>
      </c>
      <c r="E33" s="50">
        <v>2</v>
      </c>
      <c r="F33" s="77" t="s">
        <v>258</v>
      </c>
      <c r="G33" s="77" t="s">
        <v>259</v>
      </c>
      <c r="H33" s="52" t="s">
        <v>222</v>
      </c>
      <c r="I33" s="50">
        <v>8</v>
      </c>
      <c r="J33" s="52" t="s">
        <v>47</v>
      </c>
      <c r="K33" s="50">
        <v>4</v>
      </c>
      <c r="L33" s="50"/>
      <c r="M33" s="50"/>
      <c r="N33" s="66" t="s">
        <v>260</v>
      </c>
      <c r="O33" s="51" t="s">
        <v>261</v>
      </c>
      <c r="P33" s="74"/>
      <c r="Q33" s="53" t="s">
        <v>262</v>
      </c>
      <c r="R33" s="51" t="s">
        <v>143</v>
      </c>
      <c r="S33" s="51" t="s">
        <v>226</v>
      </c>
      <c r="T33" s="51" t="s">
        <v>263</v>
      </c>
      <c r="U33" s="75" t="s">
        <v>264</v>
      </c>
      <c r="V33" s="76" t="s">
        <v>71</v>
      </c>
      <c r="W33" s="51" t="s">
        <v>91</v>
      </c>
      <c r="X33" s="60" t="s">
        <v>265</v>
      </c>
      <c r="Y33" s="98" t="s">
        <v>266</v>
      </c>
    </row>
    <row r="34" spans="1:25" s="146" customFormat="1" ht="89.25" customHeight="1">
      <c r="A34" s="140"/>
      <c r="B34" s="141" t="s">
        <v>4</v>
      </c>
      <c r="C34" s="141" t="s">
        <v>57</v>
      </c>
      <c r="D34" s="141" t="s">
        <v>5</v>
      </c>
      <c r="E34" s="142">
        <v>1</v>
      </c>
      <c r="F34" s="141" t="s">
        <v>267</v>
      </c>
      <c r="G34" s="141" t="s">
        <v>268</v>
      </c>
      <c r="H34" s="52" t="s">
        <v>252</v>
      </c>
      <c r="I34" s="142">
        <v>9</v>
      </c>
      <c r="J34" s="49" t="s">
        <v>47</v>
      </c>
      <c r="K34" s="50">
        <v>10</v>
      </c>
      <c r="L34" s="50"/>
      <c r="M34" s="50"/>
      <c r="N34" s="51" t="s">
        <v>269</v>
      </c>
      <c r="O34" s="143" t="s">
        <v>270</v>
      </c>
      <c r="P34" s="142"/>
      <c r="Q34" s="141"/>
      <c r="R34" s="144" t="s">
        <v>51</v>
      </c>
      <c r="S34" s="144" t="s">
        <v>52</v>
      </c>
      <c r="T34" s="144" t="s">
        <v>271</v>
      </c>
      <c r="U34" s="93" t="s">
        <v>272</v>
      </c>
      <c r="V34" s="144" t="s">
        <v>62</v>
      </c>
      <c r="W34" s="143" t="s">
        <v>84</v>
      </c>
      <c r="X34" s="143" t="s">
        <v>273</v>
      </c>
      <c r="Y34" s="145" t="s">
        <v>63</v>
      </c>
    </row>
    <row r="35" spans="1:25" ht="89.25" hidden="1" customHeight="1">
      <c r="B35" s="76" t="s">
        <v>4</v>
      </c>
      <c r="C35" s="76" t="s">
        <v>65</v>
      </c>
      <c r="D35" s="77" t="s">
        <v>7</v>
      </c>
      <c r="E35" s="98">
        <v>2</v>
      </c>
      <c r="F35" s="77" t="s">
        <v>274</v>
      </c>
      <c r="G35" s="77" t="s">
        <v>275</v>
      </c>
      <c r="H35" s="52"/>
      <c r="I35" s="50">
        <v>9</v>
      </c>
      <c r="J35" s="52" t="s">
        <v>47</v>
      </c>
      <c r="K35" s="50">
        <v>4</v>
      </c>
      <c r="L35" s="50"/>
      <c r="M35" s="50"/>
      <c r="N35" s="66" t="s">
        <v>276</v>
      </c>
      <c r="O35" s="51" t="s">
        <v>277</v>
      </c>
      <c r="P35" s="50"/>
      <c r="Q35" s="49"/>
      <c r="R35" s="97" t="s">
        <v>278</v>
      </c>
      <c r="S35" s="97" t="s">
        <v>279</v>
      </c>
      <c r="T35" s="97" t="s">
        <v>280</v>
      </c>
      <c r="U35" s="79" t="s">
        <v>281</v>
      </c>
      <c r="V35" s="76" t="s">
        <v>71</v>
      </c>
      <c r="W35" s="76" t="s">
        <v>91</v>
      </c>
      <c r="X35" s="60" t="s">
        <v>282</v>
      </c>
      <c r="Y35" s="96" t="s">
        <v>177</v>
      </c>
    </row>
    <row r="36" spans="1:25" ht="89.25" customHeight="1">
      <c r="B36" s="49" t="s">
        <v>4</v>
      </c>
      <c r="C36" s="49" t="s">
        <v>57</v>
      </c>
      <c r="D36" s="49" t="s">
        <v>5</v>
      </c>
      <c r="E36" s="50">
        <v>1</v>
      </c>
      <c r="F36" s="49" t="s">
        <v>283</v>
      </c>
      <c r="G36" s="49" t="s">
        <v>284</v>
      </c>
      <c r="H36" s="52" t="s">
        <v>285</v>
      </c>
      <c r="I36" s="50">
        <v>10</v>
      </c>
      <c r="J36" s="49" t="s">
        <v>47</v>
      </c>
      <c r="K36" s="50">
        <v>4</v>
      </c>
      <c r="L36" s="50"/>
      <c r="M36" s="50"/>
      <c r="N36" s="51" t="s">
        <v>286</v>
      </c>
      <c r="O36" s="51" t="s">
        <v>287</v>
      </c>
      <c r="P36" s="50"/>
      <c r="Q36" s="53" t="s">
        <v>288</v>
      </c>
      <c r="R36" s="53" t="s">
        <v>80</v>
      </c>
      <c r="S36" s="53" t="s">
        <v>81</v>
      </c>
      <c r="T36" s="53" t="s">
        <v>289</v>
      </c>
      <c r="U36" s="79" t="s">
        <v>290</v>
      </c>
      <c r="V36" s="49" t="s">
        <v>62</v>
      </c>
      <c r="W36" s="52" t="s">
        <v>84</v>
      </c>
      <c r="X36" s="52" t="s">
        <v>291</v>
      </c>
      <c r="Y36" s="50" t="s">
        <v>63</v>
      </c>
    </row>
    <row r="37" spans="1:25" ht="89.25" hidden="1" customHeight="1">
      <c r="B37" s="76" t="s">
        <v>4</v>
      </c>
      <c r="C37" s="76" t="s">
        <v>65</v>
      </c>
      <c r="D37" s="76" t="s">
        <v>7</v>
      </c>
      <c r="E37" s="96">
        <v>2</v>
      </c>
      <c r="F37" s="52" t="s">
        <v>283</v>
      </c>
      <c r="G37" s="66" t="s">
        <v>284</v>
      </c>
      <c r="H37" s="52" t="s">
        <v>195</v>
      </c>
      <c r="I37" s="50">
        <v>10</v>
      </c>
      <c r="J37" s="52" t="s">
        <v>47</v>
      </c>
      <c r="K37" s="50">
        <v>4</v>
      </c>
      <c r="L37" s="50"/>
      <c r="M37" s="50"/>
      <c r="N37" s="76" t="s">
        <v>292</v>
      </c>
      <c r="O37" s="51" t="s">
        <v>293</v>
      </c>
      <c r="P37" s="50"/>
      <c r="Q37" s="53" t="s">
        <v>294</v>
      </c>
      <c r="R37" s="51" t="s">
        <v>67</v>
      </c>
      <c r="S37" s="51" t="s">
        <v>226</v>
      </c>
      <c r="T37" s="51" t="s">
        <v>295</v>
      </c>
      <c r="U37" s="75" t="s">
        <v>296</v>
      </c>
      <c r="V37" s="76" t="s">
        <v>71</v>
      </c>
      <c r="W37" s="51" t="s">
        <v>91</v>
      </c>
      <c r="X37" s="51" t="s">
        <v>297</v>
      </c>
      <c r="Y37" s="96" t="s">
        <v>53</v>
      </c>
    </row>
    <row r="38" spans="1:25" ht="89.25" customHeight="1">
      <c r="B38" s="49" t="s">
        <v>4</v>
      </c>
      <c r="C38" s="49" t="s">
        <v>57</v>
      </c>
      <c r="D38" s="49" t="s">
        <v>5</v>
      </c>
      <c r="E38" s="50">
        <v>1</v>
      </c>
      <c r="F38" s="125" t="s">
        <v>298</v>
      </c>
      <c r="G38" s="125" t="s">
        <v>299</v>
      </c>
      <c r="H38" s="52" t="s">
        <v>95</v>
      </c>
      <c r="I38" s="50">
        <v>11</v>
      </c>
      <c r="J38" s="49" t="s">
        <v>47</v>
      </c>
      <c r="K38" s="50">
        <v>4</v>
      </c>
      <c r="L38" s="50"/>
      <c r="M38" s="132"/>
      <c r="N38" s="51" t="s">
        <v>300</v>
      </c>
      <c r="O38" s="51" t="s">
        <v>301</v>
      </c>
      <c r="P38" s="50"/>
      <c r="Q38" s="52"/>
      <c r="R38" s="53" t="s">
        <v>58</v>
      </c>
      <c r="S38" s="53" t="s">
        <v>59</v>
      </c>
      <c r="T38" s="59" t="s">
        <v>60</v>
      </c>
      <c r="U38" s="79" t="s">
        <v>302</v>
      </c>
      <c r="V38" s="53" t="s">
        <v>135</v>
      </c>
      <c r="W38" s="51" t="s">
        <v>128</v>
      </c>
      <c r="X38" s="51" t="s">
        <v>128</v>
      </c>
      <c r="Y38" s="58" t="s">
        <v>303</v>
      </c>
    </row>
    <row r="39" spans="1:25" ht="89.25" hidden="1" customHeight="1">
      <c r="B39" s="76" t="s">
        <v>4</v>
      </c>
      <c r="C39" s="76" t="s">
        <v>65</v>
      </c>
      <c r="D39" s="76" t="s">
        <v>7</v>
      </c>
      <c r="E39" s="96">
        <v>2</v>
      </c>
      <c r="F39" s="76" t="s">
        <v>304</v>
      </c>
      <c r="G39" s="76" t="s">
        <v>305</v>
      </c>
      <c r="H39" s="52" t="s">
        <v>306</v>
      </c>
      <c r="I39" s="50">
        <v>11</v>
      </c>
      <c r="J39" s="52" t="s">
        <v>47</v>
      </c>
      <c r="K39" s="50">
        <v>10</v>
      </c>
      <c r="L39" s="50"/>
      <c r="M39" s="132"/>
      <c r="N39" s="76" t="s">
        <v>307</v>
      </c>
      <c r="O39" s="51" t="s">
        <v>308</v>
      </c>
      <c r="P39" s="74"/>
      <c r="Q39" s="49"/>
      <c r="R39" s="51" t="s">
        <v>143</v>
      </c>
      <c r="S39" s="51" t="s">
        <v>226</v>
      </c>
      <c r="T39" s="51" t="s">
        <v>309</v>
      </c>
      <c r="U39" s="75" t="s">
        <v>310</v>
      </c>
      <c r="V39" s="76" t="s">
        <v>71</v>
      </c>
      <c r="W39" s="51" t="s">
        <v>91</v>
      </c>
      <c r="X39" s="51" t="s">
        <v>311</v>
      </c>
      <c r="Y39" s="96" t="s">
        <v>53</v>
      </c>
    </row>
    <row r="40" spans="1:25" ht="89.25" customHeight="1">
      <c r="B40" s="49" t="s">
        <v>4</v>
      </c>
      <c r="C40" s="49" t="s">
        <v>57</v>
      </c>
      <c r="D40" s="49" t="s">
        <v>5</v>
      </c>
      <c r="E40" s="50">
        <v>1</v>
      </c>
      <c r="F40" s="49" t="s">
        <v>312</v>
      </c>
      <c r="G40" s="49" t="s">
        <v>313</v>
      </c>
      <c r="H40" s="52" t="s">
        <v>314</v>
      </c>
      <c r="I40" s="50">
        <v>12</v>
      </c>
      <c r="J40" s="49" t="s">
        <v>140</v>
      </c>
      <c r="K40" s="50">
        <v>23</v>
      </c>
      <c r="L40" s="50">
        <v>6</v>
      </c>
      <c r="M40" s="50"/>
      <c r="N40" s="51" t="s">
        <v>315</v>
      </c>
      <c r="O40" s="51" t="s">
        <v>316</v>
      </c>
      <c r="P40" s="50"/>
      <c r="Q40" s="49"/>
      <c r="R40" s="53" t="s">
        <v>80</v>
      </c>
      <c r="S40" s="53" t="s">
        <v>81</v>
      </c>
      <c r="T40" s="59" t="s">
        <v>317</v>
      </c>
      <c r="U40" s="79" t="s">
        <v>318</v>
      </c>
      <c r="V40" s="53" t="s">
        <v>62</v>
      </c>
      <c r="W40" s="51" t="s">
        <v>84</v>
      </c>
      <c r="X40" s="49" t="s">
        <v>319</v>
      </c>
      <c r="Y40" s="58" t="s">
        <v>63</v>
      </c>
    </row>
    <row r="41" spans="1:25" ht="89.25" hidden="1" customHeight="1">
      <c r="B41" s="76" t="s">
        <v>4</v>
      </c>
      <c r="C41" s="76" t="s">
        <v>65</v>
      </c>
      <c r="D41" s="76" t="s">
        <v>7</v>
      </c>
      <c r="E41" s="96">
        <v>2</v>
      </c>
      <c r="F41" s="76" t="s">
        <v>320</v>
      </c>
      <c r="G41" s="76" t="s">
        <v>321</v>
      </c>
      <c r="H41" s="52" t="s">
        <v>306</v>
      </c>
      <c r="I41" s="50">
        <v>12</v>
      </c>
      <c r="J41" s="52" t="s">
        <v>47</v>
      </c>
      <c r="K41" s="50">
        <v>10</v>
      </c>
      <c r="L41" s="50"/>
      <c r="M41" s="50"/>
      <c r="N41" s="76" t="s">
        <v>322</v>
      </c>
      <c r="O41" s="52" t="s">
        <v>323</v>
      </c>
      <c r="P41" s="50"/>
      <c r="Q41" s="49"/>
      <c r="R41" s="51" t="s">
        <v>324</v>
      </c>
      <c r="S41" s="51" t="s">
        <v>88</v>
      </c>
      <c r="T41" s="51" t="s">
        <v>325</v>
      </c>
      <c r="U41" s="104" t="s">
        <v>326</v>
      </c>
      <c r="V41" s="76" t="s">
        <v>71</v>
      </c>
      <c r="W41" s="51" t="s">
        <v>327</v>
      </c>
      <c r="X41" s="51" t="s">
        <v>328</v>
      </c>
      <c r="Y41" s="96" t="s">
        <v>53</v>
      </c>
    </row>
    <row r="42" spans="1:25" ht="89.25" customHeight="1">
      <c r="B42" s="111" t="s">
        <v>4</v>
      </c>
      <c r="C42" s="111" t="s">
        <v>57</v>
      </c>
      <c r="D42" s="111" t="s">
        <v>5</v>
      </c>
      <c r="E42" s="112">
        <v>1</v>
      </c>
      <c r="F42" s="111" t="s">
        <v>120</v>
      </c>
      <c r="G42" s="111" t="s">
        <v>121</v>
      </c>
      <c r="H42" s="111" t="s">
        <v>314</v>
      </c>
      <c r="I42" s="112">
        <v>13</v>
      </c>
      <c r="J42" s="111" t="s">
        <v>140</v>
      </c>
      <c r="K42" s="112">
        <v>23</v>
      </c>
      <c r="L42" s="112">
        <v>6</v>
      </c>
      <c r="M42" s="113"/>
      <c r="N42" s="114" t="s">
        <v>122</v>
      </c>
      <c r="O42" s="114" t="s">
        <v>123</v>
      </c>
      <c r="P42" s="112"/>
      <c r="Q42" s="115"/>
      <c r="R42" s="116" t="s">
        <v>329</v>
      </c>
      <c r="S42" s="116" t="s">
        <v>330</v>
      </c>
      <c r="T42" s="116" t="s">
        <v>331</v>
      </c>
      <c r="U42" s="117" t="s">
        <v>332</v>
      </c>
      <c r="V42" s="111" t="s">
        <v>333</v>
      </c>
      <c r="W42" s="111" t="s">
        <v>333</v>
      </c>
      <c r="X42" s="111" t="s">
        <v>333</v>
      </c>
      <c r="Y42" s="112" t="s">
        <v>333</v>
      </c>
    </row>
    <row r="43" spans="1:25" ht="89.25" hidden="1" customHeight="1">
      <c r="B43" s="76" t="s">
        <v>4</v>
      </c>
      <c r="C43" s="76" t="s">
        <v>65</v>
      </c>
      <c r="D43" s="76" t="s">
        <v>7</v>
      </c>
      <c r="E43" s="96">
        <v>2</v>
      </c>
      <c r="F43" s="52" t="s">
        <v>334</v>
      </c>
      <c r="G43" s="76" t="s">
        <v>335</v>
      </c>
      <c r="H43" s="52" t="s">
        <v>336</v>
      </c>
      <c r="I43" s="50">
        <v>13</v>
      </c>
      <c r="J43" s="52" t="s">
        <v>140</v>
      </c>
      <c r="K43" s="50">
        <v>23</v>
      </c>
      <c r="L43" s="50">
        <v>6</v>
      </c>
      <c r="M43" s="132"/>
      <c r="N43" s="76" t="s">
        <v>337</v>
      </c>
      <c r="O43" s="51" t="s">
        <v>338</v>
      </c>
      <c r="P43" s="50"/>
      <c r="Q43" s="49"/>
      <c r="R43" s="51" t="s">
        <v>143</v>
      </c>
      <c r="S43" s="51" t="s">
        <v>226</v>
      </c>
      <c r="T43" s="51" t="s">
        <v>339</v>
      </c>
      <c r="U43" s="72" t="s">
        <v>340</v>
      </c>
      <c r="V43" s="76" t="s">
        <v>71</v>
      </c>
      <c r="W43" s="51" t="s">
        <v>91</v>
      </c>
      <c r="X43" s="60" t="s">
        <v>341</v>
      </c>
      <c r="Y43" s="96" t="s">
        <v>53</v>
      </c>
    </row>
    <row r="44" spans="1:25" ht="89.25" customHeight="1">
      <c r="B44" s="82" t="s">
        <v>4</v>
      </c>
      <c r="C44" s="82" t="s">
        <v>57</v>
      </c>
      <c r="D44" s="82" t="s">
        <v>5</v>
      </c>
      <c r="E44" s="83">
        <v>1</v>
      </c>
      <c r="F44" s="82" t="s">
        <v>342</v>
      </c>
      <c r="G44" s="82" t="s">
        <v>343</v>
      </c>
      <c r="H44" s="82" t="s">
        <v>314</v>
      </c>
      <c r="I44" s="83">
        <v>14</v>
      </c>
      <c r="J44" s="82" t="s">
        <v>140</v>
      </c>
      <c r="K44" s="83">
        <v>23</v>
      </c>
      <c r="L44" s="83">
        <v>6</v>
      </c>
      <c r="M44" s="110"/>
      <c r="N44" s="85"/>
      <c r="O44" s="85" t="s">
        <v>344</v>
      </c>
      <c r="P44" s="83"/>
      <c r="Q44" s="82"/>
      <c r="R44" s="86" t="s">
        <v>345</v>
      </c>
      <c r="S44" s="85" t="s">
        <v>346</v>
      </c>
      <c r="T44" s="85" t="s">
        <v>347</v>
      </c>
      <c r="U44" s="88" t="s">
        <v>348</v>
      </c>
      <c r="V44" s="82" t="s">
        <v>333</v>
      </c>
      <c r="W44" s="82" t="s">
        <v>333</v>
      </c>
      <c r="X44" s="82" t="s">
        <v>333</v>
      </c>
      <c r="Y44" s="83" t="s">
        <v>333</v>
      </c>
    </row>
    <row r="45" spans="1:25" ht="89.25" hidden="1" customHeight="1">
      <c r="B45" s="76" t="s">
        <v>4</v>
      </c>
      <c r="C45" s="76" t="s">
        <v>65</v>
      </c>
      <c r="D45" s="76" t="s">
        <v>7</v>
      </c>
      <c r="E45" s="50">
        <v>2</v>
      </c>
      <c r="F45" s="77" t="s">
        <v>349</v>
      </c>
      <c r="G45" s="77" t="s">
        <v>350</v>
      </c>
      <c r="H45" s="52" t="s">
        <v>351</v>
      </c>
      <c r="I45" s="50">
        <v>14</v>
      </c>
      <c r="J45" s="52" t="s">
        <v>47</v>
      </c>
      <c r="K45" s="50">
        <v>10</v>
      </c>
      <c r="L45" s="50"/>
      <c r="M45" s="132"/>
      <c r="N45" s="76" t="s">
        <v>352</v>
      </c>
      <c r="O45" s="51" t="s">
        <v>353</v>
      </c>
      <c r="P45" s="74"/>
      <c r="Q45" s="49"/>
      <c r="R45" s="51" t="s">
        <v>354</v>
      </c>
      <c r="S45" s="51" t="s">
        <v>355</v>
      </c>
      <c r="T45" s="51" t="s">
        <v>356</v>
      </c>
      <c r="U45" s="75" t="s">
        <v>357</v>
      </c>
      <c r="V45" s="76" t="s">
        <v>71</v>
      </c>
      <c r="W45" s="51" t="s">
        <v>358</v>
      </c>
      <c r="X45" s="77" t="s">
        <v>359</v>
      </c>
      <c r="Y45" s="96" t="s">
        <v>360</v>
      </c>
    </row>
    <row r="46" spans="1:25" ht="89.25" customHeight="1">
      <c r="B46" s="111" t="s">
        <v>4</v>
      </c>
      <c r="C46" s="111" t="s">
        <v>57</v>
      </c>
      <c r="D46" s="111" t="s">
        <v>5</v>
      </c>
      <c r="E46" s="112">
        <v>1</v>
      </c>
      <c r="F46" s="111" t="s">
        <v>129</v>
      </c>
      <c r="G46" s="111" t="s">
        <v>130</v>
      </c>
      <c r="H46" s="111" t="s">
        <v>314</v>
      </c>
      <c r="I46" s="112">
        <v>15</v>
      </c>
      <c r="J46" s="111" t="s">
        <v>140</v>
      </c>
      <c r="K46" s="112">
        <v>23</v>
      </c>
      <c r="L46" s="112">
        <v>6</v>
      </c>
      <c r="M46" s="113"/>
      <c r="N46" s="114" t="s">
        <v>131</v>
      </c>
      <c r="O46" s="114" t="s">
        <v>132</v>
      </c>
      <c r="P46" s="112"/>
      <c r="Q46" s="115"/>
      <c r="R46" s="116" t="s">
        <v>329</v>
      </c>
      <c r="S46" s="116" t="s">
        <v>330</v>
      </c>
      <c r="T46" s="116" t="s">
        <v>361</v>
      </c>
      <c r="U46" s="117" t="s">
        <v>362</v>
      </c>
      <c r="V46" s="111" t="s">
        <v>333</v>
      </c>
      <c r="W46" s="111" t="s">
        <v>333</v>
      </c>
      <c r="X46" s="111" t="s">
        <v>333</v>
      </c>
      <c r="Y46" s="112" t="s">
        <v>333</v>
      </c>
    </row>
    <row r="47" spans="1:25" ht="89.25" hidden="1" customHeight="1">
      <c r="B47" s="76" t="s">
        <v>4</v>
      </c>
      <c r="C47" s="76" t="s">
        <v>65</v>
      </c>
      <c r="D47" s="76" t="s">
        <v>7</v>
      </c>
      <c r="E47" s="98">
        <v>2</v>
      </c>
      <c r="F47" s="77" t="s">
        <v>363</v>
      </c>
      <c r="G47" s="77" t="s">
        <v>364</v>
      </c>
      <c r="H47" s="52" t="s">
        <v>351</v>
      </c>
      <c r="I47" s="50">
        <v>15</v>
      </c>
      <c r="J47" s="52" t="s">
        <v>47</v>
      </c>
      <c r="K47" s="50"/>
      <c r="L47" s="50"/>
      <c r="M47" s="132"/>
      <c r="N47" s="76" t="s">
        <v>365</v>
      </c>
      <c r="O47" s="51" t="s">
        <v>366</v>
      </c>
      <c r="P47" s="74"/>
      <c r="Q47" s="49"/>
      <c r="R47" s="51" t="s">
        <v>367</v>
      </c>
      <c r="S47" s="51" t="s">
        <v>368</v>
      </c>
      <c r="T47" s="51" t="s">
        <v>369</v>
      </c>
      <c r="U47" s="75" t="s">
        <v>370</v>
      </c>
      <c r="V47" s="76" t="s">
        <v>71</v>
      </c>
      <c r="W47" s="51" t="s">
        <v>358</v>
      </c>
      <c r="X47" s="77" t="s">
        <v>371</v>
      </c>
      <c r="Y47" s="96" t="s">
        <v>360</v>
      </c>
    </row>
    <row r="48" spans="1:25" ht="89.25" customHeight="1">
      <c r="B48" s="82" t="s">
        <v>4</v>
      </c>
      <c r="C48" s="82" t="s">
        <v>57</v>
      </c>
      <c r="D48" s="82" t="s">
        <v>5</v>
      </c>
      <c r="E48" s="83">
        <v>1</v>
      </c>
      <c r="F48" s="82" t="s">
        <v>372</v>
      </c>
      <c r="G48" s="82" t="s">
        <v>373</v>
      </c>
      <c r="H48" s="82" t="s">
        <v>314</v>
      </c>
      <c r="I48" s="83">
        <v>16</v>
      </c>
      <c r="J48" s="82" t="s">
        <v>140</v>
      </c>
      <c r="K48" s="83">
        <v>23</v>
      </c>
      <c r="L48" s="83">
        <v>6</v>
      </c>
      <c r="M48" s="110"/>
      <c r="N48" s="85"/>
      <c r="O48" s="85" t="s">
        <v>374</v>
      </c>
      <c r="P48" s="83"/>
      <c r="Q48" s="82"/>
      <c r="R48" s="86" t="s">
        <v>345</v>
      </c>
      <c r="S48" s="85" t="s">
        <v>346</v>
      </c>
      <c r="T48" s="85" t="s">
        <v>375</v>
      </c>
      <c r="U48" s="88" t="s">
        <v>376</v>
      </c>
      <c r="V48" s="82" t="s">
        <v>333</v>
      </c>
      <c r="W48" s="82" t="s">
        <v>333</v>
      </c>
      <c r="X48" s="82" t="s">
        <v>333</v>
      </c>
      <c r="Y48" s="83" t="s">
        <v>333</v>
      </c>
    </row>
    <row r="49" spans="2:25" ht="89.25" hidden="1" customHeight="1">
      <c r="B49" s="76" t="s">
        <v>4</v>
      </c>
      <c r="C49" s="76" t="s">
        <v>65</v>
      </c>
      <c r="D49" s="76" t="s">
        <v>7</v>
      </c>
      <c r="E49" s="50">
        <v>2</v>
      </c>
      <c r="F49" s="52" t="s">
        <v>377</v>
      </c>
      <c r="G49" s="52" t="s">
        <v>378</v>
      </c>
      <c r="H49" s="52" t="s">
        <v>351</v>
      </c>
      <c r="I49" s="50">
        <v>16</v>
      </c>
      <c r="J49" s="52" t="s">
        <v>47</v>
      </c>
      <c r="K49" s="50"/>
      <c r="L49" s="50"/>
      <c r="M49" s="132"/>
      <c r="N49" s="51" t="s">
        <v>379</v>
      </c>
      <c r="O49" s="51" t="s">
        <v>380</v>
      </c>
      <c r="P49" s="50"/>
      <c r="Q49" s="49"/>
      <c r="R49" s="51" t="s">
        <v>367</v>
      </c>
      <c r="S49" s="51" t="s">
        <v>381</v>
      </c>
      <c r="T49" s="51" t="s">
        <v>382</v>
      </c>
      <c r="U49" s="75" t="s">
        <v>383</v>
      </c>
      <c r="V49" s="76" t="s">
        <v>71</v>
      </c>
      <c r="W49" s="51" t="s">
        <v>358</v>
      </c>
      <c r="X49" s="51" t="s">
        <v>384</v>
      </c>
      <c r="Y49" s="96" t="s">
        <v>385</v>
      </c>
    </row>
    <row r="50" spans="2:25" ht="89.25" customHeight="1">
      <c r="B50" s="111" t="s">
        <v>4</v>
      </c>
      <c r="C50" s="111" t="s">
        <v>57</v>
      </c>
      <c r="D50" s="111" t="s">
        <v>5</v>
      </c>
      <c r="E50" s="112">
        <v>1</v>
      </c>
      <c r="F50" s="111" t="s">
        <v>386</v>
      </c>
      <c r="G50" s="111" t="s">
        <v>139</v>
      </c>
      <c r="H50" s="111" t="s">
        <v>314</v>
      </c>
      <c r="I50" s="112">
        <v>17</v>
      </c>
      <c r="J50" s="111" t="s">
        <v>140</v>
      </c>
      <c r="K50" s="112">
        <v>23</v>
      </c>
      <c r="L50" s="112">
        <v>6</v>
      </c>
      <c r="M50" s="113"/>
      <c r="N50" s="114" t="s">
        <v>141</v>
      </c>
      <c r="O50" s="114" t="s">
        <v>142</v>
      </c>
      <c r="P50" s="112"/>
      <c r="Q50" s="115"/>
      <c r="R50" s="116" t="s">
        <v>329</v>
      </c>
      <c r="S50" s="116" t="s">
        <v>330</v>
      </c>
      <c r="T50" s="116" t="s">
        <v>387</v>
      </c>
      <c r="U50" s="117" t="s">
        <v>388</v>
      </c>
      <c r="V50" s="111" t="s">
        <v>333</v>
      </c>
      <c r="W50" s="111" t="s">
        <v>333</v>
      </c>
      <c r="X50" s="111" t="s">
        <v>333</v>
      </c>
      <c r="Y50" s="112" t="s">
        <v>333</v>
      </c>
    </row>
    <row r="51" spans="2:25" ht="89.25" hidden="1" customHeight="1">
      <c r="B51" s="76" t="s">
        <v>4</v>
      </c>
      <c r="C51" s="76" t="s">
        <v>65</v>
      </c>
      <c r="D51" s="76" t="s">
        <v>7</v>
      </c>
      <c r="E51" s="50">
        <v>2</v>
      </c>
      <c r="F51" s="77" t="s">
        <v>389</v>
      </c>
      <c r="G51" s="77" t="s">
        <v>390</v>
      </c>
      <c r="H51" s="52" t="s">
        <v>351</v>
      </c>
      <c r="I51" s="50">
        <v>17</v>
      </c>
      <c r="J51" s="52" t="s">
        <v>47</v>
      </c>
      <c r="K51" s="50"/>
      <c r="L51" s="50"/>
      <c r="M51" s="132"/>
      <c r="N51" s="51" t="s">
        <v>391</v>
      </c>
      <c r="O51" s="51" t="s">
        <v>392</v>
      </c>
      <c r="P51" s="50"/>
      <c r="Q51" s="49"/>
      <c r="R51" s="51" t="s">
        <v>393</v>
      </c>
      <c r="S51" s="51" t="s">
        <v>394</v>
      </c>
      <c r="T51" s="51" t="s">
        <v>395</v>
      </c>
      <c r="U51" s="75" t="s">
        <v>396</v>
      </c>
      <c r="V51" s="76" t="s">
        <v>71</v>
      </c>
      <c r="W51" s="51" t="s">
        <v>358</v>
      </c>
      <c r="X51" s="77" t="s">
        <v>397</v>
      </c>
      <c r="Y51" s="96" t="s">
        <v>385</v>
      </c>
    </row>
    <row r="52" spans="2:25" ht="89.25" customHeight="1">
      <c r="B52" s="82" t="s">
        <v>4</v>
      </c>
      <c r="C52" s="82" t="s">
        <v>57</v>
      </c>
      <c r="D52" s="82" t="s">
        <v>5</v>
      </c>
      <c r="E52" s="83">
        <v>1</v>
      </c>
      <c r="F52" s="86" t="s">
        <v>398</v>
      </c>
      <c r="G52" s="82" t="s">
        <v>399</v>
      </c>
      <c r="H52" s="82" t="s">
        <v>314</v>
      </c>
      <c r="I52" s="83">
        <v>18</v>
      </c>
      <c r="J52" s="82" t="s">
        <v>140</v>
      </c>
      <c r="K52" s="83">
        <v>23</v>
      </c>
      <c r="L52" s="83">
        <v>6</v>
      </c>
      <c r="M52" s="110"/>
      <c r="N52" s="85"/>
      <c r="O52" s="85" t="s">
        <v>400</v>
      </c>
      <c r="P52" s="83"/>
      <c r="Q52" s="82"/>
      <c r="R52" s="86" t="s">
        <v>345</v>
      </c>
      <c r="S52" s="85" t="s">
        <v>346</v>
      </c>
      <c r="T52" s="85" t="s">
        <v>401</v>
      </c>
      <c r="U52" s="88" t="s">
        <v>402</v>
      </c>
      <c r="V52" s="82" t="s">
        <v>333</v>
      </c>
      <c r="W52" s="82" t="s">
        <v>333</v>
      </c>
      <c r="X52" s="82" t="s">
        <v>333</v>
      </c>
      <c r="Y52" s="83" t="s">
        <v>333</v>
      </c>
    </row>
    <row r="53" spans="2:25" ht="89.25" hidden="1" customHeight="1">
      <c r="B53" s="76" t="s">
        <v>4</v>
      </c>
      <c r="C53" s="76" t="s">
        <v>65</v>
      </c>
      <c r="D53" s="76" t="s">
        <v>7</v>
      </c>
      <c r="E53" s="98">
        <v>2</v>
      </c>
      <c r="F53" s="77" t="s">
        <v>403</v>
      </c>
      <c r="G53" s="77" t="s">
        <v>404</v>
      </c>
      <c r="H53" s="52" t="s">
        <v>351</v>
      </c>
      <c r="I53" s="50">
        <v>18</v>
      </c>
      <c r="J53" s="52" t="s">
        <v>47</v>
      </c>
      <c r="K53" s="50"/>
      <c r="L53" s="50"/>
      <c r="M53" s="132"/>
      <c r="N53" s="76" t="s">
        <v>405</v>
      </c>
      <c r="O53" s="51" t="s">
        <v>406</v>
      </c>
      <c r="P53" s="50"/>
      <c r="Q53" s="49"/>
      <c r="R53" s="51" t="s">
        <v>80</v>
      </c>
      <c r="S53" s="51" t="s">
        <v>381</v>
      </c>
      <c r="T53" s="51" t="s">
        <v>407</v>
      </c>
      <c r="U53" s="75" t="s">
        <v>408</v>
      </c>
      <c r="V53" s="76" t="s">
        <v>71</v>
      </c>
      <c r="W53" s="51" t="s">
        <v>358</v>
      </c>
      <c r="X53" s="77" t="s">
        <v>409</v>
      </c>
      <c r="Y53" s="96" t="s">
        <v>385</v>
      </c>
    </row>
    <row r="54" spans="2:25" ht="89.25" customHeight="1">
      <c r="B54" s="111" t="s">
        <v>4</v>
      </c>
      <c r="C54" s="111" t="s">
        <v>57</v>
      </c>
      <c r="D54" s="111" t="s">
        <v>5</v>
      </c>
      <c r="E54" s="112">
        <v>1</v>
      </c>
      <c r="F54" s="111" t="s">
        <v>410</v>
      </c>
      <c r="G54" s="111" t="s">
        <v>146</v>
      </c>
      <c r="H54" s="111" t="s">
        <v>314</v>
      </c>
      <c r="I54" s="112">
        <v>19</v>
      </c>
      <c r="J54" s="111" t="s">
        <v>140</v>
      </c>
      <c r="K54" s="112">
        <v>23</v>
      </c>
      <c r="L54" s="112">
        <v>6</v>
      </c>
      <c r="M54" s="112"/>
      <c r="N54" s="114" t="s">
        <v>147</v>
      </c>
      <c r="O54" s="114" t="s">
        <v>148</v>
      </c>
      <c r="P54" s="112"/>
      <c r="Q54" s="115"/>
      <c r="R54" s="116" t="s">
        <v>329</v>
      </c>
      <c r="S54" s="116" t="s">
        <v>330</v>
      </c>
      <c r="T54" s="116" t="s">
        <v>411</v>
      </c>
      <c r="U54" s="117" t="s">
        <v>412</v>
      </c>
      <c r="V54" s="111" t="s">
        <v>333</v>
      </c>
      <c r="W54" s="111" t="s">
        <v>333</v>
      </c>
      <c r="X54" s="111" t="s">
        <v>333</v>
      </c>
      <c r="Y54" s="112" t="s">
        <v>333</v>
      </c>
    </row>
    <row r="55" spans="2:25" ht="89.25" hidden="1" customHeight="1">
      <c r="B55" s="76" t="s">
        <v>4</v>
      </c>
      <c r="C55" s="76" t="s">
        <v>65</v>
      </c>
      <c r="D55" s="76" t="s">
        <v>7</v>
      </c>
      <c r="E55" s="98">
        <v>2</v>
      </c>
      <c r="F55" s="77" t="s">
        <v>413</v>
      </c>
      <c r="G55" s="77" t="s">
        <v>414</v>
      </c>
      <c r="H55" s="52" t="s">
        <v>351</v>
      </c>
      <c r="I55" s="50">
        <v>19</v>
      </c>
      <c r="J55" s="52" t="s">
        <v>47</v>
      </c>
      <c r="K55" s="50">
        <v>4</v>
      </c>
      <c r="L55" s="50"/>
      <c r="M55" s="50"/>
      <c r="N55" s="51" t="s">
        <v>415</v>
      </c>
      <c r="O55" s="52" t="s">
        <v>416</v>
      </c>
      <c r="P55" s="50"/>
      <c r="Q55" s="49"/>
      <c r="R55" s="51" t="s">
        <v>143</v>
      </c>
      <c r="S55" s="51" t="s">
        <v>226</v>
      </c>
      <c r="T55" s="51" t="s">
        <v>417</v>
      </c>
      <c r="U55" s="75" t="s">
        <v>418</v>
      </c>
      <c r="V55" s="76" t="s">
        <v>71</v>
      </c>
      <c r="W55" s="51" t="s">
        <v>91</v>
      </c>
      <c r="X55" s="77" t="s">
        <v>419</v>
      </c>
      <c r="Y55" s="96" t="s">
        <v>53</v>
      </c>
    </row>
    <row r="56" spans="2:25" ht="89.25" customHeight="1">
      <c r="B56" s="82" t="s">
        <v>4</v>
      </c>
      <c r="C56" s="82" t="s">
        <v>57</v>
      </c>
      <c r="D56" s="82" t="s">
        <v>5</v>
      </c>
      <c r="E56" s="83">
        <v>1</v>
      </c>
      <c r="F56" s="82" t="s">
        <v>420</v>
      </c>
      <c r="G56" s="82" t="s">
        <v>421</v>
      </c>
      <c r="H56" s="82" t="s">
        <v>314</v>
      </c>
      <c r="I56" s="83">
        <v>20</v>
      </c>
      <c r="J56" s="82" t="s">
        <v>140</v>
      </c>
      <c r="K56" s="83">
        <v>23</v>
      </c>
      <c r="L56" s="83">
        <v>6</v>
      </c>
      <c r="M56" s="89"/>
      <c r="N56" s="85"/>
      <c r="O56" s="85" t="s">
        <v>422</v>
      </c>
      <c r="P56" s="83"/>
      <c r="Q56" s="82"/>
      <c r="R56" s="86" t="s">
        <v>345</v>
      </c>
      <c r="S56" s="85" t="s">
        <v>346</v>
      </c>
      <c r="T56" s="85" t="s">
        <v>423</v>
      </c>
      <c r="U56" s="88" t="s">
        <v>424</v>
      </c>
      <c r="V56" s="82" t="s">
        <v>333</v>
      </c>
      <c r="W56" s="82" t="s">
        <v>333</v>
      </c>
      <c r="X56" s="82" t="s">
        <v>333</v>
      </c>
      <c r="Y56" s="83" t="s">
        <v>333</v>
      </c>
    </row>
    <row r="57" spans="2:25" ht="89.25" hidden="1" customHeight="1">
      <c r="B57" s="76" t="s">
        <v>4</v>
      </c>
      <c r="C57" s="76" t="s">
        <v>65</v>
      </c>
      <c r="D57" s="76" t="s">
        <v>7</v>
      </c>
      <c r="E57" s="98">
        <v>2</v>
      </c>
      <c r="F57" s="77" t="s">
        <v>425</v>
      </c>
      <c r="G57" s="77" t="s">
        <v>426</v>
      </c>
      <c r="H57" s="52" t="s">
        <v>351</v>
      </c>
      <c r="I57" s="50">
        <v>20</v>
      </c>
      <c r="J57" s="52" t="s">
        <v>47</v>
      </c>
      <c r="K57" s="50"/>
      <c r="L57" s="50"/>
      <c r="M57" s="132"/>
      <c r="N57" s="51" t="s">
        <v>427</v>
      </c>
      <c r="O57" s="51" t="s">
        <v>428</v>
      </c>
      <c r="P57" s="50"/>
      <c r="Q57" s="49"/>
      <c r="R57" s="51" t="s">
        <v>143</v>
      </c>
      <c r="S57" s="51" t="s">
        <v>226</v>
      </c>
      <c r="T57" s="51" t="s">
        <v>429</v>
      </c>
      <c r="U57" s="75" t="s">
        <v>430</v>
      </c>
      <c r="V57" s="76" t="s">
        <v>71</v>
      </c>
      <c r="W57" s="51" t="s">
        <v>358</v>
      </c>
      <c r="X57" s="77" t="s">
        <v>431</v>
      </c>
      <c r="Y57" s="96" t="s">
        <v>266</v>
      </c>
    </row>
    <row r="58" spans="2:25" ht="89.25" customHeight="1">
      <c r="B58" s="82" t="s">
        <v>4</v>
      </c>
      <c r="C58" s="82" t="s">
        <v>57</v>
      </c>
      <c r="D58" s="82" t="s">
        <v>5</v>
      </c>
      <c r="E58" s="83">
        <v>1</v>
      </c>
      <c r="F58" s="82" t="s">
        <v>432</v>
      </c>
      <c r="G58" s="82" t="s">
        <v>433</v>
      </c>
      <c r="H58" s="84" t="s">
        <v>314</v>
      </c>
      <c r="I58" s="83">
        <v>21</v>
      </c>
      <c r="J58" s="82" t="s">
        <v>140</v>
      </c>
      <c r="K58" s="83">
        <v>23</v>
      </c>
      <c r="L58" s="83">
        <v>6</v>
      </c>
      <c r="M58" s="89"/>
      <c r="N58" s="85"/>
      <c r="O58" s="85" t="s">
        <v>434</v>
      </c>
      <c r="P58" s="83"/>
      <c r="Q58" s="82"/>
      <c r="R58" s="84" t="s">
        <v>63</v>
      </c>
      <c r="S58" s="84" t="s">
        <v>63</v>
      </c>
      <c r="T58" s="84" t="s">
        <v>63</v>
      </c>
      <c r="U58" s="88" t="s">
        <v>435</v>
      </c>
      <c r="V58" s="82"/>
      <c r="W58" s="82"/>
      <c r="X58" s="82"/>
      <c r="Y58" s="83"/>
    </row>
    <row r="59" spans="2:25" ht="89.25" hidden="1" customHeight="1">
      <c r="B59" s="76" t="s">
        <v>4</v>
      </c>
      <c r="C59" s="76" t="s">
        <v>65</v>
      </c>
      <c r="D59" s="76" t="s">
        <v>7</v>
      </c>
      <c r="E59" s="96">
        <v>2</v>
      </c>
      <c r="F59" s="49" t="s">
        <v>151</v>
      </c>
      <c r="G59" s="49" t="s">
        <v>152</v>
      </c>
      <c r="H59" s="49" t="s">
        <v>153</v>
      </c>
      <c r="I59" s="50">
        <v>21</v>
      </c>
      <c r="J59" s="49" t="s">
        <v>47</v>
      </c>
      <c r="K59" s="50">
        <v>2</v>
      </c>
      <c r="L59" s="50"/>
      <c r="M59" s="50"/>
      <c r="N59" s="51" t="s">
        <v>154</v>
      </c>
      <c r="O59" s="51" t="s">
        <v>436</v>
      </c>
      <c r="P59" s="50"/>
      <c r="Q59" s="51" t="s">
        <v>437</v>
      </c>
      <c r="R59" s="51" t="s">
        <v>143</v>
      </c>
      <c r="S59" s="51" t="s">
        <v>226</v>
      </c>
      <c r="T59" s="53" t="s">
        <v>53</v>
      </c>
      <c r="U59" s="79" t="s">
        <v>438</v>
      </c>
      <c r="V59" s="76" t="s">
        <v>71</v>
      </c>
      <c r="W59" s="51" t="s">
        <v>53</v>
      </c>
      <c r="X59" s="51" t="s">
        <v>53</v>
      </c>
      <c r="Y59" s="58" t="s">
        <v>439</v>
      </c>
    </row>
    <row r="60" spans="2:25" ht="89.25" customHeight="1">
      <c r="B60" s="82" t="s">
        <v>4</v>
      </c>
      <c r="C60" s="82" t="s">
        <v>57</v>
      </c>
      <c r="D60" s="82" t="s">
        <v>5</v>
      </c>
      <c r="E60" s="83">
        <v>1</v>
      </c>
      <c r="F60" s="82" t="s">
        <v>440</v>
      </c>
      <c r="G60" s="82" t="s">
        <v>441</v>
      </c>
      <c r="H60" s="84" t="s">
        <v>314</v>
      </c>
      <c r="I60" s="83">
        <v>22</v>
      </c>
      <c r="J60" s="82" t="s">
        <v>140</v>
      </c>
      <c r="K60" s="83">
        <v>23</v>
      </c>
      <c r="L60" s="83">
        <v>6</v>
      </c>
      <c r="M60" s="110"/>
      <c r="N60" s="85"/>
      <c r="O60" s="85" t="s">
        <v>442</v>
      </c>
      <c r="P60" s="83"/>
      <c r="Q60" s="82"/>
      <c r="R60" s="84" t="s">
        <v>63</v>
      </c>
      <c r="S60" s="84" t="s">
        <v>63</v>
      </c>
      <c r="T60" s="84" t="s">
        <v>63</v>
      </c>
      <c r="U60" s="88" t="s">
        <v>435</v>
      </c>
      <c r="V60" s="82"/>
      <c r="W60" s="82"/>
      <c r="X60" s="82"/>
      <c r="Y60" s="83"/>
    </row>
    <row r="61" spans="2:25" ht="89.25" hidden="1" customHeight="1">
      <c r="B61" s="76" t="s">
        <v>4</v>
      </c>
      <c r="C61" s="76" t="s">
        <v>65</v>
      </c>
      <c r="D61" s="76" t="s">
        <v>7</v>
      </c>
      <c r="E61" s="96">
        <v>2</v>
      </c>
      <c r="F61" s="76" t="s">
        <v>178</v>
      </c>
      <c r="G61" s="52" t="s">
        <v>179</v>
      </c>
      <c r="H61" s="52" t="s">
        <v>180</v>
      </c>
      <c r="I61" s="50">
        <v>22</v>
      </c>
      <c r="J61" s="52" t="s">
        <v>47</v>
      </c>
      <c r="K61" s="50">
        <v>10</v>
      </c>
      <c r="L61" s="50"/>
      <c r="M61" s="132"/>
      <c r="N61" s="51" t="s">
        <v>181</v>
      </c>
      <c r="O61" s="52" t="s">
        <v>182</v>
      </c>
      <c r="P61" s="50" t="s">
        <v>50</v>
      </c>
      <c r="Q61" s="49"/>
      <c r="R61" s="51" t="s">
        <v>143</v>
      </c>
      <c r="S61" s="51" t="s">
        <v>226</v>
      </c>
      <c r="T61" s="51" t="s">
        <v>183</v>
      </c>
      <c r="U61" s="79" t="s">
        <v>443</v>
      </c>
      <c r="V61" s="51" t="s">
        <v>53</v>
      </c>
      <c r="W61" s="51" t="s">
        <v>53</v>
      </c>
      <c r="X61" s="51" t="s">
        <v>53</v>
      </c>
      <c r="Y61" s="96" t="s">
        <v>53</v>
      </c>
    </row>
    <row r="62" spans="2:25" ht="89.25" customHeight="1">
      <c r="B62" s="111" t="s">
        <v>4</v>
      </c>
      <c r="C62" s="111" t="s">
        <v>57</v>
      </c>
      <c r="D62" s="111" t="s">
        <v>5</v>
      </c>
      <c r="E62" s="112">
        <v>1</v>
      </c>
      <c r="F62" s="111" t="s">
        <v>444</v>
      </c>
      <c r="G62" s="111" t="s">
        <v>445</v>
      </c>
      <c r="H62" s="111" t="s">
        <v>314</v>
      </c>
      <c r="I62" s="112">
        <v>23</v>
      </c>
      <c r="J62" s="111" t="s">
        <v>140</v>
      </c>
      <c r="K62" s="112">
        <v>23</v>
      </c>
      <c r="L62" s="112">
        <v>6</v>
      </c>
      <c r="M62" s="113"/>
      <c r="N62" s="114" t="s">
        <v>446</v>
      </c>
      <c r="O62" s="114" t="s">
        <v>447</v>
      </c>
      <c r="P62" s="112"/>
      <c r="Q62" s="115"/>
      <c r="R62" s="116" t="s">
        <v>448</v>
      </c>
      <c r="S62" s="116" t="s">
        <v>449</v>
      </c>
      <c r="T62" s="116" t="s">
        <v>450</v>
      </c>
      <c r="U62" s="117" t="s">
        <v>451</v>
      </c>
      <c r="V62" s="116" t="s">
        <v>135</v>
      </c>
      <c r="W62" s="119" t="s">
        <v>452</v>
      </c>
      <c r="X62" s="114" t="s">
        <v>453</v>
      </c>
      <c r="Y62" s="118" t="s">
        <v>454</v>
      </c>
    </row>
    <row r="63" spans="2:25" ht="86.25" hidden="1" customHeight="1">
      <c r="B63" s="76" t="s">
        <v>4</v>
      </c>
      <c r="C63" s="76" t="s">
        <v>65</v>
      </c>
      <c r="D63" s="76" t="s">
        <v>7</v>
      </c>
      <c r="E63" s="96">
        <v>2</v>
      </c>
      <c r="F63" s="76" t="s">
        <v>205</v>
      </c>
      <c r="G63" s="52" t="s">
        <v>206</v>
      </c>
      <c r="H63" s="52" t="s">
        <v>207</v>
      </c>
      <c r="I63" s="50">
        <v>23</v>
      </c>
      <c r="J63" s="52" t="s">
        <v>208</v>
      </c>
      <c r="K63" s="50">
        <v>23</v>
      </c>
      <c r="L63" s="50"/>
      <c r="M63" s="50"/>
      <c r="N63" s="51" t="s">
        <v>209</v>
      </c>
      <c r="O63" s="99" t="s">
        <v>455</v>
      </c>
      <c r="P63" s="50"/>
      <c r="Q63" s="49"/>
      <c r="R63" s="51" t="s">
        <v>143</v>
      </c>
      <c r="S63" s="51" t="s">
        <v>226</v>
      </c>
      <c r="T63" s="53" t="s">
        <v>53</v>
      </c>
      <c r="U63" s="79" t="s">
        <v>456</v>
      </c>
      <c r="V63" s="51" t="s">
        <v>53</v>
      </c>
      <c r="W63" s="51" t="s">
        <v>53</v>
      </c>
      <c r="X63" s="51" t="s">
        <v>53</v>
      </c>
      <c r="Y63" s="96" t="s">
        <v>53</v>
      </c>
    </row>
    <row r="64" spans="2:25" ht="89.25" customHeight="1">
      <c r="B64" s="82" t="s">
        <v>4</v>
      </c>
      <c r="C64" s="82" t="s">
        <v>57</v>
      </c>
      <c r="D64" s="82" t="s">
        <v>5</v>
      </c>
      <c r="E64" s="83">
        <v>1</v>
      </c>
      <c r="F64" s="86" t="s">
        <v>457</v>
      </c>
      <c r="G64" s="82" t="s">
        <v>458</v>
      </c>
      <c r="H64" s="82" t="s">
        <v>314</v>
      </c>
      <c r="I64" s="83">
        <v>24</v>
      </c>
      <c r="J64" s="82" t="s">
        <v>140</v>
      </c>
      <c r="K64" s="83">
        <v>23</v>
      </c>
      <c r="L64" s="83">
        <v>6</v>
      </c>
      <c r="M64" s="110"/>
      <c r="N64" s="85"/>
      <c r="O64" s="85" t="s">
        <v>459</v>
      </c>
      <c r="P64" s="83"/>
      <c r="Q64" s="82"/>
      <c r="R64" s="86" t="s">
        <v>460</v>
      </c>
      <c r="S64" s="85" t="s">
        <v>461</v>
      </c>
      <c r="T64" s="85" t="s">
        <v>462</v>
      </c>
      <c r="U64" s="88" t="s">
        <v>463</v>
      </c>
      <c r="V64" s="82"/>
      <c r="W64" s="87" t="s">
        <v>452</v>
      </c>
      <c r="X64" s="82" t="s">
        <v>453</v>
      </c>
      <c r="Y64" s="83"/>
    </row>
    <row r="65" spans="2:25" ht="89.25" customHeight="1">
      <c r="B65" s="82" t="s">
        <v>4</v>
      </c>
      <c r="C65" s="82" t="s">
        <v>57</v>
      </c>
      <c r="D65" s="82" t="s">
        <v>5</v>
      </c>
      <c r="E65" s="83">
        <v>1</v>
      </c>
      <c r="F65" s="82" t="s">
        <v>464</v>
      </c>
      <c r="G65" s="82" t="s">
        <v>465</v>
      </c>
      <c r="H65" s="84" t="s">
        <v>466</v>
      </c>
      <c r="I65" s="83">
        <v>25</v>
      </c>
      <c r="J65" s="82" t="s">
        <v>47</v>
      </c>
      <c r="K65" s="83">
        <v>1</v>
      </c>
      <c r="L65" s="83"/>
      <c r="M65" s="110"/>
      <c r="N65" s="85"/>
      <c r="O65" s="85" t="s">
        <v>467</v>
      </c>
      <c r="P65" s="83"/>
      <c r="Q65" s="82"/>
      <c r="R65" s="86"/>
      <c r="S65" s="84"/>
      <c r="T65" s="84"/>
      <c r="U65" s="88"/>
      <c r="V65" s="82"/>
      <c r="W65" s="87"/>
      <c r="X65" s="82"/>
      <c r="Y65" s="83"/>
    </row>
    <row r="66" spans="2:25" ht="89.25" customHeight="1">
      <c r="B66" s="82" t="s">
        <v>4</v>
      </c>
      <c r="C66" s="82" t="s">
        <v>57</v>
      </c>
      <c r="D66" s="82" t="s">
        <v>5</v>
      </c>
      <c r="E66" s="83">
        <v>1</v>
      </c>
      <c r="F66" s="82" t="s">
        <v>468</v>
      </c>
      <c r="G66" s="82" t="s">
        <v>469</v>
      </c>
      <c r="H66" s="84" t="s">
        <v>466</v>
      </c>
      <c r="I66" s="83">
        <v>26</v>
      </c>
      <c r="J66" s="82" t="s">
        <v>47</v>
      </c>
      <c r="K66" s="83">
        <v>10</v>
      </c>
      <c r="L66" s="83"/>
      <c r="M66" s="110"/>
      <c r="N66" s="85"/>
      <c r="O66" s="85" t="s">
        <v>470</v>
      </c>
      <c r="P66" s="83"/>
      <c r="Q66" s="82"/>
      <c r="R66" s="86"/>
      <c r="S66" s="84"/>
      <c r="T66" s="84"/>
      <c r="U66" s="88"/>
      <c r="V66" s="82"/>
      <c r="W66" s="87"/>
      <c r="X66" s="82"/>
      <c r="Y66" s="83"/>
    </row>
    <row r="67" spans="2:25" ht="89.25" customHeight="1">
      <c r="B67" s="82" t="s">
        <v>4</v>
      </c>
      <c r="C67" s="82" t="s">
        <v>57</v>
      </c>
      <c r="D67" s="82" t="s">
        <v>5</v>
      </c>
      <c r="E67" s="83">
        <v>1</v>
      </c>
      <c r="F67" s="82" t="s">
        <v>471</v>
      </c>
      <c r="G67" s="82" t="s">
        <v>472</v>
      </c>
      <c r="H67" s="84" t="s">
        <v>466</v>
      </c>
      <c r="I67" s="83">
        <v>27</v>
      </c>
      <c r="J67" s="82" t="s">
        <v>47</v>
      </c>
      <c r="K67" s="83">
        <v>10</v>
      </c>
      <c r="L67" s="83"/>
      <c r="M67" s="110"/>
      <c r="N67" s="85"/>
      <c r="O67" s="85" t="s">
        <v>473</v>
      </c>
      <c r="P67" s="83"/>
      <c r="Q67" s="82"/>
      <c r="R67" s="86"/>
      <c r="S67" s="84"/>
      <c r="T67" s="84"/>
      <c r="U67" s="88"/>
      <c r="V67" s="82"/>
      <c r="W67" s="87"/>
      <c r="X67" s="82"/>
      <c r="Y67" s="83"/>
    </row>
    <row r="68" spans="2:25" ht="89.25" customHeight="1">
      <c r="B68" s="82" t="s">
        <v>4</v>
      </c>
      <c r="C68" s="82" t="s">
        <v>57</v>
      </c>
      <c r="D68" s="82" t="s">
        <v>5</v>
      </c>
      <c r="E68" s="83">
        <v>1</v>
      </c>
      <c r="F68" s="82" t="s">
        <v>474</v>
      </c>
      <c r="G68" s="82" t="s">
        <v>475</v>
      </c>
      <c r="H68" s="84" t="s">
        <v>476</v>
      </c>
      <c r="I68" s="83">
        <v>28</v>
      </c>
      <c r="J68" s="82" t="s">
        <v>47</v>
      </c>
      <c r="K68" s="83">
        <v>4</v>
      </c>
      <c r="L68" s="83"/>
      <c r="M68" s="110"/>
      <c r="N68" s="85"/>
      <c r="O68" s="85" t="s">
        <v>477</v>
      </c>
      <c r="P68" s="83"/>
      <c r="Q68" s="82"/>
      <c r="R68" s="86" t="s">
        <v>478</v>
      </c>
      <c r="S68" s="85" t="s">
        <v>479</v>
      </c>
      <c r="T68" s="85" t="s">
        <v>480</v>
      </c>
      <c r="U68" s="88" t="s">
        <v>481</v>
      </c>
      <c r="V68" s="82"/>
      <c r="W68" s="87" t="s">
        <v>482</v>
      </c>
      <c r="X68" s="82" t="s">
        <v>483</v>
      </c>
      <c r="Y68" s="83"/>
    </row>
    <row r="69" spans="2:25" ht="89.25" customHeight="1">
      <c r="B69" s="82" t="s">
        <v>4</v>
      </c>
      <c r="C69" s="82" t="s">
        <v>57</v>
      </c>
      <c r="D69" s="82" t="s">
        <v>5</v>
      </c>
      <c r="E69" s="83">
        <v>1</v>
      </c>
      <c r="F69" s="82" t="s">
        <v>484</v>
      </c>
      <c r="G69" s="82" t="s">
        <v>485</v>
      </c>
      <c r="H69" s="84" t="s">
        <v>486</v>
      </c>
      <c r="I69" s="83">
        <v>29</v>
      </c>
      <c r="J69" s="82" t="s">
        <v>47</v>
      </c>
      <c r="K69" s="83">
        <v>4</v>
      </c>
      <c r="L69" s="83"/>
      <c r="M69" s="110"/>
      <c r="N69" s="85"/>
      <c r="O69" s="85" t="s">
        <v>487</v>
      </c>
      <c r="P69" s="83"/>
      <c r="Q69" s="82"/>
      <c r="R69" s="86" t="s">
        <v>478</v>
      </c>
      <c r="S69" s="85" t="s">
        <v>479</v>
      </c>
      <c r="T69" s="85" t="s">
        <v>480</v>
      </c>
      <c r="U69" s="88" t="s">
        <v>488</v>
      </c>
      <c r="V69" s="82"/>
      <c r="W69" s="87" t="s">
        <v>482</v>
      </c>
      <c r="X69" s="82" t="s">
        <v>489</v>
      </c>
      <c r="Y69" s="83"/>
    </row>
    <row r="70" spans="2:25" ht="89.25" customHeight="1">
      <c r="B70" s="82" t="s">
        <v>4</v>
      </c>
      <c r="C70" s="82" t="s">
        <v>57</v>
      </c>
      <c r="D70" s="82" t="s">
        <v>5</v>
      </c>
      <c r="E70" s="83">
        <v>1</v>
      </c>
      <c r="F70" s="82" t="s">
        <v>490</v>
      </c>
      <c r="G70" s="82" t="s">
        <v>491</v>
      </c>
      <c r="H70" s="84" t="s">
        <v>252</v>
      </c>
      <c r="I70" s="83">
        <v>30</v>
      </c>
      <c r="J70" s="82" t="s">
        <v>47</v>
      </c>
      <c r="K70" s="83">
        <v>10</v>
      </c>
      <c r="L70" s="83"/>
      <c r="M70" s="110"/>
      <c r="N70" s="85"/>
      <c r="O70" s="85" t="s">
        <v>492</v>
      </c>
      <c r="P70" s="83"/>
      <c r="Q70" s="82"/>
      <c r="R70" s="86" t="s">
        <v>493</v>
      </c>
      <c r="S70" s="85" t="s">
        <v>494</v>
      </c>
      <c r="T70" s="85" t="s">
        <v>495</v>
      </c>
      <c r="U70" s="88" t="s">
        <v>496</v>
      </c>
      <c r="V70" s="82"/>
      <c r="W70" s="87" t="s">
        <v>497</v>
      </c>
      <c r="X70" s="82" t="s">
        <v>498</v>
      </c>
      <c r="Y70" s="83"/>
    </row>
    <row r="71" spans="2:25" ht="89.25" customHeight="1">
      <c r="B71" s="82" t="s">
        <v>4</v>
      </c>
      <c r="C71" s="82" t="s">
        <v>57</v>
      </c>
      <c r="D71" s="82" t="s">
        <v>5</v>
      </c>
      <c r="E71" s="83">
        <v>1</v>
      </c>
      <c r="F71" s="82" t="s">
        <v>499</v>
      </c>
      <c r="G71" s="82" t="s">
        <v>500</v>
      </c>
      <c r="H71" s="84" t="s">
        <v>252</v>
      </c>
      <c r="I71" s="83">
        <v>31</v>
      </c>
      <c r="J71" s="82" t="s">
        <v>47</v>
      </c>
      <c r="K71" s="83">
        <v>10</v>
      </c>
      <c r="L71" s="83"/>
      <c r="M71" s="110"/>
      <c r="N71" s="85"/>
      <c r="O71" s="85" t="s">
        <v>501</v>
      </c>
      <c r="P71" s="83"/>
      <c r="Q71" s="82"/>
      <c r="R71" s="86" t="s">
        <v>478</v>
      </c>
      <c r="S71" s="85" t="s">
        <v>479</v>
      </c>
      <c r="T71" s="85" t="s">
        <v>502</v>
      </c>
      <c r="U71" s="88" t="s">
        <v>503</v>
      </c>
      <c r="V71" s="82"/>
      <c r="W71" s="87" t="s">
        <v>482</v>
      </c>
      <c r="X71" s="82" t="s">
        <v>504</v>
      </c>
      <c r="Y71" s="83"/>
    </row>
    <row r="72" spans="2:25" ht="89.25" customHeight="1">
      <c r="B72" s="82" t="s">
        <v>4</v>
      </c>
      <c r="C72" s="82" t="s">
        <v>57</v>
      </c>
      <c r="D72" s="82" t="s">
        <v>5</v>
      </c>
      <c r="E72" s="83">
        <v>1</v>
      </c>
      <c r="F72" s="82" t="s">
        <v>505</v>
      </c>
      <c r="G72" s="82" t="s">
        <v>506</v>
      </c>
      <c r="H72" s="84" t="s">
        <v>285</v>
      </c>
      <c r="I72" s="83">
        <v>32</v>
      </c>
      <c r="J72" s="82" t="s">
        <v>47</v>
      </c>
      <c r="K72" s="83">
        <v>4</v>
      </c>
      <c r="L72" s="83"/>
      <c r="M72" s="110"/>
      <c r="N72" s="85"/>
      <c r="O72" s="85" t="s">
        <v>507</v>
      </c>
      <c r="P72" s="83"/>
      <c r="Q72" s="82"/>
      <c r="R72" s="86" t="s">
        <v>216</v>
      </c>
      <c r="S72" s="85" t="s">
        <v>217</v>
      </c>
      <c r="T72" s="85" t="s">
        <v>218</v>
      </c>
      <c r="U72" s="88" t="s">
        <v>508</v>
      </c>
      <c r="V72" s="82"/>
      <c r="W72" s="87" t="s">
        <v>63</v>
      </c>
      <c r="X72" s="87" t="s">
        <v>63</v>
      </c>
      <c r="Y72" s="83" t="s">
        <v>509</v>
      </c>
    </row>
    <row r="73" spans="2:25" ht="89.25" customHeight="1">
      <c r="B73" s="82" t="s">
        <v>4</v>
      </c>
      <c r="C73" s="82" t="s">
        <v>57</v>
      </c>
      <c r="D73" s="82" t="s">
        <v>5</v>
      </c>
      <c r="E73" s="83">
        <v>1</v>
      </c>
      <c r="F73" s="82" t="s">
        <v>510</v>
      </c>
      <c r="G73" s="82" t="s">
        <v>511</v>
      </c>
      <c r="H73" s="84" t="s">
        <v>285</v>
      </c>
      <c r="I73" s="83">
        <v>33</v>
      </c>
      <c r="J73" s="82" t="s">
        <v>47</v>
      </c>
      <c r="K73" s="83">
        <v>4</v>
      </c>
      <c r="L73" s="83"/>
      <c r="M73" s="89"/>
      <c r="N73" s="85"/>
      <c r="O73" s="85" t="s">
        <v>512</v>
      </c>
      <c r="P73" s="83"/>
      <c r="Q73" s="82"/>
      <c r="R73" s="86" t="s">
        <v>216</v>
      </c>
      <c r="S73" s="85" t="s">
        <v>217</v>
      </c>
      <c r="T73" s="85" t="s">
        <v>218</v>
      </c>
      <c r="U73" s="88" t="s">
        <v>513</v>
      </c>
      <c r="V73" s="82"/>
      <c r="W73" s="87" t="s">
        <v>63</v>
      </c>
      <c r="X73" s="87" t="s">
        <v>63</v>
      </c>
      <c r="Y73" s="83" t="s">
        <v>509</v>
      </c>
    </row>
    <row r="74" spans="2:25" ht="89.25" customHeight="1">
      <c r="B74" s="82" t="s">
        <v>4</v>
      </c>
      <c r="C74" s="82" t="s">
        <v>57</v>
      </c>
      <c r="D74" s="82" t="s">
        <v>5</v>
      </c>
      <c r="E74" s="83">
        <v>1</v>
      </c>
      <c r="F74" s="82" t="s">
        <v>514</v>
      </c>
      <c r="G74" s="82" t="s">
        <v>515</v>
      </c>
      <c r="H74" s="84" t="s">
        <v>466</v>
      </c>
      <c r="I74" s="83">
        <v>34</v>
      </c>
      <c r="J74" s="82" t="s">
        <v>47</v>
      </c>
      <c r="K74" s="83">
        <v>10</v>
      </c>
      <c r="L74" s="83"/>
      <c r="M74" s="110"/>
      <c r="N74" s="85"/>
      <c r="O74" s="85" t="s">
        <v>516</v>
      </c>
      <c r="P74" s="83"/>
      <c r="Q74" s="82"/>
      <c r="R74" s="86" t="s">
        <v>58</v>
      </c>
      <c r="S74" s="85" t="s">
        <v>517</v>
      </c>
      <c r="T74" s="85" t="s">
        <v>60</v>
      </c>
      <c r="U74" s="88" t="s">
        <v>518</v>
      </c>
      <c r="V74" s="82"/>
      <c r="W74" s="87" t="s">
        <v>63</v>
      </c>
      <c r="X74" s="87" t="s">
        <v>63</v>
      </c>
      <c r="Y74" s="83" t="s">
        <v>509</v>
      </c>
    </row>
    <row r="75" spans="2:25" ht="89.25" customHeight="1">
      <c r="B75" s="82" t="s">
        <v>4</v>
      </c>
      <c r="C75" s="82" t="s">
        <v>57</v>
      </c>
      <c r="D75" s="82" t="s">
        <v>5</v>
      </c>
      <c r="E75" s="83">
        <v>1</v>
      </c>
      <c r="F75" s="82" t="s">
        <v>519</v>
      </c>
      <c r="G75" s="84" t="s">
        <v>520</v>
      </c>
      <c r="H75" s="82" t="s">
        <v>521</v>
      </c>
      <c r="I75" s="83">
        <v>35</v>
      </c>
      <c r="J75" s="82" t="s">
        <v>47</v>
      </c>
      <c r="K75" s="83">
        <v>4</v>
      </c>
      <c r="L75" s="83"/>
      <c r="M75" s="110"/>
      <c r="N75" s="85"/>
      <c r="O75" s="85" t="s">
        <v>522</v>
      </c>
      <c r="P75" s="83"/>
      <c r="Q75" s="82"/>
      <c r="R75" s="86" t="s">
        <v>523</v>
      </c>
      <c r="S75" s="85" t="s">
        <v>524</v>
      </c>
      <c r="T75" s="85" t="s">
        <v>525</v>
      </c>
      <c r="U75" s="88" t="s">
        <v>526</v>
      </c>
      <c r="V75" s="82"/>
      <c r="W75" s="87"/>
      <c r="X75" s="82"/>
      <c r="Y75" s="83"/>
    </row>
    <row r="76" spans="2:25" ht="89.25" customHeight="1">
      <c r="B76" s="82" t="s">
        <v>4</v>
      </c>
      <c r="C76" s="82" t="s">
        <v>57</v>
      </c>
      <c r="D76" s="82" t="s">
        <v>5</v>
      </c>
      <c r="E76" s="83">
        <v>1</v>
      </c>
      <c r="F76" s="82" t="s">
        <v>527</v>
      </c>
      <c r="G76" s="82" t="s">
        <v>528</v>
      </c>
      <c r="H76" s="82" t="s">
        <v>521</v>
      </c>
      <c r="I76" s="83">
        <v>36</v>
      </c>
      <c r="J76" s="82" t="s">
        <v>47</v>
      </c>
      <c r="K76" s="83">
        <v>4</v>
      </c>
      <c r="L76" s="83"/>
      <c r="M76" s="110"/>
      <c r="N76" s="85"/>
      <c r="O76" s="85" t="s">
        <v>529</v>
      </c>
      <c r="P76" s="83"/>
      <c r="Q76" s="82"/>
      <c r="R76" s="86" t="s">
        <v>530</v>
      </c>
      <c r="S76" s="85" t="s">
        <v>531</v>
      </c>
      <c r="T76" s="85" t="s">
        <v>532</v>
      </c>
      <c r="U76" s="88" t="s">
        <v>533</v>
      </c>
      <c r="V76" s="82"/>
      <c r="W76" s="87"/>
      <c r="X76" s="82"/>
      <c r="Y76" s="83"/>
    </row>
    <row r="77" spans="2:25" ht="89.25" customHeight="1">
      <c r="B77" s="111" t="s">
        <v>4</v>
      </c>
      <c r="C77" s="111" t="s">
        <v>57</v>
      </c>
      <c r="D77" s="111" t="s">
        <v>5</v>
      </c>
      <c r="E77" s="112">
        <v>1</v>
      </c>
      <c r="F77" s="116" t="s">
        <v>534</v>
      </c>
      <c r="G77" s="115" t="s">
        <v>535</v>
      </c>
      <c r="H77" s="115" t="s">
        <v>536</v>
      </c>
      <c r="I77" s="112">
        <v>37</v>
      </c>
      <c r="J77" s="111" t="s">
        <v>47</v>
      </c>
      <c r="K77" s="112">
        <v>4</v>
      </c>
      <c r="L77" s="112"/>
      <c r="M77" s="113"/>
      <c r="N77" s="114" t="s">
        <v>537</v>
      </c>
      <c r="O77" s="114" t="s">
        <v>538</v>
      </c>
      <c r="P77" s="112"/>
      <c r="Q77" s="114"/>
      <c r="R77" s="116" t="s">
        <v>539</v>
      </c>
      <c r="S77" s="114" t="s">
        <v>540</v>
      </c>
      <c r="T77" s="116" t="s">
        <v>525</v>
      </c>
      <c r="U77" s="122" t="s">
        <v>541</v>
      </c>
      <c r="V77" s="111" t="s">
        <v>542</v>
      </c>
      <c r="W77" s="114" t="s">
        <v>543</v>
      </c>
      <c r="X77" s="114" t="s">
        <v>544</v>
      </c>
      <c r="Y77" s="118" t="s">
        <v>542</v>
      </c>
    </row>
    <row r="78" spans="2:25" ht="89.25" customHeight="1">
      <c r="B78" s="111" t="s">
        <v>4</v>
      </c>
      <c r="C78" s="111" t="s">
        <v>57</v>
      </c>
      <c r="D78" s="111" t="s">
        <v>5</v>
      </c>
      <c r="E78" s="112">
        <v>1</v>
      </c>
      <c r="F78" s="116" t="s">
        <v>545</v>
      </c>
      <c r="G78" s="167" t="s">
        <v>546</v>
      </c>
      <c r="H78" s="115" t="s">
        <v>521</v>
      </c>
      <c r="I78" s="112">
        <v>38</v>
      </c>
      <c r="J78" s="111" t="s">
        <v>47</v>
      </c>
      <c r="K78" s="112">
        <v>4</v>
      </c>
      <c r="L78" s="112"/>
      <c r="M78" s="113"/>
      <c r="N78" s="114" t="s">
        <v>547</v>
      </c>
      <c r="O78" s="114" t="s">
        <v>548</v>
      </c>
      <c r="P78" s="112"/>
      <c r="Q78" s="114" t="s">
        <v>549</v>
      </c>
      <c r="R78" s="116" t="s">
        <v>550</v>
      </c>
      <c r="S78" s="159" t="s">
        <v>551</v>
      </c>
      <c r="T78" s="157" t="s">
        <v>552</v>
      </c>
      <c r="U78" s="137" t="s">
        <v>553</v>
      </c>
      <c r="V78" s="111" t="s">
        <v>542</v>
      </c>
      <c r="W78" s="114" t="s">
        <v>543</v>
      </c>
      <c r="X78" s="114" t="s">
        <v>544</v>
      </c>
      <c r="Y78" s="118" t="s">
        <v>542</v>
      </c>
    </row>
    <row r="79" spans="2:25" ht="89.25" customHeight="1">
      <c r="B79" s="111" t="s">
        <v>4</v>
      </c>
      <c r="C79" s="111" t="s">
        <v>57</v>
      </c>
      <c r="D79" s="111" t="s">
        <v>5</v>
      </c>
      <c r="E79" s="112">
        <v>1</v>
      </c>
      <c r="F79" s="151" t="s">
        <v>554</v>
      </c>
      <c r="G79" s="115" t="s">
        <v>555</v>
      </c>
      <c r="H79" s="154" t="s">
        <v>556</v>
      </c>
      <c r="I79" s="112">
        <v>39</v>
      </c>
      <c r="J79" s="111" t="s">
        <v>140</v>
      </c>
      <c r="K79" s="112">
        <v>23</v>
      </c>
      <c r="L79" s="112">
        <v>6</v>
      </c>
      <c r="M79" s="112"/>
      <c r="N79" s="114" t="s">
        <v>557</v>
      </c>
      <c r="O79" s="114" t="s">
        <v>558</v>
      </c>
      <c r="P79" s="112"/>
      <c r="Q79" s="115"/>
      <c r="R79" s="151" t="s">
        <v>550</v>
      </c>
      <c r="S79" s="151" t="s">
        <v>559</v>
      </c>
      <c r="T79" s="116" t="s">
        <v>560</v>
      </c>
      <c r="U79" s="155" t="s">
        <v>561</v>
      </c>
      <c r="V79" s="152" t="s">
        <v>542</v>
      </c>
      <c r="W79" s="114" t="s">
        <v>542</v>
      </c>
      <c r="X79" s="139" t="s">
        <v>542</v>
      </c>
      <c r="Y79" s="118" t="s">
        <v>542</v>
      </c>
    </row>
    <row r="80" spans="2:25" ht="89.25" customHeight="1">
      <c r="B80" s="111" t="s">
        <v>4</v>
      </c>
      <c r="C80" s="111" t="s">
        <v>57</v>
      </c>
      <c r="D80" s="111" t="s">
        <v>5</v>
      </c>
      <c r="E80" s="112">
        <v>1</v>
      </c>
      <c r="F80" s="168" t="s">
        <v>562</v>
      </c>
      <c r="G80" s="115" t="s">
        <v>563</v>
      </c>
      <c r="H80" s="154" t="s">
        <v>556</v>
      </c>
      <c r="I80" s="112">
        <v>40</v>
      </c>
      <c r="J80" s="111" t="s">
        <v>140</v>
      </c>
      <c r="K80" s="112">
        <v>23</v>
      </c>
      <c r="L80" s="112">
        <v>6</v>
      </c>
      <c r="M80" s="131"/>
      <c r="N80" s="114"/>
      <c r="O80" s="114" t="s">
        <v>564</v>
      </c>
      <c r="P80" s="112"/>
      <c r="Q80" s="111"/>
      <c r="R80" s="151" t="s">
        <v>565</v>
      </c>
      <c r="S80" s="151" t="s">
        <v>566</v>
      </c>
      <c r="T80" s="114" t="s">
        <v>567</v>
      </c>
      <c r="U80" s="156" t="s">
        <v>568</v>
      </c>
      <c r="V80" s="152"/>
      <c r="W80" s="111"/>
      <c r="X80" s="111"/>
      <c r="Y80" s="112"/>
    </row>
    <row r="81" spans="2:25" ht="89.25" customHeight="1">
      <c r="B81" s="111" t="s">
        <v>4</v>
      </c>
      <c r="C81" s="111" t="s">
        <v>57</v>
      </c>
      <c r="D81" s="111" t="s">
        <v>5</v>
      </c>
      <c r="E81" s="112">
        <v>1</v>
      </c>
      <c r="F81" s="116" t="s">
        <v>569</v>
      </c>
      <c r="G81" s="169" t="s">
        <v>570</v>
      </c>
      <c r="H81" s="115" t="s">
        <v>556</v>
      </c>
      <c r="I81" s="112">
        <v>41</v>
      </c>
      <c r="J81" s="111" t="s">
        <v>140</v>
      </c>
      <c r="K81" s="112">
        <v>23</v>
      </c>
      <c r="L81" s="112">
        <v>6</v>
      </c>
      <c r="M81" s="112"/>
      <c r="N81" s="114" t="s">
        <v>571</v>
      </c>
      <c r="O81" s="114" t="s">
        <v>572</v>
      </c>
      <c r="P81" s="112"/>
      <c r="Q81" s="115"/>
      <c r="R81" s="151" t="s">
        <v>565</v>
      </c>
      <c r="S81" s="116" t="s">
        <v>566</v>
      </c>
      <c r="T81" s="158" t="s">
        <v>573</v>
      </c>
      <c r="U81" s="153" t="s">
        <v>574</v>
      </c>
      <c r="V81" s="111" t="s">
        <v>542</v>
      </c>
      <c r="W81" s="114" t="s">
        <v>542</v>
      </c>
      <c r="X81" s="114" t="s">
        <v>542</v>
      </c>
      <c r="Y81" s="118" t="s">
        <v>542</v>
      </c>
    </row>
    <row r="82" spans="2:25" ht="89.25" customHeight="1">
      <c r="B82" s="111" t="s">
        <v>4</v>
      </c>
      <c r="C82" s="111" t="s">
        <v>57</v>
      </c>
      <c r="D82" s="111" t="s">
        <v>5</v>
      </c>
      <c r="E82" s="112">
        <v>1</v>
      </c>
      <c r="F82" s="116" t="s">
        <v>575</v>
      </c>
      <c r="G82" s="116" t="s">
        <v>576</v>
      </c>
      <c r="H82" s="115" t="s">
        <v>556</v>
      </c>
      <c r="I82" s="112">
        <v>42</v>
      </c>
      <c r="J82" s="111" t="s">
        <v>140</v>
      </c>
      <c r="K82" s="112">
        <v>23</v>
      </c>
      <c r="L82" s="112">
        <v>6</v>
      </c>
      <c r="M82" s="112"/>
      <c r="N82" s="114" t="s">
        <v>577</v>
      </c>
      <c r="O82" s="114" t="s">
        <v>578</v>
      </c>
      <c r="P82" s="112"/>
      <c r="Q82" s="111"/>
      <c r="R82" s="151" t="s">
        <v>579</v>
      </c>
      <c r="S82" s="116" t="s">
        <v>580</v>
      </c>
      <c r="T82" s="158" t="s">
        <v>581</v>
      </c>
      <c r="U82" s="117" t="s">
        <v>582</v>
      </c>
      <c r="V82" s="111" t="s">
        <v>542</v>
      </c>
      <c r="W82" s="114" t="s">
        <v>542</v>
      </c>
      <c r="X82" s="114" t="s">
        <v>542</v>
      </c>
      <c r="Y82" s="118" t="s">
        <v>542</v>
      </c>
    </row>
    <row r="83" spans="2:25" ht="89.25" customHeight="1">
      <c r="B83" s="111" t="s">
        <v>4</v>
      </c>
      <c r="C83" s="111" t="s">
        <v>57</v>
      </c>
      <c r="D83" s="111" t="s">
        <v>5</v>
      </c>
      <c r="E83" s="112">
        <v>1</v>
      </c>
      <c r="F83" s="116" t="s">
        <v>583</v>
      </c>
      <c r="G83" s="116" t="s">
        <v>584</v>
      </c>
      <c r="H83" s="115" t="s">
        <v>556</v>
      </c>
      <c r="I83" s="112">
        <v>43</v>
      </c>
      <c r="J83" s="111" t="s">
        <v>140</v>
      </c>
      <c r="K83" s="112">
        <v>23</v>
      </c>
      <c r="L83" s="112">
        <v>6</v>
      </c>
      <c r="M83" s="131"/>
      <c r="N83" s="114"/>
      <c r="O83" s="114" t="s">
        <v>585</v>
      </c>
      <c r="P83" s="112"/>
      <c r="Q83" s="111"/>
      <c r="R83" s="116" t="s">
        <v>586</v>
      </c>
      <c r="S83" s="116" t="s">
        <v>587</v>
      </c>
      <c r="T83" s="116" t="s">
        <v>588</v>
      </c>
      <c r="U83" s="122" t="s">
        <v>589</v>
      </c>
      <c r="V83" s="111"/>
      <c r="W83" s="111"/>
      <c r="X83" s="111"/>
      <c r="Y83" s="112"/>
    </row>
    <row r="84" spans="2:25" ht="89.25" customHeight="1">
      <c r="B84" s="111" t="s">
        <v>4</v>
      </c>
      <c r="C84" s="111" t="s">
        <v>57</v>
      </c>
      <c r="D84" s="111" t="s">
        <v>5</v>
      </c>
      <c r="E84" s="112">
        <v>1</v>
      </c>
      <c r="F84" s="116" t="s">
        <v>590</v>
      </c>
      <c r="G84" s="116" t="s">
        <v>591</v>
      </c>
      <c r="H84" s="115" t="s">
        <v>556</v>
      </c>
      <c r="I84" s="112">
        <v>44</v>
      </c>
      <c r="J84" s="111" t="s">
        <v>140</v>
      </c>
      <c r="K84" s="112">
        <v>23</v>
      </c>
      <c r="L84" s="112">
        <v>6</v>
      </c>
      <c r="M84" s="131"/>
      <c r="N84" s="114"/>
      <c r="O84" s="114" t="s">
        <v>592</v>
      </c>
      <c r="P84" s="112"/>
      <c r="Q84" s="111"/>
      <c r="R84" s="116" t="s">
        <v>586</v>
      </c>
      <c r="S84" s="116" t="s">
        <v>587</v>
      </c>
      <c r="T84" s="116" t="s">
        <v>593</v>
      </c>
      <c r="U84" s="122" t="s">
        <v>594</v>
      </c>
      <c r="V84" s="111"/>
      <c r="W84" s="111"/>
      <c r="X84" s="111"/>
      <c r="Y84" s="112"/>
    </row>
    <row r="85" spans="2:25" ht="89.25" customHeight="1">
      <c r="B85" s="111" t="s">
        <v>4</v>
      </c>
      <c r="C85" s="111" t="s">
        <v>57</v>
      </c>
      <c r="D85" s="111" t="s">
        <v>5</v>
      </c>
      <c r="E85" s="112">
        <v>1</v>
      </c>
      <c r="F85" s="111" t="s">
        <v>595</v>
      </c>
      <c r="G85" s="111" t="s">
        <v>596</v>
      </c>
      <c r="H85" s="115" t="s">
        <v>521</v>
      </c>
      <c r="I85" s="112">
        <v>45</v>
      </c>
      <c r="J85" s="111" t="s">
        <v>47</v>
      </c>
      <c r="K85" s="112">
        <v>4</v>
      </c>
      <c r="L85" s="112"/>
      <c r="M85" s="131"/>
      <c r="N85" s="114"/>
      <c r="O85" s="114" t="s">
        <v>597</v>
      </c>
      <c r="P85" s="112"/>
      <c r="Q85" s="111"/>
      <c r="R85" s="116" t="s">
        <v>530</v>
      </c>
      <c r="S85" s="114" t="s">
        <v>531</v>
      </c>
      <c r="T85" s="114" t="s">
        <v>532</v>
      </c>
      <c r="U85" s="122" t="s">
        <v>598</v>
      </c>
      <c r="V85" s="111"/>
      <c r="W85" s="111"/>
      <c r="X85" s="111"/>
      <c r="Y85" s="112"/>
    </row>
    <row r="86" spans="2:25" ht="89.25" customHeight="1">
      <c r="B86" s="111" t="s">
        <v>4</v>
      </c>
      <c r="C86" s="111" t="s">
        <v>57</v>
      </c>
      <c r="D86" s="111" t="s">
        <v>5</v>
      </c>
      <c r="E86" s="112">
        <v>1</v>
      </c>
      <c r="F86" s="116" t="s">
        <v>599</v>
      </c>
      <c r="G86" s="116" t="s">
        <v>600</v>
      </c>
      <c r="H86" s="115" t="s">
        <v>521</v>
      </c>
      <c r="I86" s="112">
        <v>46</v>
      </c>
      <c r="J86" s="111" t="s">
        <v>47</v>
      </c>
      <c r="K86" s="112">
        <v>4</v>
      </c>
      <c r="L86" s="112"/>
      <c r="M86" s="112"/>
      <c r="N86" s="114" t="s">
        <v>601</v>
      </c>
      <c r="O86" s="114" t="s">
        <v>602</v>
      </c>
      <c r="P86" s="112"/>
      <c r="Q86" s="114" t="s">
        <v>603</v>
      </c>
      <c r="R86" s="116" t="s">
        <v>530</v>
      </c>
      <c r="S86" s="114" t="s">
        <v>531</v>
      </c>
      <c r="T86" s="114" t="s">
        <v>532</v>
      </c>
      <c r="U86" s="122" t="s">
        <v>604</v>
      </c>
      <c r="V86" s="111" t="s">
        <v>542</v>
      </c>
      <c r="W86" s="114" t="s">
        <v>543</v>
      </c>
      <c r="X86" s="114" t="s">
        <v>544</v>
      </c>
      <c r="Y86" s="118" t="s">
        <v>128</v>
      </c>
    </row>
    <row r="87" spans="2:25" ht="89.25" customHeight="1">
      <c r="B87" s="111" t="s">
        <v>4</v>
      </c>
      <c r="C87" s="111" t="s">
        <v>57</v>
      </c>
      <c r="D87" s="111" t="s">
        <v>5</v>
      </c>
      <c r="E87" s="112">
        <v>1</v>
      </c>
      <c r="F87" s="116" t="s">
        <v>605</v>
      </c>
      <c r="G87" s="116" t="s">
        <v>606</v>
      </c>
      <c r="H87" s="115" t="s">
        <v>521</v>
      </c>
      <c r="I87" s="112">
        <v>47</v>
      </c>
      <c r="J87" s="111" t="s">
        <v>47</v>
      </c>
      <c r="K87" s="112">
        <v>4</v>
      </c>
      <c r="L87" s="112"/>
      <c r="M87" s="112"/>
      <c r="N87" s="114" t="s">
        <v>607</v>
      </c>
      <c r="O87" s="114" t="s">
        <v>608</v>
      </c>
      <c r="P87" s="112"/>
      <c r="Q87" s="114" t="s">
        <v>609</v>
      </c>
      <c r="R87" s="116" t="s">
        <v>610</v>
      </c>
      <c r="S87" s="114" t="s">
        <v>611</v>
      </c>
      <c r="T87" s="116" t="s">
        <v>612</v>
      </c>
      <c r="U87" s="137" t="s">
        <v>613</v>
      </c>
      <c r="V87" s="111" t="s">
        <v>542</v>
      </c>
      <c r="W87" s="114" t="s">
        <v>614</v>
      </c>
      <c r="X87" s="114" t="s">
        <v>615</v>
      </c>
      <c r="Y87" s="118" t="s">
        <v>616</v>
      </c>
    </row>
    <row r="88" spans="2:25" ht="89.25" customHeight="1">
      <c r="B88" s="82" t="s">
        <v>4</v>
      </c>
      <c r="C88" s="82" t="s">
        <v>57</v>
      </c>
      <c r="D88" s="82" t="s">
        <v>5</v>
      </c>
      <c r="E88" s="83">
        <v>1</v>
      </c>
      <c r="F88" s="82" t="s">
        <v>617</v>
      </c>
      <c r="G88" s="82" t="s">
        <v>618</v>
      </c>
      <c r="H88" s="82" t="s">
        <v>285</v>
      </c>
      <c r="I88" s="83">
        <v>48</v>
      </c>
      <c r="J88" s="82" t="s">
        <v>47</v>
      </c>
      <c r="K88" s="83">
        <v>4</v>
      </c>
      <c r="L88" s="83"/>
      <c r="M88" s="89"/>
      <c r="N88" s="85"/>
      <c r="O88" s="85" t="s">
        <v>619</v>
      </c>
      <c r="P88" s="83"/>
      <c r="Q88" s="82"/>
      <c r="R88" s="86" t="s">
        <v>620</v>
      </c>
      <c r="S88" s="85" t="s">
        <v>621</v>
      </c>
      <c r="T88" s="166" t="s">
        <v>622</v>
      </c>
      <c r="U88" s="123" t="s">
        <v>623</v>
      </c>
      <c r="V88" s="162"/>
      <c r="W88" s="82"/>
      <c r="X88" s="82"/>
      <c r="Y88" s="83"/>
    </row>
    <row r="89" spans="2:25" ht="89.25" customHeight="1">
      <c r="B89" s="82" t="s">
        <v>4</v>
      </c>
      <c r="C89" s="82" t="s">
        <v>57</v>
      </c>
      <c r="D89" s="82" t="s">
        <v>5</v>
      </c>
      <c r="E89" s="83">
        <v>1</v>
      </c>
      <c r="F89" s="82" t="s">
        <v>624</v>
      </c>
      <c r="G89" s="86" t="s">
        <v>625</v>
      </c>
      <c r="H89" s="82" t="s">
        <v>466</v>
      </c>
      <c r="I89" s="163">
        <v>49</v>
      </c>
      <c r="J89" s="121" t="s">
        <v>47</v>
      </c>
      <c r="K89" s="163">
        <v>10</v>
      </c>
      <c r="L89" s="83"/>
      <c r="M89" s="89"/>
      <c r="N89" s="85"/>
      <c r="O89" s="85" t="s">
        <v>626</v>
      </c>
      <c r="P89" s="83"/>
      <c r="Q89" s="82"/>
      <c r="R89" s="86" t="s">
        <v>627</v>
      </c>
      <c r="S89" s="164" t="s">
        <v>628</v>
      </c>
      <c r="T89" s="85" t="s">
        <v>629</v>
      </c>
      <c r="U89" s="171" t="s">
        <v>630</v>
      </c>
      <c r="V89" s="162"/>
      <c r="W89" s="82"/>
      <c r="X89" s="82"/>
      <c r="Y89" s="83"/>
    </row>
    <row r="90" spans="2:25" ht="89.25" customHeight="1">
      <c r="B90" s="82" t="s">
        <v>4</v>
      </c>
      <c r="C90" s="82" t="s">
        <v>57</v>
      </c>
      <c r="D90" s="82" t="s">
        <v>5</v>
      </c>
      <c r="E90" s="83">
        <v>1</v>
      </c>
      <c r="F90" s="82" t="s">
        <v>631</v>
      </c>
      <c r="G90" s="82" t="s">
        <v>632</v>
      </c>
      <c r="H90" s="82" t="s">
        <v>466</v>
      </c>
      <c r="I90" s="83">
        <v>50</v>
      </c>
      <c r="J90" s="82" t="s">
        <v>47</v>
      </c>
      <c r="K90" s="83">
        <v>10</v>
      </c>
      <c r="L90" s="83"/>
      <c r="M90" s="89"/>
      <c r="N90" s="85"/>
      <c r="O90" s="85" t="s">
        <v>626</v>
      </c>
      <c r="P90" s="83"/>
      <c r="Q90" s="82"/>
      <c r="R90" s="86" t="s">
        <v>633</v>
      </c>
      <c r="S90" s="164" t="s">
        <v>634</v>
      </c>
      <c r="T90" s="164" t="s">
        <v>635</v>
      </c>
      <c r="U90" s="123" t="s">
        <v>636</v>
      </c>
      <c r="V90" s="162"/>
      <c r="W90" s="82"/>
      <c r="X90" s="82"/>
      <c r="Y90" s="83"/>
    </row>
    <row r="91" spans="2:25" ht="89.25" customHeight="1">
      <c r="B91" s="82" t="s">
        <v>4</v>
      </c>
      <c r="C91" s="82" t="s">
        <v>57</v>
      </c>
      <c r="D91" s="82" t="s">
        <v>5</v>
      </c>
      <c r="E91" s="83">
        <v>1</v>
      </c>
      <c r="F91" s="82" t="s">
        <v>637</v>
      </c>
      <c r="G91" s="82" t="s">
        <v>638</v>
      </c>
      <c r="H91" s="82" t="s">
        <v>466</v>
      </c>
      <c r="I91" s="83">
        <v>51</v>
      </c>
      <c r="J91" s="82" t="s">
        <v>47</v>
      </c>
      <c r="K91" s="83">
        <v>10</v>
      </c>
      <c r="L91" s="83"/>
      <c r="M91" s="89"/>
      <c r="N91" s="85"/>
      <c r="O91" s="85" t="s">
        <v>639</v>
      </c>
      <c r="P91" s="83"/>
      <c r="Q91" s="82"/>
      <c r="R91" s="86" t="s">
        <v>51</v>
      </c>
      <c r="S91" s="85" t="s">
        <v>640</v>
      </c>
      <c r="T91" s="170" t="s">
        <v>641</v>
      </c>
      <c r="U91" s="123" t="s">
        <v>642</v>
      </c>
      <c r="V91" s="162"/>
      <c r="W91" s="82"/>
      <c r="X91" s="82"/>
      <c r="Y91" s="83"/>
    </row>
    <row r="92" spans="2:25" ht="89.25" customHeight="1">
      <c r="B92" s="82" t="s">
        <v>4</v>
      </c>
      <c r="C92" s="82" t="s">
        <v>57</v>
      </c>
      <c r="D92" s="82" t="s">
        <v>5</v>
      </c>
      <c r="E92" s="83">
        <v>1</v>
      </c>
      <c r="F92" s="82" t="s">
        <v>643</v>
      </c>
      <c r="G92" s="82" t="s">
        <v>644</v>
      </c>
      <c r="H92" s="82" t="s">
        <v>466</v>
      </c>
      <c r="I92" s="83">
        <v>52</v>
      </c>
      <c r="J92" s="82" t="s">
        <v>47</v>
      </c>
      <c r="K92" s="83">
        <v>10</v>
      </c>
      <c r="L92" s="83"/>
      <c r="M92" s="89"/>
      <c r="N92" s="85"/>
      <c r="O92" s="85" t="s">
        <v>645</v>
      </c>
      <c r="P92" s="83"/>
      <c r="Q92" s="82"/>
      <c r="R92" s="86" t="s">
        <v>646</v>
      </c>
      <c r="S92" s="164" t="s">
        <v>647</v>
      </c>
      <c r="T92" s="85" t="s">
        <v>635</v>
      </c>
      <c r="U92" s="172" t="s">
        <v>648</v>
      </c>
      <c r="V92" s="82"/>
      <c r="W92" s="82"/>
      <c r="X92" s="82"/>
      <c r="Y92" s="83"/>
    </row>
    <row r="93" spans="2:25" ht="89.25" customHeight="1">
      <c r="B93" s="111" t="s">
        <v>4</v>
      </c>
      <c r="C93" s="111" t="s">
        <v>57</v>
      </c>
      <c r="D93" s="111" t="s">
        <v>5</v>
      </c>
      <c r="E93" s="112">
        <v>1</v>
      </c>
      <c r="F93" s="116" t="s">
        <v>649</v>
      </c>
      <c r="G93" s="116" t="s">
        <v>650</v>
      </c>
      <c r="H93" s="115" t="s">
        <v>556</v>
      </c>
      <c r="I93" s="112">
        <v>53</v>
      </c>
      <c r="J93" s="111" t="s">
        <v>140</v>
      </c>
      <c r="K93" s="112">
        <v>23</v>
      </c>
      <c r="L93" s="112">
        <v>6</v>
      </c>
      <c r="M93" s="112"/>
      <c r="N93" s="114" t="s">
        <v>651</v>
      </c>
      <c r="O93" s="114" t="s">
        <v>652</v>
      </c>
      <c r="P93" s="112"/>
      <c r="Q93" s="115"/>
      <c r="R93" s="116" t="s">
        <v>550</v>
      </c>
      <c r="S93" s="116" t="s">
        <v>559</v>
      </c>
      <c r="T93" s="116" t="s">
        <v>653</v>
      </c>
      <c r="U93" s="122" t="s">
        <v>654</v>
      </c>
      <c r="V93" s="111" t="s">
        <v>542</v>
      </c>
      <c r="W93" s="114" t="s">
        <v>655</v>
      </c>
      <c r="X93" s="114" t="s">
        <v>656</v>
      </c>
      <c r="Y93" s="118" t="s">
        <v>657</v>
      </c>
    </row>
    <row r="94" spans="2:25" ht="89.25" customHeight="1">
      <c r="B94" s="111" t="s">
        <v>4</v>
      </c>
      <c r="C94" s="111" t="s">
        <v>57</v>
      </c>
      <c r="D94" s="111" t="s">
        <v>5</v>
      </c>
      <c r="E94" s="112">
        <v>1</v>
      </c>
      <c r="F94" s="111" t="s">
        <v>658</v>
      </c>
      <c r="G94" s="111" t="s">
        <v>659</v>
      </c>
      <c r="H94" s="115" t="s">
        <v>556</v>
      </c>
      <c r="I94" s="112">
        <v>54</v>
      </c>
      <c r="J94" s="111" t="s">
        <v>140</v>
      </c>
      <c r="K94" s="112">
        <v>23</v>
      </c>
      <c r="L94" s="112">
        <v>6</v>
      </c>
      <c r="M94" s="131"/>
      <c r="N94" s="114"/>
      <c r="O94" s="114" t="s">
        <v>660</v>
      </c>
      <c r="P94" s="112"/>
      <c r="Q94" s="111"/>
      <c r="R94" s="116" t="s">
        <v>565</v>
      </c>
      <c r="S94" s="116" t="s">
        <v>566</v>
      </c>
      <c r="T94" s="116" t="s">
        <v>661</v>
      </c>
      <c r="U94" s="122" t="s">
        <v>662</v>
      </c>
      <c r="V94" s="111"/>
      <c r="W94" s="111"/>
      <c r="X94" s="111"/>
      <c r="Y94" s="112"/>
    </row>
    <row r="95" spans="2:25" ht="89.25" customHeight="1">
      <c r="B95" s="111" t="s">
        <v>4</v>
      </c>
      <c r="C95" s="111" t="s">
        <v>57</v>
      </c>
      <c r="D95" s="111" t="s">
        <v>5</v>
      </c>
      <c r="E95" s="112">
        <v>1</v>
      </c>
      <c r="F95" s="116" t="s">
        <v>663</v>
      </c>
      <c r="G95" s="116" t="s">
        <v>664</v>
      </c>
      <c r="H95" s="115" t="s">
        <v>556</v>
      </c>
      <c r="I95" s="112">
        <v>55</v>
      </c>
      <c r="J95" s="111" t="s">
        <v>140</v>
      </c>
      <c r="K95" s="112">
        <v>23</v>
      </c>
      <c r="L95" s="112">
        <v>6</v>
      </c>
      <c r="M95" s="112"/>
      <c r="N95" s="114" t="s">
        <v>665</v>
      </c>
      <c r="O95" s="114" t="s">
        <v>666</v>
      </c>
      <c r="P95" s="112"/>
      <c r="Q95" s="115"/>
      <c r="R95" s="116" t="s">
        <v>565</v>
      </c>
      <c r="S95" s="116" t="s">
        <v>566</v>
      </c>
      <c r="T95" s="116" t="s">
        <v>661</v>
      </c>
      <c r="U95" s="122" t="s">
        <v>667</v>
      </c>
      <c r="V95" s="111" t="s">
        <v>542</v>
      </c>
      <c r="W95" s="114" t="s">
        <v>668</v>
      </c>
      <c r="X95" s="114" t="s">
        <v>669</v>
      </c>
      <c r="Y95" s="118" t="s">
        <v>657</v>
      </c>
    </row>
    <row r="96" spans="2:25" ht="89.25" customHeight="1">
      <c r="B96" s="111" t="s">
        <v>4</v>
      </c>
      <c r="C96" s="111" t="s">
        <v>57</v>
      </c>
      <c r="D96" s="111" t="s">
        <v>5</v>
      </c>
      <c r="E96" s="112">
        <v>1</v>
      </c>
      <c r="F96" s="116" t="s">
        <v>670</v>
      </c>
      <c r="G96" s="116" t="s">
        <v>671</v>
      </c>
      <c r="H96" s="115" t="s">
        <v>556</v>
      </c>
      <c r="I96" s="112">
        <v>56</v>
      </c>
      <c r="J96" s="111" t="s">
        <v>140</v>
      </c>
      <c r="K96" s="112">
        <v>23</v>
      </c>
      <c r="L96" s="112">
        <v>6</v>
      </c>
      <c r="M96" s="112"/>
      <c r="N96" s="114" t="s">
        <v>672</v>
      </c>
      <c r="O96" s="114" t="s">
        <v>673</v>
      </c>
      <c r="P96" s="112"/>
      <c r="Q96" s="111"/>
      <c r="R96" s="116" t="s">
        <v>579</v>
      </c>
      <c r="S96" s="116" t="s">
        <v>580</v>
      </c>
      <c r="T96" s="116" t="s">
        <v>581</v>
      </c>
      <c r="U96" s="122" t="s">
        <v>674</v>
      </c>
      <c r="V96" s="111" t="s">
        <v>542</v>
      </c>
      <c r="W96" s="114" t="s">
        <v>675</v>
      </c>
      <c r="X96" s="114" t="s">
        <v>676</v>
      </c>
      <c r="Y96" s="118" t="s">
        <v>677</v>
      </c>
    </row>
    <row r="97" spans="2:25" ht="89.25" customHeight="1">
      <c r="B97" s="111" t="s">
        <v>4</v>
      </c>
      <c r="C97" s="111" t="s">
        <v>57</v>
      </c>
      <c r="D97" s="111" t="s">
        <v>5</v>
      </c>
      <c r="E97" s="112">
        <v>1</v>
      </c>
      <c r="F97" s="116" t="s">
        <v>678</v>
      </c>
      <c r="G97" s="111" t="s">
        <v>679</v>
      </c>
      <c r="H97" s="115" t="s">
        <v>556</v>
      </c>
      <c r="I97" s="112">
        <v>57</v>
      </c>
      <c r="J97" s="111" t="s">
        <v>140</v>
      </c>
      <c r="K97" s="112">
        <v>23</v>
      </c>
      <c r="L97" s="112">
        <v>6</v>
      </c>
      <c r="M97" s="131"/>
      <c r="N97" s="114"/>
      <c r="O97" s="114" t="s">
        <v>680</v>
      </c>
      <c r="P97" s="112"/>
      <c r="Q97" s="111"/>
      <c r="R97" s="116" t="s">
        <v>586</v>
      </c>
      <c r="S97" s="114" t="s">
        <v>587</v>
      </c>
      <c r="T97" s="116" t="s">
        <v>588</v>
      </c>
      <c r="U97" s="122" t="s">
        <v>681</v>
      </c>
      <c r="V97" s="111"/>
      <c r="W97" s="111"/>
      <c r="X97" s="111"/>
      <c r="Y97" s="112"/>
    </row>
    <row r="98" spans="2:25" ht="89.25" customHeight="1">
      <c r="B98" s="111" t="s">
        <v>4</v>
      </c>
      <c r="C98" s="111" t="s">
        <v>57</v>
      </c>
      <c r="D98" s="111" t="s">
        <v>5</v>
      </c>
      <c r="E98" s="112">
        <v>1</v>
      </c>
      <c r="F98" s="116" t="s">
        <v>682</v>
      </c>
      <c r="G98" s="111" t="s">
        <v>683</v>
      </c>
      <c r="H98" s="115" t="s">
        <v>556</v>
      </c>
      <c r="I98" s="112">
        <v>58</v>
      </c>
      <c r="J98" s="111" t="s">
        <v>140</v>
      </c>
      <c r="K98" s="112">
        <v>23</v>
      </c>
      <c r="L98" s="112">
        <v>6</v>
      </c>
      <c r="M98" s="131"/>
      <c r="N98" s="114"/>
      <c r="O98" s="114" t="s">
        <v>684</v>
      </c>
      <c r="P98" s="112"/>
      <c r="Q98" s="111"/>
      <c r="R98" s="116" t="s">
        <v>586</v>
      </c>
      <c r="S98" s="114" t="s">
        <v>587</v>
      </c>
      <c r="T98" s="116" t="s">
        <v>593</v>
      </c>
      <c r="U98" s="122" t="s">
        <v>685</v>
      </c>
      <c r="V98" s="111"/>
      <c r="W98" s="111"/>
      <c r="X98" s="111"/>
      <c r="Y98" s="112"/>
    </row>
    <row r="99" spans="2:25" ht="89.25" customHeight="1">
      <c r="B99" s="82" t="s">
        <v>4</v>
      </c>
      <c r="C99" s="82" t="s">
        <v>57</v>
      </c>
      <c r="D99" s="82" t="s">
        <v>5</v>
      </c>
      <c r="E99" s="83">
        <v>1</v>
      </c>
      <c r="F99" s="82" t="s">
        <v>686</v>
      </c>
      <c r="G99" s="82" t="s">
        <v>687</v>
      </c>
      <c r="H99" s="84" t="s">
        <v>285</v>
      </c>
      <c r="I99" s="83">
        <v>59</v>
      </c>
      <c r="J99" s="82" t="s">
        <v>47</v>
      </c>
      <c r="K99" s="83">
        <v>4</v>
      </c>
      <c r="L99" s="83"/>
      <c r="M99" s="89"/>
      <c r="N99" s="85"/>
      <c r="O99" s="85" t="s">
        <v>688</v>
      </c>
      <c r="P99" s="83"/>
      <c r="Q99" s="82"/>
      <c r="R99" s="86" t="s">
        <v>58</v>
      </c>
      <c r="S99" s="85" t="s">
        <v>517</v>
      </c>
      <c r="T99" s="85" t="s">
        <v>60</v>
      </c>
      <c r="U99" s="123" t="s">
        <v>689</v>
      </c>
      <c r="V99" s="82"/>
      <c r="W99" s="82" t="s">
        <v>542</v>
      </c>
      <c r="X99" s="82" t="s">
        <v>542</v>
      </c>
      <c r="Y99" s="83"/>
    </row>
    <row r="100" spans="2:25" ht="89.25" customHeight="1">
      <c r="B100" s="82" t="s">
        <v>4</v>
      </c>
      <c r="C100" s="82" t="s">
        <v>57</v>
      </c>
      <c r="D100" s="82" t="s">
        <v>5</v>
      </c>
      <c r="E100" s="83">
        <v>1</v>
      </c>
      <c r="F100" s="82" t="s">
        <v>690</v>
      </c>
      <c r="G100" s="82" t="s">
        <v>691</v>
      </c>
      <c r="H100" s="84" t="s">
        <v>285</v>
      </c>
      <c r="I100" s="83">
        <v>60</v>
      </c>
      <c r="J100" s="82" t="s">
        <v>47</v>
      </c>
      <c r="K100" s="83">
        <v>4</v>
      </c>
      <c r="L100" s="83"/>
      <c r="M100" s="89"/>
      <c r="N100" s="85"/>
      <c r="O100" s="85" t="s">
        <v>692</v>
      </c>
      <c r="P100" s="83"/>
      <c r="Q100" s="82"/>
      <c r="R100" s="86" t="s">
        <v>693</v>
      </c>
      <c r="S100" s="85" t="s">
        <v>694</v>
      </c>
      <c r="T100" s="166" t="s">
        <v>695</v>
      </c>
      <c r="U100" s="123" t="s">
        <v>696</v>
      </c>
      <c r="V100" s="82"/>
      <c r="W100" s="82" t="s">
        <v>542</v>
      </c>
      <c r="X100" s="82" t="s">
        <v>542</v>
      </c>
      <c r="Y100" s="83"/>
    </row>
    <row r="101" spans="2:25" ht="89.25" customHeight="1">
      <c r="B101" s="82" t="s">
        <v>4</v>
      </c>
      <c r="C101" s="82" t="s">
        <v>57</v>
      </c>
      <c r="D101" s="82" t="s">
        <v>5</v>
      </c>
      <c r="E101" s="83">
        <v>1</v>
      </c>
      <c r="F101" s="82" t="s">
        <v>697</v>
      </c>
      <c r="G101" s="82" t="s">
        <v>698</v>
      </c>
      <c r="H101" s="84" t="s">
        <v>466</v>
      </c>
      <c r="I101" s="83">
        <v>61</v>
      </c>
      <c r="J101" s="82" t="s">
        <v>47</v>
      </c>
      <c r="K101" s="83">
        <v>10</v>
      </c>
      <c r="L101" s="83"/>
      <c r="M101" s="89"/>
      <c r="N101" s="85"/>
      <c r="O101" s="85" t="s">
        <v>699</v>
      </c>
      <c r="P101" s="83"/>
      <c r="Q101" s="82"/>
      <c r="R101" s="86" t="s">
        <v>80</v>
      </c>
      <c r="S101" s="85" t="s">
        <v>497</v>
      </c>
      <c r="T101" s="85" t="s">
        <v>700</v>
      </c>
      <c r="U101" s="123" t="s">
        <v>701</v>
      </c>
      <c r="V101" s="82"/>
      <c r="W101" s="82" t="s">
        <v>497</v>
      </c>
      <c r="X101" s="82" t="s">
        <v>700</v>
      </c>
      <c r="Y101" s="83"/>
    </row>
    <row r="102" spans="2:25" ht="89.25" customHeight="1">
      <c r="B102" s="49" t="s">
        <v>4</v>
      </c>
      <c r="C102" s="49" t="s">
        <v>57</v>
      </c>
      <c r="D102" s="49" t="s">
        <v>5</v>
      </c>
      <c r="E102" s="50">
        <v>1</v>
      </c>
      <c r="F102" s="49" t="s">
        <v>702</v>
      </c>
      <c r="G102" s="49" t="s">
        <v>703</v>
      </c>
      <c r="H102" s="52" t="s">
        <v>704</v>
      </c>
      <c r="I102" s="50">
        <v>62</v>
      </c>
      <c r="J102" s="49" t="s">
        <v>47</v>
      </c>
      <c r="K102" s="50">
        <v>4</v>
      </c>
      <c r="L102" s="50"/>
      <c r="M102" s="50"/>
      <c r="N102" s="51" t="s">
        <v>705</v>
      </c>
      <c r="O102" s="51" t="s">
        <v>706</v>
      </c>
      <c r="P102" s="50"/>
      <c r="Q102" s="51" t="s">
        <v>707</v>
      </c>
      <c r="R102" s="53" t="s">
        <v>58</v>
      </c>
      <c r="S102" s="53" t="s">
        <v>59</v>
      </c>
      <c r="T102" s="53" t="s">
        <v>60</v>
      </c>
      <c r="U102" s="79" t="s">
        <v>708</v>
      </c>
      <c r="V102" s="53" t="s">
        <v>135</v>
      </c>
      <c r="W102" s="52" t="s">
        <v>709</v>
      </c>
      <c r="X102" s="52" t="s">
        <v>710</v>
      </c>
      <c r="Y102" s="50" t="s">
        <v>128</v>
      </c>
    </row>
    <row r="103" spans="2:25" ht="89.25" customHeight="1">
      <c r="B103" s="49" t="s">
        <v>4</v>
      </c>
      <c r="C103" s="49" t="s">
        <v>57</v>
      </c>
      <c r="D103" s="49" t="s">
        <v>5</v>
      </c>
      <c r="E103" s="50">
        <v>1</v>
      </c>
      <c r="F103" s="49" t="s">
        <v>711</v>
      </c>
      <c r="G103" s="49" t="s">
        <v>712</v>
      </c>
      <c r="H103" s="52" t="s">
        <v>704</v>
      </c>
      <c r="I103" s="50">
        <v>63</v>
      </c>
      <c r="J103" s="49" t="s">
        <v>47</v>
      </c>
      <c r="K103" s="50">
        <v>4</v>
      </c>
      <c r="L103" s="50"/>
      <c r="M103" s="50"/>
      <c r="N103" s="51" t="s">
        <v>713</v>
      </c>
      <c r="O103" s="51" t="s">
        <v>714</v>
      </c>
      <c r="P103" s="50"/>
      <c r="Q103" s="53" t="s">
        <v>715</v>
      </c>
      <c r="R103" s="53" t="s">
        <v>58</v>
      </c>
      <c r="S103" s="53" t="s">
        <v>59</v>
      </c>
      <c r="T103" s="53" t="s">
        <v>60</v>
      </c>
      <c r="U103" s="64" t="s">
        <v>716</v>
      </c>
      <c r="V103" s="49" t="s">
        <v>62</v>
      </c>
      <c r="W103" s="53" t="s">
        <v>63</v>
      </c>
      <c r="X103" s="53" t="s">
        <v>63</v>
      </c>
      <c r="Y103" s="50" t="s">
        <v>717</v>
      </c>
    </row>
    <row r="104" spans="2:25" ht="89.25" customHeight="1">
      <c r="B104" s="49" t="s">
        <v>4</v>
      </c>
      <c r="C104" s="49" t="s">
        <v>57</v>
      </c>
      <c r="D104" s="49" t="s">
        <v>5</v>
      </c>
      <c r="E104" s="50">
        <v>1</v>
      </c>
      <c r="F104" s="49" t="s">
        <v>151</v>
      </c>
      <c r="G104" s="49" t="s">
        <v>152</v>
      </c>
      <c r="H104" s="49" t="s">
        <v>153</v>
      </c>
      <c r="I104" s="50">
        <v>64</v>
      </c>
      <c r="J104" s="49" t="s">
        <v>47</v>
      </c>
      <c r="K104" s="50">
        <v>2</v>
      </c>
      <c r="L104" s="50"/>
      <c r="M104" s="50"/>
      <c r="N104" s="51" t="s">
        <v>154</v>
      </c>
      <c r="O104" s="51" t="s">
        <v>155</v>
      </c>
      <c r="P104" s="50"/>
      <c r="Q104" s="51" t="s">
        <v>718</v>
      </c>
      <c r="R104" s="53" t="s">
        <v>329</v>
      </c>
      <c r="S104" s="53" t="s">
        <v>719</v>
      </c>
      <c r="T104" s="53" t="s">
        <v>63</v>
      </c>
      <c r="U104" s="79" t="s">
        <v>720</v>
      </c>
      <c r="V104" s="53" t="s">
        <v>135</v>
      </c>
      <c r="W104" s="53" t="s">
        <v>63</v>
      </c>
      <c r="X104" s="53" t="s">
        <v>63</v>
      </c>
      <c r="Y104" s="50" t="s">
        <v>721</v>
      </c>
    </row>
    <row r="105" spans="2:25" ht="89.25" customHeight="1">
      <c r="B105" s="49" t="s">
        <v>4</v>
      </c>
      <c r="C105" s="49" t="s">
        <v>57</v>
      </c>
      <c r="D105" s="49" t="s">
        <v>5</v>
      </c>
      <c r="E105" s="50">
        <v>1</v>
      </c>
      <c r="F105" s="49" t="s">
        <v>178</v>
      </c>
      <c r="G105" s="49" t="s">
        <v>179</v>
      </c>
      <c r="H105" s="49" t="s">
        <v>180</v>
      </c>
      <c r="I105" s="50">
        <v>65</v>
      </c>
      <c r="J105" s="49" t="s">
        <v>47</v>
      </c>
      <c r="K105" s="50">
        <v>10</v>
      </c>
      <c r="L105" s="50"/>
      <c r="M105" s="50"/>
      <c r="N105" s="51" t="s">
        <v>181</v>
      </c>
      <c r="O105" s="51" t="s">
        <v>182</v>
      </c>
      <c r="P105" s="50" t="s">
        <v>50</v>
      </c>
      <c r="Q105" s="49"/>
      <c r="R105" s="53" t="s">
        <v>80</v>
      </c>
      <c r="S105" s="53" t="s">
        <v>81</v>
      </c>
      <c r="T105" s="53" t="s">
        <v>722</v>
      </c>
      <c r="U105" s="106" t="s">
        <v>723</v>
      </c>
      <c r="V105" s="53" t="s">
        <v>63</v>
      </c>
      <c r="W105" s="53" t="s">
        <v>63</v>
      </c>
      <c r="X105" s="53" t="s">
        <v>63</v>
      </c>
      <c r="Y105" s="50" t="s">
        <v>63</v>
      </c>
    </row>
    <row r="106" spans="2:25" ht="89.25" customHeight="1">
      <c r="B106" s="49" t="s">
        <v>4</v>
      </c>
      <c r="C106" s="49" t="s">
        <v>57</v>
      </c>
      <c r="D106" s="49" t="s">
        <v>5</v>
      </c>
      <c r="E106" s="50">
        <v>1</v>
      </c>
      <c r="F106" s="49" t="s">
        <v>205</v>
      </c>
      <c r="G106" s="49" t="s">
        <v>206</v>
      </c>
      <c r="H106" s="49" t="s">
        <v>207</v>
      </c>
      <c r="I106" s="50">
        <v>66</v>
      </c>
      <c r="J106" s="49" t="s">
        <v>208</v>
      </c>
      <c r="K106" s="50">
        <v>23</v>
      </c>
      <c r="L106" s="50"/>
      <c r="M106" s="50"/>
      <c r="N106" s="51" t="s">
        <v>209</v>
      </c>
      <c r="O106" s="51" t="s">
        <v>210</v>
      </c>
      <c r="P106" s="50"/>
      <c r="Q106" s="49"/>
      <c r="R106" s="53" t="s">
        <v>80</v>
      </c>
      <c r="S106" s="53" t="s">
        <v>81</v>
      </c>
      <c r="T106" s="53" t="s">
        <v>63</v>
      </c>
      <c r="U106" s="79" t="s">
        <v>724</v>
      </c>
      <c r="V106" s="53" t="s">
        <v>63</v>
      </c>
      <c r="W106" s="53" t="s">
        <v>63</v>
      </c>
      <c r="X106" s="53" t="s">
        <v>63</v>
      </c>
      <c r="Y106" s="50" t="s">
        <v>63</v>
      </c>
    </row>
  </sheetData>
  <sortState xmlns:xlrd2="http://schemas.microsoft.com/office/spreadsheetml/2017/richdata2" ref="B8:X188">
    <sortCondition ref="C8:C188"/>
    <sortCondition ref="I8:I188"/>
  </sortState>
  <mergeCells count="6">
    <mergeCell ref="V6:Y6"/>
    <mergeCell ref="V5:Y5"/>
    <mergeCell ref="B5:Q5"/>
    <mergeCell ref="B6:Q6"/>
    <mergeCell ref="S6:U6"/>
    <mergeCell ref="R5:U5"/>
  </mergeCells>
  <dataValidations count="1">
    <dataValidation type="textLength" allowBlank="1" showInputMessage="1" showErrorMessage="1" errorTitle="Field with more than 32 characthers" sqref="G1:G1048576" xr:uid="{D405EC6A-AAB9-4C41-93D0-123AA3AF5E78}">
      <formula1>0</formula1>
      <formula2>32</formula2>
    </dataValidation>
  </dataValidation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72"/>
  <sheetViews>
    <sheetView showGridLines="0" topLeftCell="F14" workbookViewId="0">
      <selection activeCell="H22" sqref="H22"/>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725</v>
      </c>
      <c r="C2" s="56" t="s">
        <v>21</v>
      </c>
      <c r="D2" s="56" t="s">
        <v>726</v>
      </c>
      <c r="E2" s="56" t="s">
        <v>727</v>
      </c>
      <c r="F2" s="56" t="s">
        <v>728</v>
      </c>
      <c r="G2" s="56" t="s">
        <v>729</v>
      </c>
      <c r="H2" s="57" t="s">
        <v>730</v>
      </c>
      <c r="I2" s="67" t="s">
        <v>731</v>
      </c>
    </row>
    <row r="3" spans="2:9" ht="30" customHeight="1">
      <c r="B3" s="54" t="s">
        <v>4</v>
      </c>
      <c r="C3" s="49" t="s">
        <v>5</v>
      </c>
      <c r="D3" s="54" t="s">
        <v>732</v>
      </c>
      <c r="E3" s="54" t="s">
        <v>733</v>
      </c>
      <c r="F3" s="184" t="s">
        <v>734</v>
      </c>
      <c r="G3" s="184" t="s">
        <v>735</v>
      </c>
      <c r="H3" s="185" t="s">
        <v>736</v>
      </c>
      <c r="I3" s="186" t="s">
        <v>737</v>
      </c>
    </row>
    <row r="4" spans="2:9" ht="30" customHeight="1">
      <c r="B4" s="54" t="s">
        <v>4</v>
      </c>
      <c r="C4" s="49" t="s">
        <v>5</v>
      </c>
      <c r="D4" s="54" t="s">
        <v>732</v>
      </c>
      <c r="E4" s="54" t="s">
        <v>733</v>
      </c>
      <c r="F4" s="184" t="s">
        <v>738</v>
      </c>
      <c r="G4" s="184" t="s">
        <v>739</v>
      </c>
      <c r="H4" s="185" t="s">
        <v>740</v>
      </c>
      <c r="I4" s="186" t="s">
        <v>737</v>
      </c>
    </row>
    <row r="5" spans="2:9" ht="30" customHeight="1">
      <c r="B5" s="54" t="s">
        <v>4</v>
      </c>
      <c r="C5" s="49" t="s">
        <v>5</v>
      </c>
      <c r="D5" s="54" t="s">
        <v>732</v>
      </c>
      <c r="E5" s="54" t="s">
        <v>733</v>
      </c>
      <c r="F5" s="184" t="s">
        <v>738</v>
      </c>
      <c r="G5" s="184" t="s">
        <v>741</v>
      </c>
      <c r="H5" s="187" t="s">
        <v>742</v>
      </c>
      <c r="I5" s="186" t="s">
        <v>737</v>
      </c>
    </row>
    <row r="6" spans="2:9" ht="30" customHeight="1">
      <c r="B6" s="54" t="s">
        <v>4</v>
      </c>
      <c r="C6" s="54" t="s">
        <v>5</v>
      </c>
      <c r="D6" s="54" t="s">
        <v>743</v>
      </c>
      <c r="E6" s="80" t="s">
        <v>733</v>
      </c>
      <c r="F6" s="80" t="s">
        <v>738</v>
      </c>
      <c r="G6" s="80" t="s">
        <v>744</v>
      </c>
      <c r="H6" s="70" t="s">
        <v>745</v>
      </c>
      <c r="I6" s="186" t="s">
        <v>737</v>
      </c>
    </row>
    <row r="7" spans="2:9" ht="30" customHeight="1">
      <c r="B7" s="54" t="s">
        <v>4</v>
      </c>
      <c r="C7" s="54" t="s">
        <v>5</v>
      </c>
      <c r="D7" s="54" t="s">
        <v>738</v>
      </c>
      <c r="E7" s="80" t="s">
        <v>746</v>
      </c>
      <c r="F7" s="80" t="s">
        <v>738</v>
      </c>
      <c r="G7" s="80" t="s">
        <v>747</v>
      </c>
      <c r="H7" s="70" t="s">
        <v>748</v>
      </c>
      <c r="I7" s="186" t="s">
        <v>737</v>
      </c>
    </row>
    <row r="8" spans="2:9" ht="30" customHeight="1">
      <c r="B8" s="54" t="s">
        <v>4</v>
      </c>
      <c r="C8" s="54" t="s">
        <v>5</v>
      </c>
      <c r="D8" s="54" t="s">
        <v>738</v>
      </c>
      <c r="E8" s="124" t="s">
        <v>747</v>
      </c>
      <c r="F8" s="128" t="s">
        <v>738</v>
      </c>
      <c r="G8" s="160" t="s">
        <v>749</v>
      </c>
      <c r="H8" s="70" t="s">
        <v>750</v>
      </c>
      <c r="I8" s="53" t="s">
        <v>737</v>
      </c>
    </row>
    <row r="9" spans="2:9" ht="30" customHeight="1">
      <c r="B9" s="54" t="s">
        <v>4</v>
      </c>
      <c r="C9" s="49" t="s">
        <v>5</v>
      </c>
      <c r="D9" s="54" t="s">
        <v>732</v>
      </c>
      <c r="E9" s="127" t="s">
        <v>733</v>
      </c>
      <c r="F9" s="49" t="s">
        <v>9</v>
      </c>
      <c r="G9" s="120" t="s">
        <v>751</v>
      </c>
      <c r="H9" s="70" t="s">
        <v>752</v>
      </c>
      <c r="I9" s="53" t="s">
        <v>737</v>
      </c>
    </row>
    <row r="10" spans="2:9" ht="30" customHeight="1">
      <c r="B10" s="54" t="s">
        <v>4</v>
      </c>
      <c r="C10" s="54" t="s">
        <v>5</v>
      </c>
      <c r="D10" s="80" t="s">
        <v>738</v>
      </c>
      <c r="E10" s="80" t="s">
        <v>744</v>
      </c>
      <c r="F10" s="161" t="s">
        <v>732</v>
      </c>
      <c r="G10" s="184" t="s">
        <v>753</v>
      </c>
      <c r="H10" s="188" t="s">
        <v>754</v>
      </c>
      <c r="I10" s="53" t="s">
        <v>737</v>
      </c>
    </row>
    <row r="11" spans="2:9" ht="30" customHeight="1">
      <c r="B11" s="54" t="s">
        <v>4</v>
      </c>
      <c r="C11" s="54" t="s">
        <v>5</v>
      </c>
      <c r="D11" s="80" t="s">
        <v>738</v>
      </c>
      <c r="E11" s="80" t="s">
        <v>744</v>
      </c>
      <c r="F11" s="54" t="s">
        <v>732</v>
      </c>
      <c r="G11" s="184" t="s">
        <v>755</v>
      </c>
      <c r="H11" s="188" t="s">
        <v>756</v>
      </c>
      <c r="I11" s="184" t="s">
        <v>757</v>
      </c>
    </row>
    <row r="12" spans="2:9" ht="30" customHeight="1">
      <c r="B12" s="54" t="s">
        <v>4</v>
      </c>
      <c r="C12" s="54" t="s">
        <v>5</v>
      </c>
      <c r="D12" s="186" t="s">
        <v>758</v>
      </c>
      <c r="E12" s="184" t="s">
        <v>759</v>
      </c>
      <c r="F12" s="184" t="s">
        <v>738</v>
      </c>
      <c r="G12" s="184" t="s">
        <v>760</v>
      </c>
      <c r="H12" s="188" t="s">
        <v>761</v>
      </c>
      <c r="I12" s="53" t="s">
        <v>737</v>
      </c>
    </row>
    <row r="13" spans="2:9" ht="30" customHeight="1">
      <c r="B13" s="54" t="s">
        <v>4</v>
      </c>
      <c r="C13" s="54" t="s">
        <v>5</v>
      </c>
      <c r="D13" s="186" t="s">
        <v>758</v>
      </c>
      <c r="E13" s="184" t="s">
        <v>762</v>
      </c>
      <c r="F13" s="184" t="s">
        <v>738</v>
      </c>
      <c r="G13" s="184" t="s">
        <v>760</v>
      </c>
      <c r="H13" s="188" t="s">
        <v>763</v>
      </c>
      <c r="I13" s="53" t="s">
        <v>737</v>
      </c>
    </row>
    <row r="14" spans="2:9" ht="30" customHeight="1">
      <c r="B14" s="54" t="s">
        <v>4</v>
      </c>
      <c r="C14" s="54" t="s">
        <v>5</v>
      </c>
      <c r="D14" s="186" t="s">
        <v>758</v>
      </c>
      <c r="E14" s="184" t="s">
        <v>759</v>
      </c>
      <c r="F14" s="189" t="s">
        <v>738</v>
      </c>
      <c r="G14" s="189" t="s">
        <v>764</v>
      </c>
      <c r="H14" s="190" t="s">
        <v>765</v>
      </c>
      <c r="I14" s="53" t="s">
        <v>737</v>
      </c>
    </row>
    <row r="15" spans="2:9" ht="30" customHeight="1">
      <c r="B15" s="54" t="s">
        <v>4</v>
      </c>
      <c r="C15" s="54" t="s">
        <v>5</v>
      </c>
      <c r="D15" s="54" t="s">
        <v>766</v>
      </c>
      <c r="E15" s="54" t="s">
        <v>767</v>
      </c>
      <c r="F15" s="186" t="s">
        <v>758</v>
      </c>
      <c r="G15" s="189" t="s">
        <v>768</v>
      </c>
      <c r="H15" s="190" t="s">
        <v>769</v>
      </c>
      <c r="I15" s="53" t="s">
        <v>737</v>
      </c>
    </row>
    <row r="16" spans="2:9" ht="30" customHeight="1">
      <c r="B16" s="54" t="s">
        <v>4</v>
      </c>
      <c r="C16" s="54" t="s">
        <v>5</v>
      </c>
      <c r="D16" s="54" t="s">
        <v>766</v>
      </c>
      <c r="E16" s="54" t="s">
        <v>767</v>
      </c>
      <c r="F16" s="186" t="s">
        <v>758</v>
      </c>
      <c r="G16" s="189" t="s">
        <v>770</v>
      </c>
      <c r="H16" s="190" t="s">
        <v>771</v>
      </c>
      <c r="I16" s="184" t="s">
        <v>737</v>
      </c>
    </row>
    <row r="17" spans="2:9" s="126" customFormat="1" ht="30" customHeight="1">
      <c r="B17" s="54" t="s">
        <v>4</v>
      </c>
      <c r="C17" s="54" t="s">
        <v>5</v>
      </c>
      <c r="D17" s="127" t="s">
        <v>772</v>
      </c>
      <c r="E17" s="49" t="s">
        <v>767</v>
      </c>
      <c r="F17" s="186" t="s">
        <v>758</v>
      </c>
      <c r="G17" s="184" t="s">
        <v>773</v>
      </c>
      <c r="H17" s="188" t="s">
        <v>774</v>
      </c>
      <c r="I17" s="53" t="s">
        <v>737</v>
      </c>
    </row>
    <row r="18" spans="2:9" s="126" customFormat="1" ht="30" customHeight="1">
      <c r="B18" s="54" t="s">
        <v>4</v>
      </c>
      <c r="C18" s="54" t="s">
        <v>5</v>
      </c>
      <c r="D18" s="127" t="s">
        <v>772</v>
      </c>
      <c r="E18" s="49" t="s">
        <v>767</v>
      </c>
      <c r="F18" s="191" t="s">
        <v>758</v>
      </c>
      <c r="G18" s="184" t="s">
        <v>775</v>
      </c>
      <c r="H18" s="188" t="s">
        <v>776</v>
      </c>
      <c r="I18" s="53" t="s">
        <v>737</v>
      </c>
    </row>
    <row r="19" spans="2:9" s="126" customFormat="1" ht="30" customHeight="1">
      <c r="B19" s="54" t="s">
        <v>4</v>
      </c>
      <c r="C19" s="54" t="s">
        <v>5</v>
      </c>
      <c r="D19" s="192" t="s">
        <v>738</v>
      </c>
      <c r="E19" s="165" t="s">
        <v>744</v>
      </c>
      <c r="F19" s="191" t="s">
        <v>758</v>
      </c>
      <c r="G19" s="184" t="s">
        <v>777</v>
      </c>
      <c r="H19" s="188" t="s">
        <v>778</v>
      </c>
      <c r="I19" s="53" t="s">
        <v>737</v>
      </c>
    </row>
    <row r="20" spans="2:9" ht="30" customHeight="1">
      <c r="B20" s="54" t="s">
        <v>4</v>
      </c>
      <c r="C20" s="54" t="s">
        <v>5</v>
      </c>
      <c r="D20" s="124" t="s">
        <v>779</v>
      </c>
      <c r="E20" s="193" t="s">
        <v>780</v>
      </c>
      <c r="F20" s="184" t="s">
        <v>758</v>
      </c>
      <c r="G20" s="194" t="s">
        <v>781</v>
      </c>
      <c r="H20" s="188" t="s">
        <v>782</v>
      </c>
      <c r="I20" s="53" t="s">
        <v>737</v>
      </c>
    </row>
    <row r="21" spans="2:9" ht="30" customHeight="1">
      <c r="B21" s="54" t="s">
        <v>4</v>
      </c>
      <c r="C21" s="54" t="s">
        <v>5</v>
      </c>
      <c r="D21" s="124" t="s">
        <v>783</v>
      </c>
      <c r="E21" s="192" t="s">
        <v>780</v>
      </c>
      <c r="F21" s="184" t="s">
        <v>758</v>
      </c>
      <c r="G21" s="194" t="s">
        <v>784</v>
      </c>
      <c r="H21" s="188" t="s">
        <v>785</v>
      </c>
      <c r="I21" s="53" t="s">
        <v>737</v>
      </c>
    </row>
    <row r="22" spans="2:9" ht="30" customHeight="1">
      <c r="B22" s="54" t="s">
        <v>4</v>
      </c>
      <c r="C22" s="54" t="s">
        <v>5</v>
      </c>
      <c r="D22" s="124" t="s">
        <v>783</v>
      </c>
      <c r="E22" s="192" t="s">
        <v>786</v>
      </c>
      <c r="F22" s="189" t="s">
        <v>738</v>
      </c>
      <c r="G22" s="184" t="s">
        <v>787</v>
      </c>
      <c r="H22" s="188" t="s">
        <v>788</v>
      </c>
      <c r="I22" s="53" t="s">
        <v>737</v>
      </c>
    </row>
    <row r="23" spans="2:9" ht="30" customHeight="1">
      <c r="B23" s="54" t="s">
        <v>4</v>
      </c>
      <c r="C23" s="54" t="s">
        <v>5</v>
      </c>
      <c r="D23" s="184" t="s">
        <v>789</v>
      </c>
      <c r="E23" s="194" t="s">
        <v>790</v>
      </c>
      <c r="F23" s="189" t="s">
        <v>738</v>
      </c>
      <c r="G23" s="189" t="s">
        <v>791</v>
      </c>
      <c r="H23" s="188" t="s">
        <v>792</v>
      </c>
      <c r="I23" s="53" t="s">
        <v>737</v>
      </c>
    </row>
    <row r="24" spans="2:9" ht="30" customHeight="1">
      <c r="B24" s="54" t="s">
        <v>4</v>
      </c>
      <c r="C24" s="54" t="s">
        <v>5</v>
      </c>
      <c r="D24" s="184" t="s">
        <v>789</v>
      </c>
      <c r="E24" s="191" t="s">
        <v>793</v>
      </c>
      <c r="F24" s="189" t="s">
        <v>738</v>
      </c>
      <c r="G24" s="189" t="s">
        <v>794</v>
      </c>
      <c r="H24" s="188" t="s">
        <v>795</v>
      </c>
      <c r="I24" s="53" t="s">
        <v>737</v>
      </c>
    </row>
    <row r="25" spans="2:9" ht="30" customHeight="1">
      <c r="B25" s="54" t="s">
        <v>4</v>
      </c>
      <c r="C25" s="54" t="s">
        <v>5</v>
      </c>
      <c r="D25" s="127" t="s">
        <v>738</v>
      </c>
      <c r="E25" s="128" t="s">
        <v>746</v>
      </c>
      <c r="F25" s="129" t="s">
        <v>743</v>
      </c>
      <c r="G25" s="189" t="s">
        <v>755</v>
      </c>
      <c r="H25" s="188" t="s">
        <v>796</v>
      </c>
      <c r="I25" s="53" t="s">
        <v>737</v>
      </c>
    </row>
    <row r="26" spans="2:9" ht="30" customHeight="1">
      <c r="B26" s="54" t="s">
        <v>4</v>
      </c>
      <c r="C26" s="54" t="s">
        <v>5</v>
      </c>
      <c r="D26" s="127" t="s">
        <v>732</v>
      </c>
      <c r="E26" s="49" t="s">
        <v>733</v>
      </c>
      <c r="F26" s="120" t="s">
        <v>9</v>
      </c>
      <c r="G26" s="120" t="s">
        <v>10</v>
      </c>
      <c r="H26" s="81" t="s">
        <v>797</v>
      </c>
      <c r="I26" s="53" t="s">
        <v>798</v>
      </c>
    </row>
    <row r="27" spans="2:9" ht="30" customHeight="1">
      <c r="B27" s="107" t="s">
        <v>4</v>
      </c>
      <c r="C27" s="108" t="s">
        <v>7</v>
      </c>
      <c r="D27" s="107" t="s">
        <v>732</v>
      </c>
      <c r="E27" s="130" t="s">
        <v>799</v>
      </c>
      <c r="F27" s="125" t="s">
        <v>9</v>
      </c>
      <c r="G27" s="49" t="s">
        <v>10</v>
      </c>
      <c r="H27" s="81" t="s">
        <v>800</v>
      </c>
      <c r="I27" s="105" t="s">
        <v>798</v>
      </c>
    </row>
    <row r="28" spans="2:9" ht="30" customHeight="1">
      <c r="B28" s="107" t="s">
        <v>4</v>
      </c>
      <c r="C28" s="108" t="s">
        <v>7</v>
      </c>
      <c r="D28" s="107" t="s">
        <v>801</v>
      </c>
      <c r="E28" s="107" t="s">
        <v>802</v>
      </c>
      <c r="F28" s="49" t="s">
        <v>9</v>
      </c>
      <c r="G28" s="49" t="s">
        <v>10</v>
      </c>
      <c r="H28" s="81" t="s">
        <v>803</v>
      </c>
      <c r="I28" s="109" t="s">
        <v>798</v>
      </c>
    </row>
    <row r="29" spans="2:9" ht="30" customHeight="1">
      <c r="B29" s="69" t="s">
        <v>4</v>
      </c>
      <c r="C29" s="100" t="s">
        <v>10</v>
      </c>
      <c r="D29" s="69" t="s">
        <v>801</v>
      </c>
      <c r="E29" s="69" t="s">
        <v>804</v>
      </c>
      <c r="F29" s="78" t="s">
        <v>732</v>
      </c>
      <c r="G29" s="69" t="s">
        <v>805</v>
      </c>
      <c r="H29" s="103" t="s">
        <v>806</v>
      </c>
      <c r="I29" s="68" t="s">
        <v>798</v>
      </c>
    </row>
    <row r="30" spans="2:9" ht="30" customHeight="1">
      <c r="B30" s="94"/>
      <c r="C30" s="102"/>
      <c r="D30" s="94"/>
      <c r="E30" s="94"/>
      <c r="F30" s="24"/>
      <c r="G30" s="94"/>
      <c r="H30" s="95"/>
      <c r="I30" s="95"/>
    </row>
    <row r="31" spans="2:9" ht="30" customHeight="1">
      <c r="B31"/>
      <c r="C31"/>
      <c r="D31"/>
      <c r="E31"/>
      <c r="F31"/>
    </row>
    <row r="32" spans="2:9" ht="15">
      <c r="B32"/>
      <c r="C32"/>
      <c r="D32"/>
      <c r="E32" s="195"/>
      <c r="F32" s="195"/>
    </row>
    <row r="33" spans="2:6" ht="15">
      <c r="B33"/>
      <c r="C33"/>
      <c r="D33"/>
      <c r="E33"/>
      <c r="F33"/>
    </row>
    <row r="34" spans="2:6" ht="15">
      <c r="B34"/>
      <c r="C34"/>
      <c r="D34"/>
      <c r="E34"/>
      <c r="F34"/>
    </row>
    <row r="35" spans="2:6" ht="15">
      <c r="B35"/>
      <c r="C35"/>
      <c r="D35"/>
      <c r="E35"/>
      <c r="F35"/>
    </row>
    <row r="36" spans="2:6" ht="15">
      <c r="B36"/>
      <c r="C36"/>
      <c r="D36"/>
      <c r="E36"/>
      <c r="F36"/>
    </row>
    <row r="37" spans="2:6" ht="15">
      <c r="B37"/>
      <c r="C37"/>
      <c r="D37"/>
      <c r="E37"/>
      <c r="F37"/>
    </row>
    <row r="38" spans="2:6" ht="15">
      <c r="B38"/>
      <c r="C38"/>
      <c r="D38"/>
      <c r="E38"/>
      <c r="F38"/>
    </row>
    <row r="39" spans="2:6" ht="15">
      <c r="B39"/>
      <c r="C39"/>
      <c r="D39"/>
      <c r="E39"/>
      <c r="F39"/>
    </row>
    <row r="40" spans="2:6" ht="15">
      <c r="B40"/>
      <c r="C40"/>
      <c r="D40"/>
      <c r="E40"/>
      <c r="F40"/>
    </row>
    <row r="41" spans="2:6" ht="15">
      <c r="B41"/>
      <c r="C41"/>
      <c r="D41"/>
      <c r="E41"/>
      <c r="F41"/>
    </row>
    <row r="42" spans="2:6" ht="15">
      <c r="B42"/>
      <c r="C42"/>
      <c r="D42"/>
      <c r="E42"/>
      <c r="F42"/>
    </row>
    <row r="43" spans="2:6" ht="15">
      <c r="B43"/>
      <c r="C43"/>
      <c r="D43"/>
      <c r="E43"/>
      <c r="F43"/>
    </row>
    <row r="44" spans="2:6" ht="15">
      <c r="B44"/>
      <c r="C44"/>
      <c r="D44"/>
      <c r="E44"/>
      <c r="F44"/>
    </row>
    <row r="45" spans="2:6" ht="15">
      <c r="B45"/>
      <c r="C45"/>
      <c r="D45"/>
      <c r="E45"/>
      <c r="F45"/>
    </row>
    <row r="46" spans="2:6" ht="15">
      <c r="B46"/>
      <c r="C46"/>
      <c r="D46"/>
      <c r="E46"/>
      <c r="F46"/>
    </row>
    <row r="47" spans="2:6" ht="15">
      <c r="B47"/>
      <c r="C47"/>
      <c r="D47"/>
      <c r="E47"/>
      <c r="F47"/>
    </row>
    <row r="48" spans="2:6"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B448"/>
      <c r="C448"/>
      <c r="D448"/>
      <c r="E448"/>
      <c r="F448"/>
    </row>
    <row r="449" spans="2:6" ht="15">
      <c r="B449"/>
      <c r="C449"/>
      <c r="D449"/>
      <c r="E449"/>
      <c r="F449"/>
    </row>
    <row r="450" spans="2:6" ht="15">
      <c r="B450"/>
      <c r="C450"/>
      <c r="D450"/>
      <c r="E450"/>
      <c r="F450"/>
    </row>
    <row r="451" spans="2:6" ht="15">
      <c r="B451"/>
      <c r="C451"/>
      <c r="D451"/>
      <c r="E451"/>
      <c r="F451"/>
    </row>
    <row r="452" spans="2:6" ht="15">
      <c r="B452"/>
      <c r="C452"/>
      <c r="D452"/>
      <c r="E452"/>
      <c r="F452"/>
    </row>
    <row r="453" spans="2:6" ht="15">
      <c r="B453"/>
      <c r="C453"/>
      <c r="D453"/>
      <c r="E453"/>
      <c r="F453"/>
    </row>
    <row r="454" spans="2:6" ht="15">
      <c r="B454"/>
      <c r="C454"/>
      <c r="D454"/>
      <c r="E454"/>
      <c r="F454"/>
    </row>
    <row r="455" spans="2:6" ht="15">
      <c r="B455"/>
      <c r="C455"/>
      <c r="D455"/>
      <c r="E455"/>
      <c r="F455"/>
    </row>
    <row r="456" spans="2:6" ht="15">
      <c r="B456"/>
      <c r="C456"/>
      <c r="D456"/>
      <c r="E456"/>
      <c r="F456"/>
    </row>
    <row r="457" spans="2:6" ht="15">
      <c r="B457"/>
      <c r="C457"/>
      <c r="D457"/>
      <c r="E457"/>
      <c r="F457"/>
    </row>
    <row r="458" spans="2:6" ht="15">
      <c r="B458"/>
      <c r="C458"/>
      <c r="D458"/>
      <c r="E458"/>
      <c r="F458"/>
    </row>
    <row r="459" spans="2:6" ht="15">
      <c r="B459"/>
      <c r="C459"/>
      <c r="D459"/>
      <c r="E459"/>
      <c r="F459"/>
    </row>
    <row r="460" spans="2:6" ht="15">
      <c r="B460"/>
      <c r="C460"/>
      <c r="D460"/>
      <c r="E460"/>
      <c r="F460"/>
    </row>
    <row r="461" spans="2:6" ht="15">
      <c r="B461"/>
      <c r="C461"/>
      <c r="D461"/>
      <c r="E461"/>
      <c r="F461"/>
    </row>
    <row r="462" spans="2:6" ht="15">
      <c r="B462"/>
      <c r="C462"/>
      <c r="D462"/>
      <c r="E462"/>
      <c r="F462"/>
    </row>
    <row r="463" spans="2:6" ht="15">
      <c r="C463"/>
      <c r="D463"/>
      <c r="E463"/>
      <c r="F463"/>
    </row>
    <row r="464" spans="2:6" ht="15"/>
    <row r="465" ht="15"/>
    <row r="466" ht="15"/>
    <row r="467" ht="15"/>
    <row r="468" ht="15"/>
    <row r="470" ht="15"/>
    <row r="471" ht="15"/>
    <row r="472"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workbookViewId="0">
      <selection activeCell="G10" sqref="G1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19</v>
      </c>
      <c r="C2" s="56" t="s">
        <v>21</v>
      </c>
      <c r="D2" s="56" t="s">
        <v>807</v>
      </c>
      <c r="E2" s="56" t="s">
        <v>808</v>
      </c>
      <c r="F2" s="56" t="s">
        <v>809</v>
      </c>
      <c r="G2" s="56" t="s">
        <v>810</v>
      </c>
      <c r="H2" s="56" t="s">
        <v>811</v>
      </c>
    </row>
    <row r="3" spans="2:8" ht="30" customHeight="1">
      <c r="B3" s="54" t="s">
        <v>4</v>
      </c>
      <c r="C3" s="54" t="s">
        <v>5</v>
      </c>
      <c r="D3" s="54" t="s">
        <v>732</v>
      </c>
      <c r="E3" s="54" t="s">
        <v>733</v>
      </c>
      <c r="F3" s="54" t="s">
        <v>812</v>
      </c>
      <c r="G3" s="55" t="s">
        <v>813</v>
      </c>
      <c r="H3" s="71" t="s">
        <v>814</v>
      </c>
    </row>
    <row r="4" spans="2:8" ht="30" customHeight="1">
      <c r="B4" s="54" t="s">
        <v>4</v>
      </c>
      <c r="C4" s="54" t="s">
        <v>5</v>
      </c>
      <c r="D4" s="54" t="s">
        <v>801</v>
      </c>
      <c r="E4" s="54" t="s">
        <v>804</v>
      </c>
      <c r="F4" s="54" t="s">
        <v>815</v>
      </c>
      <c r="G4" s="54" t="s">
        <v>816</v>
      </c>
      <c r="H4" s="55" t="s">
        <v>817</v>
      </c>
    </row>
    <row r="5" spans="2:8" ht="30" customHeight="1">
      <c r="B5" s="54" t="s">
        <v>4</v>
      </c>
      <c r="C5" s="101" t="s">
        <v>7</v>
      </c>
      <c r="D5" s="54" t="s">
        <v>732</v>
      </c>
      <c r="E5" s="54" t="s">
        <v>799</v>
      </c>
      <c r="F5" s="55" t="s">
        <v>818</v>
      </c>
      <c r="G5" s="71" t="s">
        <v>819</v>
      </c>
      <c r="H5" s="55" t="s">
        <v>820</v>
      </c>
    </row>
    <row r="6" spans="2:8" ht="30" customHeight="1">
      <c r="B6" s="54" t="s">
        <v>4</v>
      </c>
      <c r="C6" s="101" t="s">
        <v>7</v>
      </c>
      <c r="D6" s="54" t="s">
        <v>801</v>
      </c>
      <c r="E6" s="54" t="s">
        <v>802</v>
      </c>
      <c r="F6" s="55" t="s">
        <v>821</v>
      </c>
      <c r="G6" s="64" t="s">
        <v>822</v>
      </c>
      <c r="H6" s="53" t="s">
        <v>820</v>
      </c>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sheetData>
  <pageMargins left="0.7" right="0.7" top="0.75" bottom="0.75" header="0.3" footer="0.3"/>
  <pageSetup paperSize="9"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BDFF5468-7FF4-40D9-A476-4862AA77024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2026-01-29T16:13:31Z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13" name="Estado">
    <vt:lpwstr>9;#Active|5fac735a-6c3d-4db3-a5ea-62b32a9e77ff</vt:lpwstr>
  </property>
  <property fmtid="{D5CDD505-2E9C-101B-9397-08002B2CF9AE}" pid="14" name="MSIP_Label_0c2abd79-57a9-4473-8700-c843f76a1e37_Enabled">
    <vt:lpwstr>true</vt:lpwstr>
  </property>
  <property fmtid="{D5CDD505-2E9C-101B-9397-08002B2CF9AE}" pid="15" name="MSIP_Label_0c2abd79-57a9-4473-8700-c843f76a1e37_SetDate">
    <vt:lpwstr>2026-01-22T10:28:00Z</vt:lpwstr>
  </property>
  <property fmtid="{D5CDD505-2E9C-101B-9397-08002B2CF9AE}" pid="16" name="MSIP_Label_0c2abd79-57a9-4473-8700-c843f76a1e37_Method">
    <vt:lpwstr>Privileged</vt:lpwstr>
  </property>
  <property fmtid="{D5CDD505-2E9C-101B-9397-08002B2CF9AE}" pid="17" name="MSIP_Label_0c2abd79-57a9-4473-8700-c843f76a1e37_Name">
    <vt:lpwstr>Internal</vt:lpwstr>
  </property>
  <property fmtid="{D5CDD505-2E9C-101B-9397-08002B2CF9AE}" pid="18" name="MSIP_Label_0c2abd79-57a9-4473-8700-c843f76a1e37_SiteId">
    <vt:lpwstr>35595a02-4d6d-44ac-99e1-f9ab4cd872db</vt:lpwstr>
  </property>
  <property fmtid="{D5CDD505-2E9C-101B-9397-08002B2CF9AE}" pid="19" name="MSIP_Label_0c2abd79-57a9-4473-8700-c843f76a1e37_ActionId">
    <vt:lpwstr>4588d473-cd2a-47f0-8ae7-2712b403e97f</vt:lpwstr>
  </property>
  <property fmtid="{D5CDD505-2E9C-101B-9397-08002B2CF9AE}" pid="20" name="MSIP_Label_0c2abd79-57a9-4473-8700-c843f76a1e37_ContentBits">
    <vt:lpwstr>0</vt:lpwstr>
  </property>
  <property fmtid="{D5CDD505-2E9C-101B-9397-08002B2CF9AE}" pid="21" name="MSIP_Label_0c2abd79-57a9-4473-8700-c843f76a1e37_Tag">
    <vt:lpwstr>10, 0, 1, 2</vt:lpwstr>
  </property>
</Properties>
</file>