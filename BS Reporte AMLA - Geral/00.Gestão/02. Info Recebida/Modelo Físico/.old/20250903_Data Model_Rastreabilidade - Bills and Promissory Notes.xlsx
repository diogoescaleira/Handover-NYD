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persons/person.xml" ContentType="application/vnd.ms-excel.person+xml"/>
  <Override PartName="/xl/namedSheetViews/namedSheetView1.xml" ContentType="application/vnd.ms-excel.namedsheetview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aveExternalLinkValues="0" defaultThemeVersion="164011"/>
  <mc:AlternateContent xmlns:mc="http://schemas.openxmlformats.org/markup-compatibility/2006">
    <mc:Choice Requires="x15">
      <x15ac:absPath xmlns:x15ac="http://schemas.microsoft.com/office/spreadsheetml/2010/11/ac" url="C:\Users\E809785\Downloads\"/>
    </mc:Choice>
  </mc:AlternateContent>
  <bookViews>
    <workbookView xWindow="-110" yWindow="-110" windowWidth="19430" windowHeight="10430" tabRatio="636" firstSheet="3" activeTab="2"/>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G8" i="53" a="1"/>
  <c r="G8" i="53"/>
  <c r="G8" i="69" a="1"/>
  <c r="G8" i="69" s="1"/>
  <c r="G8" i="71" a="1"/>
  <c r="G8" i="71"/>
  <c r="G8" i="72" a="1"/>
  <c r="G8" i="72"/>
  <c r="G8" i="67" a="1"/>
  <c r="G8" i="67"/>
  <c r="G19" i="56"/>
  <c r="G20" i="56"/>
  <c r="G8" i="56" a="1"/>
  <c r="G8" i="56"/>
  <c r="G8" i="57" a="1"/>
  <c r="G8" i="57"/>
  <c r="G8" i="54" a="1"/>
  <c r="G8" i="54"/>
  <c r="G8" i="51" a="1"/>
  <c r="G8" i="51"/>
  <c r="G8" i="48" a="1"/>
  <c r="G8" i="48"/>
  <c r="G8" i="52" a="1"/>
  <c r="G8" i="52"/>
  <c r="G8" i="68" a="1"/>
  <c r="G8" i="68"/>
  <c r="G8" i="66" a="1"/>
  <c r="G8" i="66"/>
  <c r="G8" i="64" a="1"/>
  <c r="G8" i="64"/>
  <c r="G8" i="65" a="1"/>
  <c r="G8" i="65"/>
  <c r="G8" i="55" a="1"/>
  <c r="G8" i="55"/>
  <c r="G8" i="45" a="1"/>
  <c r="G8" i="45"/>
  <c r="G22" i="55" a="1"/>
  <c r="G22" i="55"/>
  <c r="L32" i="64"/>
  <c r="K35" i="64"/>
  <c r="L34" i="64"/>
  <c r="L31" i="64"/>
  <c r="M32" i="64" s="1"/>
  <c r="G8" i="59" a="1"/>
  <c r="G8" i="59"/>
  <c r="G8" i="62" a="1"/>
  <c r="G8" i="62"/>
  <c r="G8" i="63" a="1"/>
  <c r="G8" i="63"/>
  <c r="G8" i="60" a="1"/>
  <c r="G8" i="60"/>
  <c r="G8" i="61" a="1"/>
  <c r="G8" i="61"/>
  <c r="G8" i="47" a="1"/>
  <c r="G8" i="47"/>
  <c r="G6" i="46" a="1"/>
  <c r="G6" i="46"/>
  <c r="G6" i="50" a="1"/>
  <c r="G6" i="50"/>
  <c r="I24" i="64" a="1"/>
  <c r="I24" i="57" a="1"/>
  <c r="I26" i="56" a="1"/>
  <c r="I26" i="45" a="1"/>
  <c r="I26" i="47" a="1"/>
  <c r="I26" i="66" a="1"/>
  <c r="I24" i="63" a="1"/>
  <c r="I26" i="71" a="1"/>
  <c r="I27" i="54" a="1"/>
  <c r="I26" i="68" a="1"/>
  <c r="I24" i="62" a="1"/>
  <c r="I26" i="72" a="1"/>
  <c r="I23" i="50" a="1"/>
  <c r="I26" i="67" a="1"/>
  <c r="I24" i="60" a="1"/>
  <c r="I26" i="73" a="1"/>
  <c r="I26" i="70" a="1"/>
  <c r="I24" i="61" a="1"/>
  <c r="I23" i="46" a="1"/>
  <c r="I24" i="59" a="1"/>
  <c r="I25" i="53" a="1"/>
  <c r="I24" i="48" a="1"/>
  <c r="I26" i="52" a="1"/>
  <c r="I24" i="65" a="1"/>
  <c r="I24" i="51" a="1"/>
  <c r="I24" i="69" a="1"/>
  <c r="I27" i="70" a="1"/>
  <c r="I28" i="54" a="1"/>
  <c r="I27" i="56" a="1"/>
  <c r="I25" i="65" a="1"/>
  <c r="I25" i="59" a="1"/>
  <c r="I27" i="47" a="1"/>
  <c r="I27" i="68" a="1"/>
  <c r="I27" i="73" a="1"/>
  <c r="I26" i="53" a="1"/>
  <c r="I27" i="52" a="1"/>
  <c r="I27" i="55" a="1"/>
  <c r="I27" i="45" a="1"/>
  <c r="I24" i="46" a="1"/>
  <c r="I25" i="60" a="1"/>
  <c r="I25" i="69" a="1"/>
  <c r="I24" i="50" a="1"/>
  <c r="I27" i="66" a="1"/>
  <c r="I25" i="51" a="1"/>
  <c r="I27" i="67" a="1"/>
  <c r="I25" i="57" a="1"/>
  <c r="I25" i="64" a="1"/>
  <c r="I25" i="48" a="1"/>
  <c r="I25" i="61" a="1"/>
  <c r="I27" i="71" a="1"/>
  <c r="I25" i="63" a="1"/>
  <c r="I27" i="72" a="1"/>
  <c r="I25" i="62" a="1"/>
  <c r="I24" i="69" l="1"/>
  <c r="G20" i="69" s="1" a="1"/>
  <c r="G20" i="69" s="1"/>
  <c r="I24" i="51"/>
  <c r="G20" i="51" s="1" a="1"/>
  <c r="G20" i="51" s="1"/>
  <c r="I24" i="65"/>
  <c r="G19" i="65" s="1" a="1"/>
  <c r="G19" i="65" s="1"/>
  <c r="I26" i="52"/>
  <c r="G22" i="52" s="1" a="1"/>
  <c r="G22" i="52" s="1"/>
  <c r="I24" i="48"/>
  <c r="G20" i="48" s="1" a="1"/>
  <c r="G20" i="48" s="1"/>
  <c r="I25" i="53"/>
  <c r="G22" i="53" s="1" a="1"/>
  <c r="G22" i="53" s="1"/>
  <c r="I24" i="59"/>
  <c r="G20" i="59" s="1" a="1"/>
  <c r="G20" i="59" s="1"/>
  <c r="I23" i="46"/>
  <c r="G18" i="46" s="1" a="1"/>
  <c r="G18" i="46" s="1"/>
  <c r="I24" i="61"/>
  <c r="G20" i="61" s="1" a="1"/>
  <c r="G20" i="61" s="1"/>
  <c r="I26" i="70"/>
  <c r="G22" i="70" s="1" a="1"/>
  <c r="G22" i="70" s="1"/>
  <c r="I26" i="73"/>
  <c r="G22" i="73" s="1" a="1"/>
  <c r="G22" i="73" s="1"/>
  <c r="I24" i="60"/>
  <c r="G20" i="60" s="1" a="1"/>
  <c r="G20" i="60" s="1"/>
  <c r="I26" i="67"/>
  <c r="G22" i="67" s="1" a="1"/>
  <c r="G22" i="67" s="1"/>
  <c r="I23" i="50"/>
  <c r="G18" i="50" s="1" a="1"/>
  <c r="G18" i="50" s="1"/>
  <c r="I26" i="72"/>
  <c r="G22" i="72" s="1" a="1"/>
  <c r="G22" i="72" s="1"/>
  <c r="I24" i="62"/>
  <c r="G20" i="62" s="1" a="1"/>
  <c r="G20" i="62" s="1"/>
  <c r="I26" i="68"/>
  <c r="G22" i="68" s="1" a="1"/>
  <c r="G22" i="68" s="1"/>
  <c r="I27" i="54"/>
  <c r="G22" i="54" s="1" a="1"/>
  <c r="G22" i="54" s="1"/>
  <c r="I26" i="71"/>
  <c r="G22" i="71" s="1" a="1"/>
  <c r="G22" i="71" s="1"/>
  <c r="I24" i="63"/>
  <c r="G20" i="63" s="1" a="1"/>
  <c r="G20" i="63" s="1"/>
  <c r="I26" i="66"/>
  <c r="G22" i="66" s="1" a="1"/>
  <c r="G22" i="66" s="1"/>
  <c r="I26" i="47"/>
  <c r="G20" i="47" s="1" a="1"/>
  <c r="G20" i="47" s="1"/>
  <c r="I26" i="45"/>
  <c r="G22" i="45" s="1" a="1"/>
  <c r="G22" i="45" s="1"/>
  <c r="I26" i="56"/>
  <c r="G22" i="56" s="1" a="1"/>
  <c r="G22" i="56" s="1"/>
  <c r="I24" i="57"/>
  <c r="G20" i="57" s="1" a="1"/>
  <c r="G20" i="57" s="1"/>
  <c r="I24" i="64"/>
  <c r="G20" i="64" s="1" a="1"/>
  <c r="G20" i="64" s="1"/>
  <c r="I27" i="45"/>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17" i="46" a="1"/>
  <c r="G20" i="65" l="1" a="1"/>
  <c r="G20" i="65" s="1"/>
  <c r="G19" i="64" a="1"/>
  <c r="G19" i="64" s="1"/>
  <c r="G21" i="64" s="1" a="1"/>
  <c r="G21" i="64" s="1"/>
  <c r="G9" i="69" a="1"/>
  <c r="G9" i="69" s="1"/>
  <c r="G21" i="52" a="1"/>
  <c r="G21" i="52" s="1"/>
  <c r="G7" i="50" a="1"/>
  <c r="G7" i="50" s="1"/>
  <c r="G21" i="66" a="1"/>
  <c r="G21" i="66" s="1"/>
  <c r="G9" i="71" a="1"/>
  <c r="G9" i="71" s="1"/>
  <c r="G9" i="72" a="1"/>
  <c r="G9" i="72" s="1"/>
  <c r="G9" i="51" a="1"/>
  <c r="G9" i="51" s="1"/>
  <c r="G9" i="66" a="1"/>
  <c r="G9" i="66" s="1"/>
  <c r="G9" i="68" a="1"/>
  <c r="G9" i="68" s="1"/>
  <c r="G21" i="72" a="1"/>
  <c r="G21" i="72" s="1"/>
  <c r="G17" i="50" a="1"/>
  <c r="G17" i="50" s="1"/>
  <c r="G19" i="51" a="1"/>
  <c r="G19" i="51" s="1"/>
  <c r="G21" i="68" a="1"/>
  <c r="G21" i="68" s="1"/>
  <c r="G9" i="52" a="1"/>
  <c r="G9" i="52" s="1"/>
  <c r="G21" i="71" a="1"/>
  <c r="G21" i="71" s="1"/>
  <c r="G19" i="69" a="1"/>
  <c r="G19" i="69" s="1"/>
  <c r="G21" i="69" l="1" a="1"/>
  <c r="G21" i="69" s="1"/>
  <c r="G19" i="50" a="1"/>
  <c r="G19" i="50" s="1"/>
  <c r="G23" i="66" a="1"/>
  <c r="G23" i="66" s="1"/>
  <c r="G23" i="68" a="1"/>
  <c r="G23" i="68" s="1"/>
  <c r="G23" i="71" a="1"/>
  <c r="G23" i="71" s="1"/>
  <c r="G23" i="72" a="1"/>
  <c r="G23" i="72" s="1"/>
  <c r="G21" i="51" a="1"/>
  <c r="G21" i="51" s="1"/>
  <c r="G23" i="52" a="1"/>
  <c r="G23" i="52" s="1"/>
  <c r="AM28" i="70"/>
  <c r="AL28" i="70"/>
  <c r="AK28" i="70"/>
  <c r="AJ28" i="70"/>
  <c r="AI28" i="70"/>
  <c r="AH28" i="70"/>
  <c r="AG28" i="70"/>
  <c r="AF28" i="70"/>
  <c r="AE28" i="70"/>
  <c r="AD28" i="70"/>
  <c r="AC28" i="70"/>
  <c r="AB28" i="70"/>
  <c r="AA28" i="70"/>
  <c r="Z28" i="70"/>
  <c r="Y28" i="70"/>
  <c r="X28" i="70"/>
  <c r="W28" i="70"/>
  <c r="V28" i="70"/>
  <c r="U28" i="70"/>
  <c r="T28" i="70"/>
  <c r="S28" i="70"/>
  <c r="R28" i="70"/>
  <c r="Q28" i="70"/>
  <c r="P28" i="70"/>
  <c r="O28" i="70"/>
  <c r="N28" i="70"/>
  <c r="M28" i="70"/>
  <c r="L28" i="70"/>
  <c r="K28" i="70"/>
  <c r="J28" i="70"/>
  <c r="I28" i="70"/>
  <c r="AM27" i="70"/>
  <c r="AL27" i="70"/>
  <c r="AK27" i="70"/>
  <c r="AJ27" i="70"/>
  <c r="AI27" i="70"/>
  <c r="AH27" i="70"/>
  <c r="AG27" i="70"/>
  <c r="AF27" i="70"/>
  <c r="AE27" i="70"/>
  <c r="AD27" i="70"/>
  <c r="AC27" i="70"/>
  <c r="AB27" i="70"/>
  <c r="AA27" i="70"/>
  <c r="Z27" i="70"/>
  <c r="Y27" i="70"/>
  <c r="X27" i="70"/>
  <c r="W27" i="70"/>
  <c r="V27" i="70"/>
  <c r="U27" i="70"/>
  <c r="T27" i="70"/>
  <c r="S27" i="70"/>
  <c r="R27" i="70"/>
  <c r="Q27" i="70"/>
  <c r="P27" i="70"/>
  <c r="O27" i="70"/>
  <c r="N27" i="70"/>
  <c r="M27" i="70"/>
  <c r="L27" i="70"/>
  <c r="K27" i="70"/>
  <c r="J27" i="70"/>
  <c r="AM26" i="70"/>
  <c r="AL26" i="70"/>
  <c r="AK26" i="70"/>
  <c r="AJ26" i="70"/>
  <c r="AI26" i="70"/>
  <c r="AH26" i="70"/>
  <c r="AG26" i="70"/>
  <c r="AF26" i="70"/>
  <c r="AE26" i="70"/>
  <c r="AD26" i="70"/>
  <c r="AC26" i="70"/>
  <c r="AB26" i="70"/>
  <c r="AA26" i="70"/>
  <c r="Z26" i="70"/>
  <c r="Y26" i="70"/>
  <c r="X26" i="70"/>
  <c r="W26" i="70"/>
  <c r="V26" i="70"/>
  <c r="U26" i="70"/>
  <c r="T26" i="70"/>
  <c r="S26" i="70"/>
  <c r="R26" i="70"/>
  <c r="Q26" i="70"/>
  <c r="P26" i="70"/>
  <c r="O26" i="70"/>
  <c r="N26" i="70"/>
  <c r="M26" i="70"/>
  <c r="L26" i="70"/>
  <c r="K26" i="70"/>
  <c r="J26" i="70"/>
  <c r="AM28" i="73"/>
  <c r="AL28" i="73"/>
  <c r="AK28" i="73"/>
  <c r="AJ28" i="73"/>
  <c r="AI28" i="73"/>
  <c r="AH28" i="73"/>
  <c r="AG28" i="73"/>
  <c r="AF28" i="73"/>
  <c r="AE28" i="73"/>
  <c r="AD28" i="73"/>
  <c r="AC28" i="73"/>
  <c r="AB28" i="73"/>
  <c r="AA28" i="73"/>
  <c r="Z28" i="73"/>
  <c r="Y28" i="73"/>
  <c r="X28" i="73"/>
  <c r="W28" i="73"/>
  <c r="V28" i="73"/>
  <c r="U28" i="73"/>
  <c r="T28" i="73"/>
  <c r="S28" i="73"/>
  <c r="R28" i="73"/>
  <c r="Q28" i="73"/>
  <c r="P28" i="73"/>
  <c r="O28" i="73"/>
  <c r="N28" i="73"/>
  <c r="M28" i="73"/>
  <c r="L28" i="73"/>
  <c r="K28" i="73"/>
  <c r="J28" i="73"/>
  <c r="I28" i="73"/>
  <c r="AM27" i="73"/>
  <c r="AL27" i="73"/>
  <c r="AK27" i="73"/>
  <c r="AJ27" i="73"/>
  <c r="AI27" i="73"/>
  <c r="AH27" i="73"/>
  <c r="AG27" i="73"/>
  <c r="AF27" i="73"/>
  <c r="AE27" i="73"/>
  <c r="AD27" i="73"/>
  <c r="AC27" i="73"/>
  <c r="AB27" i="73"/>
  <c r="AA27" i="73"/>
  <c r="Z27" i="73"/>
  <c r="Y27" i="73"/>
  <c r="X27" i="73"/>
  <c r="W27" i="73"/>
  <c r="V27" i="73"/>
  <c r="U27" i="73"/>
  <c r="T27" i="73"/>
  <c r="S27" i="73"/>
  <c r="R27" i="73"/>
  <c r="Q27" i="73"/>
  <c r="P27" i="73"/>
  <c r="O27" i="73"/>
  <c r="N27" i="73"/>
  <c r="M27" i="73"/>
  <c r="L27" i="73"/>
  <c r="K27" i="73"/>
  <c r="J27" i="73"/>
  <c r="AM26" i="73"/>
  <c r="AL26" i="73"/>
  <c r="AK26" i="73"/>
  <c r="AJ26" i="73"/>
  <c r="AI26" i="73"/>
  <c r="AH26" i="73"/>
  <c r="AG26" i="73"/>
  <c r="AF26" i="73"/>
  <c r="AE26" i="73"/>
  <c r="AD26" i="73"/>
  <c r="AC26" i="73"/>
  <c r="AB26" i="73"/>
  <c r="AA26" i="73"/>
  <c r="Z26" i="73"/>
  <c r="Y26" i="73"/>
  <c r="X26" i="73"/>
  <c r="W26" i="73"/>
  <c r="V26" i="73"/>
  <c r="U26" i="73"/>
  <c r="T26" i="73"/>
  <c r="S26" i="73"/>
  <c r="R26" i="73"/>
  <c r="Q26" i="73"/>
  <c r="P26" i="73"/>
  <c r="O26" i="73"/>
  <c r="N26" i="73"/>
  <c r="M26" i="73"/>
  <c r="L26" i="73"/>
  <c r="K26" i="73"/>
  <c r="J26" i="73"/>
  <c r="AL28" i="67"/>
  <c r="AK28" i="67"/>
  <c r="AJ28" i="67"/>
  <c r="AI28" i="67"/>
  <c r="AH28" i="67"/>
  <c r="AG28" i="67"/>
  <c r="AF28" i="67"/>
  <c r="AE28" i="67"/>
  <c r="AD28" i="67"/>
  <c r="AC28" i="67"/>
  <c r="AB28" i="67"/>
  <c r="AA28" i="67"/>
  <c r="Z28" i="67"/>
  <c r="Y28" i="67"/>
  <c r="X28" i="67"/>
  <c r="W28" i="67"/>
  <c r="V28" i="67"/>
  <c r="U28" i="67"/>
  <c r="T28" i="67"/>
  <c r="S28" i="67"/>
  <c r="R28" i="67"/>
  <c r="Q28" i="67"/>
  <c r="P28" i="67"/>
  <c r="O28" i="67"/>
  <c r="N28" i="67"/>
  <c r="M28" i="67"/>
  <c r="L28" i="67"/>
  <c r="K28" i="67"/>
  <c r="J28" i="67"/>
  <c r="I28" i="67"/>
  <c r="AL27" i="67"/>
  <c r="AK27" i="67"/>
  <c r="AJ27" i="67"/>
  <c r="AI27" i="67"/>
  <c r="AH27" i="67"/>
  <c r="AG27" i="67"/>
  <c r="AF27" i="67"/>
  <c r="AE27" i="67"/>
  <c r="AD27" i="67"/>
  <c r="AC27" i="67"/>
  <c r="AB27" i="67"/>
  <c r="AA27" i="67"/>
  <c r="Z27" i="67"/>
  <c r="Y27" i="67"/>
  <c r="X27" i="67"/>
  <c r="W27" i="67"/>
  <c r="V27" i="67"/>
  <c r="U27" i="67"/>
  <c r="T27" i="67"/>
  <c r="S27" i="67"/>
  <c r="R27" i="67"/>
  <c r="Q27" i="67"/>
  <c r="P27" i="67"/>
  <c r="O27" i="67"/>
  <c r="N27" i="67"/>
  <c r="M27" i="67"/>
  <c r="L27" i="67"/>
  <c r="K27" i="67"/>
  <c r="J27" i="67"/>
  <c r="AL26" i="67"/>
  <c r="AK26" i="67"/>
  <c r="AJ26" i="67"/>
  <c r="AI26" i="67"/>
  <c r="AH26" i="67"/>
  <c r="AG26" i="67"/>
  <c r="AF26" i="67"/>
  <c r="AE26" i="67"/>
  <c r="AD26" i="67"/>
  <c r="AC26" i="67"/>
  <c r="AB26" i="67"/>
  <c r="AA26" i="67"/>
  <c r="Z26" i="67"/>
  <c r="Y26" i="67"/>
  <c r="X26" i="67"/>
  <c r="W26" i="67"/>
  <c r="V26" i="67"/>
  <c r="U26" i="67"/>
  <c r="T26" i="67"/>
  <c r="S26" i="67"/>
  <c r="R26" i="67"/>
  <c r="Q26" i="67"/>
  <c r="P26" i="67"/>
  <c r="O26" i="67"/>
  <c r="N26" i="67"/>
  <c r="M26" i="67"/>
  <c r="L26" i="67"/>
  <c r="K26" i="67"/>
  <c r="J26" i="67"/>
  <c r="W26" i="65"/>
  <c r="V26" i="65"/>
  <c r="U26" i="65"/>
  <c r="T26" i="65"/>
  <c r="S26" i="65"/>
  <c r="R26" i="65"/>
  <c r="Q26" i="65"/>
  <c r="P26" i="65"/>
  <c r="O26" i="65"/>
  <c r="N26" i="65"/>
  <c r="M26" i="65"/>
  <c r="L26" i="65"/>
  <c r="K26" i="65"/>
  <c r="J26" i="65"/>
  <c r="I26" i="65"/>
  <c r="W25" i="65"/>
  <c r="V25" i="65"/>
  <c r="U25" i="65"/>
  <c r="T25" i="65"/>
  <c r="S25" i="65"/>
  <c r="R25" i="65"/>
  <c r="Q25" i="65"/>
  <c r="P25" i="65"/>
  <c r="O25" i="65"/>
  <c r="N25" i="65"/>
  <c r="M25" i="65"/>
  <c r="L25" i="65"/>
  <c r="K25" i="65"/>
  <c r="J25" i="65"/>
  <c r="W24" i="65"/>
  <c r="V24" i="65"/>
  <c r="U24" i="65"/>
  <c r="T24" i="65"/>
  <c r="S24" i="65"/>
  <c r="R24" i="65"/>
  <c r="Q24" i="65"/>
  <c r="P24" i="65"/>
  <c r="O24" i="65"/>
  <c r="N24" i="65"/>
  <c r="M24" i="65"/>
  <c r="L24" i="65"/>
  <c r="K24" i="65"/>
  <c r="J24" i="65"/>
  <c r="U26" i="61"/>
  <c r="T26" i="61"/>
  <c r="S26" i="61"/>
  <c r="R26" i="61"/>
  <c r="Q26" i="61"/>
  <c r="P26" i="61"/>
  <c r="O26" i="61"/>
  <c r="N26" i="61"/>
  <c r="M26" i="61"/>
  <c r="L26" i="61"/>
  <c r="K26" i="61"/>
  <c r="J26" i="61"/>
  <c r="I26" i="61"/>
  <c r="U25" i="61"/>
  <c r="T25" i="61"/>
  <c r="S25" i="61"/>
  <c r="R25" i="61"/>
  <c r="Q25" i="61"/>
  <c r="P25" i="61"/>
  <c r="O25" i="61"/>
  <c r="N25" i="61"/>
  <c r="M25" i="61"/>
  <c r="L25" i="61"/>
  <c r="K25" i="61"/>
  <c r="J25" i="61"/>
  <c r="U24" i="61"/>
  <c r="T24" i="61"/>
  <c r="S24" i="61"/>
  <c r="R24" i="61"/>
  <c r="Q24" i="61"/>
  <c r="P24" i="61"/>
  <c r="O24" i="61"/>
  <c r="N24" i="61"/>
  <c r="M24" i="61"/>
  <c r="L24" i="61"/>
  <c r="K24" i="61"/>
  <c r="J24" i="61"/>
  <c r="T26" i="63"/>
  <c r="S26" i="63"/>
  <c r="R26" i="63"/>
  <c r="Q26" i="63"/>
  <c r="P26" i="63"/>
  <c r="O26" i="63"/>
  <c r="N26" i="63"/>
  <c r="M26" i="63"/>
  <c r="L26" i="63"/>
  <c r="K26" i="63"/>
  <c r="J26" i="63"/>
  <c r="I26" i="63"/>
  <c r="T25" i="63"/>
  <c r="S25" i="63"/>
  <c r="R25" i="63"/>
  <c r="Q25" i="63"/>
  <c r="P25" i="63"/>
  <c r="O25" i="63"/>
  <c r="N25" i="63"/>
  <c r="M25" i="63"/>
  <c r="L25" i="63"/>
  <c r="K25" i="63"/>
  <c r="J25" i="63"/>
  <c r="T24" i="63"/>
  <c r="S24" i="63"/>
  <c r="R24" i="63"/>
  <c r="Q24" i="63"/>
  <c r="P24" i="63"/>
  <c r="O24" i="63"/>
  <c r="N24" i="63"/>
  <c r="M24" i="63"/>
  <c r="L24" i="63"/>
  <c r="K24" i="63"/>
  <c r="J24" i="63"/>
  <c r="W26" i="62"/>
  <c r="V26" i="62"/>
  <c r="U26" i="62"/>
  <c r="T26" i="62"/>
  <c r="S26" i="62"/>
  <c r="R26" i="62"/>
  <c r="Q26" i="62"/>
  <c r="P26" i="62"/>
  <c r="O26" i="62"/>
  <c r="N26" i="62"/>
  <c r="M26" i="62"/>
  <c r="L26" i="62"/>
  <c r="K26" i="62"/>
  <c r="J26" i="62"/>
  <c r="I26" i="62"/>
  <c r="W25" i="62"/>
  <c r="V25" i="62"/>
  <c r="U25" i="62"/>
  <c r="T25" i="62"/>
  <c r="S25" i="62"/>
  <c r="R25" i="62"/>
  <c r="Q25" i="62"/>
  <c r="P25" i="62"/>
  <c r="O25" i="62"/>
  <c r="N25" i="62"/>
  <c r="M25" i="62"/>
  <c r="L25" i="62"/>
  <c r="K25" i="62"/>
  <c r="J25" i="62"/>
  <c r="W24" i="62"/>
  <c r="V24" i="62"/>
  <c r="U24" i="62"/>
  <c r="T24" i="62"/>
  <c r="S24" i="62"/>
  <c r="R24" i="62"/>
  <c r="Q24" i="62"/>
  <c r="P24" i="62"/>
  <c r="O24" i="62"/>
  <c r="N24" i="62"/>
  <c r="M24" i="62"/>
  <c r="L24" i="62"/>
  <c r="K24" i="62"/>
  <c r="J24" i="62"/>
  <c r="T26" i="60"/>
  <c r="S26" i="60"/>
  <c r="R26" i="60"/>
  <c r="Q26" i="60"/>
  <c r="P26" i="60"/>
  <c r="O26" i="60"/>
  <c r="N26" i="60"/>
  <c r="M26" i="60"/>
  <c r="L26" i="60"/>
  <c r="K26" i="60"/>
  <c r="J26" i="60"/>
  <c r="I26" i="60"/>
  <c r="T25" i="60"/>
  <c r="S25" i="60"/>
  <c r="R25" i="60"/>
  <c r="Q25" i="60"/>
  <c r="P25" i="60"/>
  <c r="O25" i="60"/>
  <c r="N25" i="60"/>
  <c r="M25" i="60"/>
  <c r="L25" i="60"/>
  <c r="K25" i="60"/>
  <c r="J25" i="60"/>
  <c r="T24" i="60"/>
  <c r="S24" i="60"/>
  <c r="R24" i="60"/>
  <c r="Q24" i="60"/>
  <c r="P24" i="60"/>
  <c r="O24" i="60"/>
  <c r="N24" i="60"/>
  <c r="M24" i="60"/>
  <c r="L24" i="60"/>
  <c r="K24" i="60"/>
  <c r="J24" i="60"/>
  <c r="T26" i="59"/>
  <c r="S26" i="59"/>
  <c r="R26" i="59"/>
  <c r="Q26" i="59"/>
  <c r="P26" i="59"/>
  <c r="O26" i="59"/>
  <c r="N26" i="59"/>
  <c r="M26" i="59"/>
  <c r="L26" i="59"/>
  <c r="K26" i="59"/>
  <c r="J26" i="59"/>
  <c r="I26" i="59"/>
  <c r="T25" i="59"/>
  <c r="S25" i="59"/>
  <c r="R25" i="59"/>
  <c r="Q25" i="59"/>
  <c r="P25" i="59"/>
  <c r="O25" i="59"/>
  <c r="N25" i="59"/>
  <c r="M25" i="59"/>
  <c r="L25" i="59"/>
  <c r="K25" i="59"/>
  <c r="J25" i="59"/>
  <c r="T24" i="59"/>
  <c r="S24" i="59"/>
  <c r="R24" i="59"/>
  <c r="Q24" i="59"/>
  <c r="P24" i="59"/>
  <c r="O24" i="59"/>
  <c r="N24" i="59"/>
  <c r="M24" i="59"/>
  <c r="L24" i="59"/>
  <c r="K24" i="59"/>
  <c r="J24" i="59"/>
  <c r="BJ28" i="56"/>
  <c r="BI28" i="56"/>
  <c r="BH28" i="56"/>
  <c r="BG28" i="56"/>
  <c r="BF28" i="56"/>
  <c r="BE28" i="56"/>
  <c r="BD28" i="56"/>
  <c r="BC28" i="56"/>
  <c r="BB28" i="56"/>
  <c r="BA28" i="56"/>
  <c r="AZ28" i="56"/>
  <c r="AY28" i="56"/>
  <c r="AX28" i="56"/>
  <c r="AW28" i="56"/>
  <c r="AV28" i="56"/>
  <c r="AU28" i="56"/>
  <c r="AT28" i="56"/>
  <c r="AS28" i="56"/>
  <c r="AR28" i="56"/>
  <c r="AQ28" i="56"/>
  <c r="AP28" i="56"/>
  <c r="AO28" i="56"/>
  <c r="AN28" i="56"/>
  <c r="AM28" i="56"/>
  <c r="AL28" i="56"/>
  <c r="AK28" i="56"/>
  <c r="AJ28" i="56"/>
  <c r="AI28" i="56"/>
  <c r="AH28" i="56"/>
  <c r="AG28" i="56"/>
  <c r="AF28" i="56"/>
  <c r="AE28" i="56"/>
  <c r="AD28" i="56"/>
  <c r="AC28" i="56"/>
  <c r="AB28" i="56"/>
  <c r="AA28" i="56"/>
  <c r="Z28" i="56"/>
  <c r="Y28" i="56"/>
  <c r="X28" i="56"/>
  <c r="W28" i="56"/>
  <c r="V28" i="56"/>
  <c r="U28" i="56"/>
  <c r="T28" i="56"/>
  <c r="S28" i="56"/>
  <c r="R28" i="56"/>
  <c r="Q28" i="56"/>
  <c r="P28" i="56"/>
  <c r="O28" i="56"/>
  <c r="N28" i="56"/>
  <c r="M28" i="56"/>
  <c r="L28" i="56"/>
  <c r="K28" i="56"/>
  <c r="J28" i="56"/>
  <c r="I28" i="56"/>
  <c r="BJ27" i="56"/>
  <c r="BI27" i="56"/>
  <c r="BH27" i="56"/>
  <c r="BG27" i="56"/>
  <c r="BF27" i="56"/>
  <c r="BE27" i="56"/>
  <c r="BD27" i="56"/>
  <c r="BC27" i="56"/>
  <c r="BB27" i="56"/>
  <c r="BA27" i="56"/>
  <c r="AZ27" i="56"/>
  <c r="AY27" i="56"/>
  <c r="AX27" i="56"/>
  <c r="AW27" i="56"/>
  <c r="AV27" i="56"/>
  <c r="AU27" i="56"/>
  <c r="AT27" i="56"/>
  <c r="AS27" i="56"/>
  <c r="AR27" i="56"/>
  <c r="AQ27" i="56"/>
  <c r="AP27" i="56"/>
  <c r="AO27" i="56"/>
  <c r="AN27" i="56"/>
  <c r="AM27" i="56"/>
  <c r="AL27" i="56"/>
  <c r="AK27" i="56"/>
  <c r="AJ27" i="56"/>
  <c r="AI27" i="56"/>
  <c r="AH27" i="56"/>
  <c r="AG27" i="56"/>
  <c r="AF27" i="56"/>
  <c r="AE27" i="56"/>
  <c r="AD27" i="56"/>
  <c r="AC27" i="56"/>
  <c r="AB27" i="56"/>
  <c r="AA27" i="56"/>
  <c r="Z27" i="56"/>
  <c r="Y27" i="56"/>
  <c r="X27" i="56"/>
  <c r="W27" i="56"/>
  <c r="V27" i="56"/>
  <c r="U27" i="56"/>
  <c r="T27" i="56"/>
  <c r="S27" i="56"/>
  <c r="R27" i="56"/>
  <c r="Q27" i="56"/>
  <c r="P27" i="56"/>
  <c r="O27" i="56"/>
  <c r="N27" i="56"/>
  <c r="M27" i="56"/>
  <c r="L27" i="56"/>
  <c r="K27" i="56"/>
  <c r="J27" i="56"/>
  <c r="BJ26" i="56"/>
  <c r="BI26" i="56"/>
  <c r="BH26" i="56"/>
  <c r="BG26" i="56"/>
  <c r="BF26" i="56"/>
  <c r="BE26" i="56"/>
  <c r="BD26" i="56"/>
  <c r="BC26" i="56"/>
  <c r="BB26" i="56"/>
  <c r="BA26" i="56"/>
  <c r="AZ26" i="56"/>
  <c r="AY26" i="56"/>
  <c r="AX26" i="56"/>
  <c r="AW26" i="56"/>
  <c r="AV26" i="56"/>
  <c r="AU26" i="56"/>
  <c r="AT26" i="56"/>
  <c r="AS26" i="56"/>
  <c r="AR26" i="56"/>
  <c r="AQ26" i="56"/>
  <c r="AP26" i="56"/>
  <c r="AO26" i="56"/>
  <c r="AN26" i="56"/>
  <c r="AM26" i="56"/>
  <c r="AL26" i="56"/>
  <c r="AK26" i="56"/>
  <c r="AJ26" i="56"/>
  <c r="AI26" i="56"/>
  <c r="AH26" i="56"/>
  <c r="AG26" i="56"/>
  <c r="AF26" i="56"/>
  <c r="AE26" i="56"/>
  <c r="AD26" i="56"/>
  <c r="AC26" i="56"/>
  <c r="AB26" i="56"/>
  <c r="AA26" i="56"/>
  <c r="Z26" i="56"/>
  <c r="Y26" i="56"/>
  <c r="X26" i="56"/>
  <c r="W26" i="56"/>
  <c r="V26" i="56"/>
  <c r="U26" i="56"/>
  <c r="T26" i="56"/>
  <c r="S26" i="56"/>
  <c r="R26" i="56"/>
  <c r="Q26" i="56"/>
  <c r="P26" i="56"/>
  <c r="O26" i="56"/>
  <c r="N26" i="56"/>
  <c r="M26" i="56"/>
  <c r="L26" i="56"/>
  <c r="K26" i="56"/>
  <c r="J26" i="56"/>
  <c r="S28" i="47"/>
  <c r="R28" i="47"/>
  <c r="Q28" i="47"/>
  <c r="P28" i="47"/>
  <c r="O28" i="47"/>
  <c r="N28" i="47"/>
  <c r="M28" i="47"/>
  <c r="L28" i="47"/>
  <c r="K28" i="47"/>
  <c r="J28" i="47"/>
  <c r="I28" i="47"/>
  <c r="S27" i="47"/>
  <c r="R27" i="47"/>
  <c r="Q27" i="47"/>
  <c r="P27" i="47"/>
  <c r="O27" i="47"/>
  <c r="N27" i="47"/>
  <c r="M27" i="47"/>
  <c r="L27" i="47"/>
  <c r="K27" i="47"/>
  <c r="J27" i="47"/>
  <c r="S26" i="47"/>
  <c r="R26" i="47"/>
  <c r="Q26" i="47"/>
  <c r="P26" i="47"/>
  <c r="O26" i="47"/>
  <c r="N26" i="47"/>
  <c r="M26" i="47"/>
  <c r="L26" i="47"/>
  <c r="K26" i="47"/>
  <c r="J26" i="47"/>
  <c r="Y26" i="57"/>
  <c r="X26" i="57"/>
  <c r="W26" i="57"/>
  <c r="V26" i="57"/>
  <c r="U26" i="57"/>
  <c r="T26" i="57"/>
  <c r="S26" i="57"/>
  <c r="R26" i="57"/>
  <c r="Q26" i="57"/>
  <c r="P26" i="57"/>
  <c r="O26" i="57"/>
  <c r="N26" i="57"/>
  <c r="M26" i="57"/>
  <c r="L26" i="57"/>
  <c r="K26" i="57"/>
  <c r="J26" i="57"/>
  <c r="I26" i="57"/>
  <c r="Y25" i="57"/>
  <c r="X25" i="57"/>
  <c r="W25" i="57"/>
  <c r="V25" i="57"/>
  <c r="U25" i="57"/>
  <c r="T25" i="57"/>
  <c r="S25" i="57"/>
  <c r="R25" i="57"/>
  <c r="Q25" i="57"/>
  <c r="P25" i="57"/>
  <c r="O25" i="57"/>
  <c r="N25" i="57"/>
  <c r="M25" i="57"/>
  <c r="L25" i="57"/>
  <c r="K25" i="57"/>
  <c r="J25" i="57"/>
  <c r="Y24" i="57"/>
  <c r="X24" i="57"/>
  <c r="W24" i="57"/>
  <c r="V24" i="57"/>
  <c r="U24" i="57"/>
  <c r="T24" i="57"/>
  <c r="S24" i="57"/>
  <c r="R24" i="57"/>
  <c r="Q24" i="57"/>
  <c r="P24" i="57"/>
  <c r="O24" i="57"/>
  <c r="N24" i="57"/>
  <c r="M24" i="57"/>
  <c r="L24" i="57"/>
  <c r="K24" i="57"/>
  <c r="J24" i="57"/>
  <c r="W26" i="48"/>
  <c r="V26" i="48"/>
  <c r="U26" i="48"/>
  <c r="T26" i="48"/>
  <c r="S26" i="48"/>
  <c r="R26" i="48"/>
  <c r="Q26" i="48"/>
  <c r="P26" i="48"/>
  <c r="O26" i="48"/>
  <c r="N26" i="48"/>
  <c r="M26" i="48"/>
  <c r="L26" i="48"/>
  <c r="K26" i="48"/>
  <c r="J26" i="48"/>
  <c r="I26" i="48"/>
  <c r="W25" i="48"/>
  <c r="V25" i="48"/>
  <c r="U25" i="48"/>
  <c r="T25" i="48"/>
  <c r="S25" i="48"/>
  <c r="R25" i="48"/>
  <c r="Q25" i="48"/>
  <c r="P25" i="48"/>
  <c r="O25" i="48"/>
  <c r="N25" i="48"/>
  <c r="M25" i="48"/>
  <c r="L25" i="48"/>
  <c r="K25" i="48"/>
  <c r="J25" i="48"/>
  <c r="W24" i="48"/>
  <c r="V24" i="48"/>
  <c r="U24" i="48"/>
  <c r="T24" i="48"/>
  <c r="S24" i="48"/>
  <c r="R24" i="48"/>
  <c r="Q24" i="48"/>
  <c r="P24" i="48"/>
  <c r="O24" i="48"/>
  <c r="N24" i="48"/>
  <c r="M24" i="48"/>
  <c r="L24" i="48"/>
  <c r="K24" i="48"/>
  <c r="J24" i="48"/>
  <c r="AC25" i="46"/>
  <c r="AB25" i="46"/>
  <c r="AA25" i="46"/>
  <c r="Z25" i="46"/>
  <c r="Y25" i="46"/>
  <c r="X25" i="46"/>
  <c r="W25" i="46"/>
  <c r="V25" i="46"/>
  <c r="U25" i="46"/>
  <c r="T25" i="46"/>
  <c r="S25" i="46"/>
  <c r="R25" i="46"/>
  <c r="Q25" i="46"/>
  <c r="P25" i="46"/>
  <c r="O25" i="46"/>
  <c r="N25" i="46"/>
  <c r="M25" i="46"/>
  <c r="L25" i="46"/>
  <c r="K25" i="46"/>
  <c r="J25" i="46"/>
  <c r="I25" i="46"/>
  <c r="AC24" i="46"/>
  <c r="AB24" i="46"/>
  <c r="AA24" i="46"/>
  <c r="Z24" i="46"/>
  <c r="Y24" i="46"/>
  <c r="X24" i="46"/>
  <c r="W24" i="46"/>
  <c r="V24" i="46"/>
  <c r="U24" i="46"/>
  <c r="T24" i="46"/>
  <c r="S24" i="46"/>
  <c r="R24" i="46"/>
  <c r="Q24" i="46"/>
  <c r="P24" i="46"/>
  <c r="O24" i="46"/>
  <c r="N24" i="46"/>
  <c r="M24" i="46"/>
  <c r="L24" i="46"/>
  <c r="K24" i="46"/>
  <c r="J24" i="46"/>
  <c r="AC23" i="46"/>
  <c r="AB23" i="46"/>
  <c r="AA23" i="46"/>
  <c r="Z23" i="46"/>
  <c r="Y23" i="46"/>
  <c r="X23" i="46"/>
  <c r="W23" i="46"/>
  <c r="V23" i="46"/>
  <c r="U23" i="46"/>
  <c r="T23" i="46"/>
  <c r="S23" i="46"/>
  <c r="R23" i="46"/>
  <c r="Q23" i="46"/>
  <c r="P23" i="46"/>
  <c r="O23" i="46"/>
  <c r="N23" i="46"/>
  <c r="M23" i="46"/>
  <c r="L23" i="46"/>
  <c r="K23" i="46"/>
  <c r="J23" i="46"/>
  <c r="AT28" i="55"/>
  <c r="AS28" i="55"/>
  <c r="AR28" i="55"/>
  <c r="AQ28" i="55"/>
  <c r="AP28" i="55"/>
  <c r="AO28" i="55"/>
  <c r="AN28" i="55"/>
  <c r="AM28" i="55"/>
  <c r="AL28" i="55"/>
  <c r="AK28" i="55"/>
  <c r="AJ28" i="55"/>
  <c r="AI28" i="55"/>
  <c r="AH28" i="55"/>
  <c r="AG28" i="55"/>
  <c r="AF28" i="55"/>
  <c r="AE28" i="55"/>
  <c r="AD28" i="55"/>
  <c r="AC28" i="55"/>
  <c r="AB28" i="55"/>
  <c r="AA28" i="55"/>
  <c r="Z28" i="55"/>
  <c r="Y28" i="55"/>
  <c r="X28" i="55"/>
  <c r="W28" i="55"/>
  <c r="V28" i="55"/>
  <c r="U28" i="55"/>
  <c r="T28" i="55"/>
  <c r="S28" i="55"/>
  <c r="R28" i="55"/>
  <c r="Q28" i="55"/>
  <c r="P28" i="55"/>
  <c r="O28" i="55"/>
  <c r="N28" i="55"/>
  <c r="M28" i="55"/>
  <c r="L28" i="55"/>
  <c r="K28" i="55"/>
  <c r="J28" i="55"/>
  <c r="I28" i="55"/>
  <c r="AT27" i="55"/>
  <c r="AS27" i="55"/>
  <c r="AR27" i="55"/>
  <c r="AQ27" i="55"/>
  <c r="AP27" i="55"/>
  <c r="AO27" i="55"/>
  <c r="AN27" i="55"/>
  <c r="AM27" i="55"/>
  <c r="AL27" i="55"/>
  <c r="AK27" i="55"/>
  <c r="AJ27" i="55"/>
  <c r="AI27" i="55"/>
  <c r="AH27" i="55"/>
  <c r="AG27" i="55"/>
  <c r="AF27" i="55"/>
  <c r="AE27" i="55"/>
  <c r="AD27" i="55"/>
  <c r="AC27" i="55"/>
  <c r="AB27" i="55"/>
  <c r="AA27" i="55"/>
  <c r="Z27" i="55"/>
  <c r="Y27" i="55"/>
  <c r="X27" i="55"/>
  <c r="W27" i="55"/>
  <c r="V27" i="55"/>
  <c r="U27" i="55"/>
  <c r="T27" i="55"/>
  <c r="S27" i="55"/>
  <c r="R27" i="55"/>
  <c r="Q27" i="55"/>
  <c r="P27" i="55"/>
  <c r="O27" i="55"/>
  <c r="N27" i="55"/>
  <c r="M27" i="55"/>
  <c r="L27" i="55"/>
  <c r="K27" i="55"/>
  <c r="J27" i="55"/>
  <c r="AL29" i="54"/>
  <c r="AK29" i="54"/>
  <c r="AJ29" i="54"/>
  <c r="AI29" i="54"/>
  <c r="AH29" i="54"/>
  <c r="AG29" i="54"/>
  <c r="AF29" i="54"/>
  <c r="AE29" i="54"/>
  <c r="AD29" i="54"/>
  <c r="AC29" i="54"/>
  <c r="AB29" i="54"/>
  <c r="AA29" i="54"/>
  <c r="Z29" i="54"/>
  <c r="Y29" i="54"/>
  <c r="X29" i="54"/>
  <c r="W29" i="54"/>
  <c r="V29" i="54"/>
  <c r="U29" i="54"/>
  <c r="T29" i="54"/>
  <c r="S29" i="54"/>
  <c r="R29" i="54"/>
  <c r="Q29" i="54"/>
  <c r="P29" i="54"/>
  <c r="O29" i="54"/>
  <c r="N29" i="54"/>
  <c r="M29" i="54"/>
  <c r="L29" i="54"/>
  <c r="K29" i="54"/>
  <c r="J29" i="54"/>
  <c r="I29" i="54"/>
  <c r="AL28" i="54"/>
  <c r="AK28" i="54"/>
  <c r="AJ28" i="54"/>
  <c r="AI28" i="54"/>
  <c r="AH28" i="54"/>
  <c r="AG28" i="54"/>
  <c r="AF28" i="54"/>
  <c r="AE28" i="54"/>
  <c r="AD28" i="54"/>
  <c r="AC28" i="54"/>
  <c r="AB28" i="54"/>
  <c r="AA28" i="54"/>
  <c r="Z28" i="54"/>
  <c r="Y28" i="54"/>
  <c r="X28" i="54"/>
  <c r="W28" i="54"/>
  <c r="V28" i="54"/>
  <c r="U28" i="54"/>
  <c r="T28" i="54"/>
  <c r="S28" i="54"/>
  <c r="R28" i="54"/>
  <c r="Q28" i="54"/>
  <c r="P28" i="54"/>
  <c r="O28" i="54"/>
  <c r="N28" i="54"/>
  <c r="M28" i="54"/>
  <c r="L28" i="54"/>
  <c r="K28" i="54"/>
  <c r="J28" i="54"/>
  <c r="AL27" i="54"/>
  <c r="AK27" i="54"/>
  <c r="AJ27" i="54"/>
  <c r="AI27" i="54"/>
  <c r="AH27" i="54"/>
  <c r="AG27" i="54"/>
  <c r="AF27" i="54"/>
  <c r="AE27" i="54"/>
  <c r="AD27" i="54"/>
  <c r="AC27" i="54"/>
  <c r="AB27" i="54"/>
  <c r="AA27" i="54"/>
  <c r="Z27" i="54"/>
  <c r="Y27" i="54"/>
  <c r="X27" i="54"/>
  <c r="W27" i="54"/>
  <c r="V27" i="54"/>
  <c r="U27" i="54"/>
  <c r="T27" i="54"/>
  <c r="S27" i="54"/>
  <c r="R27" i="54"/>
  <c r="Q27" i="54"/>
  <c r="P27" i="54"/>
  <c r="O27" i="54"/>
  <c r="N27" i="54"/>
  <c r="M27" i="54"/>
  <c r="L27" i="54"/>
  <c r="K27" i="54"/>
  <c r="J27" i="54"/>
  <c r="AU28" i="45"/>
  <c r="AT28" i="45"/>
  <c r="AS28" i="45"/>
  <c r="AR28" i="45"/>
  <c r="AQ28" i="45"/>
  <c r="AP28" i="45"/>
  <c r="AO28" i="45"/>
  <c r="AN28" i="45"/>
  <c r="AM28" i="45"/>
  <c r="AL28" i="45"/>
  <c r="AK28" i="45"/>
  <c r="AJ28" i="45"/>
  <c r="AI28" i="45"/>
  <c r="AH28" i="45"/>
  <c r="AG28" i="45"/>
  <c r="AF28" i="45"/>
  <c r="AE28" i="45"/>
  <c r="AD28" i="45"/>
  <c r="AC28" i="45"/>
  <c r="AB28" i="45"/>
  <c r="AA28" i="45"/>
  <c r="Z28" i="45"/>
  <c r="Y28" i="45"/>
  <c r="X28" i="45"/>
  <c r="W28" i="45"/>
  <c r="V28" i="45"/>
  <c r="U28" i="45"/>
  <c r="T28" i="45"/>
  <c r="S28" i="45"/>
  <c r="R28" i="45"/>
  <c r="Q28" i="45"/>
  <c r="P28" i="45"/>
  <c r="O28" i="45"/>
  <c r="N28" i="45"/>
  <c r="M28" i="45"/>
  <c r="L28" i="45"/>
  <c r="K28" i="45"/>
  <c r="J28" i="45"/>
  <c r="I28" i="45"/>
  <c r="AU27" i="45"/>
  <c r="AT27" i="45"/>
  <c r="AS27" i="45"/>
  <c r="AR27" i="45"/>
  <c r="AQ27" i="45"/>
  <c r="AP27" i="45"/>
  <c r="AO27" i="45"/>
  <c r="AN27" i="45"/>
  <c r="AM27" i="45"/>
  <c r="AL27" i="45"/>
  <c r="AK27" i="45"/>
  <c r="AJ27" i="45"/>
  <c r="AI27" i="45"/>
  <c r="AH27" i="45"/>
  <c r="AG27" i="45"/>
  <c r="AF27" i="45"/>
  <c r="AE27" i="45"/>
  <c r="AD27" i="45"/>
  <c r="AC27" i="45"/>
  <c r="AB27" i="45"/>
  <c r="AA27" i="45"/>
  <c r="Z27" i="45"/>
  <c r="Y27" i="45"/>
  <c r="X27" i="45"/>
  <c r="W27" i="45"/>
  <c r="V27" i="45"/>
  <c r="U27" i="45"/>
  <c r="T27" i="45"/>
  <c r="S27" i="45"/>
  <c r="R27" i="45"/>
  <c r="Q27" i="45"/>
  <c r="P27" i="45"/>
  <c r="O27" i="45"/>
  <c r="N27" i="45"/>
  <c r="M27" i="45"/>
  <c r="L27" i="45"/>
  <c r="K27" i="45"/>
  <c r="J27" i="45"/>
  <c r="AU26" i="45"/>
  <c r="AT26" i="45"/>
  <c r="AS26" i="45"/>
  <c r="AR26" i="45"/>
  <c r="AQ26" i="45"/>
  <c r="AP26" i="45"/>
  <c r="AO26" i="45"/>
  <c r="AN26" i="45"/>
  <c r="AM26" i="45"/>
  <c r="AL26" i="45"/>
  <c r="AK26" i="45"/>
  <c r="AJ26" i="45"/>
  <c r="AI26" i="45"/>
  <c r="AH26" i="45"/>
  <c r="AG26" i="45"/>
  <c r="AF26" i="45"/>
  <c r="AE26" i="45"/>
  <c r="AD26" i="45"/>
  <c r="AC26" i="45"/>
  <c r="AB26" i="45"/>
  <c r="AA26" i="45"/>
  <c r="Z26" i="45"/>
  <c r="Y26" i="45"/>
  <c r="X26" i="45"/>
  <c r="W26" i="45"/>
  <c r="V26" i="45"/>
  <c r="U26" i="45"/>
  <c r="T26" i="45"/>
  <c r="S26" i="45"/>
  <c r="R26" i="45"/>
  <c r="Q26" i="45"/>
  <c r="P26" i="45"/>
  <c r="O26" i="45"/>
  <c r="N26" i="45"/>
  <c r="M26" i="45"/>
  <c r="L26" i="45"/>
  <c r="K26" i="45"/>
  <c r="J26" i="45"/>
  <c r="AH27" i="53"/>
  <c r="AG27" i="53"/>
  <c r="AF27" i="53"/>
  <c r="AE27" i="53"/>
  <c r="AD27" i="53"/>
  <c r="AC27" i="53"/>
  <c r="AB27" i="53"/>
  <c r="AA27" i="53"/>
  <c r="Z27" i="53"/>
  <c r="Y27" i="53"/>
  <c r="X27" i="53"/>
  <c r="W27" i="53"/>
  <c r="V27" i="53"/>
  <c r="U27" i="53"/>
  <c r="T27" i="53"/>
  <c r="S27" i="53"/>
  <c r="R27" i="53"/>
  <c r="Q27" i="53"/>
  <c r="P27" i="53"/>
  <c r="O27" i="53"/>
  <c r="N27" i="53"/>
  <c r="M27" i="53"/>
  <c r="L27" i="53"/>
  <c r="K27" i="53"/>
  <c r="J27" i="53"/>
  <c r="I27" i="53"/>
  <c r="AH26" i="53"/>
  <c r="AG26" i="53"/>
  <c r="AF26" i="53"/>
  <c r="AE26" i="53"/>
  <c r="AD26" i="53"/>
  <c r="AC26" i="53"/>
  <c r="AB26" i="53"/>
  <c r="AA26" i="53"/>
  <c r="Z26" i="53"/>
  <c r="Y26" i="53"/>
  <c r="X26" i="53"/>
  <c r="W26" i="53"/>
  <c r="V26" i="53"/>
  <c r="U26" i="53"/>
  <c r="T26" i="53"/>
  <c r="S26" i="53"/>
  <c r="R26" i="53"/>
  <c r="Q26" i="53"/>
  <c r="P26" i="53"/>
  <c r="O26" i="53"/>
  <c r="N26" i="53"/>
  <c r="M26" i="53"/>
  <c r="L26" i="53"/>
  <c r="K26" i="53"/>
  <c r="J26" i="53"/>
  <c r="AH25" i="53"/>
  <c r="AG25" i="53"/>
  <c r="AF25" i="53"/>
  <c r="AE25" i="53"/>
  <c r="AD25" i="53"/>
  <c r="AC25" i="53"/>
  <c r="AB25" i="53"/>
  <c r="AA25" i="53"/>
  <c r="Z25" i="53"/>
  <c r="Y25" i="53"/>
  <c r="X25" i="53"/>
  <c r="W25" i="53"/>
  <c r="V25" i="53"/>
  <c r="U25" i="53"/>
  <c r="T25" i="53"/>
  <c r="S25" i="53"/>
  <c r="R25" i="53"/>
  <c r="Q25" i="53"/>
  <c r="P25" i="53"/>
  <c r="O25" i="53"/>
  <c r="N25" i="53"/>
  <c r="M25" i="53"/>
  <c r="L25" i="53"/>
  <c r="K25" i="53"/>
  <c r="J25" i="53"/>
  <c r="G17" i="46" l="1"/>
  <c r="G9" i="56" a="1"/>
  <c r="G9" i="56" s="1"/>
  <c r="G21" i="54" a="1"/>
  <c r="G21" i="54" s="1"/>
  <c r="G19" i="63" a="1"/>
  <c r="G19" i="63" s="1"/>
  <c r="G9" i="65" a="1"/>
  <c r="G9" i="65" s="1"/>
  <c r="G21" i="65" s="1" a="1"/>
  <c r="G21" i="65" s="1"/>
  <c r="G9" i="55" a="1"/>
  <c r="G9" i="55" s="1"/>
  <c r="G19" i="62" a="1"/>
  <c r="G19" i="62" s="1"/>
  <c r="G21" i="70" a="1"/>
  <c r="G21" i="70" s="1"/>
  <c r="G19" i="47" a="1"/>
  <c r="G19" i="47" s="1"/>
  <c r="G9" i="45" a="1"/>
  <c r="G9" i="45" s="1"/>
  <c r="G9" i="59" a="1"/>
  <c r="G9" i="59" s="1"/>
  <c r="G21" i="67" a="1"/>
  <c r="G21" i="67" s="1"/>
  <c r="G21" i="53" a="1"/>
  <c r="G21" i="53" s="1"/>
  <c r="G9" i="54" a="1"/>
  <c r="G9" i="54" s="1"/>
  <c r="G23" i="54" s="1" a="1"/>
  <c r="G23" i="54" s="1"/>
  <c r="G21" i="73" a="1"/>
  <c r="G21" i="73" s="1"/>
  <c r="G9" i="53" a="1"/>
  <c r="G9" i="53" s="1"/>
  <c r="G7" i="46" a="1"/>
  <c r="G7" i="46" s="1"/>
  <c r="G19" i="46" s="1" a="1"/>
  <c r="G19" i="46" s="1"/>
  <c r="G9" i="57" a="1"/>
  <c r="G9" i="57" s="1"/>
  <c r="G9" i="60" a="1"/>
  <c r="G9" i="60" s="1"/>
  <c r="G9" i="62" a="1"/>
  <c r="G9" i="62" s="1"/>
  <c r="G9" i="70" a="1"/>
  <c r="G9" i="70" s="1"/>
  <c r="G19" i="48" a="1"/>
  <c r="G19" i="48" s="1"/>
  <c r="G19" i="59" a="1"/>
  <c r="G19" i="59" s="1"/>
  <c r="G21" i="45" a="1"/>
  <c r="G21" i="45" s="1"/>
  <c r="G19" i="57" a="1"/>
  <c r="G19" i="57" s="1"/>
  <c r="G9" i="48" a="1"/>
  <c r="G9" i="48" s="1"/>
  <c r="G9" i="61" a="1"/>
  <c r="G9" i="61" s="1"/>
  <c r="G9" i="67" a="1"/>
  <c r="G9" i="67" s="1"/>
  <c r="G21" i="55" a="1"/>
  <c r="G21" i="55" s="1"/>
  <c r="G9" i="47" a="1"/>
  <c r="G9" i="47" s="1"/>
  <c r="G21" i="47" s="1" a="1"/>
  <c r="G21" i="47" s="1"/>
  <c r="G21" i="56" a="1"/>
  <c r="G21" i="56" s="1"/>
  <c r="G19" i="60" a="1"/>
  <c r="G19" i="60" s="1"/>
  <c r="G9" i="63" a="1"/>
  <c r="G9" i="63" s="1"/>
  <c r="G19" i="61" a="1"/>
  <c r="G19" i="61" s="1"/>
  <c r="G9" i="73" a="1"/>
  <c r="G9" i="73" s="1"/>
  <c r="G21" i="63" l="1" a="1"/>
  <c r="G21" i="63" s="1"/>
  <c r="G23" i="67" a="1"/>
  <c r="G23" i="67" s="1"/>
  <c r="G23" i="73" a="1"/>
  <c r="G23" i="73" s="1"/>
  <c r="G23" i="55" a="1"/>
  <c r="G23" i="55" s="1"/>
  <c r="G23" i="56" a="1"/>
  <c r="G23" i="56" s="1"/>
  <c r="G23" i="70" a="1"/>
  <c r="G23" i="70" s="1"/>
  <c r="G21" i="61" a="1"/>
  <c r="G21" i="61" s="1"/>
  <c r="G21" i="57" a="1"/>
  <c r="G21" i="57" s="1"/>
  <c r="G21" i="62" a="1"/>
  <c r="G21" i="62" s="1"/>
  <c r="G21" i="60" a="1"/>
  <c r="G21" i="60" s="1"/>
  <c r="G21" i="59" a="1"/>
  <c r="G21" i="59" s="1"/>
  <c r="G23" i="45" a="1"/>
  <c r="G23" i="45" s="1"/>
  <c r="G23" i="53" a="1"/>
  <c r="G23" i="53" s="1"/>
  <c r="G21" i="48" a="1"/>
  <c r="G21" i="48" s="1"/>
</calcChain>
</file>

<file path=xl/comments1.xml><?xml version="1.0" encoding="utf-8"?>
<comments xmlns="http://schemas.openxmlformats.org/spreadsheetml/2006/main">
  <authors>
    <author>tc={D07C7D52-9488-4EC9-94BE-1B862FD2C877}</author>
  </authors>
  <commentList>
    <comment ref="C68"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Não existe na aplicação.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<sst xmlns="http://schemas.openxmlformats.org/spreadsheetml/2006/main" count="15694" uniqueCount="2174">
  <si>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</si>
  <si>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</si>
  <si>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</si>
  <si>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</si>
  <si>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</si>
  <si>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</si>
  <si>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</si>
  <si>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</si>
  <si>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</si>
  <si>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</si>
  <si>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</si>
  <si>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</si>
  <si>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</si>
  <si>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</si>
  <si>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</si>
  <si>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</si>
  <si>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</si>
  <si>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</si>
  <si>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</si>
  <si>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</si>
  <si>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</si>
  <si>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</si>
  <si>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</si>
  <si>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</si>
  <si>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</si>
  <si>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</si>
  <si>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</si>
  <si>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</si>
  <si>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</si>
  <si>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</si>
  <si>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</si>
  <si>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</si>
  <si>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</si>
  <si>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</si>
  <si>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</si>
  <si>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</si>
  <si>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</si>
  <si>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</si>
  <si>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</si>
  <si>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</si>
  <si>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</si>
  <si>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</si>
  <si>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</si>
  <si>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</si>
  <si>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</si>
  <si>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</si>
  <si>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</si>
  <si>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</si>
  <si>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</si>
  <si>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</si>
  <si>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</si>
  <si>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</si>
  <si>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</si>
  <si>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</si>
  <si>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</si>
  <si>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</si>
  <si>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</si>
  <si>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</si>
  <si>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</si>
  <si>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</si>
  <si>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</si>
  <si>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</si>
  <si>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</si>
  <si>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</si>
  <si>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</si>
  <si>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</si>
  <si>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</si>
  <si>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</si>
  <si>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</si>
  <si>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</si>
  <si>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</si>
  <si>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</si>
  <si>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</si>
  <si>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</si>
  <si>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</si>
  <si>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</si>
  <si>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</si>
  <si>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</si>
  <si>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</si>
  <si>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</si>
  <si>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</si>
  <si>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</si>
  <si>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</si>
  <si>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</si>
  <si>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</si>
  <si>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</si>
  <si>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</si>
  <si>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</si>
  <si>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</si>
  <si>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</si>
  <si>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</si>
  <si>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</si>
  <si>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</si>
  <si>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</si>
  <si>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</si>
  <si>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</si>
  <si>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</si>
  <si>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</si>
  <si>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</si>
  <si>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</si>
  <si>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</si>
  <si>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</si>
  <si>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</si>
  <si>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</si>
  <si>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</si>
  <si>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</si>
  <si>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</si>
  <si>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</si>
  <si>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</si>
  <si>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</si>
  <si>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N\A
TARGET_VALUE</t>
  </si>
  <si>
    <t>Contract ID</t>
  </si>
  <si>
    <t>contract_id</t>
  </si>
  <si>
    <t>Identifier of the contract.</t>
  </si>
  <si>
    <t>Identificador do contrato.</t>
  </si>
  <si>
    <t>Product Family ID</t>
  </si>
  <si>
    <t>product_family_id</t>
  </si>
  <si>
    <t>Ext Inf - Con Inf - ID</t>
  </si>
  <si>
    <t>Identifier of the product type.</t>
  </si>
  <si>
    <t>Identificador da família de produto (agregação de produtos), por exemplo: empréstimos, cartões crédito, etc.</t>
  </si>
  <si>
    <t>Product ID</t>
  </si>
  <si>
    <t>product_id</t>
  </si>
  <si>
    <t xml:space="preserve">Identifier of the level one product. </t>
  </si>
  <si>
    <t>Identificador do produto do contrato.</t>
  </si>
  <si>
    <t>Contract Static
Transactions - General</t>
  </si>
  <si>
    <t>Product Level 1
Product Level 1</t>
  </si>
  <si>
    <t>Subproduct ID</t>
  </si>
  <si>
    <t>subproduct_id</t>
  </si>
  <si>
    <t>Identifier of the level two product (subproduct).</t>
  </si>
  <si>
    <t>Identificador do subproduto do contrato.</t>
  </si>
  <si>
    <t>Product Level 2
Product Level 2</t>
  </si>
  <si>
    <t>Main Current Account Bank ID</t>
  </si>
  <si>
    <t>main_current_account_bank_id</t>
  </si>
  <si>
    <t>Código identificador do banco interno do Santander (CEMPRESA) da conta âncora do contrato.</t>
  </si>
  <si>
    <t>Main Current Account Contract ID</t>
  </si>
  <si>
    <t>main_current_account_contract_id</t>
  </si>
  <si>
    <t>Identificador do contrato da conta âncora do contrato.</t>
  </si>
  <si>
    <t>Opening Date</t>
  </si>
  <si>
    <t>opening_date</t>
  </si>
  <si>
    <t>Ext Inf - Con Inf - Date</t>
  </si>
  <si>
    <t>Date in which the client opened and formalised the contract.</t>
  </si>
  <si>
    <t>Data de abertura do contrato. Não corresponde à data de solicitação do contrato.</t>
  </si>
  <si>
    <t>Contract Static</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</si>
  <si>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</si>
  <si>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</si>
  <si>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</si>
  <si>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</si>
  <si>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</si>
  <si>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Currency Code</t>
  </si>
  <si>
    <t>currency_code</t>
  </si>
  <si>
    <t>Ext Inf - Con Fin Inf - Code</t>
  </si>
  <si>
    <t>Identifier of the contract's currency.</t>
  </si>
  <si>
    <t>Código da moeda utilizada pelo contrato.</t>
  </si>
  <si>
    <t>Currency
Currency</t>
  </si>
  <si>
    <t>Litigation Indicator</t>
  </si>
  <si>
    <t>litigation_indicator</t>
  </si>
  <si>
    <t>Ext Inf - Con Fin Inf - Ind</t>
  </si>
  <si>
    <t>Indicates if the contract in currently with a debt in litigation.</t>
  </si>
  <si>
    <t>Indica se o contrato está num processo de contencioso ativo.</t>
  </si>
  <si>
    <t>Initial Authorized Amount</t>
  </si>
  <si>
    <t>initial_authorized_amount</t>
  </si>
  <si>
    <t>Ext Inf - Con Fin Inf - Value</t>
  </si>
  <si>
    <t>DECIMAL</t>
  </si>
  <si>
    <t>Valor inicalmente autorizado no contrato, isto é, valor máximo que podia ser financiado no âmbito do contrato.</t>
  </si>
  <si>
    <t>Limit / Amount Granted</t>
  </si>
  <si>
    <t>Initial Authorized Amount Local Currency</t>
  </si>
  <si>
    <t>init_authorized_amt_lcl_currcy</t>
  </si>
  <si>
    <t>Valor inicalmente autorizado no contrato, isto é, valor máximo que podia ser financiado no âmbito do contrato, em moeda local.</t>
  </si>
  <si>
    <t>Current Authorized Amount</t>
  </si>
  <si>
    <t>current_authorized_amount</t>
  </si>
  <si>
    <t>Valor atualmente autorizado no contrato, isto é, valor máximo que pode ser financiado no âmbito do contrato.</t>
  </si>
  <si>
    <t>Current Authorized Amount Local Currency</t>
  </si>
  <si>
    <t>cur_authorized_amt_lcl_currcy</t>
  </si>
  <si>
    <t>Valor atualmente autorizado no contrato, isto é, valor máximo que pode ser financiado no âmbito do contrato, em moeda local</t>
  </si>
  <si>
    <t>Current Overdue Principal Balance</t>
  </si>
  <si>
    <t>current_overdue_principal_bal</t>
  </si>
  <si>
    <t>Saldo atual em incumprimento associado ao contrato.</t>
  </si>
  <si>
    <t>Balances</t>
  </si>
  <si>
    <t>Balance Value</t>
  </si>
  <si>
    <t>Current Overdue Principal Balance Local Currency</t>
  </si>
  <si>
    <t>cur_overdue_prin_bal_lcl_currcy</t>
  </si>
  <si>
    <t>Saldo atual em incumprimento associado ao contrato, em moeda local.</t>
  </si>
  <si>
    <t>Current Debt Litigation Principal Balance</t>
  </si>
  <si>
    <t>cur_debt_litigation_princip_bal</t>
  </si>
  <si>
    <t>Valor total de capital em dívida no âmbito do processo(s) de contencioso ativos associados ao contrato.</t>
  </si>
  <si>
    <t>N\A
N\A
MCAPITALD</t>
  </si>
  <si>
    <t>Current Debt Litigation Principal Balance Local Currency</t>
  </si>
  <si>
    <t>cur_debt_ltg_prin_bal_lcl_currcy</t>
  </si>
  <si>
    <t>Valor total de capital em dívida no âmbito do processo(s) de contencioso ativos associados ao contrato, em moeda local.</t>
  </si>
  <si>
    <t>Contract Status Code</t>
  </si>
  <si>
    <t>contract_status_code</t>
  </si>
  <si>
    <t>Int Inf - Con Inf - Code</t>
  </si>
  <si>
    <t>Identifier of the contract status.</t>
  </si>
  <si>
    <t>Código do estado do contrato, por exemplo, aberto, suspenso, etc.</t>
  </si>
  <si>
    <t>Contract basics high update</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</si>
  <si>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</si>
  <si>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</si>
  <si>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</si>
  <si>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</si>
  <si>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Opening Channel</t>
  </si>
  <si>
    <t>N\A
N\A
TARGET_VALUE</t>
  </si>
  <si>
    <t>Source Code</t>
  </si>
  <si>
    <t>source_code</t>
  </si>
  <si>
    <t>Tec - Code</t>
  </si>
  <si>
    <t>Identifier of the Santander's application that generated the information. For example, EP for loans, CRT for cards, etc.</t>
  </si>
  <si>
    <t>Código da aplicação fonte, isto é, aplicação técnica que gerou o resgisto.</t>
  </si>
  <si>
    <t>N\A</t>
  </si>
  <si>
    <t>Data Date Part</t>
  </si>
  <si>
    <t>data_date_part</t>
  </si>
  <si>
    <t>Key - Date</t>
  </si>
  <si>
    <t>Information reference date.</t>
  </si>
  <si>
    <t>Data de referência dos dados.</t>
  </si>
  <si>
    <t>Data Timestamp Part</t>
  </si>
  <si>
    <t>data_timestamp_part</t>
  </si>
  <si>
    <t>Tec - Date</t>
  </si>
  <si>
    <t>TIMESTAMP</t>
  </si>
  <si>
    <t>Record's load timestamp in common layer.</t>
  </si>
  <si>
    <t>Timestamp da data de execução</t>
  </si>
  <si>
    <t>"31"</t>
  </si>
  <si>
    <t>bank_vault_id</t>
  </si>
  <si>
    <t>bank_vault_branch_code</t>
  </si>
  <si>
    <t>Account ID</t>
  </si>
  <si>
    <t>Currency:
TAT91_TABELAS - CTABELA 206; CURATED_INTERNAL_MAINFRAME_ESTRUTURAIS.TAT91_TABELAS - TAYD91C0_CTABELA 206</t>
  </si>
  <si>
    <t>Currency</t>
  </si>
  <si>
    <t>CMOEDA</t>
  </si>
  <si>
    <t>Last Regular Amortization Payment Date</t>
  </si>
  <si>
    <t>last_regular_amort_pay_date</t>
  </si>
  <si>
    <t>Ext Inf - Con Fin Inf - Date</t>
  </si>
  <si>
    <t>Data de pagamento última amortização regular.</t>
  </si>
  <si>
    <t>last_regular_amort_princip_amt</t>
  </si>
  <si>
    <t>security_deposit_payment_date</t>
  </si>
  <si>
    <t>security_deposit_principal_amt</t>
  </si>
  <si>
    <t>Contract Opening Channel:
N\A; N\A</t>
  </si>
  <si>
    <t>"Branch"</t>
  </si>
  <si>
    <t>Data de referência dos dados</t>
  </si>
  <si>
    <t>bank_vault_visit_id</t>
  </si>
  <si>
    <t>N\A
N\A</t>
  </si>
  <si>
    <t>ID</t>
  </si>
  <si>
    <t>visit_start_employee_id</t>
  </si>
  <si>
    <t>visit_end_employee_id</t>
  </si>
  <si>
    <t>start_datetime</t>
  </si>
  <si>
    <t>end_datetime</t>
  </si>
  <si>
    <t>visit_type_code</t>
  </si>
  <si>
    <t>Observation</t>
  </si>
  <si>
    <t>observation</t>
  </si>
  <si>
    <t>Bill &amp; Promissory Note Contract</t>
  </si>
  <si>
    <t>CURATED_INTERNAL_MAINFRAME_EFEITOS
CURATED_INTERNAL_MAINFRAME_CONTENCIOSO
COMMON_REFERENCEDATA_CORE</t>
  </si>
  <si>
    <t>EFT02_CRTEFT
TCT09_OPERCN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</si>
  <si>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</si>
  <si>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</si>
  <si>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</si>
  <si>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</si>
  <si>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</si>
  <si>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</si>
  <si>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</si>
  <si>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</si>
  <si>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</si>
  <si>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</si>
  <si>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</si>
  <si>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</si>
  <si>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</si>
  <si>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</si>
  <si>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</si>
  <si>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</si>
  <si>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</si>
  <si>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</si>
  <si>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</si>
  <si>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</si>
  <si>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</si>
  <si>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</si>
  <si>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</si>
  <si>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</si>
  <si>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</si>
  <si>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</si>
  <si>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</si>
  <si>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</si>
  <si>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</si>
  <si>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</si>
  <si>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</si>
  <si>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</si>
  <si>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</si>
  <si>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</si>
  <si>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</si>
  <si>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</si>
  <si>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</si>
  <si>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</si>
  <si>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</si>
  <si>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</si>
  <si>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</si>
  <si>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</si>
  <si>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</si>
  <si>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</si>
  <si>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r>
      <rPr>
        <b/>
        <sz val="11"/>
        <color rgb="FF000000"/>
        <rFont val="Calibri"/>
      </rPr>
      <t xml:space="preserve">SELECT </t>
    </r>
    <r>
      <rPr>
        <sz val="11"/>
        <color rgb="FF000000"/>
        <rFont val="Calibri"/>
      </rPr>
      <t>IF( TCT09_OPERCN.CKBALCAO IS NULL, 
    IF( TRIM( EFT02_CRTEFT.DDVENCIM ) = '', 
        NULL, 
        CAST( EFT02_CRTEFT.DDVENCIM AS STRING ) ),
    IF( TRIM( TCT09_OPERCN.DVENCIM) = '', 
        NULL, 
        CAST( TCT09_OPERCN.DVENCIM AS STRING ) )</t>
    </r>
  </si>
  <si>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</si>
  <si>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</si>
  <si>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</si>
  <si>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</si>
  <si>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</si>
  <si>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</si>
  <si>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</si>
  <si>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PARAM_GENERAL_CODE_CONVERTER.SORCE_CODE= IF(TCT09_OPERCN.CKBALCAO IS NULL, 'EF', 'TC')
    AND PARAM_GENERAL_CODE_CONVERTER.TARGET_FIELD= 'litigation_indicator'
    AND PARAM_GENERAL_CODE_CONVERTER.SOURCE_VALUE=''
    AND PARAM_GENERAL_CODE_CONVERTER.OPTION_NUMBER= 1</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</si>
  <si>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</si>
  <si>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</si>
  <si>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</si>
  <si>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</si>
  <si>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rPr>
      <t>SELECT</t>
    </r>
    <r>
      <rPr>
        <sz val="11"/>
        <color rgb="FF000000"/>
        <rFont val="Calibri"/>
      </rPr>
      <t xml:space="preserve"> IF(EFT02_CRTEFT.CKPRODUT != '092', CAST( EFT09_MOVIMEFT.MMOVIM  AS DECIMAL( 23, 6 ) ), CAST(0.00 AS DECIMAL(23, 6))
</t>
    </r>
    <r>
      <rPr>
        <b/>
        <sz val="11"/>
        <color rgb="FF000000"/>
        <rFont val="Calibri"/>
      </rPr>
      <t>WHERE</t>
    </r>
    <r>
      <rPr>
        <sz val="11"/>
        <color rgb="FF000000"/>
        <rFont val="Calibri"/>
      </rPr>
      <t xml:space="preserve"> EFT09_MOVIMEFT.GREFMOV = 'CONTRATACAO' AND EFT09_MOVIMEFT.COPER = 'C' AND MIN( EFT09_MOVIMEFT.ZMOVCTA )
</t>
    </r>
  </si>
  <si>
    <t>EFT09_MOVIMEFT</t>
  </si>
  <si>
    <t>MMOVIM</t>
  </si>
  <si>
    <r>
      <rPr>
        <b/>
        <sz val="11"/>
        <color rgb="FF000000"/>
        <rFont val="Calibri"/>
      </rPr>
      <t>SELECT</t>
    </r>
    <r>
      <rPr>
        <sz val="11"/>
        <color rgb="FF000000"/>
        <rFont val="Calibri"/>
      </rPr>
      <t xml:space="preserve"> IF(EFT02_CRTEFT.CKPRODUT != '092', CAST( EFT09_MOVIMEFT.MMOVIM/ CBT02_CAMBIOS.TCMBME  AS DECIMAL( 23, 6 ) ), CAST(0.00 AS DECIMAL(23, 6))
</t>
    </r>
    <r>
      <rPr>
        <b/>
        <sz val="11"/>
        <color rgb="FF000000"/>
        <rFont val="Calibri"/>
      </rPr>
      <t>WHERE</t>
    </r>
    <r>
      <rPr>
        <sz val="11"/>
        <color rgb="FF000000"/>
        <rFont val="Calibri"/>
      </rPr>
      <t xml:space="preserve"> EFT09_MOVIMEFT.GREFMOV = 'CONTRATACAO' AND EFT09_MOVIMEFT.COPER = 'C' AND MIN( EFT09_MOVIMEFT.ZMOVCTA )
AND CBT02_CAMBIOS.CTBCAMB = 'F' AND CBT02_CAMBIOS.CMARCA = 'BT' AND CBT02_CAMBIOS.ZSEQCAMB = '99'</t>
    </r>
  </si>
  <si>
    <t>cur_authorized_amount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</si>
  <si>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</si>
  <si>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CURATED_INTERNAL_MAINFRAME_EFEITOS</t>
  </si>
  <si>
    <t>MCAPITAL</t>
  </si>
  <si>
    <r>
      <rPr>
        <b/>
        <sz val="11"/>
        <color rgb="FF000000"/>
        <rFont val="Calibri"/>
        <scheme val="minor"/>
      </rPr>
      <t xml:space="preserve">SELECT </t>
    </r>
    <r>
      <rPr>
        <sz val="11"/>
        <color rgb="FF000000"/>
        <rFont val="Calibri"/>
        <scheme val="minor"/>
      </rPr>
      <t>CAST(IF(TCT09_OPERCN.CKBALCAO IS NULL,
        IF(EFT02_CRTEFT.CKPRODUT != '092',
          IF(EFT02_CRTEFT.DLIMPAG &gt; EFT02_CRTEFT.DATA_DATE_PART,
            (EFT02_CRTEFT.MCAPITAL - EFT02_CRTEFT.MENTPARC),
            0.00),
          0.00),
        0.00) AS DECIMAL(23, 6)</t>
    </r>
  </si>
  <si>
    <t>EF - Efeitos || EF - Efeitos || TC - Terminal Contencioso</t>
  </si>
  <si>
    <t xml:space="preserve">MCAPITAL </t>
  </si>
  <si>
    <t>Current total value lended to the client. It represents the total amount that the payee (recipient) will  or already received due to the bill or promissory note's contract. This field only applies to bills or pormissory notes, it does not apply to lines, in local currency</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</si>
  <si>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(EFT02_CRTEFT.MCAPITAL - EFT02_CRTEFT.MENTPARC) / CBT02_CAMBIOS.TCMBME ,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</si>
  <si>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</si>
  <si>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</si>
  <si>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</si>
  <si>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</si>
  <si>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</si>
  <si>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</si>
  <si>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</si>
  <si>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r>
      <rPr>
        <b/>
        <sz val="11"/>
        <color rgb="FF000000"/>
        <rFont val="Calibri"/>
      </rPr>
      <t xml:space="preserve">SELECT </t>
    </r>
    <r>
      <rPr>
        <sz val="11"/>
        <color rgb="FF000000"/>
        <rFont val="Calibri"/>
      </rPr>
      <t>CAST(IF(TCT09_OPERCN.CKBALCAO IS NULL,
        IF(EFT02_CRTEFT.CKPRODUT != '092',
          IF(EFT02_CRTEFT.DLIMPAG &gt; EFT02_CRTEFT.DATA_DATE_PART,
            - (EFT02_CRTEFT.MCAPITAL - EFT02_CRTEFT.MENTPARC),
            0.00),
          0.00),
        0.00) AS DECIMAL(23, 6)</t>
    </r>
  </si>
  <si>
    <t>EFT02_CRTEFT || N\A || N\A || N\A</t>
  </si>
  <si>
    <t>MCAPITAL - MENTPARC || N\A || N\A || N\A</t>
  </si>
  <si>
    <t>N\A || "0.00" || "0.00" || "0.00"</t>
  </si>
  <si>
    <t>Current Outstanding Principal Balance Local Currency</t>
  </si>
  <si>
    <t>cur_outsng_prin_bal_lcl_currcy</t>
  </si>
  <si>
    <t>The principal amount which has been used but has not reach its maturity date and is yet to be repaid, in local currency.</t>
  </si>
  <si>
    <t>Saldo de capital vincendo do contrato, em moeda local.</t>
  </si>
  <si>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 (EFT02_CRTEFT.MCAPITAL - EFT02_CRTEFT.MENTPARC) / CBT02_CAMBIOS.TCMBME,
            0.00),
          0.00),
        0.00)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</si>
  <si>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</si>
  <si>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CAST(IF(TCT09_OPERCN.CKBALCAO IS NULL,
        IF(EFT02_CRTEFT.CKPRODUT != '092',
          IF(EFT02_CRTEFT.DLIMPAG &lt;= EFT02_CRTEFT.DATA_DATE_PART,
            - (EFT02_CRTEFT.MCAPITAL - EFT02_CRTEFT.MENTPARC) ,
            0.00),
          0.00),
        0.00) AS DECIMAL(23, 6)</t>
    </r>
  </si>
  <si>
    <t>N\A || "0.00"´|| "0.00" || "0.00"</t>
  </si>
  <si>
    <t>The principal amount which has been used but has reached its maturity date and is yet to be repaid. This field only applies to bills or pormissory notes, it does not apply to lines, in local currency.</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</si>
  <si>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 (EFT02_CRTEFT.MCAPITAL - EFT02_CRTEFT.MENTPARC) / CBT02_CAMBIOS.TCMBME,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</si>
  <si>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</si>
  <si>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</si>
  <si>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</si>
  <si>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rPr>
      <t xml:space="preserve">SELECT </t>
    </r>
    <r>
      <rPr>
        <sz val="11"/>
        <color rgb="FF000000"/>
        <rFont val="Calibri"/>
      </rPr>
      <t>- CAST(IF(TCT09_OPERCN.CKBALCAO IS NULL, 0.00, TCT01_POSDIVID.MCAPITALD) AS DECIMAL(23, 6))
WHERE TCT01_POSDIVID.IACTIVO = 'S'</t>
    </r>
  </si>
  <si>
    <t>N\A || N\A || TCT01_POSDIVID</t>
  </si>
  <si>
    <t>N\A || N\A || MCAPITALD</t>
  </si>
  <si>
    <t>"0.00" || "0.00" || N\A</t>
  </si>
  <si>
    <t>Current principal amount in debt that is involved in a legal proceeding in court between the bank and the client. This field does not apply to lines, in local currency.</t>
  </si>
  <si>
    <r>
      <rPr>
        <b/>
        <sz val="11"/>
        <color rgb="FF000000"/>
        <rFont val="Calibri"/>
      </rPr>
      <t xml:space="preserve">SELECT </t>
    </r>
    <r>
      <rPr>
        <sz val="11"/>
        <color rgb="FF000000"/>
        <rFont val="Calibri"/>
      </rPr>
      <t xml:space="preserve">- CAST(IF(TCT09_OPERCN.CKBALCAO IS NULL, 0.00, TCT01_POSDIVID.MCAPITALD / CBT02_CAMBIOS.TCMBME) AS DECIMAL(23, 6)) AS
</t>
    </r>
    <r>
      <rPr>
        <b/>
        <sz val="11"/>
        <color rgb="FF000000"/>
        <rFont val="Calibri"/>
      </rPr>
      <t>WHER</t>
    </r>
    <r>
      <rPr>
        <sz val="11"/>
        <color rgb="FF000000"/>
        <rFont val="Calibri"/>
      </rPr>
      <t xml:space="preserve">E TCT01_POSDIVID.IACTIVO = 'S' AND CBT02_CAMBIOS.CTBCAMB = 'F' AND CBT02_CAMBIOS.CMARCA = 'BT' AND CBT02_CAMBIOS.ZSEQCAMB = '99' </t>
    </r>
  </si>
  <si>
    <t xml:space="preserve">Current Service Amount </t>
  </si>
  <si>
    <t>current_service_amount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</si>
  <si>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</si>
  <si>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</si>
  <si>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</si>
  <si>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Current Service Amount Local Currency</t>
  </si>
  <si>
    <t>cur_service_amount_lcl_currcy</t>
  </si>
  <si>
    <t>The amount associated with the collection service provided by the bank, in local currency.</t>
  </si>
  <si>
    <t>Valor associado com o serviço de cobrança fornecido pelo banco, em moeda local.</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</si>
  <si>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</si>
  <si>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</si>
  <si>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</si>
  <si>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</si>
  <si>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</si>
  <si>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</si>
  <si>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</si>
  <si>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</si>
  <si>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</si>
  <si>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</si>
  <si>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</si>
  <si>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</si>
  <si>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</si>
  <si>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</si>
  <si>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</si>
  <si>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</si>
  <si>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</si>
  <si>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</si>
  <si>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</si>
  <si>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</si>
  <si>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</si>
  <si>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</si>
  <si>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</si>
  <si>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</si>
  <si>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</si>
  <si>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</si>
  <si>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</si>
  <si>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</si>
  <si>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</si>
  <si>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</si>
  <si>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TCT01_POSDIVID.MCAPITALC AS DECIMAL( 23, 6 ) ) )
</t>
    </r>
    <r>
      <rPr>
        <b/>
        <sz val="11"/>
        <color rgb="FF000000"/>
        <rFont val="Calibri"/>
        <scheme val="minor"/>
      </rPr>
      <t>WHERE</t>
    </r>
    <r>
      <rPr>
        <sz val="11"/>
        <color rgb="FF000000"/>
        <rFont val="Calibri"/>
        <scheme val="minor"/>
      </rPr>
      <t xml:space="preserve"> TCT01_POSDIVID.IACTIVO = 'S'</t>
    </r>
  </si>
  <si>
    <t>N\A || TCT01_POSDIVID</t>
  </si>
  <si>
    <t>N\A || MCAPITALC</t>
  </si>
  <si>
    <t>"0.00" || N\A</t>
  </si>
  <si>
    <t>Current Active Rate Type Code</t>
  </si>
  <si>
    <t>cur_active_rate_type_code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</si>
  <si>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</si>
  <si>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</si>
  <si>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</si>
  <si>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</si>
  <si>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</si>
  <si>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t>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</si>
  <si>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PARAM_GENERAL_CODE_CONVERTER.OPTION_NUMBER =  IF( EFT05_CESPEFT.CKBALCAO IS NOT NULL, NULL , IF( EFT02_CRTEFT.CKPRODUT != '092', 1, 3) =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</si>
  <si>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</si>
  <si>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</si>
  <si>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</si>
  <si>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</si>
  <si>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</si>
  <si>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</si>
  <si>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</si>
  <si>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</si>
  <si>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</si>
  <si>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rPr>
      <t>SELECT</t>
    </r>
    <r>
      <rPr>
        <sz val="11"/>
        <color rgb="FF000000"/>
        <rFont val="Calibri"/>
      </rPr>
      <t xml:space="preserve"> IF( EFT05_CESPEFT.CKBALCAO IS NOT NULL, 
    NULL ,
    IF(EFT02_CRTEFT.CKPRODUT != '092',
        '#N/A',
        '#N/A' )
</t>
    </r>
    <r>
      <rPr>
        <b/>
        <sz val="11"/>
        <color rgb="FF000000"/>
        <rFont val="Calibri"/>
      </rPr>
      <t xml:space="preserve">WHERE </t>
    </r>
    <r>
      <rPr>
        <sz val="11"/>
        <color rgb="FF000000"/>
        <rFont val="Calibri"/>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</si>
  <si>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</si>
  <si>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</si>
  <si>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</si>
  <si>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</si>
  <si>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</si>
  <si>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</si>
  <si>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</si>
  <si>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</si>
  <si>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</si>
  <si>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rPr>
      <t>SELECT</t>
    </r>
    <r>
      <rPr>
        <sz val="11"/>
        <color rgb="FF000000"/>
        <rFont val="Calibri"/>
      </rPr>
      <t xml:space="preserve"> CAST(IF(EFT02_CRTEFT.CKPRODUT = '092', NULL, 
          IF(EFT05_CESPEFT.CKBALCAO IS NOT NULL, NULL, NULL)
      ) AS DECIMAL(23, 6))
</t>
    </r>
    <r>
      <rPr>
        <b/>
        <sz val="11"/>
        <color rgb="FF000000"/>
        <rFont val="Calibri"/>
      </rPr>
      <t>WHERE</t>
    </r>
    <r>
      <rPr>
        <sz val="11"/>
        <color rgb="FF000000"/>
        <rFont val="Calibri"/>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</si>
  <si>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</si>
  <si>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</si>
  <si>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</si>
  <si>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</si>
  <si>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</si>
  <si>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</si>
  <si>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</si>
  <si>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</si>
  <si>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</si>
  <si>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</si>
  <si>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</si>
  <si>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</si>
  <si>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</si>
  <si>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</si>
  <si>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</si>
  <si>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</si>
  <si>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</si>
  <si>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</si>
  <si>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rPr>
      <t>SELECT</t>
    </r>
    <r>
      <rPr>
        <sz val="11"/>
        <color rgb="FF000000"/>
        <rFont val="Calibri"/>
      </rPr>
      <t xml:space="preserve"> CAST( EFT02_CRTEFT.TKCONTR AS DECIMAL(23, 6)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</si>
  <si>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</si>
  <si>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</si>
  <si>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</si>
  <si>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</si>
  <si>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</si>
  <si>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PARAM_GENERAL_CODE_CONVERTER.TAREGT_FIELD = 'CONTRACT_STATUS_CODE' AND PARAM_GENERAL_CODE_CONVERTER.SOURCE_CODE = IF(TCT09_OPERCN.CKBALCAOIS NULL, 'EF', 'TC') AND PARAM_GENERAL_CODE_CONVERTER.SOURCE_VALUE =IF(TCT09_OPERCN.CKBALCAO IS NULL,
        IF(TRIM(EFT02.CSITEF) = '',
          NULL,
          EFT02.CSITEF),
        IF(TRIM(TCT09_OPERCN.ISITUAC) = '',
          NULL,
          TCT09_OPERCN.ISITUAC)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</si>
  <si>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</si>
  <si>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</si>
  <si>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</si>
  <si>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</si>
  <si>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</si>
  <si>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</si>
  <si>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</si>
  <si>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</si>
  <si>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</si>
  <si>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</si>
  <si>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</si>
  <si>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</si>
  <si>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</si>
  <si>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bills &amp; promissory notes process.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</si>
  <si>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</si>
  <si>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</si>
  <si>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</si>
  <si>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</si>
  <si>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</si>
  <si>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</si>
  <si>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</si>
  <si>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</si>
  <si>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</si>
  <si>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</si>
  <si>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</si>
  <si>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</si>
  <si>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</si>
  <si>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</si>
  <si>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</si>
  <si>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</si>
  <si>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</si>
  <si>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</si>
  <si>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</si>
  <si>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</si>
  <si>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</si>
  <si>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</si>
  <si>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</si>
  <si>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</si>
  <si>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</si>
  <si>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</si>
  <si>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</si>
  <si>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</si>
  <si>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</si>
  <si>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</si>
  <si>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</si>
  <si>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</si>
  <si>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</si>
  <si>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</si>
  <si>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</si>
  <si>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</si>
  <si>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card_number</t>
  </si>
  <si>
    <t>card_account_id</t>
  </si>
  <si>
    <t>BIGINT</t>
  </si>
  <si>
    <t>card_activation_date</t>
  </si>
  <si>
    <t>card_expiration_date</t>
  </si>
  <si>
    <t>daily_atm_limit</t>
  </si>
  <si>
    <t>daily_purchase_limit</t>
  </si>
  <si>
    <t>card_status_code</t>
  </si>
  <si>
    <t>card_account_status_code</t>
  </si>
  <si>
    <t>repayment_type_code</t>
  </si>
  <si>
    <t>fixed_repayment_amount</t>
  </si>
  <si>
    <t>repayment_rate</t>
  </si>
  <si>
    <t>total_number_installments</t>
  </si>
  <si>
    <t>current_available_amount</t>
  </si>
  <si>
    <t>current_outstanding_balance</t>
  </si>
  <si>
    <t>next_regular_amort_principal_amt</t>
  </si>
  <si>
    <t>last_settled_amort_due_date</t>
  </si>
  <si>
    <t>last_settled_amort_princip_amt</t>
  </si>
  <si>
    <t>last_early_amort_pay_date</t>
  </si>
  <si>
    <t>last_early_amort_principal_amt</t>
  </si>
  <si>
    <t>last_regular_amort_install_num</t>
  </si>
  <si>
    <t>init_active_rate_type_code</t>
  </si>
  <si>
    <t>initial_active_interest_rate</t>
  </si>
  <si>
    <t>revolving_plan_indicator</t>
  </si>
  <si>
    <t>credit_card_universe</t>
  </si>
  <si>
    <t>Contract Alive Indicator</t>
  </si>
  <si>
    <t>contract_alive_indicator</t>
  </si>
  <si>
    <t>Indicates if the contracts is "alive" or not according to accounting.</t>
  </si>
  <si>
    <t>Indica se o contrato é considerado "vivo" de acordo com a contabilidade do banco.</t>
  </si>
  <si>
    <t>current_ledger_balance</t>
  </si>
  <si>
    <t>current_reserved_balance</t>
  </si>
  <si>
    <t>current_available_balance</t>
  </si>
  <si>
    <t>init_ovrdrft_act_rate_type_code</t>
  </si>
  <si>
    <t>init_overdraft_active_indexing</t>
  </si>
  <si>
    <t>init_overdraft_active_index_rate</t>
  </si>
  <si>
    <t>initial_overdraft_active_spread</t>
  </si>
  <si>
    <t>init_overdraft_active_intr_rate</t>
  </si>
  <si>
    <t>cur_ovrdrft_act_rate_type_code</t>
  </si>
  <si>
    <t>cur_overdraft_active_indexing</t>
  </si>
  <si>
    <t>cur_overdraft_active_index_rate</t>
  </si>
  <si>
    <t>cur_overdraft_active_spread</t>
  </si>
  <si>
    <t>cur_ovrdrft_active_interest_rate</t>
  </si>
  <si>
    <t>main_current_account_iban</t>
  </si>
  <si>
    <t>main_loan_account_bank_id</t>
  </si>
  <si>
    <t>main_loan_account_contract_id</t>
  </si>
  <si>
    <t>main_loan_account_iban</t>
  </si>
  <si>
    <t>current_retention_rate</t>
  </si>
  <si>
    <t>last_advance_date</t>
  </si>
  <si>
    <t>last_advance_principal_amount</t>
  </si>
  <si>
    <t>cur_advance_principal_amt</t>
  </si>
  <si>
    <t>initial_active_rate_type_code</t>
  </si>
  <si>
    <t>initial_active_indexing</t>
  </si>
  <si>
    <t>initial_active_index_rate</t>
  </si>
  <si>
    <t>initial_active_spread</t>
  </si>
  <si>
    <t>recourse_indicator</t>
  </si>
  <si>
    <t>factoring_universe</t>
  </si>
  <si>
    <t>init_passive_rate_type_code</t>
  </si>
  <si>
    <t>initial_passive_indexing</t>
  </si>
  <si>
    <t>initial_passive_index_rate</t>
  </si>
  <si>
    <t>initial_passive_spread</t>
  </si>
  <si>
    <t>initial_passive_interest_rate</t>
  </si>
  <si>
    <t>cur_passive_rate_type_code</t>
  </si>
  <si>
    <t>current_passive_indexing</t>
  </si>
  <si>
    <t>current_passive_index_rate</t>
  </si>
  <si>
    <t>current_passive_spread</t>
  </si>
  <si>
    <t>current_passive_interest_rate</t>
  </si>
  <si>
    <t>current_active_rate_type_code</t>
  </si>
  <si>
    <t>initial_deposit_amount</t>
  </si>
  <si>
    <t>early_withdraw_penalty_fee</t>
  </si>
  <si>
    <t>trade_finance_universe</t>
  </si>
  <si>
    <t>operations_common_referencedata_core</t>
  </si>
  <si>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</si>
  <si>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</si>
  <si>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</si>
  <si>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</si>
  <si>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</si>
  <si>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</si>
  <si>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</si>
  <si>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</si>
  <si>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</si>
  <si>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</si>
  <si>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</si>
  <si>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</si>
  <si>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</si>
  <si>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</si>
  <si>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</si>
  <si>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</si>
  <si>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</si>
  <si>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</si>
  <si>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</si>
  <si>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internal_account_universe</t>
  </si>
  <si>
    <t>nostrovostro_account_universe</t>
  </si>
  <si>
    <t>saving_account_universe</t>
  </si>
  <si>
    <t>N/A</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</si>
  <si>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</si>
  <si>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</si>
  <si>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</si>
  <si>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</si>
  <si>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</si>
  <si>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</si>
  <si>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</si>
  <si>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</si>
  <si>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</si>
  <si>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</si>
  <si>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</si>
  <si>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</si>
  <si>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</si>
  <si>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</si>
  <si>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</si>
  <si>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</si>
  <si>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</si>
  <si>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</si>
  <si>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</si>
  <si>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</si>
  <si>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</si>
  <si>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</si>
  <si>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</si>
  <si>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</si>
  <si>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</si>
  <si>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</si>
  <si>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</si>
  <si>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</si>
  <si>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</si>
  <si>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</si>
  <si>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</si>
  <si>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</si>
  <si>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tat91_tabelas_new</t>
  </si>
  <si>
    <t>tct09_opercn .cmoedalf = substring( tat91_tabelas_new.tayd91c0_nelemc01, 1, 3 )</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</si>
  <si>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</si>
  <si>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</si>
  <si>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</si>
  <si>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</si>
  <si>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curated_internal_mainframe_cambios</t>
  </si>
  <si>
    <t>cbt02_cambios</t>
  </si>
  <si>
    <t>tat21_moeda.cmoeda = cbt02_cambios.cmoeda</t>
  </si>
  <si>
    <t>interface_dct01.dcyr8101_cmoeda = cbt02_cambios.cmoeda</t>
  </si>
  <si>
    <t>TRIM( tat91_tabelas_new.tayd91c0_celemtab ) = cbt02_cambios.cmoeda</t>
  </si>
  <si>
    <t>common_referencedata_core</t>
  </si>
  <si>
    <t>param_litigation_product</t>
  </si>
  <si>
    <t>param_litigation_product.source_product_id = interface_dct01.dcyr8101_ckprodut AND param_litigation_product.source_subproduct_id = interface_dct01.dcyr8101_cksubpro</t>
  </si>
  <si>
    <t>param_litigation_product.source_product_id = tct09_opercn.ckprodut AND param_litigation_product.source_subproduct_id = tct09_opercn.cksubpro</t>
  </si>
  <si>
    <t>coint_ctoloc_p.e2616_idempr = bg_contr_batch.idempr AND coint_ctoloc_p.e2616_idcent = bg_contr_batch.idcent AND coint_ctoloc_p.e2616_idprod = bg_contr_batch.codprod AND coint_ctoloc_p.e2616_idcontr = bg_contr_batch.numctr</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</si>
  <si>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</si>
  <si>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</si>
  <si>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</si>
  <si>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</si>
  <si>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</si>
  <si>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</si>
  <si>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</si>
  <si>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</si>
  <si>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</si>
  <si>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</si>
  <si>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</si>
  <si>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</si>
  <si>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</si>
  <si>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</si>
  <si>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</si>
  <si>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</si>
  <si>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</si>
  <si>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</si>
  <si>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</si>
  <si>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</si>
  <si>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</si>
  <si>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</si>
  <si>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</si>
  <si>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</si>
  <si>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</si>
  <si>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</si>
  <si>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</si>
  <si>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</si>
  <si>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</si>
  <si>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</si>
  <si>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</si>
  <si>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</si>
  <si>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</si>
  <si>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tat91_tabelas</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</si>
  <si>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</si>
  <si>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</si>
  <si>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</si>
  <si>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</si>
  <si>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</si>
  <si>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</si>
  <si>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</si>
  <si>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</si>
  <si>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</si>
  <si>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curated_internal_mainframe_contabilidade</t>
  </si>
  <si>
    <t>carteiras</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</si>
  <si>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</si>
  <si>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</si>
  <si>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</si>
  <si>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</si>
  <si>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</si>
  <si>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</si>
  <si>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</si>
  <si>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</si>
  <si>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</si>
  <si>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</si>
  <si>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</si>
  <si>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</si>
  <si>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</si>
  <si>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</si>
  <si>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</si>
  <si>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</si>
  <si>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</si>
  <si>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</si>
  <si>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</si>
  <si>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</si>
  <si>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</si>
  <si>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</si>
  <si>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</si>
  <si>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</si>
  <si>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</si>
  <si>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</si>
  <si>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</si>
  <si>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</si>
  <si>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</si>
  <si>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</si>
  <si>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</si>
  <si>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</si>
  <si>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</si>
  <si>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CONCAT(crt07.ckbalcao, crt07_tbctatar.cknumcta, '000000000000000') = credit_card_universe.contract_id AND '' = credit_card_universe.bank_id and credit_card_universe.contract_alive_indicator = '1' and credit_card_universe.plan_indicator = 0</t>
  </si>
  <si>
    <t>CONCAT(crt07.ckbalcao, crt07_tbctatar.cknumcta, '000000000000000') = credit_card_universe.contract_id AND '' = credit_card_universe.bank_id and credit_card_universe.plan_indicator = 0</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</si>
  <si>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</si>
  <si>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</si>
  <si>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</si>
  <si>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</si>
  <si>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current_account_universe</t>
  </si>
  <si>
    <t>current_account_universe.universe_bank_id = '' AND current_account_universe.universe_contract_id = CONCAT ( interface_dct01.dcyr8101_ckbalcao, interface_dct01.dcyr8101_cknumcta, '000000000000000' ) AND current_account_universe.universe_source_code IN ('DC', 'TC')</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</si>
  <si>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</si>
  <si>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</si>
  <si>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</si>
  <si>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</si>
  <si>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</si>
  <si>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</si>
  <si>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</si>
  <si>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</si>
  <si>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</si>
  <si>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</si>
  <si>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</si>
  <si>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</si>
  <si>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</si>
  <si>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</si>
  <si>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</si>
  <si>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</si>
  <si>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</si>
  <si>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</si>
  <si>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</si>
  <si>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</si>
  <si>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</si>
  <si>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</si>
  <si>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</si>
  <si>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</si>
  <si>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</si>
  <si>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</si>
  <si>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</si>
  <si>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</si>
  <si>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</si>
  <si>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</si>
  <si>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</si>
  <si>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</si>
  <si>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</si>
  <si>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</si>
  <si>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</si>
  <si>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</si>
  <si>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</si>
  <si>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</si>
  <si>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</si>
  <si>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</si>
  <si>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</si>
  <si>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</si>
  <si>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</si>
  <si>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</si>
  <si>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</si>
  <si>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</si>
  <si>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</si>
  <si>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</si>
  <si>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</si>
  <si>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</si>
  <si>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</si>
  <si>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</si>
  <si>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</si>
  <si>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</si>
  <si>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</si>
  <si>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</si>
  <si>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</si>
  <si>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</si>
  <si>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</si>
  <si>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</si>
  <si>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</si>
  <si>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</si>
  <si>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</si>
  <si>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</si>
  <si>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tat41_canal</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</si>
  <si>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</si>
  <si>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</si>
  <si>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dp_dpyr0560_saldos_depositos.moeda = cbt02_cambios.cmoeda</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</si>
  <si>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</si>
  <si>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</si>
  <si>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</si>
  <si>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</si>
  <si>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</si>
  <si>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</si>
  <si>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</si>
  <si>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</si>
  <si>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</si>
  <si>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</si>
  <si>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</si>
  <si>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</si>
  <si>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</si>
  <si>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</si>
  <si>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</si>
  <si>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</si>
  <si>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</si>
  <si>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</si>
  <si>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</si>
  <si>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</si>
  <si>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</si>
  <si>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</si>
  <si>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</si>
  <si>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</si>
  <si>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</si>
  <si>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</si>
  <si>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</si>
  <si>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</si>
  <si>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</si>
  <si>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</si>
  <si>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</si>
  <si>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</si>
  <si>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</si>
  <si>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</si>
  <si>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</si>
  <si>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</si>
  <si>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</si>
  <si>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</si>
  <si>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</si>
  <si>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</si>
  <si>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</si>
  <si>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</si>
  <si>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</si>
  <si>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</si>
  <si>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</si>
  <si>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</si>
  <si>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</si>
  <si>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</si>
  <si>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</si>
  <si>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</si>
  <si>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</si>
  <si>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</si>
  <si>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</si>
  <si>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</si>
  <si>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</si>
  <si>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</si>
  <si>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</si>
  <si>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</si>
  <si>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</si>
  <si>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</si>
  <si>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</si>
  <si>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</si>
  <si>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</si>
  <si>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</si>
  <si>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</si>
  <si>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</si>
  <si>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</si>
  <si>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</si>
  <si>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</si>
  <si>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</si>
  <si>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</si>
  <si>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</si>
  <si>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</si>
  <si>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</si>
  <si>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</si>
  <si>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</si>
  <si>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</si>
  <si>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</si>
  <si>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</si>
  <si>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</si>
  <si>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</si>
  <si>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</si>
  <si>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</si>
  <si>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</si>
  <si>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</si>
  <si>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</si>
  <si>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</si>
  <si>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</si>
  <si>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</si>
  <si>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</si>
  <si>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</si>
  <si>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</si>
  <si>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</si>
  <si>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</si>
  <si>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</si>
  <si>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</si>
  <si>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</si>
  <si>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</si>
  <si>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</si>
  <si>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</si>
  <si>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</si>
  <si>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</si>
  <si>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</si>
  <si>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</si>
  <si>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</si>
  <si>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</si>
  <si>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</si>
  <si>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</si>
  <si>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</si>
  <si>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</si>
  <si>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</si>
  <si>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</si>
  <si>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</si>
  <si>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est89_creexp.zseqcre = '99' and est89_creexp.montab &gt; 0 </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</si>
  <si>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</si>
  <si>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</si>
  <si>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</si>
  <si>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</si>
  <si>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</si>
  <si>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</si>
  <si>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</si>
  <si>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</si>
  <si>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</si>
  <si>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</si>
  <si>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</si>
  <si>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</si>
  <si>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</si>
  <si>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</si>
  <si>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</si>
  <si>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 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</si>
  <si>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</si>
  <si>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</si>
  <si>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</si>
  <si>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</si>
  <si>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</si>
  <si>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</si>
  <si>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</si>
  <si>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</si>
  <si>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</si>
  <si>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</si>
  <si>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</si>
  <si>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</si>
  <si>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</si>
  <si>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</si>
  <si>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</si>
  <si>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</si>
  <si>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</si>
  <si>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</si>
  <si>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</si>
  <si>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</si>
  <si>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</si>
  <si>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</si>
  <si>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</si>
  <si>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</si>
  <si>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</si>
  <si>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</si>
  <si>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</si>
  <si>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</si>
  <si>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</si>
  <si>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</si>
  <si>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</si>
  <si>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</si>
  <si>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</si>
  <si>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</si>
  <si>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</si>
  <si>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</si>
  <si>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</si>
  <si>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</si>
  <si>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</si>
  <si>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</si>
  <si>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</si>
  <si>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</si>
  <si>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</si>
  <si>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</si>
  <si>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</si>
  <si>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</si>
  <si>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</si>
  <si>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</si>
  <si>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</si>
  <si>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</si>
  <si>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</si>
  <si>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</si>
  <si>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</si>
  <si>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</si>
  <si>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</si>
  <si>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</si>
  <si>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</si>
  <si>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</si>
  <si>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</si>
  <si>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</si>
  <si>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</si>
  <si>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</si>
  <si>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</si>
  <si>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</si>
  <si>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</si>
  <si>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</si>
  <si>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</si>
  <si>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</si>
  <si>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</si>
  <si>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</si>
  <si>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</si>
  <si>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</si>
  <si>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</si>
  <si>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</si>
  <si>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</si>
  <si>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</si>
  <si>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</si>
  <si>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</si>
  <si>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</si>
  <si>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</si>
  <si>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</si>
  <si>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</si>
  <si>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</si>
  <si>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</si>
  <si>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</si>
  <si>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</si>
  <si>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</si>
  <si>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</si>
  <si>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</si>
  <si>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</si>
  <si>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</si>
  <si>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</si>
  <si>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</si>
  <si>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</si>
  <si>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</si>
  <si>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</si>
  <si>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</si>
  <si>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</si>
  <si>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</si>
  <si>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</si>
  <si>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</si>
  <si>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</si>
  <si>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</si>
  <si>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</si>
  <si>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</si>
  <si>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</si>
  <si>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</si>
  <si>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</si>
  <si>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</si>
  <si>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</si>
  <si>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</si>
  <si>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</si>
  <si>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</si>
  <si>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</si>
  <si>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</si>
  <si>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</si>
  <si>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</si>
  <si>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</si>
  <si>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</si>
  <si>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</si>
  <si>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</si>
  <si>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</si>
  <si>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</si>
  <si>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</si>
  <si>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</si>
  <si>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</si>
  <si>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</si>
  <si>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</si>
  <si>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</si>
  <si>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</si>
  <si>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</si>
  <si>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</si>
  <si>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</si>
  <si>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</si>
  <si>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</si>
  <si>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</si>
  <si>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</si>
  <si>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</si>
  <si>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</si>
  <si>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</si>
  <si>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</si>
  <si>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</si>
  <si>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</si>
  <si>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</si>
  <si>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</si>
  <si>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</si>
  <si>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</si>
  <si>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</si>
  <si>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</si>
  <si>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</si>
  <si>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</si>
  <si>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</si>
  <si>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</si>
  <si>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</si>
  <si>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</si>
  <si>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</si>
  <si>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</si>
  <si>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</si>
  <si>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</si>
  <si>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</si>
  <si>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</si>
  <si>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</si>
  <si>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</si>
  <si>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</si>
  <si>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</si>
  <si>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</si>
  <si>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</si>
  <si>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</si>
  <si>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</si>
  <si>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</si>
  <si>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</si>
  <si>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</si>
  <si>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</si>
  <si>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</si>
  <si>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</si>
  <si>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</si>
  <si>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</si>
  <si>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</si>
  <si>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</si>
  <si>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</si>
  <si>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</si>
  <si>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</si>
  <si>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</si>
  <si>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</si>
  <si>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</si>
  <si>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</si>
  <si>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</si>
  <si>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</si>
  <si>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</si>
  <si>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</si>
  <si>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</si>
  <si>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</si>
  <si>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</si>
  <si>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</si>
  <si>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</si>
  <si>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</si>
  <si>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</si>
  <si>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</si>
  <si>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</si>
  <si>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</si>
  <si>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</si>
  <si>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</si>
  <si>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</si>
  <si>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</si>
  <si>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cur_ovrdrft_outsng_principal_bal</t>
  </si>
  <si>
    <t>cur_ovrdrft_overdue_princip_bal</t>
  </si>
  <si>
    <t>cur_ovrdrft_debt_litig_princ_bal</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</si>
  <si>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</si>
  <si>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</si>
  <si>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</si>
  <si>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</si>
  <si>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</si>
  <si>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</si>
  <si>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</si>
  <si>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</si>
  <si>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</si>
  <si>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</si>
  <si>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</si>
  <si>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</si>
  <si>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</si>
  <si>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</si>
  <si>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</si>
  <si>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</si>
  <si>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</si>
  <si>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</si>
  <si>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</si>
  <si>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</si>
  <si>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</si>
  <si>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</si>
  <si>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</si>
  <si>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</si>
  <si>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</si>
  <si>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</si>
  <si>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</si>
  <si>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</si>
  <si>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</si>
  <si>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</si>
  <si>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</si>
  <si>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</si>
  <si>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</si>
  <si>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</si>
  <si>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</si>
  <si>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</si>
  <si>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</si>
  <si>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</si>
  <si>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</si>
  <si>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</si>
  <si>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</si>
  <si>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</si>
  <si>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</si>
  <si>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</si>
  <si>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</si>
  <si>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</si>
  <si>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</si>
  <si>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</si>
  <si>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</si>
  <si>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</si>
  <si>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</si>
  <si>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</si>
  <si>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</si>
  <si>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</si>
  <si>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</si>
  <si>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</si>
  <si>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</si>
  <si>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</si>
  <si>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</si>
  <si>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last_advance_annulment_indicator</t>
  </si>
  <si>
    <t>last_advance_exec_date</t>
  </si>
  <si>
    <t>last_advance_transfer_ref_num</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</si>
  <si>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</si>
  <si>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</si>
  <si>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</si>
  <si>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</si>
  <si>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</si>
  <si>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</si>
  <si>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</si>
  <si>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</si>
  <si>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</si>
  <si>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</si>
  <si>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</si>
  <si>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</si>
  <si>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</si>
  <si>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</si>
  <si>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</si>
  <si>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</si>
  <si>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</si>
  <si>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</si>
  <si>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</si>
  <si>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</si>
  <si>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</si>
  <si>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</si>
  <si>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</si>
  <si>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</si>
  <si>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</si>
  <si>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</si>
  <si>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</si>
  <si>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</si>
  <si>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</si>
  <si>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</si>
  <si>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</si>
  <si>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</si>
  <si>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</si>
  <si>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</si>
  <si>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</si>
  <si>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</si>
  <si>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</si>
  <si>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</si>
  <si>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</si>
  <si>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</si>
  <si>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</si>
  <si>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</si>
  <si>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</si>
  <si>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</si>
  <si>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</si>
  <si>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</si>
  <si>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</si>
  <si>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</si>
  <si>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</si>
  <si>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</si>
  <si>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</si>
  <si>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</si>
  <si>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</si>
  <si>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</si>
  <si>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</si>
  <si>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</si>
  <si>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</si>
  <si>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</si>
  <si>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</si>
  <si>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</si>
  <si>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</si>
  <si>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</si>
  <si>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</si>
  <si>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</si>
  <si>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</si>
  <si>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</si>
  <si>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</si>
  <si>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</si>
  <si>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</si>
  <si>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</si>
  <si>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</si>
  <si>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</si>
  <si>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</si>
  <si>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</si>
  <si>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</si>
  <si>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</si>
  <si>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</si>
  <si>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</si>
  <si>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</si>
  <si>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</si>
  <si>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</si>
  <si>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</si>
  <si>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</si>
  <si>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</si>
  <si>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</si>
  <si>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</si>
  <si>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</si>
  <si>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</si>
  <si>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</si>
  <si>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</si>
  <si>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</si>
  <si>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</si>
  <si>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</si>
  <si>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</si>
  <si>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</si>
  <si>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</si>
  <si>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</si>
  <si>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</si>
  <si>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</si>
  <si>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</si>
  <si>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</si>
  <si>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</si>
  <si>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</si>
  <si>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</si>
  <si>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</si>
  <si>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</si>
  <si>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</si>
  <si>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</si>
  <si>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</si>
  <si>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</si>
  <si>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</si>
  <si>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</si>
  <si>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</si>
  <si>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</si>
  <si>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</si>
  <si>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</si>
  <si>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</si>
  <si>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</si>
  <si>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</si>
  <si>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</si>
  <si>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</si>
  <si>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</si>
  <si>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</si>
  <si>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</si>
  <si>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</si>
  <si>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</si>
  <si>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</si>
  <si>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</si>
  <si>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</si>
  <si>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</si>
  <si>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</si>
  <si>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</si>
  <si>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</si>
  <si>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</si>
  <si>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</si>
  <si>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</si>
  <si>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</si>
  <si>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</si>
  <si>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</si>
  <si>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</si>
  <si>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</si>
  <si>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</si>
  <si>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</si>
  <si>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</si>
  <si>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</si>
  <si>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</si>
  <si>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</si>
  <si>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</si>
  <si>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</si>
  <si>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</si>
  <si>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</si>
  <si>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</si>
  <si>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</si>
  <si>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</si>
  <si>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</si>
  <si>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</si>
  <si>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</si>
  <si>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</si>
  <si>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</si>
  <si>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</si>
  <si>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</si>
  <si>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</si>
  <si>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</si>
  <si>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</si>
  <si>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</si>
  <si>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</si>
  <si>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</si>
  <si>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</si>
  <si>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</si>
  <si>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</si>
  <si>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</si>
  <si>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</si>
  <si>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</si>
  <si>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</si>
  <si>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</si>
  <si>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</si>
  <si>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</si>
  <si>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</si>
  <si>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</si>
  <si>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</si>
  <si>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</si>
  <si>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</si>
  <si>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</si>
  <si>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</si>
  <si>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</si>
  <si>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</si>
  <si>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</si>
  <si>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</si>
  <si>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</si>
  <si>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</si>
  <si>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</si>
  <si>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</si>
  <si>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</si>
  <si>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</si>
  <si>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</si>
  <si>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</si>
  <si>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</si>
  <si>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</si>
  <si>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</si>
  <si>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</si>
  <si>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</si>
  <si>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party_id</t>
  </si>
  <si>
    <t>contract_intervention_type_code</t>
  </si>
  <si>
    <t>contract_beneficiary_order_num</t>
  </si>
  <si>
    <t>relationship_start_date</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</si>
  <si>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</si>
  <si>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</si>
  <si>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</si>
  <si>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</si>
  <si>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</si>
  <si>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</si>
  <si>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</si>
  <si>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</si>
  <si>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</si>
  <si>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</si>
  <si>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</si>
  <si>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</si>
  <si>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</si>
  <si>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</si>
  <si>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</si>
  <si>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</si>
  <si>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</si>
  <si>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</si>
  <si>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</si>
  <si>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</si>
  <si>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</si>
  <si>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</si>
  <si>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</si>
  <si>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</si>
  <si>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</si>
  <si>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</si>
  <si>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</si>
  <si>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</si>
  <si>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</si>
  <si>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</si>
  <si>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</si>
  <si>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</si>
  <si>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</si>
  <si>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</si>
  <si>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</si>
  <si>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</si>
  <si>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</si>
  <si>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</si>
  <si>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</si>
  <si>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</si>
  <si>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</si>
  <si>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</si>
  <si>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</si>
  <si>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</si>
  <si>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</si>
  <si>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</si>
  <si>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</si>
  <si>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</si>
  <si>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</si>
  <si>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</si>
  <si>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</si>
  <si>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</si>
  <si>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</si>
  <si>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</si>
  <si>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</si>
  <si>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</si>
  <si>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</si>
  <si>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</si>
  <si>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</si>
  <si>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</si>
  <si>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</si>
  <si>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</si>
  <si>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</si>
  <si>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</si>
  <si>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</si>
  <si>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</si>
  <si>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</si>
  <si>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</si>
  <si>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</si>
  <si>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</si>
  <si>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</si>
  <si>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</si>
  <si>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</si>
  <si>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</si>
  <si>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</si>
  <si>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</si>
  <si>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</si>
  <si>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</si>
  <si>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</si>
  <si>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</si>
  <si>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</si>
  <si>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</si>
  <si>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</si>
  <si>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</si>
  <si>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</si>
  <si>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</si>
  <si>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</si>
  <si>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</si>
  <si>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</si>
  <si>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</si>
  <si>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</si>
  <si>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</si>
  <si>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</si>
  <si>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</si>
  <si>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</si>
  <si>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</si>
  <si>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</si>
  <si>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</si>
  <si>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</si>
  <si>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</si>
  <si>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</si>
  <si>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</si>
  <si>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</si>
  <si>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</si>
  <si>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</si>
  <si>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</si>
  <si>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</si>
  <si>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</si>
  <si>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</si>
  <si>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</si>
  <si>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</si>
  <si>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</si>
  <si>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</si>
  <si>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</si>
  <si>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</si>
  <si>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</si>
  <si>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</si>
  <si>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</si>
  <si>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</si>
  <si>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</si>
  <si>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</si>
  <si>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</si>
  <si>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</si>
  <si>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</si>
  <si>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</si>
  <si>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</si>
  <si>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</si>
  <si>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</si>
  <si>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</si>
  <si>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</si>
  <si>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</si>
  <si>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</si>
  <si>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</si>
  <si>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</si>
  <si>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</si>
  <si>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</si>
  <si>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</si>
  <si>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</si>
  <si>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</si>
  <si>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</si>
  <si>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</si>
  <si>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</si>
  <si>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</si>
  <si>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</si>
  <si>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</si>
  <si>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</si>
  <si>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</si>
  <si>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</si>
  <si>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</si>
  <si>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</si>
  <si>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</si>
  <si>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</si>
  <si>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</si>
  <si>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</si>
  <si>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</si>
  <si>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</si>
  <si>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</si>
  <si>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</si>
  <si>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</si>
  <si>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</si>
  <si>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</si>
  <si>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</si>
  <si>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</si>
  <si>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</si>
  <si>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</si>
  <si>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</si>
  <si>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</si>
  <si>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</si>
  <si>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</si>
  <si>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</si>
  <si>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</si>
  <si>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</si>
  <si>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</si>
  <si>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</si>
  <si>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</si>
  <si>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</si>
  <si>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</si>
  <si>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</si>
  <si>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</si>
  <si>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</si>
  <si>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</si>
  <si>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</si>
  <si>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</si>
  <si>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</si>
  <si>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</si>
  <si>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</si>
  <si>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</si>
  <si>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</si>
  <si>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</si>
  <si>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</si>
  <si>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</si>
  <si>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</si>
  <si>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</si>
  <si>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</si>
  <si>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</si>
  <si>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</si>
  <si>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</si>
  <si>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</si>
  <si>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</si>
  <si>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</si>
  <si>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</si>
  <si>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</si>
  <si>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</si>
  <si>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</si>
  <si>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</si>
  <si>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</si>
  <si>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</si>
  <si>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</si>
  <si>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</si>
  <si>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</si>
  <si>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</si>
  <si>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</si>
  <si>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</si>
  <si>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</si>
  <si>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</si>
  <si>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</si>
  <si>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</si>
  <si>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</si>
  <si>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</si>
  <si>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</si>
  <si>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</si>
  <si>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</si>
  <si>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</si>
  <si>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</si>
  <si>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</si>
  <si>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</si>
  <si>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</si>
  <si>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</si>
  <si>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</si>
  <si>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</si>
  <si>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</si>
  <si>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</si>
  <si>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</si>
  <si>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</si>
  <si>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</si>
  <si>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</si>
  <si>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</si>
  <si>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</si>
  <si>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</si>
  <si>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</si>
  <si>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</si>
  <si>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</si>
  <si>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</si>
  <si>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</si>
  <si>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</si>
  <si>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</si>
  <si>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</si>
  <si>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</si>
  <si>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</si>
  <si>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</si>
  <si>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</si>
  <si>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</si>
  <si>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</si>
  <si>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</si>
  <si>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</si>
  <si>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</si>
  <si>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</si>
  <si>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</si>
  <si>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</si>
  <si>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</si>
  <si>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</si>
  <si>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</si>
  <si>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</si>
  <si>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</si>
  <si>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</si>
  <si>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</si>
  <si>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</si>
  <si>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</si>
  <si>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</si>
  <si>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</si>
  <si>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</si>
  <si>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</si>
  <si>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</si>
  <si>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</si>
  <si>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</si>
  <si>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</si>
  <si>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</si>
  <si>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</si>
  <si>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</si>
  <si>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</si>
  <si>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</si>
  <si>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</si>
  <si>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</si>
  <si>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</si>
  <si>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total_num_past_due_installments</t>
  </si>
  <si>
    <t>current_asked_amount</t>
  </si>
  <si>
    <t>nxt_subsd_reg_amort_princip_amt</t>
  </si>
  <si>
    <t>subsidized_rate_type_code</t>
  </si>
  <si>
    <t>init_active_subsid_interest_rate</t>
  </si>
  <si>
    <t>cur_active_subsid_interest_rate</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</si>
  <si>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</si>
  <si>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</si>
  <si>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</si>
  <si>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</si>
  <si>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</si>
  <si>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</si>
  <si>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</si>
  <si>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</si>
  <si>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</si>
  <si>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</si>
  <si>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</si>
  <si>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</si>
  <si>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</si>
  <si>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</si>
  <si>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</si>
  <si>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</si>
  <si>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</si>
  <si>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</si>
  <si>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</si>
  <si>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</si>
  <si>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</si>
  <si>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</si>
  <si>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</si>
  <si>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</si>
  <si>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</si>
  <si>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</si>
  <si>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</si>
  <si>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</si>
  <si>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</si>
  <si>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</si>
  <si>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</si>
  <si>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</si>
  <si>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</si>
  <si>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</si>
  <si>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</si>
  <si>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</si>
  <si>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</si>
  <si>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</si>
  <si>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</si>
  <si>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</si>
  <si>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</si>
  <si>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</si>
  <si>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</si>
  <si>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</si>
  <si>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</si>
  <si>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</si>
  <si>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</si>
  <si>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</si>
  <si>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</si>
  <si>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</si>
  <si>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</si>
  <si>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</si>
  <si>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</si>
  <si>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</si>
  <si>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</si>
  <si>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</si>
  <si>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</si>
  <si>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</si>
  <si>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</si>
  <si>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</si>
  <si>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</si>
  <si>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</si>
  <si>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</si>
  <si>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</si>
  <si>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</si>
  <si>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</si>
  <si>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</si>
  <si>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</si>
  <si>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</si>
  <si>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</si>
  <si>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</si>
  <si>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</si>
  <si>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</si>
  <si>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</si>
  <si>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</si>
  <si>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</si>
  <si>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</si>
  <si>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</si>
  <si>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</si>
  <si>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</si>
  <si>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</si>
  <si>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</si>
  <si>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</si>
  <si>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</si>
  <si>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</si>
  <si>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</si>
  <si>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</si>
  <si>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</si>
  <si>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</si>
  <si>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</si>
  <si>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</si>
  <si>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</si>
  <si>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</si>
  <si>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</si>
  <si>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</si>
  <si>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</si>
  <si>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</si>
  <si>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</si>
  <si>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</si>
  <si>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</si>
  <si>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</si>
  <si>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</si>
  <si>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</si>
  <si>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</si>
  <si>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</si>
  <si>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</si>
  <si>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</si>
  <si>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</si>
  <si>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</si>
  <si>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</si>
  <si>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</si>
  <si>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</si>
  <si>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</si>
  <si>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</si>
  <si>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</si>
  <si>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</si>
  <si>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</si>
  <si>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</si>
  <si>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</si>
  <si>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</si>
  <si>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</si>
  <si>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</si>
  <si>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</si>
  <si>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</si>
  <si>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</si>
  <si>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</si>
  <si>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</si>
  <si>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</si>
  <si>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</si>
  <si>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</si>
  <si>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</si>
  <si>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</si>
  <si>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</si>
  <si>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</si>
  <si>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</si>
  <si>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</si>
  <si>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</si>
  <si>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</si>
  <si>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</si>
  <si>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</si>
  <si>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</si>
  <si>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</si>
  <si>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</si>
  <si>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</si>
  <si>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</si>
  <si>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</si>
  <si>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</si>
  <si>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</si>
  <si>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</si>
  <si>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</si>
  <si>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</si>
  <si>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</si>
  <si>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</si>
  <si>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</si>
  <si>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</si>
  <si>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</si>
  <si>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</si>
  <si>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</si>
  <si>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</si>
  <si>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</si>
  <si>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</si>
  <si>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</si>
  <si>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</si>
  <si>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</si>
  <si>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</si>
  <si>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</si>
  <si>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</si>
  <si>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</si>
  <si>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</si>
  <si>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</si>
  <si>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</si>
  <si>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</si>
  <si>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</si>
  <si>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</si>
  <si>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</si>
  <si>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</si>
  <si>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</si>
  <si>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</si>
  <si>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</si>
  <si>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</si>
  <si>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</si>
  <si>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</si>
  <si>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</si>
  <si>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</si>
  <si>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</si>
  <si>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</si>
  <si>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</si>
  <si>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</si>
  <si>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</si>
  <si>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</si>
  <si>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</si>
  <si>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</si>
  <si>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</si>
  <si>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</si>
  <si>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</si>
  <si>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</si>
  <si>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</si>
  <si>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</si>
  <si>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</si>
  <si>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</si>
  <si>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</si>
  <si>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</si>
  <si>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</si>
  <si>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</si>
  <si>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</si>
  <si>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</si>
  <si>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</si>
  <si>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</si>
  <si>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</si>
  <si>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</si>
  <si>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</si>
  <si>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</si>
  <si>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</si>
  <si>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</si>
  <si>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</si>
  <si>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</si>
  <si>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</si>
  <si>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</si>
  <si>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</si>
  <si>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</si>
  <si>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</si>
  <si>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</si>
  <si>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</si>
  <si>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</si>
  <si>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</si>
  <si>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</si>
  <si>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</si>
  <si>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</si>
  <si>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</si>
  <si>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</si>
  <si>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</si>
  <si>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</si>
  <si>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</si>
  <si>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</si>
  <si>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</si>
  <si>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</si>
  <si>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</si>
  <si>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</si>
  <si>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</si>
  <si>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</si>
  <si>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</si>
  <si>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</si>
  <si>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</si>
  <si>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</si>
  <si>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</si>
  <si>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</si>
  <si>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</si>
  <si>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</si>
  <si>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</si>
  <si>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</si>
  <si>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</si>
  <si>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</si>
  <si>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</si>
  <si>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</si>
  <si>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</si>
  <si>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</si>
  <si>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</si>
  <si>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</si>
  <si>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</si>
  <si>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</si>
  <si>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</si>
  <si>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</si>
  <si>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</si>
  <si>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</si>
  <si>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</si>
  <si>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</si>
  <si>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</si>
  <si>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main_current_account_nib</t>
  </si>
  <si>
    <t>main_current_acc_supp_bank_code</t>
  </si>
  <si>
    <t>main_current_account_agency_id</t>
  </si>
  <si>
    <t>main_current_account_number</t>
  </si>
  <si>
    <t>initial_advance_principal_amount</t>
  </si>
  <si>
    <t>current_advance_principal_amount</t>
  </si>
  <si>
    <t>current_overdue_taxes_balance</t>
  </si>
  <si>
    <t>current_overdue_expenses_bal</t>
  </si>
  <si>
    <t>current_overdue_interest_bal</t>
  </si>
  <si>
    <t>residual_value_principal_amount</t>
  </si>
  <si>
    <t>residual_value_taxes_amount</t>
  </si>
  <si>
    <t>residual_value_interest_amount</t>
  </si>
  <si>
    <t>residual_value_expenses_amount</t>
  </si>
  <si>
    <t>last_settled_amort_taxes_amount</t>
  </si>
  <si>
    <t>last_settled_amort_expenses_amt</t>
  </si>
  <si>
    <t>last_settled_amort_interest_amount</t>
  </si>
  <si>
    <t>last_early_amort_taxes_amount</t>
  </si>
  <si>
    <t>last_early_amort_expenses_amt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</si>
  <si>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</si>
  <si>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</si>
  <si>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</si>
  <si>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</si>
  <si>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</si>
  <si>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</si>
  <si>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</si>
  <si>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</si>
  <si>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</si>
  <si>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</si>
  <si>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</si>
  <si>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</si>
  <si>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</si>
  <si>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</si>
  <si>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</si>
  <si>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</si>
  <si>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</si>
  <si>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</si>
  <si>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</si>
  <si>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</si>
  <si>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</si>
  <si>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</si>
  <si>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</si>
  <si>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</si>
  <si>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</si>
  <si>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</si>
  <si>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</si>
  <si>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</si>
  <si>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</si>
  <si>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</si>
  <si>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</si>
  <si>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</si>
  <si>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</si>
  <si>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</si>
  <si>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</si>
  <si>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</si>
  <si>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</si>
  <si>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</si>
  <si>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</si>
  <si>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</si>
  <si>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</si>
  <si>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</si>
  <si>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</si>
  <si>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</si>
  <si>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</si>
  <si>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</si>
  <si>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</si>
  <si>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</si>
  <si>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</si>
  <si>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</si>
  <si>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</si>
  <si>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</si>
  <si>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</si>
  <si>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</si>
  <si>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</si>
  <si>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</si>
  <si>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</si>
  <si>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</si>
  <si>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</si>
  <si>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</si>
  <si>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</si>
  <si>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</si>
  <si>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</si>
  <si>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</si>
  <si>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</si>
  <si>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</si>
  <si>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</si>
  <si>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</si>
  <si>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</si>
  <si>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</si>
  <si>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</si>
  <si>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</si>
  <si>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</si>
  <si>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</si>
  <si>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</si>
  <si>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</si>
  <si>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</si>
  <si>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</si>
  <si>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</si>
  <si>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</si>
  <si>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</si>
  <si>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</si>
  <si>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</si>
  <si>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</si>
  <si>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</si>
  <si>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</si>
  <si>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</si>
  <si>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</si>
  <si>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</si>
  <si>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</si>
  <si>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</si>
  <si>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</si>
  <si>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</si>
  <si>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</si>
  <si>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</si>
  <si>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</si>
  <si>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</si>
  <si>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</si>
  <si>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</si>
  <si>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</si>
  <si>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</si>
  <si>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</si>
  <si>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</si>
  <si>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</si>
  <si>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</si>
  <si>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</si>
  <si>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</si>
  <si>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</si>
  <si>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</si>
  <si>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</si>
  <si>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</si>
  <si>
    <t>Bills and Promissory Note Transaction</t>
  </si>
  <si>
    <t>bills_promissory_notes_transaction</t>
  </si>
  <si>
    <t>Transactions - General</t>
  </si>
  <si>
    <t>Identifier of the contract associated with the transaction.</t>
  </si>
  <si>
    <t>Identificador do contrato associado à transação.</t>
  </si>
  <si>
    <t>Order Number</t>
  </si>
  <si>
    <t>Key - Value</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</si>
  <si>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</si>
  <si>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</si>
  <si>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Order Number Stage</t>
  </si>
  <si>
    <t>order_number_stage</t>
  </si>
  <si>
    <t>Represents the sequencial stage order inside of the transaction.</t>
  </si>
  <si>
    <t>Representa a nº da etapa dentro de uma transação.</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</si>
  <si>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</si>
  <si>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</si>
  <si>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</si>
  <si>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</si>
  <si>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</si>
  <si>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Financial Flow Indicator</t>
  </si>
  <si>
    <t>financial_flow_indicator</t>
  </si>
  <si>
    <t>Ext Inf - Trans Op Inf - Ind</t>
  </si>
  <si>
    <t>Identifies the transactions that directly, or indirectly, impacts an account, this is, there is movement of money.</t>
  </si>
  <si>
    <t>Identifca as transações que são financeiras.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</si>
  <si>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</si>
  <si>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</si>
  <si>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</si>
  <si>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</si>
  <si>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</si>
  <si>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</si>
  <si>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</si>
  <si>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</si>
  <si>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</si>
  <si>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</si>
  <si>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</si>
  <si>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</si>
  <si>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</si>
  <si>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</si>
  <si>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</si>
  <si>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</si>
  <si>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</si>
  <si>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</si>
  <si>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</si>
  <si>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Identifica a aplicação onde foi realizada a transação.</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</si>
  <si>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</si>
  <si>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</si>
  <si>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COMMON_REFERENCEDATA_CORE</t>
  </si>
  <si>
    <t>EFT08_CONTAB_EFT 
EFT02_CRTEFT
TCT72_MOVCTA
TCT09_OPERCN
PARAM_GENERAL_CODE_CONVERTER</t>
  </si>
  <si>
    <t>N\A
N\A
N\A
N\A
TARGET_VALUE</t>
  </si>
  <si>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PARAM_GENERAL_CONVERTER.TARGET_FIELD = 'bank_id' AND PARAM_GENERAL_CONVERTER.SOURCE_CODE = 'EF' AND PARAM_GENERAL_CONVERTER.SOURCE_VALUE = ''  AND PARAN_GENERAL_CONVERTER.OPTION_NUMBER = '1'
</t>
    </r>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PARAM_GENERAL_CONVERTER.TARGET_FIELD = 'bank_id' AND PARAM_GENERAL_CONVERTER.SOURCE_CODE = 'EF' AND PARAM_GENERAL_CONVERTER.SOURCE_VALUE = ''  AND PARAM_GENERAL_CONVERTER.OPTION_NUMBER = '1'</t>
    </r>
  </si>
  <si>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</si>
  <si>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</si>
  <si>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</si>
  <si>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</si>
  <si>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scheme val="minor"/>
      </rPr>
      <t xml:space="preserve">SELECT </t>
    </r>
    <r>
      <rPr>
        <sz val="11"/>
        <color rgb="FF000000"/>
        <rFont val="Calibri"/>
        <scheme val="minor"/>
      </rPr>
      <t xml:space="preserve">CONCAT( EFT08_CONTAB_EFT.CKBALCAO, EFT08_CONTAB_EFT.CKNUMCTA, LPAD( SUBSTRING( EFT08_CONTAB_EFT.ZLOTEFT, 1, 8 ), 8, '0' ), LPAD( SUBSTRING( EFT08_CONTAB_EFT.ZSEQEFT, 1, 2 ), 2,'0' ), '00000'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</si>
  <si>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</si>
  <si>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</si>
  <si>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Transactions - General
Transactions - General</t>
  </si>
  <si>
    <t>Operation Order
Transaction ID</t>
  </si>
  <si>
    <t>ZMOVCTA
N\A
ZMOVCTA
N\A</t>
  </si>
  <si>
    <r>
      <rPr>
        <b/>
        <sz val="11"/>
        <color rgb="FF000000"/>
        <rFont val="Calibri"/>
        <scheme val="minor"/>
      </rPr>
      <t xml:space="preserve">SELECT </t>
    </r>
    <r>
      <rPr>
        <sz val="11"/>
        <color rgb="FF000000"/>
        <rFont val="Calibri"/>
        <scheme val="minor"/>
      </rPr>
      <t xml:space="preserve">CAST( EFT08_CONTAB_EFT.ZMOVCTA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</si>
  <si>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ZMOVCTA
ZMOVCTA</t>
  </si>
  <si>
    <t>ZSEQMOV
N\A
ZSEQMOV
N\A</t>
  </si>
  <si>
    <r>
      <rPr>
        <b/>
        <sz val="11"/>
        <color rgb="FF000000"/>
        <rFont val="Calibri"/>
        <scheme val="minor"/>
      </rPr>
      <t xml:space="preserve">SELECT </t>
    </r>
    <r>
      <rPr>
        <sz val="11"/>
        <color rgb="FF000000"/>
        <rFont val="Calibri"/>
        <scheme val="minor"/>
      </rPr>
      <t xml:space="preserve">CAST( EFT08_CONTAB_EFT.ZSEQMOV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</si>
  <si>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</si>
  <si>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</si>
  <si>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</si>
  <si>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</si>
  <si>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r>
      <rPr>
        <b/>
        <sz val="11"/>
        <color rgb="FF000000"/>
        <rFont val="Calibri"/>
      </rPr>
      <t>SELECT</t>
    </r>
    <r>
      <rPr>
        <sz val="11"/>
        <color rgb="FF000000"/>
        <rFont val="Calibri"/>
      </rPr>
      <t xml:space="preserve"> IF(TRIM(SUBSTRING( TAT91_TABELAS_NEW.TAYD91C0_NELEMC05, 3, 3)) IN ('', 'N/A'), NULL, PARAM_GENERAL_CODE_CONVERTER.TARGET_VALUE)
</t>
    </r>
    <r>
      <rPr>
        <b/>
        <sz val="11"/>
        <color rgb="FF000000"/>
        <rFont val="Calibri"/>
      </rPr>
      <t>WHERE</t>
    </r>
    <r>
      <rPr>
        <sz val="11"/>
        <color rgb="FF000000"/>
        <rFont val="Calibri"/>
      </rPr>
      <t xml:space="preserve"> 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AND PARAM_GENERAL_CODE_CONVERTER.SOURCE_CODE = '00' AND PARAM_GENERAL_CODE_CONVERTER.SOURCE_VALUE = TRIM(SUBSTRING( TAT91_TABELAS_NEW.TAYD91C0_NELEMC05, 3, 3))  AND PARAM_GENERAL_CODE_CONVERTER (COPERAC).SOURCE_VALUE = SUBSTRING( TAT91_TABELAS_NEW.TAYD91C0_NELEMC05, 3, 3)  AND PARAM_GENERAL_CODE_CONVERTER.OPTION_NUMBER = '1' 
</t>
    </r>
    <r>
      <rPr>
        <b/>
        <sz val="11"/>
        <color rgb="FF000000"/>
        <rFont val="Calibri"/>
      </rPr>
      <t>SELECT</t>
    </r>
    <r>
      <rPr>
        <sz val="11"/>
        <color rgb="FF000000"/>
        <rFont val="Calibri"/>
      </rPr>
      <t xml:space="preserve"> IF(TRIM(SUBSTRING( TAT91_TABELAS_NEW.TAYD91C0_NELEMC05, 3, 3)) IN ('', 'N/A'), NULL, PARAM_GENERAL_CODE_CONVERTER.TARGET_VALUE)
</t>
    </r>
    <r>
      <rPr>
        <b/>
        <sz val="11"/>
        <color rgb="FF000000"/>
        <rFont val="Calibri"/>
      </rPr>
      <t>WHERE</t>
    </r>
    <r>
      <rPr>
        <sz val="11"/>
        <color rgb="FF000000"/>
        <rFont val="Calibri"/>
      </rPr>
      <t xml:space="preserve"> TCT72_MOVCTA.DDIAOP &gt; SUBSTRING( LAST_DATA_DATE_PART, 1, 10) AND TCT72_MOVCTA.DDIAOP &lt;= SUBSTRING( 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TCT09_OPERCN.CKPRODUT = PARAM_LITIGATION_PRODUCT.SOURCE_PRODUCT_ID AND TCT09_OPERCN.CKSUBPRO = PARAM_LITIGATION_PRODUCT.SOURCE_SUBPRODUCT_ID AND PARAM_LITIGATION_PRODUCT.SOURCE_CODE = 'EF'</t>
    </r>
  </si>
  <si>
    <t>COPERAC
COPERAC</t>
  </si>
  <si>
    <t>CURATED_INTERNAL_MAINFRAME_EFEITOS
CURATED_INTERNAL_MAINFRAME_EFEITOS
CURATED_INTERNAL_MAINFRAME_CONTENCIOSO
CURATED_INTERNAL_MAINFRAME_CONTENCIOSO
CURATED_INTERNAL_MAINFRAME_ESTRUTURAIS</t>
  </si>
  <si>
    <t>EFT08_CONTAB_EFT 
EFT02_CRTEFT
TCT72_MOVCTA
TCT09_OPERCN
TAT91_TABELAS_NEW</t>
  </si>
  <si>
    <t>N\A
N\A
N\A
N\A
TAYD91C0_NELEMC05</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</si>
  <si>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 xml:space="preserve">WHERE </t>
    </r>
    <r>
      <rPr>
        <sz val="11"/>
        <color rgb="FF000000"/>
        <rFont val="Calibri"/>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t>
    </r>
    <r>
      <rPr>
        <b/>
        <sz val="11"/>
        <color rgb="FF000000"/>
        <rFont val="Calibri"/>
      </rPr>
      <t xml:space="preserve">SELECT </t>
    </r>
    <r>
      <rPr>
        <sz val="11"/>
        <color rgb="FF000000"/>
        <rFont val="Calibri"/>
      </rPr>
      <t xml:space="preserve">IF( TRIM( SUBSTRING( TAT91_TABELAS_NEW.TAYD91C0_NELEMC05, 2, 1), NULL, SUBSTRING( TAT91_TABELAS_NEW.TAYD91C0_NELEMC05, 2, 1) )
</t>
    </r>
    <r>
      <rPr>
        <b/>
        <sz val="11"/>
        <color rgb="FF000000"/>
        <rFont val="Calibri"/>
      </rPr>
      <t xml:space="preserve">WHERE </t>
    </r>
    <r>
      <rPr>
        <sz val="11"/>
        <color rgb="FF000000"/>
        <rFont val="Calibri"/>
      </rPr>
      <t>TCT72_MOVCTA.DDIAOP &gt; SUBSTRING( LAST_DATA_DATE_PART, 1, 10) AND TCT72_MOVCTA.DDIAOP &lt;= SUBSTRING( LAST_DATA_DATE_PART, 11, 10)
     AND TAT91_TABELAS_NEW.TAYD91C0_CTABELA = '021' AND SUBSTRING( TAT91_TABELAS_NEW.TAYD91C0_CELEMTAB, 1, 3 ) = TCT72_MOVCTA.COPERAC</t>
    </r>
  </si>
  <si>
    <t>Currency:
TAT91_TABELAS - CTABELA 206; CURATED_INTERNAL_MAINFRAME_ESTRUTURAIS.TAT91_TABELAS - TAYD91C0_CTABELA 206
TAT91_TABELAS - CTABELA 206; CURATED_INTERNAL_MAINFRAME_ESTRUTURAIS.TAT91_TABELAS - TAYD91C0_CTABELA 206</t>
  </si>
  <si>
    <t>CMOEDA
N\A
CMOEDAOR
N\A</t>
  </si>
  <si>
    <r>
      <rPr>
        <b/>
        <sz val="11"/>
        <color rgb="FF000000"/>
        <rFont val="Calibri"/>
        <scheme val="minor"/>
      </rPr>
      <t xml:space="preserve">SELECT </t>
    </r>
    <r>
      <rPr>
        <sz val="11"/>
        <color rgb="FF000000"/>
        <rFont val="Calibri"/>
        <scheme val="minor"/>
      </rPr>
      <t xml:space="preserve">IF( TRIM( EFT08_CONTAB_EFT.CMOEDA ) = '', NULL, EFT08_CONTAB_EFT.CMOEDA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</si>
  <si>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CMOEDA
CMOEDAOR</t>
  </si>
  <si>
    <t>DDIAVL
N\A
DDIAVL
N\A</t>
  </si>
  <si>
    <r>
      <rPr>
        <b/>
        <sz val="11"/>
        <color rgb="FF000000"/>
        <rFont val="Calibri"/>
        <scheme val="minor"/>
      </rPr>
      <t xml:space="preserve">SELECT </t>
    </r>
    <r>
      <rPr>
        <sz val="11"/>
        <color rgb="FF000000"/>
        <rFont val="Calibri"/>
        <scheme val="minor"/>
      </rPr>
      <t xml:space="preserve">IF( TRIM(EFT08_CONTAB_EFT.DDIAVL ) = '', NULL, EFT08_CONTAB_EFT.DDIAVL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TCT72_MOVCTA.DDIAVL ) = '', NULL, TCT72_MOVCTA.DDIAVL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</si>
  <si>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DDIAVL
DDIAVL</t>
  </si>
  <si>
    <t>DDIAOP
N\A
DDIAOP
N\A</t>
  </si>
  <si>
    <r>
      <rPr>
        <b/>
        <sz val="11"/>
        <color rgb="FF000000"/>
        <rFont val="Calibri"/>
        <scheme val="minor"/>
      </rPr>
      <t>SELECT</t>
    </r>
    <r>
      <rPr>
        <sz val="11"/>
        <color rgb="FF000000"/>
        <rFont val="Calibri"/>
        <scheme val="minor"/>
      </rPr>
      <t xml:space="preserve"> IF( TRIM( EFT08_CONTAB_EFT.DDIAOP ) = '', NULL, EFT08_CONTAB_EFT.DDIAOP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TCT72_MOVCTA.DDIAOP ) = '', NULL, TCT72_MOVCTA.DDIAOP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</si>
  <si>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DDIAOP
DDIAOP</t>
  </si>
  <si>
    <t>MMOVIM
N\A
MMOVIM
N\A</t>
  </si>
  <si>
    <r>
      <rPr>
        <b/>
        <sz val="11"/>
        <color rgb="FF000000"/>
        <rFont val="Calibri"/>
        <scheme val="minor"/>
      </rPr>
      <t xml:space="preserve">SELECT </t>
    </r>
    <r>
      <rPr>
        <sz val="11"/>
        <color rgb="FF000000"/>
        <rFont val="Calibri"/>
        <scheme val="minor"/>
      </rPr>
      <t xml:space="preserve">CAST(CASE
    WHEN EFT08_CONTAB_EFT.COPER = 'D' THEN - 1 * EFT08_CONTAB_EFT.MMOVIM
    ELSE EFT08_CONTAB_EFT.MMOVIM
END AS DECIMAL( 23, 6 ))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</si>
  <si>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MMOVIM
MMOVIM</t>
  </si>
  <si>
    <t>Information Source Application:
N\A; N\A
N\A; N\A</t>
  </si>
  <si>
    <r>
      <rPr>
        <b/>
        <sz val="11"/>
        <color rgb="FF000000"/>
        <rFont val="Calibri"/>
        <scheme val="minor"/>
      </rPr>
      <t>SELECT</t>
    </r>
    <r>
      <rPr>
        <sz val="11"/>
        <color rgb="FF000000"/>
        <rFont val="Calibri"/>
        <scheme val="minor"/>
      </rPr>
      <t xml:space="preserve"> 'EF'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</si>
  <si>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"EF"
"TC"</t>
  </si>
  <si>
    <t>DATA_DATE_PART
N\A
DATA_DATE_PART
N\A</t>
  </si>
  <si>
    <r>
      <rPr>
        <b/>
        <sz val="11"/>
        <color rgb="FF000000"/>
        <rFont val="Calibri"/>
        <scheme val="minor"/>
      </rPr>
      <t>SELECT</t>
    </r>
    <r>
      <rPr>
        <sz val="11"/>
        <color rgb="FF000000"/>
        <rFont val="Calibri"/>
        <scheme val="minor"/>
      </rPr>
      <t xml:space="preserve"> EFT08_CONTAB_EFT.DATA_DATE_PART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</si>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</sst>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000"/>
    <numFmt numFmtId="166" formatCode="#,##0.0000000"/>
    <numFmt numFmtId="167" formatCode="0.0"/>
  </numFmts>
  <fonts count="5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z val="11"/>
      <name val="Calibri"/>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79998168889431442"/>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
      <left style="thin">
        <color rgb="FF000000"/>
      </left>
      <right/>
      <top style="thin">
        <color indexed="64"/>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6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30" fillId="0" borderId="11" xfId="0" applyFont="1" applyBorder="1" applyAlignment="1">
      <alignment vertical="center"/>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1" fillId="0" borderId="11" xfId="0" applyFont="1" applyBorder="1" applyAlignment="1">
      <alignment vertical="center" wrapText="1"/>
    </xf>
    <xf numFmtId="0" fontId="0" fillId="0" borderId="17" xfId="0" applyBorder="1" applyAlignment="1">
      <alignment horizontal="left" vertical="center" wrapText="1"/>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1" borderId="15" xfId="0" applyFont="1" applyFill="1" applyBorder="1" applyAlignment="1">
      <alignment horizontal="center" vertical="center"/>
    </xf>
    <xf numFmtId="0" fontId="0" fillId="11" borderId="13" xfId="0" applyFill="1" applyBorder="1"/>
    <xf numFmtId="0" fontId="0" fillId="11" borderId="15" xfId="0" applyFill="1" applyBorder="1" applyAlignment="1">
      <alignment horizontal="left"/>
    </xf>
    <xf numFmtId="0" fontId="0" fillId="0" borderId="27" xfId="0" applyBorder="1"/>
    <xf numFmtId="0" fontId="0" fillId="12" borderId="0" xfId="0" applyFill="1" applyAlignment="1">
      <alignment horizontal="left" vertical="center"/>
    </xf>
    <xf numFmtId="3" fontId="0" fillId="12" borderId="0" xfId="0" applyNumberFormat="1" applyFill="1" applyAlignment="1">
      <alignment horizontal="left" vertical="center"/>
    </xf>
    <xf numFmtId="14" fontId="0" fillId="12" borderId="0" xfId="0" applyNumberFormat="1" applyFill="1" applyAlignment="1">
      <alignment horizontal="left" vertical="center"/>
    </xf>
    <xf numFmtId="0" fontId="36" fillId="13"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47" fillId="0" borderId="11" xfId="0" applyFont="1" applyBorder="1" applyAlignment="1">
      <alignment vertical="center" wrapText="1"/>
    </xf>
    <xf numFmtId="0" fontId="31" fillId="0" borderId="11" xfId="0" applyFont="1" applyBorder="1" applyAlignment="1">
      <alignment horizontal="left" vertical="center"/>
    </xf>
    <xf numFmtId="0" fontId="0" fillId="0" borderId="12" xfId="0" applyBorder="1" applyAlignment="1">
      <alignment horizontal="center" vertical="center"/>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44" fillId="0" borderId="11" xfId="0" applyFont="1" applyBorder="1" applyAlignment="1">
      <alignment horizontal="left" vertical="center" wrapText="1"/>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33"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44" fillId="14" borderId="11" xfId="0" applyFont="1" applyFill="1" applyBorder="1" applyAlignment="1">
      <alignment horizontal="left" vertical="center" wrapText="1"/>
    </xf>
    <xf numFmtId="0" fontId="0" fillId="14" borderId="11" xfId="0" applyFill="1" applyBorder="1" applyAlignment="1" applyProtection="1">
      <alignment vertical="center" wrapText="1"/>
      <protection locked="0"/>
    </xf>
    <xf numFmtId="0" fontId="30" fillId="14" borderId="11" xfId="0" applyFont="1" applyFill="1" applyBorder="1" applyAlignment="1">
      <alignment vertical="center"/>
    </xf>
    <xf numFmtId="0" fontId="44" fillId="14" borderId="11" xfId="0" applyFont="1" applyFill="1" applyBorder="1" applyAlignment="1" applyProtection="1">
      <alignment horizontal="left" vertical="center" wrapText="1"/>
      <protection locked="0"/>
    </xf>
    <xf numFmtId="0" fontId="44" fillId="14" borderId="11" xfId="0" applyFont="1" applyFill="1" applyBorder="1" applyAlignment="1">
      <alignment vertical="center" wrapText="1"/>
    </xf>
    <xf numFmtId="0" fontId="33" fillId="0" borderId="18" xfId="0" applyFont="1" applyBorder="1" applyAlignment="1">
      <alignment horizontal="left" vertical="center" wrapText="1"/>
    </xf>
    <xf numFmtId="0" fontId="0" fillId="14" borderId="14" xfId="0" applyFill="1" applyBorder="1" applyAlignment="1">
      <alignment horizontal="center" vertical="center"/>
    </xf>
    <xf numFmtId="0" fontId="0" fillId="14" borderId="12" xfId="0" applyFill="1" applyBorder="1" applyAlignment="1">
      <alignment horizontal="left" vertical="center"/>
    </xf>
    <xf numFmtId="0" fontId="0" fillId="14" borderId="14" xfId="0" applyFill="1" applyBorder="1" applyAlignment="1">
      <alignment horizontal="left" vertical="center"/>
    </xf>
    <xf numFmtId="0" fontId="0" fillId="0" borderId="12" xfId="0" applyBorder="1" applyAlignment="1" applyProtection="1">
      <alignment vertical="center"/>
      <protection locked="0"/>
    </xf>
    <xf numFmtId="0" fontId="0" fillId="0" borderId="12" xfId="0" applyBorder="1" applyAlignment="1" applyProtection="1">
      <alignment horizontal="left" vertical="center" wrapText="1"/>
      <protection locked="0"/>
    </xf>
    <xf numFmtId="0" fontId="33" fillId="0" borderId="12" xfId="0" applyFont="1" applyBorder="1" applyAlignment="1">
      <alignment vertical="center" wrapText="1"/>
    </xf>
    <xf numFmtId="0" fontId="26" fillId="5" borderId="30" xfId="0" applyFont="1" applyFill="1" applyBorder="1" applyAlignment="1">
      <alignment horizontal="center"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47" fillId="0" borderId="11" xfId="0" applyFont="1" applyBorder="1" applyAlignment="1">
      <alignment horizontal="left" vertical="center" wrapText="1"/>
    </xf>
    <xf numFmtId="0" fontId="32" fillId="0" borderId="11" xfId="0" applyFont="1" applyBorder="1" applyAlignment="1">
      <alignment horizontal="left" vertical="center" wrapText="1"/>
    </xf>
    <xf numFmtId="0" fontId="49" fillId="0" borderId="11" xfId="0" applyFont="1" applyBorder="1" applyAlignment="1">
      <alignment horizontal="left" vertical="center" wrapText="1"/>
    </xf>
    <xf numFmtId="0" fontId="47" fillId="0" borderId="11" xfId="0" applyFont="1" applyBorder="1" applyAlignment="1">
      <alignment horizontal="left" vertical="center"/>
    </xf>
    <xf numFmtId="0" fontId="48" fillId="0" borderId="11" xfId="0" applyFont="1" applyBorder="1" applyAlignment="1">
      <alignment horizontal="left" vertical="center"/>
    </xf>
    <xf numFmtId="0" fontId="47" fillId="0" borderId="11" xfId="0" applyFont="1" applyBorder="1" applyAlignment="1">
      <alignment horizontal="center" vertical="center"/>
    </xf>
    <xf numFmtId="0" fontId="48" fillId="0" borderId="11" xfId="0" applyFont="1" applyBorder="1" applyAlignment="1">
      <alignment horizontal="center" vertical="center"/>
    </xf>
    <xf numFmtId="0" fontId="47" fillId="0" borderId="11" xfId="0" applyFont="1" applyBorder="1" applyAlignment="1">
      <alignment vertical="center"/>
    </xf>
    <xf numFmtId="0" fontId="44" fillId="0" borderId="11" xfId="0" applyFont="1" applyBorder="1" applyAlignment="1">
      <alignment vertical="center"/>
    </xf>
    <xf numFmtId="0" fontId="44" fillId="0" borderId="11" xfId="0" applyFont="1" applyBorder="1" applyAlignment="1">
      <alignment horizontal="left" vertical="center"/>
    </xf>
    <xf numFmtId="0" fontId="47" fillId="0" borderId="12" xfId="0" applyFont="1" applyBorder="1" applyAlignment="1">
      <alignment horizontal="left" vertical="center"/>
    </xf>
    <xf numFmtId="0" fontId="47" fillId="0" borderId="12" xfId="0" applyFont="1" applyBorder="1" applyAlignment="1">
      <alignment horizontal="center" vertical="center"/>
    </xf>
    <xf numFmtId="0" fontId="47" fillId="0" borderId="12" xfId="0" applyFont="1" applyBorder="1" applyAlignment="1">
      <alignment vertical="center" wrapText="1"/>
    </xf>
    <xf numFmtId="0" fontId="0" fillId="0" borderId="11" xfId="0" quotePrefix="1" applyBorder="1" applyAlignment="1" applyProtection="1">
      <alignment horizontal="center" vertical="center"/>
      <protection locked="0"/>
    </xf>
    <xf numFmtId="0" fontId="33" fillId="0" borderId="12" xfId="0" applyFont="1" applyBorder="1" applyAlignment="1" applyProtection="1">
      <alignment horizontal="left" vertical="center" wrapText="1"/>
      <protection locked="0"/>
    </xf>
  </cellXfs>
  <cellStyles count="5">
    <cellStyle name="Hyperlink" xfId="3"/>
    <cellStyle name="Normal" xfId="0" builtinId="0"/>
    <cellStyle name="Normal 2" xfId="4"/>
    <cellStyle name="Normal 2 2 3 4" xfId="1"/>
    <cellStyle name="Normal 3 5 4" xfId="2"/>
  </cellStyles>
  <dxfs count="1189">
    <dxf>
      <font>
        <color rgb="FF9C0006"/>
      </font>
      <fill>
        <patternFill patternType="solid">
          <bgColor theme="5" tint="0.79998168889431442"/>
        </patternFill>
      </fill>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microsoft.com/office/2017/06/relationships/rdRichValueTypes" Target="richData/rdRichValueTypes.xml"/><Relationship Id="rId50"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alcChain" Target="calcChain.xml"/><Relationship Id="rId48"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id="1" name="Table1" displayName="Table1" ref="B5:D693" totalsRowShown="0" headerRowBorderDxfId="1188" tableBorderDxfId="1187" totalsRowBorderDxfId="1186">
  <autoFilter ref="B5:D693"/>
  <sortState ref="B6:D56">
    <sortCondition ref="B5:B56"/>
  </sortState>
  <tableColumns count="3">
    <tableColumn id="1" name="SCHEMA" dataDxfId="1185"/>
    <tableColumn id="2" name="TABELA" dataDxfId="1184"/>
    <tableColumn id="3" name="DESCRIÇÃO" dataDxfId="1183"/>
  </tableColumns>
  <tableStyleInfo name="TableStyleLight11" showFirstColumn="0" showLastColumn="0" showRowStripes="1" showColumnStripes="0"/>
</table>
</file>

<file path=xl/tables/table2.xml><?xml version="1.0" encoding="utf-8"?>
<table xmlns="http://schemas.openxmlformats.org/spreadsheetml/2006/main" id="3" name="Table3" displayName="Table3" ref="B7:AA80" totalsRowShown="0" headerRowDxfId="29" dataDxfId="28" tableBorderDxfId="27">
  <autoFilter ref="B7:AA80"/>
  <tableColumns count="26">
    <tableColumn id="1" name="NOME BD" dataDxfId="26"/>
    <tableColumn id="2" name="NOME TABELA" dataDxfId="25"/>
    <tableColumn id="3" name="NOME FÍSICO TABELA" dataDxfId="24"/>
    <tableColumn id="4" name="NÍVEL TABELA" dataDxfId="23"/>
    <tableColumn id="28" name="NOME CAMPO" dataDxfId="22"/>
    <tableColumn id="29" name="NOME FÍSICO CAMPO" dataDxfId="21"/>
    <tableColumn id="7" name="BLOCO" dataDxfId="20"/>
    <tableColumn id="8" name="ORDEM" dataDxfId="19"/>
    <tableColumn id="9" name="FORMATO" dataDxfId="18"/>
    <tableColumn id="10" name="COMP_ CAMPO" dataDxfId="17"/>
    <tableColumn id="11" name="NUM_ DECIMAIS" dataDxfId="16"/>
    <tableColumn id="5" name="COMP_FIXO" dataDxfId="15"/>
    <tableColumn id="12" name="DESCRIÇÃO FUNCIONAL (ENG)" dataDxfId="14"/>
    <tableColumn id="13" name="DESCRIÇÃO FUNCIONAL (PT)" dataDxfId="13"/>
    <tableColumn id="14" name="CHAVE PRIMÁRIA" dataDxfId="12"/>
    <tableColumn id="15" name="DADOS REFERÊNCIA" dataDxfId="11"/>
    <tableColumn id="16" name="NOME TABELA ONEFCC" dataDxfId="10"/>
    <tableColumn id="17" name="NOME CAMPO ONEFCC" dataDxfId="9"/>
    <tableColumn id="18" name="NOME BD CURATED" dataDxfId="8"/>
    <tableColumn id="19" name="NOME FISICO TABELA CURATED" dataDxfId="7"/>
    <tableColumn id="20" name="NOME FISICO CAMPO CURATED" dataDxfId="6"/>
    <tableColumn id="22" name="CONDIÇÃO CURATED - CDM" dataDxfId="5"/>
    <tableColumn id="24" name="ID APLICAÇÂO TÉCNICA" dataDxfId="4"/>
    <tableColumn id="25" name="NOME FISICO TABELA FONTE" dataDxfId="3"/>
    <tableColumn id="26" name="NOME FISICO CAMPO FONTE" dataDxfId="2"/>
    <tableColumn id="27" name="VALOR MANUAL FONTE" dataDxfId="1"/>
  </tableColumns>
  <tableStyleInfo showFirstColumn="0" showLastColumn="0" showRowStripes="1" showColumnStripes="0"/>
</table>
</file>

<file path=xl/tables/table3.xml><?xml version="1.0" encoding="utf-8"?>
<table xmlns="http://schemas.openxmlformats.org/spreadsheetml/2006/main" id="5" name="Table5" displayName="Table5" ref="B2:I175" totalsRowShown="0" headerRowDxfId="1182" dataDxfId="1181" tableBorderDxfId="1180">
  <autoFilter ref="B2:I175"/>
  <sortState ref="B3:I161">
    <sortCondition ref="C2:C161"/>
  </sortState>
  <tableColumns count="8">
    <tableColumn id="1" name="NOME BD " dataDxfId="1179" totalsRowDxfId="1178"/>
    <tableColumn id="2" name="NOME FÍSICO TABELA" dataDxfId="1177" totalsRowDxfId="1176"/>
    <tableColumn id="6" name="NOME FÍSICO BD FONTE ESQUERDA" dataDxfId="1175" totalsRowDxfId="1174"/>
    <tableColumn id="3" name="NOME FÍSICO TABELA FONTE ESQUERDA" dataDxfId="1173" totalsRowDxfId="1172"/>
    <tableColumn id="7" name="NOME FÍSICO BD FONTE DIREITA" dataDxfId="1171" totalsRowDxfId="1170"/>
    <tableColumn id="4" name="NOME FÍSICO TABELA FONTE DIREITA" dataDxfId="1169" totalsRowDxfId="1168"/>
    <tableColumn id="5" name="REGRA DE CRUZAMENTO" dataDxfId="1167" totalsRowDxfId="1166"/>
    <tableColumn id="8" name="TIPO CRUZAMENTO" dataDxfId="1165" totalsRowDxfId="1164"/>
  </tableColumns>
  <tableStyleInfo showFirstColumn="0" showLastColumn="0" showRowStripes="1" showColumnStripes="0"/>
</table>
</file>

<file path=xl/tables/table4.xml><?xml version="1.0" encoding="utf-8"?>
<table xmlns="http://schemas.openxmlformats.org/spreadsheetml/2006/main" id="6" name="Table6" displayName="Table6" ref="B2:H35" totalsRowShown="0" headerRowDxfId="1163" dataDxfId="1162" tableBorderDxfId="1161">
  <autoFilter ref="B2:H35"/>
  <sortState ref="B3:H35">
    <sortCondition ref="C2:C35"/>
  </sortState>
  <tableColumns count="7">
    <tableColumn id="1" name="NOME BD" dataDxfId="1160" totalsRowDxfId="1159"/>
    <tableColumn id="2" name="NOME FÍSICO TABELA" dataDxfId="1158" totalsRowDxfId="1157"/>
    <tableColumn id="5" name="NOME FÍSICO BD FONTE" dataDxfId="1156" totalsRowDxfId="1155"/>
    <tableColumn id="6" name="NOME FÍSICO TABELA FONTE" dataDxfId="1154" totalsRowDxfId="1153"/>
    <tableColumn id="3" name="REGRA DE ATAQUE" dataDxfId="1152" totalsRowDxfId="1151"/>
    <tableColumn id="4" name="DESCRIÇÃO ESTADOS CONSIDERADOS" dataDxfId="1150" totalsRowDxfId="1149"/>
    <tableColumn id="7" name="DESCRIÇÃO ESTADOS DESCONSIDERADOS" dataDxfId="1148" totalsRowDxfId="1147"/>
  </tableColumns>
  <tableStyleInfo showFirstColumn="0" showLastColumn="0" showRowStripes="1" showColumnStripes="0"/>
</table>
</file>

<file path=xl/tables/table5.xml><?xml version="1.0" encoding="utf-8"?>
<table xmlns="http://schemas.openxmlformats.org/spreadsheetml/2006/main" id="2" name="Table2" displayName="Table2" ref="B2:E23" totalsRowShown="0" headerRowDxfId="1146" dataDxfId="1144" headerRowBorderDxfId="1145" tableBorderDxfId="1143" totalsRowBorderDxfId="1142">
  <autoFilter ref="B2:E23"/>
  <tableColumns count="4">
    <tableColumn id="1" name="ID" dataDxfId="1141">
      <calculatedColumnFormula>ROW() - ROW(Table2[[#Headers],[ID]])</calculatedColumnFormula>
    </tableColumn>
    <tableColumn id="2" name="Case Test" dataDxfId="1140"/>
    <tableColumn id="3" name="Description" dataDxfId="1139"/>
    <tableColumn id="4" name="Observation" dataDxfId="1138"/>
  </tableColumns>
  <tableStyleInfo showFirstColumn="0" showLastColumn="0" showRowStripes="1" showColumnStripes="0"/>
</table>
</file>

<file path=xl/tables/table6.xml><?xml version="1.0" encoding="utf-8"?>
<table xmlns="http://schemas.openxmlformats.org/spreadsheetml/2006/main" id="16" name="Table16" displayName="Table16" ref="B2:AB23" totalsRowShown="0" headerRowDxfId="1137" dataDxfId="1136">
  <autoFilter ref="B2:AB23"/>
  <tableColumns count="27">
    <tableColumn id="1" name="case_test" dataDxfId="1135"/>
    <tableColumn id="2" name="test_id" dataDxfId="1134"/>
    <tableColumn id="3" name="test_timestamp" dataDxfId="1133"/>
    <tableColumn id="4" name="query_driver_data_date_part" dataDxfId="1132"/>
    <tableColumn id="5" name="test_number" dataDxfId="1131"/>
    <tableColumn id="6" name="score" dataDxfId="1130"/>
    <tableColumn id="7" name="general_result" dataDxfId="1129"/>
    <tableColumn id="8" name="bank_id" dataDxfId="1128"/>
    <tableColumn id="9" name="contract_id" dataDxfId="1127"/>
    <tableColumn id="10" name="product_family_id" dataDxfId="1126"/>
    <tableColumn id="11" name="product_id" dataDxfId="1125"/>
    <tableColumn id="12" name="subproduct_id" dataDxfId="1124"/>
    <tableColumn id="13" name="main_current_account_bank_id" dataDxfId="1123"/>
    <tableColumn id="14" name="main_current_account_contract_id" dataDxfId="1122"/>
    <tableColumn id="15" name="opening_date" dataDxfId="1121"/>
    <tableColumn id="16" name="current_maturity_date" dataDxfId="1120"/>
    <tableColumn id="17" name="currency_code" dataDxfId="1119"/>
    <tableColumn id="18" name="litigation_indicator" dataDxfId="1118"/>
    <tableColumn id="19" name="initial_authorized_amount" dataDxfId="1117"/>
    <tableColumn id="20" name="current_authorized_amount" dataDxfId="1116"/>
    <tableColumn id="21" name="current_overdue_principal_bal" dataDxfId="1115"/>
    <tableColumn id="22" name="cur_debt_litigation_princip_bal" dataDxfId="1114"/>
    <tableColumn id="23" name="contract_status_code" dataDxfId="1113"/>
    <tableColumn id="24" name="contract_opening_channel_code" dataDxfId="1112"/>
    <tableColumn id="25" name="source_code" dataDxfId="1111"/>
    <tableColumn id="26" name="data_date_part" dataDxfId="1110"/>
    <tableColumn id="27" name="data_timestamp_part" dataDxfId="1109"/>
  </tableColumns>
  <tableStyleInfo name="TableStyleLight11" showFirstColumn="0" showLastColumn="0" showRowStripes="1" showColumnStripes="0"/>
</table>
</file>

<file path=xl/tables/table7.xml><?xml version="1.0" encoding="utf-8"?>
<table xmlns="http://schemas.openxmlformats.org/spreadsheetml/2006/main" id="18" name="Table1519" displayName="Table1519" ref="B30:F36" totalsRowShown="0" headerRowDxfId="1108" headerRowBorderDxfId="1107" tableBorderDxfId="1106">
  <autoFilter ref="B30:F36"/>
  <sortState ref="B31:F36">
    <sortCondition ref="B30:B36"/>
  </sortState>
  <tableColumns count="5">
    <tableColumn id="1" name="Test ID" dataDxfId="1105"/>
    <tableColumn id="2" name="Field" dataDxfId="1104"/>
    <tableColumn id="3" name="Justification" dataDxfId="1103"/>
    <tableColumn id="4" name="Number of Occurences" dataDxfId="1102"/>
    <tableColumn id="5" name="Justification State" dataDxfId="1101"/>
  </tableColumns>
  <tableStyleInfo name="TableStyleLight11" showFirstColumn="0" showLastColumn="0" showRowStripes="1" showColumnStripes="0"/>
</table>
</file>

<file path=xl/tables/table8.xml><?xml version="1.0" encoding="utf-8"?>
<table xmlns="http://schemas.openxmlformats.org/spreadsheetml/2006/main" id="9" name="Table9" displayName="Table9" ref="B2:AN23" totalsRowShown="0" headerRowDxfId="1100" dataDxfId="1099">
  <autoFilter ref="B2:AN23"/>
  <tableColumns count="39">
    <tableColumn id="1" name="case_tests" dataDxfId="1098"/>
    <tableColumn id="2" name="test_id" dataDxfId="1097"/>
    <tableColumn id="3" name="test_timestamp" dataDxfId="1096"/>
    <tableColumn id="4" name="query_driver_data_date_part" dataDxfId="1095"/>
    <tableColumn id="5" name="test_number" dataDxfId="1094"/>
    <tableColumn id="6" name="score" dataDxfId="1093"/>
    <tableColumn id="7" name="general_result" dataDxfId="1092"/>
    <tableColumn id="8" name="bank_id" dataDxfId="1091"/>
    <tableColumn id="9" name="contract_id" dataDxfId="1090"/>
    <tableColumn id="10" name="product_family_id" dataDxfId="1089"/>
    <tableColumn id="11" name="product_id" dataDxfId="1088"/>
    <tableColumn id="12" name="subproduct_id" dataDxfId="1087"/>
    <tableColumn id="13" name="main_current_account_bank_id" dataDxfId="1086"/>
    <tableColumn id="14" name="main_current_account_contract_id" dataDxfId="1085"/>
    <tableColumn id="15" name="process_bank_id" dataDxfId="1084"/>
    <tableColumn id="16" name="process_id" dataDxfId="1083"/>
    <tableColumn id="17" name="opening_date" dataDxfId="1082"/>
    <tableColumn id="18" name="current_maturity_date" dataDxfId="1081"/>
    <tableColumn id="19" name="currency_code" dataDxfId="1080"/>
    <tableColumn id="20" name="litigation_indicator" dataDxfId="1079"/>
    <tableColumn id="21" name="initial_amount_granted" dataDxfId="1078"/>
    <tableColumn id="22" name="current_amount_granted" dataDxfId="1077"/>
    <tableColumn id="23" name="cur_outsng_principal_balance" dataDxfId="1076"/>
    <tableColumn id="24" name="current_overdue_principal_bal" dataDxfId="1075"/>
    <tableColumn id="25" name="cur_debt_litigation_princip_bal" dataDxfId="1074"/>
    <tableColumn id="26" name="pred_billing_due_date" dataDxfId="1073"/>
    <tableColumn id="27" name="last_billing_date" dataDxfId="1072"/>
    <tableColumn id="28" name="cur_total_billed_principal_amt" dataDxfId="1071"/>
    <tableColumn id="29" name="cur_ttl_bill_litig_princip_amt" dataDxfId="1070"/>
    <tableColumn id="30" name="current_active_rate_type_code" dataDxfId="1069"/>
    <tableColumn id="31" name="current_active_indexing" dataDxfId="1068"/>
    <tableColumn id="32" name="current_active_index_rate" dataDxfId="1067"/>
    <tableColumn id="33" name="current_active_spread" dataDxfId="1066"/>
    <tableColumn id="34" name="current_active_interest_rate" dataDxfId="1065"/>
    <tableColumn id="35" name="contract_status_code" dataDxfId="1064"/>
    <tableColumn id="36" name="contract_opening_channel_code" dataDxfId="1063"/>
    <tableColumn id="37" name="source_code" dataDxfId="1062"/>
    <tableColumn id="38" name="data_date_part" dataDxfId="1061"/>
    <tableColumn id="39" name="data_timestamp_part" dataDxfId="1060"/>
  </tableColumns>
  <tableStyleInfo name="TableStyleLight11" showFirstColumn="0" showLastColumn="0" showRowStripes="1" showColumnStripes="0"/>
</table>
</file>

<file path=xl/tables/table9.xml><?xml version="1.0" encoding="utf-8"?>
<table xmlns="http://schemas.openxmlformats.org/spreadsheetml/2006/main" id="15" name="Table15" displayName="Table15" ref="B31:F37" totalsRowShown="0" headerRowDxfId="1059" headerRowBorderDxfId="1058" tableBorderDxfId="1057">
  <autoFilter ref="B31:F37"/>
  <tableColumns count="5">
    <tableColumn id="1" name="Test ID" dataDxfId="1056"/>
    <tableColumn id="2" name="Field" dataDxfId="1055"/>
    <tableColumn id="3" name="Justification" dataDxfId="1054"/>
    <tableColumn id="5" name="Number of Occurences" dataDxfId="1053"/>
    <tableColumn id="4" name="Justification State" dataDxfId="1052"/>
  </tableColumns>
  <tableStyleInfo name="TableStyleLight11" showFirstColumn="0" showLastColumn="0" showRowStripes="1" showColumnStripes="0"/>
</table>
</file>

<file path=xl/tables/table10.xml><?xml version="1.0" encoding="utf-8"?>
<table xmlns="http://schemas.openxmlformats.org/spreadsheetml/2006/main" id="23" name="Table151924" displayName="Table151924" ref="B32:F50" totalsRowShown="0" headerRowDxfId="1051" headerRowBorderDxfId="1050" tableBorderDxfId="1049">
  <autoFilter ref="B32:F50"/>
  <tableColumns count="5">
    <tableColumn id="1" name="Test ID" dataDxfId="1048"/>
    <tableColumn id="2" name="Field" dataDxfId="1047"/>
    <tableColumn id="3" name="Justification" dataDxfId="1046"/>
    <tableColumn id="4" name="Number of Occurences" dataDxfId="1045"/>
    <tableColumn id="5" name="Justification State" dataDxfId="1044"/>
  </tableColumns>
  <tableStyleInfo name="TableStyleLight11" showFirstColumn="0" showLastColumn="0" showRowStripes="1" showColumnStripes="0"/>
</table>
</file>

<file path=xl/tables/table11.xml><?xml version="1.0" encoding="utf-8"?>
<table xmlns="http://schemas.openxmlformats.org/spreadsheetml/2006/main" id="22" name="Table1623" displayName="Table1623" ref="B2:AJ23" totalsRowShown="0" headerRowDxfId="1043" dataDxfId="1042">
  <autoFilter ref="B2:AJ23"/>
  <tableColumns count="35">
    <tableColumn id="1" name="Case_Test" dataDxfId="1041"/>
    <tableColumn id="2" name="test_id" dataDxfId="1040"/>
    <tableColumn id="3" name="test_timestamp" dataDxfId="1039"/>
    <tableColumn id="4" name="query_driver_data_date_part" dataDxfId="1038"/>
    <tableColumn id="5" name="test_number" dataDxfId="1037"/>
    <tableColumn id="6" name="score" dataDxfId="1036"/>
    <tableColumn id="7" name="general_result" dataDxfId="1035"/>
    <tableColumn id="8" name="bank_id" dataDxfId="1034"/>
    <tableColumn id="9" name="contract_id" dataDxfId="1033"/>
    <tableColumn id="10" name="product_family_id" dataDxfId="1032"/>
    <tableColumn id="11" name="product_id" dataDxfId="1031"/>
    <tableColumn id="12" name="subproduct_id" dataDxfId="1030"/>
    <tableColumn id="13" name="main_current_account_bank_id" dataDxfId="1029"/>
    <tableColumn id="14" name="main_current_account_contract_id" dataDxfId="1028"/>
    <tableColumn id="15" name="opening_date" dataDxfId="1027"/>
    <tableColumn id="16" name="current_maturity_date" dataDxfId="1026"/>
    <tableColumn id="17" name="currency_code" dataDxfId="1025"/>
    <tableColumn id="18" name="current_ledger_balance" dataDxfId="1024"/>
    <tableColumn id="19" name="current_reserved_balance" dataDxfId="1023"/>
    <tableColumn id="20" name="current_available_balance" dataDxfId="1022"/>
    <tableColumn id="21" name="init_passive_rate_type_code" dataDxfId="1021"/>
    <tableColumn id="22" name="initial_passive_indexing" dataDxfId="1020"/>
    <tableColumn id="23" name="initial_passive_index_rate" dataDxfId="1019"/>
    <tableColumn id="24" name="initial_passive_spread" dataDxfId="1018"/>
    <tableColumn id="25" name="initial_passive_interest_rate" dataDxfId="1017"/>
    <tableColumn id="26" name="cur_passive_rate_type_code" dataDxfId="1016"/>
    <tableColumn id="27" name="current_passive_indexing" dataDxfId="1015"/>
    <tableColumn id="28" name="current_passive_index_rate" dataDxfId="1014"/>
    <tableColumn id="29" name="current_passive_spread" dataDxfId="1013"/>
    <tableColumn id="30" name="current_passive_interest_rate" dataDxfId="1012"/>
    <tableColumn id="31" name="contract_status_code" dataDxfId="1011"/>
    <tableColumn id="32" name="contract_opening_channel_code" dataDxfId="1010"/>
    <tableColumn id="33" name="source_code" dataDxfId="1009"/>
    <tableColumn id="34" name="data_date_part" dataDxfId="1008"/>
    <tableColumn id="35" name="data_timestamp_part" dataDxfId="1007"/>
  </tableColumns>
  <tableStyleInfo name="TableStyleLight11" showFirstColumn="0" showLastColumn="0" showRowStripes="1" showColumnStripes="0"/>
</table>
</file>

<file path=xl/tables/table12.xml><?xml version="1.0" encoding="utf-8"?>
<table xmlns="http://schemas.openxmlformats.org/spreadsheetml/2006/main" id="24" name="Table15192425" displayName="Table15192425" ref="B31:F41" totalsRowShown="0" headerRowDxfId="1006" headerRowBorderDxfId="1005" tableBorderDxfId="1004">
  <autoFilter ref="B31:F41"/>
  <sortState ref="B32:F41">
    <sortCondition ref="B31:B41"/>
  </sortState>
  <tableColumns count="5">
    <tableColumn id="1" name="Test ID" dataDxfId="1003"/>
    <tableColumn id="2" name="Field" dataDxfId="1002"/>
    <tableColumn id="3" name="Justification" dataDxfId="1001"/>
    <tableColumn id="4" name="Number of Occurences" dataDxfId="1000"/>
    <tableColumn id="5" name="Justification State" dataDxfId="999"/>
  </tableColumns>
  <tableStyleInfo name="TableStyleLight11" showFirstColumn="0" showLastColumn="0" showRowStripes="1" showColumnStripes="0"/>
</table>
</file>

<file path=xl/tables/table13.xml><?xml version="1.0" encoding="utf-8"?>
<table xmlns="http://schemas.openxmlformats.org/spreadsheetml/2006/main" id="25" name="Table162326" displayName="Table162326" ref="B2:AN23" totalsRowShown="0" headerRowDxfId="998" dataDxfId="997">
  <autoFilter ref="B2:AN23"/>
  <tableColumns count="39">
    <tableColumn id="1" name="Case_Test" dataDxfId="996"/>
    <tableColumn id="2" name="test_id" dataDxfId="995"/>
    <tableColumn id="3" name="test_timestamp" dataDxfId="994"/>
    <tableColumn id="4" name="query_driver_data_date_part" dataDxfId="993"/>
    <tableColumn id="5" name="test_number" dataDxfId="992"/>
    <tableColumn id="6" name="score" dataDxfId="991"/>
    <tableColumn id="7" name="general_result" dataDxfId="990"/>
    <tableColumn id="8" name="bank_id" dataDxfId="989"/>
    <tableColumn id="9" name="contract_id" dataDxfId="988"/>
    <tableColumn id="10" name="product_family_id" dataDxfId="987"/>
    <tableColumn id="11" name="product_id" dataDxfId="986"/>
    <tableColumn id="12" name="subproduct_id" dataDxfId="985"/>
    <tableColumn id="13" name="opening_date" dataDxfId="984"/>
    <tableColumn id="14" name="current_maturity_date" dataDxfId="983"/>
    <tableColumn id="15" name="currency_code" dataDxfId="982"/>
    <tableColumn id="16" name="litigation_indicator" dataDxfId="981"/>
    <tableColumn id="17" name="current_ledger_balance" dataDxfId="980"/>
    <tableColumn id="18" name="current_reserved_balance" dataDxfId="979"/>
    <tableColumn id="19" name="current_available_balance" dataDxfId="978"/>
    <tableColumn id="20" name="current_overdraft_limit_amount" dataDxfId="977"/>
    <tableColumn id="21" name="overdraft_available_limit_amount" dataDxfId="976"/>
    <tableColumn id="22" name="cur_ovrdrft_outsng_principal_bal" dataDxfId="975"/>
    <tableColumn id="23" name="cur_ovrdrft_overdue_princip_bal" dataDxfId="974"/>
    <tableColumn id="24" name="cur_ovrdrft_debt_litig_princ_bal" dataDxfId="973"/>
    <tableColumn id="25" name="init_ovrdrft_act_rate_type_code" dataDxfId="972"/>
    <tableColumn id="26" name="init_overdraft_active_indexing" dataDxfId="971"/>
    <tableColumn id="27" name="init_overdraft_active_index_rate" dataDxfId="970"/>
    <tableColumn id="28" name="initial_overdraft_active_spread" dataDxfId="969"/>
    <tableColumn id="29" name="init_overdraft_active_intr_rate" dataDxfId="968"/>
    <tableColumn id="30" name="cur_ovrdrft_act_rate_type_code" dataDxfId="967"/>
    <tableColumn id="31" name="cur_overdraft_active_indexing" dataDxfId="966"/>
    <tableColumn id="32" name="cur_overdraft_active_index_rate" dataDxfId="965"/>
    <tableColumn id="33" name="cur_overdraft_active_spread" dataDxfId="964"/>
    <tableColumn id="34" name="cur_ovrdrft_active_interest_rate" dataDxfId="963"/>
    <tableColumn id="35" name="contract_status_code" dataDxfId="962"/>
    <tableColumn id="36" name="contract_opening_channel_code" dataDxfId="961"/>
    <tableColumn id="37" name="source_code" dataDxfId="960"/>
    <tableColumn id="38" name="data_date_part" dataDxfId="959"/>
    <tableColumn id="39" name="data_timestamp_part" dataDxfId="958"/>
  </tableColumns>
  <tableStyleInfo name="TableStyleLight11" showFirstColumn="0" showLastColumn="0" showRowStripes="1" showColumnStripes="0"/>
</table>
</file>

<file path=xl/tables/table14.xml><?xml version="1.0" encoding="utf-8"?>
<table xmlns="http://schemas.openxmlformats.org/spreadsheetml/2006/main" id="7" name="Table7" displayName="Table7" ref="B2:AS23" totalsRowShown="0" headerRowDxfId="957" dataDxfId="956">
  <autoFilter ref="B2:AS23"/>
  <tableColumns count="44">
    <tableColumn id="1" name="case_test" dataDxfId="955"/>
    <tableColumn id="2" name="test_id" dataDxfId="954"/>
    <tableColumn id="3" name="test_timestamp" dataDxfId="953"/>
    <tableColumn id="4" name="query_driver_data_date_part" dataDxfId="952"/>
    <tableColumn id="5" name="test_number" dataDxfId="951"/>
    <tableColumn id="6" name="score" dataDxfId="950"/>
    <tableColumn id="7" name="general_result" dataDxfId="949"/>
    <tableColumn id="8" name="bank_id" dataDxfId="948"/>
    <tableColumn id="9" name="contract_id" dataDxfId="947"/>
    <tableColumn id="10" name="product_family_id" dataDxfId="946"/>
    <tableColumn id="11" name="product_id" dataDxfId="945"/>
    <tableColumn id="12" name="subproduct_id" dataDxfId="944"/>
    <tableColumn id="13" name="main_current_account_bank_id" dataDxfId="943"/>
    <tableColumn id="14" name="main_current_account_contract_id" dataDxfId="942"/>
    <tableColumn id="15" name="process_bank_id" dataDxfId="941"/>
    <tableColumn id="16" name="process_id" dataDxfId="940"/>
    <tableColumn id="17" name="opening_date" dataDxfId="939"/>
    <tableColumn id="18" name="current_maturity_date" dataDxfId="938"/>
    <tableColumn id="19" name="currency_code" dataDxfId="937"/>
    <tableColumn id="20" name="litigation_indicator" dataDxfId="936"/>
    <tableColumn id="21" name="current_authorized_amount" dataDxfId="935"/>
    <tableColumn id="22" name="current_available_amount" dataDxfId="934"/>
    <tableColumn id="23" name="cur_outsng_principal_balance" dataDxfId="933"/>
    <tableColumn id="24" name="current_overdue_principal_bal" dataDxfId="932"/>
    <tableColumn id="40" name="cur_debt_litigation_princip_bal" dataDxfId="931"/>
    <tableColumn id="25" name="next_regular_amort_due_date" dataDxfId="930"/>
    <tableColumn id="26" name="last_regular_amort_pay_date" dataDxfId="929"/>
    <tableColumn id="27" name="current_bill_princip_amount" dataDxfId="928"/>
    <tableColumn id="28" name="cur_bill_litig_princip_amt" dataDxfId="927"/>
    <tableColumn id="29" name="last_advance_annulment_indicator" dataDxfId="926"/>
    <tableColumn id="30" name="last_advance_date" dataDxfId="925"/>
    <tableColumn id="31" name="last_advance_exec_date" dataDxfId="924"/>
    <tableColumn id="32" name="last_advance_transfer_ref_num" dataDxfId="923"/>
    <tableColumn id="33" name="cur_advance_principal_amt" dataDxfId="922"/>
    <tableColumn id="34" name="current_active_rate_type_code" dataDxfId="921"/>
    <tableColumn id="35" name="current_active_indexing" dataDxfId="920"/>
    <tableColumn id="36" name="current_active_index_rate" dataDxfId="919"/>
    <tableColumn id="37" name="current_active_spread" dataDxfId="918"/>
    <tableColumn id="38" name="current_active_interest_rate" dataDxfId="917"/>
    <tableColumn id="42" name="contract_status_code" dataDxfId="916"/>
    <tableColumn id="43" name="contract_opening_channel_code" dataDxfId="915"/>
    <tableColumn id="44" name="source_code" dataDxfId="914"/>
    <tableColumn id="45" name="data_date_part" dataDxfId="913"/>
    <tableColumn id="46" name="data_timestamp_part" dataDxfId="912"/>
  </tableColumns>
  <tableStyleInfo name="TableStyleLight11" showFirstColumn="0" showLastColumn="0" showRowStripes="1" showColumnStripes="0"/>
</table>
</file>

<file path=xl/tables/table15.xml><?xml version="1.0" encoding="utf-8"?>
<table xmlns="http://schemas.openxmlformats.org/spreadsheetml/2006/main" id="21" name="Table1522" displayName="Table1522" ref="B31:F53" totalsRowShown="0" headerRowDxfId="911" dataDxfId="909" headerRowBorderDxfId="910" tableBorderDxfId="908">
  <autoFilter ref="B31:F53"/>
  <sortState ref="B32:F53">
    <sortCondition ref="B31:B53"/>
  </sortState>
  <tableColumns count="5">
    <tableColumn id="1" name="Test ID" dataDxfId="907"/>
    <tableColumn id="2" name="Field" dataDxfId="906"/>
    <tableColumn id="3" name="Justification" dataDxfId="905"/>
    <tableColumn id="5" name="Number of Occurences" dataDxfId="904"/>
    <tableColumn id="4" name="Justification State" dataDxfId="903"/>
  </tableColumns>
  <tableStyleInfo name="TableStyleLight11" showFirstColumn="0" showLastColumn="0" showRowStripes="1" showColumnStripes="0"/>
</table>
</file>

<file path=xl/tables/table16.xml><?xml version="1.0" encoding="utf-8"?>
<table xmlns="http://schemas.openxmlformats.org/spreadsheetml/2006/main" id="8" name="Table8" displayName="Table8" ref="B2:AC19" totalsRowShown="0" headerRowDxfId="902" dataDxfId="901">
  <autoFilter ref="B2:AC19"/>
  <tableColumns count="28">
    <tableColumn id="1" name="case_test" dataDxfId="900"/>
    <tableColumn id="2" name="test_id" dataDxfId="899"/>
    <tableColumn id="3" name="test_timestamp" dataDxfId="898"/>
    <tableColumn id="4" name="query_driver_data_date_part" dataDxfId="897"/>
    <tableColumn id="5" name="test_number" dataDxfId="896"/>
    <tableColumn id="6" name="score" dataDxfId="895"/>
    <tableColumn id="7" name="general_result" dataDxfId="894"/>
    <tableColumn id="8" name="bank_id" dataDxfId="893"/>
    <tableColumn id="9" name="contract_id" dataDxfId="892"/>
    <tableColumn id="10" name="bank_vault_id" dataDxfId="891"/>
    <tableColumn id="11" name="product_family_id" dataDxfId="890"/>
    <tableColumn id="12" name="product_id" dataDxfId="889"/>
    <tableColumn id="13" name="subproduct_id" dataDxfId="888"/>
    <tableColumn id="14" name="bank_vault_branch_code" dataDxfId="887"/>
    <tableColumn id="15" name="main_current_account_bank_id" dataDxfId="886"/>
    <tableColumn id="16" name="main_current_account_contract_id" dataDxfId="885"/>
    <tableColumn id="17" name="opening_date" dataDxfId="884"/>
    <tableColumn id="18" name="current_maturity_date" dataDxfId="883"/>
    <tableColumn id="19" name="currency_code" dataDxfId="882"/>
    <tableColumn id="20" name="last_annual_fee_payment_date" dataDxfId="881"/>
    <tableColumn id="21" name="last_annual_fee_paym_princip_amt" dataDxfId="880"/>
    <tableColumn id="23" name="security_deposit_payment_date" dataDxfId="879"/>
    <tableColumn id="24" name="security_deposit_principal_amt" dataDxfId="878"/>
    <tableColumn id="26" name="contract_status_code" dataDxfId="877"/>
    <tableColumn id="27" name="contract_opening_channel_code" dataDxfId="876"/>
    <tableColumn id="28" name="source_code" dataDxfId="875"/>
    <tableColumn id="29" name="data_date_part" dataDxfId="874"/>
    <tableColumn id="30" name="data_timestamp_part" dataDxfId="873"/>
  </tableColumns>
  <tableStyleInfo name="TableStyleLight11" showFirstColumn="0" showLastColumn="0" showRowStripes="1" showColumnStripes="0"/>
</table>
</file>

<file path=xl/tables/table17.xml><?xml version="1.0" encoding="utf-8"?>
<table xmlns="http://schemas.openxmlformats.org/spreadsheetml/2006/main" id="14" name="Table14" displayName="Table14" ref="B28:F34" totalsRowShown="0" headerRowDxfId="872" headerRowBorderDxfId="871" tableBorderDxfId="870">
  <autoFilter ref="B28:F34"/>
  <tableColumns count="5">
    <tableColumn id="1" name="Test ID" dataDxfId="869"/>
    <tableColumn id="2" name="Field" dataDxfId="868"/>
    <tableColumn id="3" name="Justification" dataDxfId="867"/>
    <tableColumn id="5" name="Number of Occurences" dataDxfId="866"/>
    <tableColumn id="4" name="Justification State" dataDxfId="865"/>
  </tableColumns>
  <tableStyleInfo name="TableStyleLight11" showFirstColumn="0" showLastColumn="0" showRowStripes="1" showColumnStripes="0"/>
</table>
</file>

<file path=xl/tables/table18.xml><?xml version="1.0" encoding="utf-8"?>
<table xmlns="http://schemas.openxmlformats.org/spreadsheetml/2006/main" id="11" name="Table11" displayName="Table11" ref="B2:W21" totalsRowShown="0" headerRowDxfId="864" dataDxfId="863">
  <autoFilter ref="B2:W21"/>
  <tableColumns count="22">
    <tableColumn id="1" name="case_test" dataDxfId="862"/>
    <tableColumn id="2" name="test_id" dataDxfId="861"/>
    <tableColumn id="3" name="test_timestamp" dataDxfId="860"/>
    <tableColumn id="4" name="query_driver_data_date_part" dataDxfId="859"/>
    <tableColumn id="5" name="test_number" dataDxfId="858"/>
    <tableColumn id="6" name="score" dataDxfId="857"/>
    <tableColumn id="7" name="general_result" dataDxfId="856"/>
    <tableColumn id="8" name="bank_id" dataDxfId="855"/>
    <tableColumn id="9" name="process_id" dataDxfId="854"/>
    <tableColumn id="10" name="product_family_id" dataDxfId="853"/>
    <tableColumn id="11" name="product_id" dataDxfId="852"/>
    <tableColumn id="12" name="subproduct_id" dataDxfId="851"/>
    <tableColumn id="13" name="main_current_account_bank_id" dataDxfId="850"/>
    <tableColumn id="14" name="main_current_account_contract_id" dataDxfId="849"/>
    <tableColumn id="15" name="opening_date" dataDxfId="848"/>
    <tableColumn id="16" name="current_maturity_date" dataDxfId="847"/>
    <tableColumn id="17" name="currency_code" dataDxfId="846"/>
    <tableColumn id="18" name="cur_outsng_principal_balance" dataDxfId="845"/>
    <tableColumn id="19" name="process_status_code" dataDxfId="844"/>
    <tableColumn id="20" name="process_opening_channel_code" dataDxfId="843"/>
    <tableColumn id="21" name="data_date_part" dataDxfId="842"/>
    <tableColumn id="22" name="data_timestamp_part" dataDxfId="841"/>
  </tableColumns>
  <tableStyleInfo name="TableStyleLight11" showFirstColumn="0" showLastColumn="0" showRowStripes="1" showColumnStripes="0"/>
</table>
</file>

<file path=xl/tables/table19.xml><?xml version="1.0" encoding="utf-8"?>
<table xmlns="http://schemas.openxmlformats.org/spreadsheetml/2006/main" id="19" name="Table1520" displayName="Table1520" ref="B29:F30" totalsRowShown="0" headerRowDxfId="840" headerRowBorderDxfId="839" tableBorderDxfId="838">
  <autoFilter ref="B29:F30"/>
  <tableColumns count="5">
    <tableColumn id="1" name="Test ID" dataDxfId="837"/>
    <tableColumn id="2" name="Field" dataDxfId="836"/>
    <tableColumn id="3" name="Justification" dataDxfId="835"/>
    <tableColumn id="5" name="Number of Occurences" dataDxfId="834"/>
    <tableColumn id="4" name="Justification State" dataDxfId="833"/>
  </tableColumns>
  <tableStyleInfo name="TableStyleLight11" showFirstColumn="0" showLastColumn="0" showRowStripes="1" showColumnStripes="0"/>
</table>
</file>

<file path=xl/tables/table20.xml><?xml version="1.0" encoding="utf-8"?>
<table xmlns="http://schemas.openxmlformats.org/spreadsheetml/2006/main" id="4" name="Table4" displayName="Table4" ref="B2:W21" totalsRowShown="0" headerRowDxfId="832" dataDxfId="831">
  <autoFilter ref="B2:W21"/>
  <tableColumns count="22">
    <tableColumn id="1" name="case_test" dataDxfId="830"/>
    <tableColumn id="2" name="test_id" dataDxfId="829"/>
    <tableColumn id="3" name="test_timestamp" dataDxfId="828"/>
    <tableColumn id="4" name="query_driver_data_date_part" dataDxfId="827"/>
    <tableColumn id="5" name="test_number" dataDxfId="826"/>
    <tableColumn id="6" name="score" dataDxfId="825"/>
    <tableColumn id="7" name="general_result" dataDxfId="824"/>
    <tableColumn id="8" name="bank_id" dataDxfId="823"/>
    <tableColumn id="9" name="process_id" dataDxfId="822"/>
    <tableColumn id="10" name="product_family_id" dataDxfId="821"/>
    <tableColumn id="11" name="product_id" dataDxfId="820"/>
    <tableColumn id="12" name="subproduct_id" dataDxfId="819"/>
    <tableColumn id="13" name="main_current_account_bank_id" dataDxfId="818"/>
    <tableColumn id="14" name="main_current_account_contract_id" dataDxfId="817"/>
    <tableColumn id="15" name="opening_date" dataDxfId="816"/>
    <tableColumn id="16" name="current_maturity_date" dataDxfId="815"/>
    <tableColumn id="17" name="currency_code" dataDxfId="814"/>
    <tableColumn id="18" name="current_authorized_amount" dataDxfId="813"/>
    <tableColumn id="19" name="process_status_code" dataDxfId="812"/>
    <tableColumn id="20" name="process_opening_channel_code" dataDxfId="811"/>
    <tableColumn id="21" name="data_date_part" dataDxfId="810"/>
    <tableColumn id="22" name="data_timestamp_part" dataDxfId="809"/>
  </tableColumns>
  <tableStyleInfo name="TableStyleLight11" showFirstColumn="0" showLastColumn="0" showRowStripes="1" showColumnStripes="0"/>
</table>
</file>

<file path=xl/tables/table21.xml><?xml version="1.0" encoding="utf-8"?>
<table xmlns="http://schemas.openxmlformats.org/spreadsheetml/2006/main" id="20" name="Table152021" displayName="Table152021" ref="B29:F30" insertRow="1" totalsRowShown="0" headerRowDxfId="808" headerRowBorderDxfId="807" tableBorderDxfId="806">
  <autoFilter ref="B29:F30"/>
  <tableColumns count="5">
    <tableColumn id="1" name="Test ID" dataDxfId="805"/>
    <tableColumn id="2" name="Field" dataDxfId="804"/>
    <tableColumn id="3" name="Justification" dataDxfId="803"/>
    <tableColumn id="5" name="Number of Occurences" dataDxfId="802"/>
    <tableColumn id="4" name="Justification State" dataDxfId="801"/>
  </tableColumns>
  <tableStyleInfo name="TableStyleLight11" showFirstColumn="0" showLastColumn="0" showRowStripes="1" showColumnStripes="0"/>
</table>
</file>

<file path=xl/tables/table22.xml><?xml version="1.0" encoding="utf-8"?>
<table xmlns="http://schemas.openxmlformats.org/spreadsheetml/2006/main" id="26" name="Table1519242527" displayName="Table1519242527" ref="B29:F35" totalsRowShown="0" headerRowDxfId="800" dataDxfId="798" headerRowBorderDxfId="799" tableBorderDxfId="797">
  <autoFilter ref="B29:F35"/>
  <tableColumns count="5">
    <tableColumn id="1" name="Test ID" dataDxfId="796"/>
    <tableColumn id="2" name="Field" dataDxfId="795"/>
    <tableColumn id="3" name="Justification" dataDxfId="794"/>
    <tableColumn id="4" name="Number of Occurences" dataDxfId="793"/>
    <tableColumn id="5" name="Justification State" dataDxfId="792"/>
  </tableColumns>
  <tableStyleInfo name="TableStyleLight11" showFirstColumn="0" showLastColumn="0" showRowStripes="1" showColumnStripes="0"/>
</table>
</file>

<file path=xl/tables/table23.xml><?xml version="1.0" encoding="utf-8"?>
<table xmlns="http://schemas.openxmlformats.org/spreadsheetml/2006/main" id="27" name="Table16232628" displayName="Table16232628" ref="B2:Y22" totalsRowShown="0" headerRowDxfId="791" dataDxfId="790">
  <autoFilter ref="B2:Y22"/>
  <tableColumns count="24">
    <tableColumn id="1" name="Case_Test" dataDxfId="789"/>
    <tableColumn id="2" name="test_id" dataDxfId="788"/>
    <tableColumn id="3" name="test_timestamp" dataDxfId="787"/>
    <tableColumn id="4" name="query_driver_data_date_part" dataDxfId="786"/>
    <tableColumn id="5" name="test_number" dataDxfId="785"/>
    <tableColumn id="6" name="score" dataDxfId="784"/>
    <tableColumn id="7" name="general_result" dataDxfId="783"/>
    <tableColumn id="8" name="bank_id" dataDxfId="782"/>
    <tableColumn id="9" name="process_id" dataDxfId="781"/>
    <tableColumn id="10" name="main_current_account_bank_id" dataDxfId="780"/>
    <tableColumn id="11" name="main_current_account_contract_id" dataDxfId="779"/>
    <tableColumn id="12" name="main_current_account_iban" dataDxfId="778"/>
    <tableColumn id="13" name="main_loan_account_bank_id" dataDxfId="777"/>
    <tableColumn id="14" name="main_loan_account_contract_id" dataDxfId="776"/>
    <tableColumn id="15" name="main_loan_account_iban" dataDxfId="775"/>
    <tableColumn id="16" name="opening_date" dataDxfId="774"/>
    <tableColumn id="17" name="current_maturity_date" dataDxfId="773"/>
    <tableColumn id="18" name="currency_code" dataDxfId="772"/>
    <tableColumn id="19" name="initial_limit_amount" dataDxfId="771"/>
    <tableColumn id="20" name="current_limit_amount" dataDxfId="770"/>
    <tableColumn id="21" name="process_status_code" dataDxfId="769"/>
    <tableColumn id="22" name="process_opening_channel_code" dataDxfId="768"/>
    <tableColumn id="23" name="data_date_part" dataDxfId="767"/>
    <tableColumn id="24" name="data_timestamp_part" dataDxfId="766"/>
  </tableColumns>
  <tableStyleInfo name="TableStyleLight11" showFirstColumn="0" showLastColumn="0" showRowStripes="1" showColumnStripes="0"/>
</table>
</file>

<file path=xl/tables/table24.xml><?xml version="1.0" encoding="utf-8"?>
<table xmlns="http://schemas.openxmlformats.org/spreadsheetml/2006/main" id="10" name="Table10" displayName="Table10" ref="B2:S21" totalsRowShown="0" headerRowDxfId="765" dataDxfId="764">
  <autoFilter ref="B2:S21"/>
  <tableColumns count="18">
    <tableColumn id="1" name="case_test" dataDxfId="763"/>
    <tableColumn id="2" name="test_id" dataDxfId="762"/>
    <tableColumn id="3" name="test_timestamp" dataDxfId="761"/>
    <tableColumn id="4" name="query_driver_data_date_part" dataDxfId="760"/>
    <tableColumn id="5" name="test_number" dataDxfId="759"/>
    <tableColumn id="6" name="score" dataDxfId="758"/>
    <tableColumn id="7" name="general_result" dataDxfId="757"/>
    <tableColumn id="8" name="bank_vault_visit_id" dataDxfId="756"/>
    <tableColumn id="9" name="bank_id" dataDxfId="755"/>
    <tableColumn id="10" name="contract_id" dataDxfId="754"/>
    <tableColumn id="11" name="visit_start_employee_id" dataDxfId="753"/>
    <tableColumn id="12" name="visit_end_employee_id" dataDxfId="752"/>
    <tableColumn id="13" name="start_datetime" dataDxfId="751"/>
    <tableColumn id="14" name="end_datetime" dataDxfId="750"/>
    <tableColumn id="15" name="visit_type_code" dataDxfId="749"/>
    <tableColumn id="16" name="observation" dataDxfId="748"/>
    <tableColumn id="17" name="data_date_part" dataDxfId="747"/>
    <tableColumn id="18" name="data_timestamp_part" dataDxfId="746"/>
  </tableColumns>
  <tableStyleInfo name="TableStyleLight11" showFirstColumn="0" showLastColumn="0" showRowStripes="1" showColumnStripes="0"/>
</table>
</file>

<file path=xl/tables/table25.xml><?xml version="1.0" encoding="utf-8"?>
<table xmlns="http://schemas.openxmlformats.org/spreadsheetml/2006/main" id="17" name="Table1218" displayName="Table1218" ref="B31:F33" totalsRowShown="0" headerRowDxfId="745" dataDxfId="743" headerRowBorderDxfId="744" tableBorderDxfId="742">
  <autoFilter ref="B31:F33"/>
  <tableColumns count="5">
    <tableColumn id="1" name="Test ID" dataDxfId="741"/>
    <tableColumn id="2" name="Field" dataDxfId="740"/>
    <tableColumn id="3" name="Justification" dataDxfId="739"/>
    <tableColumn id="5" name="Number of Occurences" dataDxfId="738"/>
    <tableColumn id="4" name="Justification State" dataDxfId="737"/>
  </tableColumns>
  <tableStyleInfo name="TableStyleLight11" showFirstColumn="0" showLastColumn="0" showRowStripes="1" showColumnStripes="0"/>
</table>
</file>

<file path=xl/tables/table26.xml><?xml version="1.0" encoding="utf-8"?>
<table xmlns="http://schemas.openxmlformats.org/spreadsheetml/2006/main" id="13" name="Table13" displayName="Table13" ref="B2:P19" totalsRowShown="0" headerRowDxfId="736" dataDxfId="735">
  <autoFilter ref="B2:P19"/>
  <tableColumns count="15">
    <tableColumn id="1" name="case_test" dataDxfId="734"/>
    <tableColumn id="2" name="test_id" dataDxfId="733"/>
    <tableColumn id="3" name="test_timestamp" dataDxfId="732"/>
    <tableColumn id="4" name="query_driver_data_date_part" dataDxfId="731"/>
    <tableColumn id="5" name="test_number" dataDxfId="730"/>
    <tableColumn id="6" name="score" dataDxfId="729"/>
    <tableColumn id="7" name="general_result" dataDxfId="728"/>
    <tableColumn id="8" name="bank_id" dataDxfId="727"/>
    <tableColumn id="9" name="contract_id" dataDxfId="726"/>
    <tableColumn id="10" name="party_id" dataDxfId="725"/>
    <tableColumn id="11" name="contract_intervention_type_code" dataDxfId="724"/>
    <tableColumn id="12" name="contract_beneficiary_order_num" dataDxfId="723"/>
    <tableColumn id="13" name="relationship_start_date" dataDxfId="722"/>
    <tableColumn id="14" name="data_date_part" dataDxfId="721"/>
    <tableColumn id="15" name="data_timestamp_part" dataDxfId="720"/>
  </tableColumns>
  <tableStyleInfo name="TableStyleLight11" showFirstColumn="0" showLastColumn="0" showRowStripes="1" showColumnStripes="0"/>
</table>
</file>

<file path=xl/tables/table27.xml><?xml version="1.0" encoding="utf-8"?>
<table xmlns="http://schemas.openxmlformats.org/spreadsheetml/2006/main" id="12" name="Table12" displayName="Table12" ref="B28:F29" totalsRowShown="0" headerRowDxfId="719" dataDxfId="717" headerRowBorderDxfId="718" tableBorderDxfId="716">
  <autoFilter ref="B28:F29"/>
  <tableColumns count="5">
    <tableColumn id="1" name="Test ID" dataDxfId="715"/>
    <tableColumn id="2" name="Field" dataDxfId="714"/>
    <tableColumn id="3" name="Justification" dataDxfId="713"/>
    <tableColumn id="5" name="Number of Occurences" dataDxfId="712"/>
    <tableColumn id="4" name="Justification State" dataDxfId="711"/>
  </tableColumns>
  <tableStyleInfo name="TableStyleLight11" showFirstColumn="0" showLastColumn="0" showRowStripes="1" showColumnStripes="0"/>
</table>
</file>

<file path=xl/tables/table28.xml><?xml version="1.0" encoding="utf-8"?>
<table xmlns="http://schemas.openxmlformats.org/spreadsheetml/2006/main" id="28" name="Table1519242529" displayName="Table1519242529" ref="B31:F65" totalsRowShown="0" headerRowDxfId="710" dataDxfId="708" headerRowBorderDxfId="709" tableBorderDxfId="707">
  <autoFilter ref="B31:F65"/>
  <tableColumns count="5">
    <tableColumn id="1" name="Test ID" dataDxfId="706"/>
    <tableColumn id="2" name="Field" dataDxfId="705"/>
    <tableColumn id="3" name="Justification" dataDxfId="704"/>
    <tableColumn id="4" name="Number of Occurences" dataDxfId="703"/>
    <tableColumn id="5" name="Justification State" dataDxfId="702"/>
  </tableColumns>
  <tableStyleInfo name="TableStyleLight11" showFirstColumn="0" showLastColumn="0" showRowStripes="1" showColumnStripes="0"/>
</table>
</file>

<file path=xl/tables/table29.xml><?xml version="1.0" encoding="utf-8"?>
<table xmlns="http://schemas.openxmlformats.org/spreadsheetml/2006/main" id="29" name="Table16232630" displayName="Table16232630" ref="B2:BA23" totalsRowShown="0" headerRowDxfId="701" dataDxfId="700">
  <autoFilter ref="B2:BA23"/>
  <tableColumns count="52">
    <tableColumn id="1" name="Case_Test" dataDxfId="699"/>
    <tableColumn id="2" name="test_id" dataDxfId="698"/>
    <tableColumn id="3" name="test_timestamp" dataDxfId="697"/>
    <tableColumn id="4" name="query_driver_data_date_part" dataDxfId="696"/>
    <tableColumn id="5" name="test_number" dataDxfId="695"/>
    <tableColumn id="6" name="score" dataDxfId="694"/>
    <tableColumn id="7" name="general_result" dataDxfId="693"/>
    <tableColumn id="8" name="bank_id" dataDxfId="692"/>
    <tableColumn id="9" name="contract_id" dataDxfId="691"/>
    <tableColumn id="10" name="product_family_id" dataDxfId="690"/>
    <tableColumn id="11" name="product_id" dataDxfId="689"/>
    <tableColumn id="12" name="subproduct_id" dataDxfId="688"/>
    <tableColumn id="52" name="main_current_account_bank_id" dataDxfId="687"/>
    <tableColumn id="54" name="main_current_account_contract_id" dataDxfId="686"/>
    <tableColumn id="55" name="main_current_account_iban" dataDxfId="685"/>
    <tableColumn id="56" name="main_loan_account_bank_id" dataDxfId="684"/>
    <tableColumn id="57" name="main_loan_account_contract_id" dataDxfId="683"/>
    <tableColumn id="42" name="main_loan_account_iban" dataDxfId="682"/>
    <tableColumn id="43" name="process_bank_id" dataDxfId="681"/>
    <tableColumn id="44" name="process_id" dataDxfId="680"/>
    <tableColumn id="13" name="opening_date" dataDxfId="679"/>
    <tableColumn id="14" name="current_maturity_date" dataDxfId="678"/>
    <tableColumn id="15" name="currency_code" dataDxfId="677"/>
    <tableColumn id="46" name="litigation_indicator" dataDxfId="676"/>
    <tableColumn id="47" name="current_authorized_amount" dataDxfId="675"/>
    <tableColumn id="48" name="current_available_amount" dataDxfId="674"/>
    <tableColumn id="49" name="current_retention_rate" dataDxfId="673"/>
    <tableColumn id="50" name="cur_outsng_principal_balance" dataDxfId="672"/>
    <tableColumn id="51" name="current_overdue_principal_bal" dataDxfId="671"/>
    <tableColumn id="53" name="cur_debt_litigation_princip_bal" dataDxfId="670"/>
    <tableColumn id="16" name="next_regular_amort_due_date" dataDxfId="669"/>
    <tableColumn id="17" name="last_regular_amort_pay_date" dataDxfId="668"/>
    <tableColumn id="18" name="current_bill_princip_amount" dataDxfId="667"/>
    <tableColumn id="19" name="last_advance_date" dataDxfId="666"/>
    <tableColumn id="58" name="last_advance_principal_amount" dataDxfId="665"/>
    <tableColumn id="59" name="cur_advance_principal_amt" dataDxfId="664"/>
    <tableColumn id="62" name="initial_active_rate_type_code" dataDxfId="663"/>
    <tableColumn id="61" name="initial_active_indexing" dataDxfId="662"/>
    <tableColumn id="60" name="initial_active_index_rate" dataDxfId="661"/>
    <tableColumn id="20" name="initial_active_spread" dataDxfId="660"/>
    <tableColumn id="21" name="initial_active_interest_rate" dataDxfId="659"/>
    <tableColumn id="22" name="cur_active_rate_type_code" dataDxfId="658"/>
    <tableColumn id="23" name="current_active_indexing" dataDxfId="657"/>
    <tableColumn id="24" name="current_active_index_rate" dataDxfId="656"/>
    <tableColumn id="25" name="current_active_spread" dataDxfId="655"/>
    <tableColumn id="26" name="current_active_interest_rate" dataDxfId="654"/>
    <tableColumn id="27" name="recourse_indicator" dataDxfId="653"/>
    <tableColumn id="28" name="contract_status_code" dataDxfId="652"/>
    <tableColumn id="29" name="contract_opening_channel_code" dataDxfId="651"/>
    <tableColumn id="30" name="source_code" dataDxfId="650"/>
    <tableColumn id="31" name="data_date_part" dataDxfId="649"/>
    <tableColumn id="32" name="data_timestamp_part" dataDxfId="648"/>
  </tableColumns>
  <tableStyleInfo name="TableStyleLight11" showFirstColumn="0" showLastColumn="0" showRowStripes="1" showColumnStripes="0"/>
</table>
</file>

<file path=xl/tables/table30.xml><?xml version="1.0" encoding="utf-8"?>
<table xmlns="http://schemas.openxmlformats.org/spreadsheetml/2006/main" id="32" name="Table433" displayName="Table433" ref="B2:S21" totalsRowShown="0" headerRowDxfId="647" dataDxfId="646">
  <autoFilter ref="B2:S21"/>
  <tableColumns count="18">
    <tableColumn id="1" name="case_test" dataDxfId="645"/>
    <tableColumn id="2" name="test_id" dataDxfId="644"/>
    <tableColumn id="3" name="test_timestamp" dataDxfId="643"/>
    <tableColumn id="4" name="query_driver_data_date_part" dataDxfId="642"/>
    <tableColumn id="5" name="test_number" dataDxfId="641"/>
    <tableColumn id="6" name="score" dataDxfId="640"/>
    <tableColumn id="7" name="general_result" dataDxfId="639"/>
    <tableColumn id="8" name="card_number" dataDxfId="638"/>
    <tableColumn id="9" name="main_contract_bank_id" dataDxfId="637"/>
    <tableColumn id="10" name="main_contract_id" dataDxfId="636"/>
    <tableColumn id="11" name="beneficiary_order_number" dataDxfId="635"/>
    <tableColumn id="12" name="card_activation_date" dataDxfId="634"/>
    <tableColumn id="13" name="card_expiration_date" dataDxfId="633"/>
    <tableColumn id="14" name="daily_atm_limit" dataDxfId="632"/>
    <tableColumn id="15" name="daily_purchase_limit" dataDxfId="631"/>
    <tableColumn id="16" name="card_status_code" dataDxfId="630"/>
    <tableColumn id="17" name="data_date_part" dataDxfId="629"/>
    <tableColumn id="18" name="data_timestamp_part" dataDxfId="628"/>
  </tableColumns>
  <tableStyleInfo name="TableStyleLight11" showFirstColumn="0" showLastColumn="0" showRowStripes="1" showColumnStripes="0"/>
</table>
</file>

<file path=xl/tables/table31.xml><?xml version="1.0" encoding="utf-8"?>
<table xmlns="http://schemas.openxmlformats.org/spreadsheetml/2006/main" id="33" name="Table15202134" displayName="Table15202134" ref="B29:F30" insertRow="1" totalsRowShown="0" headerRowDxfId="627" headerRowBorderDxfId="626" tableBorderDxfId="625">
  <autoFilter ref="B29:F30"/>
  <tableColumns count="5">
    <tableColumn id="1" name="Test ID" dataDxfId="624"/>
    <tableColumn id="2" name="Field" dataDxfId="623"/>
    <tableColumn id="3" name="Justification" dataDxfId="622"/>
    <tableColumn id="5" name="Number of Occurences" dataDxfId="621"/>
    <tableColumn id="4" name="Justification State" dataDxfId="620"/>
  </tableColumns>
  <tableStyleInfo name="TableStyleLight11" showFirstColumn="0" showLastColumn="0" showRowStripes="1" showColumnStripes="0"/>
</table>
</file>

<file path=xl/tables/table32.xml><?xml version="1.0" encoding="utf-8"?>
<table xmlns="http://schemas.openxmlformats.org/spreadsheetml/2006/main" id="30" name="Table43331" displayName="Table43331" ref="B2:S21" totalsRowShown="0" headerRowDxfId="619" dataDxfId="618">
  <autoFilter ref="B2:S21"/>
  <tableColumns count="18">
    <tableColumn id="1" name="case_test" dataDxfId="617"/>
    <tableColumn id="2" name="test_id" dataDxfId="616"/>
    <tableColumn id="3" name="test_timestamp" dataDxfId="615"/>
    <tableColumn id="4" name="query_driver_data_date_part" dataDxfId="614"/>
    <tableColumn id="5" name="test_number" dataDxfId="613"/>
    <tableColumn id="6" name="score" dataDxfId="612"/>
    <tableColumn id="7" name="general_result" dataDxfId="611"/>
    <tableColumn id="8" name="card_number" dataDxfId="610"/>
    <tableColumn id="9" name="main_card_account_bank_id" dataDxfId="609"/>
    <tableColumn id="10" name="main_card_account_contract_id" dataDxfId="608"/>
    <tableColumn id="11" name="beneficiary_order_number" dataDxfId="607"/>
    <tableColumn id="12" name="card_activation_date" dataDxfId="606"/>
    <tableColumn id="13" name="card_expiration_date" dataDxfId="605"/>
    <tableColumn id="14" name="daily_atm_limit" dataDxfId="604"/>
    <tableColumn id="15" name="daily_purchase_limit" dataDxfId="603"/>
    <tableColumn id="16" name="card_status_code" dataDxfId="602"/>
    <tableColumn id="17" name="data_date_part" dataDxfId="601"/>
    <tableColumn id="18" name="data_timestamp_part" dataDxfId="600"/>
  </tableColumns>
  <tableStyleInfo name="TableStyleLight11" showFirstColumn="0" showLastColumn="0" showRowStripes="1" showColumnStripes="0"/>
</table>
</file>

<file path=xl/tables/table33.xml><?xml version="1.0" encoding="utf-8"?>
<table xmlns="http://schemas.openxmlformats.org/spreadsheetml/2006/main" id="31" name="Table1520213432" displayName="Table1520213432" ref="B29:F30" totalsRowShown="0" headerRowDxfId="599" headerRowBorderDxfId="598" tableBorderDxfId="597">
  <autoFilter ref="B29:F30"/>
  <tableColumns count="5">
    <tableColumn id="1" name="Test ID" dataDxfId="596"/>
    <tableColumn id="2" name="Field" dataDxfId="595"/>
    <tableColumn id="3" name="Justification" dataDxfId="594"/>
    <tableColumn id="5" name="Number of Occurences" dataDxfId="593"/>
    <tableColumn id="4" name="Justification State" dataDxfId="592"/>
  </tableColumns>
  <tableStyleInfo name="TableStyleLight11" showFirstColumn="0" showLastColumn="0" showRowStripes="1" showColumnStripes="0"/>
</table>
</file>

<file path=xl/tables/table34.xml><?xml version="1.0" encoding="utf-8"?>
<table xmlns="http://schemas.openxmlformats.org/spreadsheetml/2006/main" id="38" name="Table433313539" displayName="Table433313539" ref="B2:W21" totalsRowShown="0" headerRowDxfId="591" dataDxfId="590">
  <autoFilter ref="B2:W21"/>
  <tableColumns count="22">
    <tableColumn id="1" name="case_test" dataDxfId="589"/>
    <tableColumn id="2" name="test_id" dataDxfId="588"/>
    <tableColumn id="3" name="test_timestamp" dataDxfId="587"/>
    <tableColumn id="4" name="query_driver_data_date_part" dataDxfId="586"/>
    <tableColumn id="5" name="test_number" dataDxfId="585"/>
    <tableColumn id="6" name="score" dataDxfId="584"/>
    <tableColumn id="7" name="general_result" dataDxfId="583"/>
    <tableColumn id="8" name="bank_id" dataDxfId="582"/>
    <tableColumn id="9" name="contract_id" dataDxfId="581"/>
    <tableColumn id="10" name="product_family_id" dataDxfId="580"/>
    <tableColumn id="11" name="product_id" dataDxfId="579"/>
    <tableColumn id="12" name="subproduct_id" dataDxfId="578"/>
    <tableColumn id="13" name="main_current_account_bank_id" dataDxfId="577"/>
    <tableColumn id="14" name="main_current_account_contract_id" dataDxfId="576"/>
    <tableColumn id="15" name="opening_date" dataDxfId="575"/>
    <tableColumn id="16" name="current_maturity_date" dataDxfId="574"/>
    <tableColumn id="17" name="currency_code" dataDxfId="573"/>
    <tableColumn id="19" name="contract_status_code" dataDxfId="572"/>
    <tableColumn id="20" name="contract_opening_channel_code" dataDxfId="571"/>
    <tableColumn id="21" name="source_code" dataDxfId="570"/>
    <tableColumn id="22" name="data_date_part" dataDxfId="569"/>
    <tableColumn id="23" name="data_timestamp_part" dataDxfId="568"/>
  </tableColumns>
  <tableStyleInfo name="TableStyleLight11" showFirstColumn="0" showLastColumn="0" showRowStripes="1" showColumnStripes="0"/>
</table>
</file>

<file path=xl/tables/table35.xml><?xml version="1.0" encoding="utf-8"?>
<table xmlns="http://schemas.openxmlformats.org/spreadsheetml/2006/main" id="39" name="Table15202134323640" displayName="Table15202134323640" ref="B29:F30" totalsRowShown="0" headerRowDxfId="567" headerRowBorderDxfId="566" tableBorderDxfId="565">
  <autoFilter ref="B29:F30"/>
  <tableColumns count="5">
    <tableColumn id="1" name="Test ID" dataDxfId="564"/>
    <tableColumn id="2" name="Field" dataDxfId="563"/>
    <tableColumn id="3" name="Justification" dataDxfId="562"/>
    <tableColumn id="5" name="Number of Occurences" dataDxfId="561"/>
    <tableColumn id="4" name="Justification State" dataDxfId="560"/>
  </tableColumns>
  <tableStyleInfo name="TableStyleLight11" showFirstColumn="0" showLastColumn="0" showRowStripes="1" showColumnStripes="0"/>
</table>
</file>

<file path=xl/tables/table36.xml><?xml version="1.0" encoding="utf-8"?>
<table xmlns="http://schemas.openxmlformats.org/spreadsheetml/2006/main" id="36" name="Table4333137" displayName="Table4333137" ref="B2:S21" totalsRowShown="0" headerRowDxfId="559" dataDxfId="558">
  <autoFilter ref="B2:S21"/>
  <tableColumns count="18">
    <tableColumn id="1" name="case_test" dataDxfId="557"/>
    <tableColumn id="2" name="test_id" dataDxfId="556"/>
    <tableColumn id="3" name="test_timestamp" dataDxfId="555"/>
    <tableColumn id="4" name="query_driver_data_date_part" dataDxfId="554"/>
    <tableColumn id="5" name="test_number" dataDxfId="553"/>
    <tableColumn id="6" name="score" dataDxfId="552"/>
    <tableColumn id="7" name="general_result" dataDxfId="551"/>
    <tableColumn id="8" name="card_number" dataDxfId="550"/>
    <tableColumn id="9" name="main_contract_bank_id" dataDxfId="549"/>
    <tableColumn id="10" name="main_contract_id" dataDxfId="548"/>
    <tableColumn id="11" name="beneficiary_order_number" dataDxfId="547"/>
    <tableColumn id="12" name="card_activation_date" dataDxfId="546"/>
    <tableColumn id="13" name="card_expiration_date" dataDxfId="545"/>
    <tableColumn id="14" name="daily_atm_limit" dataDxfId="544"/>
    <tableColumn id="15" name="daily_purchase_limit" dataDxfId="543"/>
    <tableColumn id="16" name="card_status_code" dataDxfId="542"/>
    <tableColumn id="17" name="data_date_part" dataDxfId="541"/>
    <tableColumn id="18" name="data_timestamp_part" dataDxfId="540"/>
  </tableColumns>
  <tableStyleInfo name="TableStyleLight11" showFirstColumn="0" showLastColumn="0" showRowStripes="1" showColumnStripes="0"/>
</table>
</file>

<file path=xl/tables/table37.xml><?xml version="1.0" encoding="utf-8"?>
<table xmlns="http://schemas.openxmlformats.org/spreadsheetml/2006/main" id="37" name="Table152021343238" displayName="Table152021343238" ref="B29:F30" totalsRowShown="0" headerRowDxfId="539" dataDxfId="537" headerRowBorderDxfId="538" tableBorderDxfId="536">
  <autoFilter ref="B29:F30"/>
  <tableColumns count="5">
    <tableColumn id="1" name="Test ID" dataDxfId="535"/>
    <tableColumn id="2" name="Field" dataDxfId="534"/>
    <tableColumn id="3" name="Justification" dataDxfId="533"/>
    <tableColumn id="5" name="Number of Occurences" dataDxfId="532"/>
    <tableColumn id="4" name="Justification State" dataDxfId="531"/>
  </tableColumns>
  <tableStyleInfo name="TableStyleLight11" showFirstColumn="0" showLastColumn="0" showRowStripes="1" showColumnStripes="0"/>
</table>
</file>

<file path=xl/tables/table38.xml><?xml version="1.0" encoding="utf-8"?>
<table xmlns="http://schemas.openxmlformats.org/spreadsheetml/2006/main" id="34" name="Table4333135" displayName="Table4333135" ref="B2:U21" totalsRowShown="0" headerRowDxfId="530" dataDxfId="529">
  <autoFilter ref="B2:U21"/>
  <tableColumns count="20">
    <tableColumn id="1" name="case_test" dataDxfId="528"/>
    <tableColumn id="2" name="test_id" dataDxfId="527"/>
    <tableColumn id="3" name="test_timestamp" dataDxfId="526"/>
    <tableColumn id="4" name="query_driver_data_date_part" dataDxfId="525"/>
    <tableColumn id="5" name="test_number" dataDxfId="524"/>
    <tableColumn id="6" name="score" dataDxfId="523"/>
    <tableColumn id="7" name="general_result" dataDxfId="522"/>
    <tableColumn id="8" name="bank_id" dataDxfId="521"/>
    <tableColumn id="9" name="card_account_id" dataDxfId="520"/>
    <tableColumn id="10" name="product_family_id" dataDxfId="519"/>
    <tableColumn id="11" name="product_id" dataDxfId="518"/>
    <tableColumn id="12" name="subproduct_id" dataDxfId="517"/>
    <tableColumn id="13" name="main_current_account_bank_id" dataDxfId="516"/>
    <tableColumn id="14" name="main_current_account_contract_id" dataDxfId="515"/>
    <tableColumn id="15" name="opening_date" dataDxfId="514"/>
    <tableColumn id="16" name="current_maturity_date" dataDxfId="513"/>
    <tableColumn id="17" name="currency_code" dataDxfId="512"/>
    <tableColumn id="18" name="card_account_status_code" dataDxfId="511"/>
    <tableColumn id="19" name="data_date_part" dataDxfId="510"/>
    <tableColumn id="20" name="data_timestamp_part" dataDxfId="509"/>
  </tableColumns>
  <tableStyleInfo name="TableStyleLight11" showFirstColumn="0" showLastColumn="0" showRowStripes="1" showColumnStripes="0"/>
</table>
</file>

<file path=xl/tables/table39.xml><?xml version="1.0" encoding="utf-8"?>
<table xmlns="http://schemas.openxmlformats.org/spreadsheetml/2006/main" id="35" name="Table152021343236" displayName="Table152021343236" ref="B29:F30" insertRow="1" totalsRowShown="0" headerRowDxfId="508" dataDxfId="506" headerRowBorderDxfId="507" tableBorderDxfId="505">
  <autoFilter ref="B29:F30"/>
  <tableColumns count="5">
    <tableColumn id="1" name="Test ID" dataDxfId="504"/>
    <tableColumn id="2" name="Field" dataDxfId="503"/>
    <tableColumn id="3" name="Justification" dataDxfId="502"/>
    <tableColumn id="5" name="Number of Occurences" dataDxfId="501"/>
    <tableColumn id="4" name="Justification State" dataDxfId="500"/>
  </tableColumns>
  <tableStyleInfo name="TableStyleLight11" showFirstColumn="0" showLastColumn="0" showRowStripes="1" showColumnStripes="0"/>
</table>
</file>

<file path=xl/tables/table40.xml><?xml version="1.0" encoding="utf-8"?>
<table xmlns="http://schemas.openxmlformats.org/spreadsheetml/2006/main" id="42" name="Table433313543" displayName="Table433313543" ref="B2:W21" totalsRowShown="0" headerRowDxfId="499" dataDxfId="498">
  <autoFilter ref="B2:W21"/>
  <tableColumns count="22">
    <tableColumn id="1" name="case_test" dataDxfId="497"/>
    <tableColumn id="2" name="test_id" dataDxfId="496"/>
    <tableColumn id="3" name="test_timestamp" dataDxfId="495"/>
    <tableColumn id="4" name="query_driver_data_date_part" dataDxfId="494"/>
    <tableColumn id="5" name="test_number" dataDxfId="493"/>
    <tableColumn id="6" name="score" dataDxfId="492"/>
    <tableColumn id="7" name="general_result" dataDxfId="491"/>
    <tableColumn id="8" name="bank_id" dataDxfId="490"/>
    <tableColumn id="9" name="contract_id" dataDxfId="489"/>
    <tableColumn id="10" name="product_family_id" dataDxfId="488"/>
    <tableColumn id="11" name="product_id" dataDxfId="487"/>
    <tableColumn id="12" name="subproduct_id" dataDxfId="486"/>
    <tableColumn id="13" name="main_current_account_bank_id" dataDxfId="485"/>
    <tableColumn id="14" name="main_current_account_contract_id" dataDxfId="484"/>
    <tableColumn id="15" name="opening_date" dataDxfId="483"/>
    <tableColumn id="16" name="current_maturity_date" dataDxfId="482"/>
    <tableColumn id="17" name="currency_code" dataDxfId="481"/>
    <tableColumn id="19" name="contract_status_code" dataDxfId="480"/>
    <tableColumn id="20" name="contract_opening_channel_code" dataDxfId="479"/>
    <tableColumn id="21" name="source_code" dataDxfId="478"/>
    <tableColumn id="22" name="data_date_part" dataDxfId="477"/>
    <tableColumn id="23" name="data_timestamp_part" dataDxfId="476"/>
  </tableColumns>
  <tableStyleInfo name="TableStyleLight11" showFirstColumn="0" showLastColumn="0" showRowStripes="1" showColumnStripes="0"/>
</table>
</file>

<file path=xl/tables/table41.xml><?xml version="1.0" encoding="utf-8"?>
<table xmlns="http://schemas.openxmlformats.org/spreadsheetml/2006/main" id="43" name="Table15202134323644" displayName="Table15202134323644" ref="B29:F30" totalsRowShown="0" headerRowDxfId="475" headerRowBorderDxfId="474" tableBorderDxfId="473">
  <autoFilter ref="B29:F30"/>
  <tableColumns count="5">
    <tableColumn id="1" name="Test ID" dataDxfId="472"/>
    <tableColumn id="2" name="Field" dataDxfId="471"/>
    <tableColumn id="3" name="Justification" dataDxfId="470"/>
    <tableColumn id="5" name="Number of Occurences" dataDxfId="469"/>
    <tableColumn id="4" name="Justification State" dataDxfId="468"/>
  </tableColumns>
  <tableStyleInfo name="TableStyleLight11" showFirstColumn="0" showLastColumn="0" showRowStripes="1" showColumnStripes="0"/>
</table>
</file>

<file path=xl/tables/table42.xml><?xml version="1.0" encoding="utf-8"?>
<table xmlns="http://schemas.openxmlformats.org/spreadsheetml/2006/main" id="40" name="Table433313741" displayName="Table433313741" ref="B2:AY21" totalsRowShown="0" headerRowDxfId="467" dataDxfId="466">
  <autoFilter ref="B2:AY21"/>
  <tableColumns count="50">
    <tableColumn id="1" name="case_test" dataDxfId="465"/>
    <tableColumn id="2" name="test_id" dataDxfId="464"/>
    <tableColumn id="3" name="test_timestamp" dataDxfId="463"/>
    <tableColumn id="4" name="query_driver_data_date_part" dataDxfId="462"/>
    <tableColumn id="5" name="test_number" dataDxfId="461"/>
    <tableColumn id="6" name="score" dataDxfId="460"/>
    <tableColumn id="7" name="general_result" dataDxfId="459"/>
    <tableColumn id="8" name="bank_id" dataDxfId="458"/>
    <tableColumn id="9" name="contract_id" dataDxfId="457"/>
    <tableColumn id="10" name="product_family_id" dataDxfId="456"/>
    <tableColumn id="11" name="product_id" dataDxfId="455"/>
    <tableColumn id="12" name="subproduct_id" dataDxfId="454"/>
    <tableColumn id="13" name="main_current_account_bank_id" dataDxfId="453"/>
    <tableColumn id="14" name="main_current_account_contract_id" dataDxfId="452"/>
    <tableColumn id="15" name="main_card_account_bank_id" dataDxfId="451"/>
    <tableColumn id="16" name="main_card_account_contract_id" dataDxfId="450"/>
    <tableColumn id="17" name="opening_date" dataDxfId="449"/>
    <tableColumn id="18" name="current_maturity_date" dataDxfId="448"/>
    <tableColumn id="19" name="currency_code" dataDxfId="447"/>
    <tableColumn id="20" name="litigation_indicator" dataDxfId="446"/>
    <tableColumn id="21" name="repayment_type_code" dataDxfId="445"/>
    <tableColumn id="22" name="fixed_repayment_amount" dataDxfId="444"/>
    <tableColumn id="23" name="repayment_rate" dataDxfId="443"/>
    <tableColumn id="24" name="total_number_installments" dataDxfId="442"/>
    <tableColumn id="25" name="initial_authorized_amount" dataDxfId="441"/>
    <tableColumn id="26" name="current_authorized_amount" dataDxfId="440"/>
    <tableColumn id="27" name="current_available_amount" dataDxfId="439"/>
    <tableColumn id="28" name="current_outstanding_balance" dataDxfId="438"/>
    <tableColumn id="29" name="cur_outsng_principal_balance" dataDxfId="437"/>
    <tableColumn id="30" name="current_overdue_principal_bal" dataDxfId="436"/>
    <tableColumn id="31" name="cur_debt_litigation_princip_bal" dataDxfId="435"/>
    <tableColumn id="32" name="next_regular_amort_due_date" dataDxfId="434"/>
    <tableColumn id="33" name="next_regular_amort_principal_amt" dataDxfId="433"/>
    <tableColumn id="34" name="last_settled_amort_due_date" dataDxfId="432"/>
    <tableColumn id="35" name="last_settled_amort_princip_amt" dataDxfId="431"/>
    <tableColumn id="36" name="last_early_amort_pay_date" dataDxfId="430"/>
    <tableColumn id="37" name="last_early_amort_principal_amt" dataDxfId="429"/>
    <tableColumn id="38" name="last_regular_amort_pay_date" dataDxfId="428"/>
    <tableColumn id="39" name="last_regular_amort_princip_amt" dataDxfId="427"/>
    <tableColumn id="40" name="last_regular_amort_install_num" dataDxfId="426"/>
    <tableColumn id="41" name="init_active_rate_type_code" dataDxfId="425"/>
    <tableColumn id="42" name="initial_active_interest_rate" dataDxfId="424"/>
    <tableColumn id="43" name="cur_active_rate_type_code" dataDxfId="423"/>
    <tableColumn id="44" name="current_active_interest_rate" dataDxfId="422"/>
    <tableColumn id="45" name="revolving_plan_indicator" dataDxfId="421"/>
    <tableColumn id="46" name="contract_status_code" dataDxfId="420"/>
    <tableColumn id="47" name="contract_opening_channel_code" dataDxfId="419"/>
    <tableColumn id="48" name="source_code" dataDxfId="418"/>
    <tableColumn id="49" name="data_date_part" dataDxfId="417"/>
    <tableColumn id="50" name="data_timestamp_part" dataDxfId="416"/>
  </tableColumns>
  <tableStyleInfo name="TableStyleLight11" showFirstColumn="0" showLastColumn="0" showRowStripes="1" showColumnStripes="0"/>
</table>
</file>

<file path=xl/tables/table43.xml><?xml version="1.0" encoding="utf-8"?>
<table xmlns="http://schemas.openxmlformats.org/spreadsheetml/2006/main" id="41" name="Table15202134323842" displayName="Table15202134323842" ref="B29:F46" totalsRowShown="0" headerRowDxfId="415" dataDxfId="413" headerRowBorderDxfId="414" tableBorderDxfId="412">
  <autoFilter ref="B29:F46"/>
  <tableColumns count="5">
    <tableColumn id="1" name="Test ID" dataDxfId="411"/>
    <tableColumn id="2" name="Field" dataDxfId="410"/>
    <tableColumn id="3" name="Justification" dataDxfId="409"/>
    <tableColumn id="5" name="Number of Occurences" dataDxfId="408"/>
    <tableColumn id="4" name="Justification State" dataDxfId="407"/>
  </tableColumns>
  <tableStyleInfo name="TableStyleLight11" showFirstColumn="0" showLastColumn="0" showRowStripes="1" showColumnStripes="0"/>
</table>
</file>

<file path=xl/tables/table44.xml><?xml version="1.0" encoding="utf-8"?>
<table xmlns="http://schemas.openxmlformats.org/spreadsheetml/2006/main" id="44" name="Table43331374145" displayName="Table43331374145" ref="B2:BB23" totalsRowShown="0" headerRowDxfId="406" dataDxfId="405">
  <autoFilter ref="B2:BB23"/>
  <tableColumns count="53">
    <tableColumn id="1" name="case_test" dataDxfId="404"/>
    <tableColumn id="2" name="test_id" dataDxfId="403"/>
    <tableColumn id="3" name="test_timestamp" dataDxfId="402"/>
    <tableColumn id="4" name="query_driver_data_date_part **" dataDxfId="401"/>
    <tableColumn id="5" name="test_number" dataDxfId="400"/>
    <tableColumn id="6" name="score" dataDxfId="399"/>
    <tableColumn id="7" name="general_result" dataDxfId="398"/>
    <tableColumn id="8" name="bank_id" dataDxfId="397"/>
    <tableColumn id="9" name="contract_id" dataDxfId="396"/>
    <tableColumn id="10" name="product_family_id" dataDxfId="395"/>
    <tableColumn id="11" name="product_id" dataDxfId="394"/>
    <tableColumn id="12" name="subproduct_id" dataDxfId="393"/>
    <tableColumn id="13" name="main_current_account_bank_id" dataDxfId="392"/>
    <tableColumn id="14" name="main_current_account_contract_id" dataDxfId="391"/>
    <tableColumn id="15" name="opening_date" dataDxfId="390"/>
    <tableColumn id="16" name="current_maturity_date" dataDxfId="389"/>
    <tableColumn id="17" name="currency_code" dataDxfId="388"/>
    <tableColumn id="18" name="litigation_indicator" dataDxfId="387"/>
    <tableColumn id="19" name="total_num_past_due_installments" dataDxfId="386"/>
    <tableColumn id="20" name="current_asked_amount" dataDxfId="385"/>
    <tableColumn id="21" name="current_authorized_amount" dataDxfId="384"/>
    <tableColumn id="22" name="cur_advance_principal_amt" dataDxfId="383"/>
    <tableColumn id="23" name="cur_outsng_principal_balance" dataDxfId="382"/>
    <tableColumn id="24" name="current_overdue_principal_bal" dataDxfId="381"/>
    <tableColumn id="25" name="cur_debt_litigation_princip_bal" dataDxfId="380"/>
    <tableColumn id="26" name="next_regular_amort_due_date" dataDxfId="379"/>
    <tableColumn id="27" name="next_regular_amort_principal_amt" dataDxfId="378"/>
    <tableColumn id="28" name="nxt_subsd_reg_amort_princip_amt" dataDxfId="377"/>
    <tableColumn id="29" name="last_settled_amort_due_date" dataDxfId="376"/>
    <tableColumn id="30" name="last_settled_amort_princip_amt" dataDxfId="375"/>
    <tableColumn id="31" name="last_early_amort_pay_date" dataDxfId="374"/>
    <tableColumn id="32" name="last_early_amort_principal_amt" dataDxfId="373"/>
    <tableColumn id="33" name="last_regular_amort_pay_date" dataDxfId="372"/>
    <tableColumn id="34" name="last_regular_amort_princip_amt" dataDxfId="371"/>
    <tableColumn id="35" name="last_regular_amort_install_num" dataDxfId="370"/>
    <tableColumn id="36" name="subsidized_rate_type_code" dataDxfId="369"/>
    <tableColumn id="37" name="initial_active_rate_type_code" dataDxfId="368"/>
    <tableColumn id="38" name="initial_active_indexing" dataDxfId="367"/>
    <tableColumn id="39" name="initial_active_index_rate" dataDxfId="366"/>
    <tableColumn id="40" name="initial_active_spread" dataDxfId="365"/>
    <tableColumn id="41" name="initial_active_interest_rate" dataDxfId="364"/>
    <tableColumn id="42" name="init_active_subsid_interest_rate" dataDxfId="363"/>
    <tableColumn id="43" name="cur_active_rate_type_code" dataDxfId="362"/>
    <tableColumn id="44" name="current_active_indexing" dataDxfId="361"/>
    <tableColumn id="45" name="current_active_index_rate" dataDxfId="360"/>
    <tableColumn id="46" name="current_active_spread" dataDxfId="359"/>
    <tableColumn id="47" name="current_active_interest_rate" dataDxfId="358"/>
    <tableColumn id="48" name="cur_active_subsid_interest_rate" dataDxfId="357"/>
    <tableColumn id="49" name="contract_status_code" dataDxfId="356"/>
    <tableColumn id="50" name="contract_opening_channel_code" dataDxfId="355"/>
    <tableColumn id="51" name="source_code" dataDxfId="354"/>
    <tableColumn id="52" name="data_date_part" dataDxfId="353"/>
    <tableColumn id="53" name="data_timestamp_part" dataDxfId="352"/>
  </tableColumns>
  <tableStyleInfo name="TableStyleLight11" showFirstColumn="0" showLastColumn="0" showRowStripes="1" showColumnStripes="0"/>
</table>
</file>

<file path=xl/tables/table45.xml><?xml version="1.0" encoding="utf-8"?>
<table xmlns="http://schemas.openxmlformats.org/spreadsheetml/2006/main" id="45" name="Table1520213432384246" displayName="Table1520213432384246" ref="B31:F56" totalsRowShown="0" headerRowDxfId="351" dataDxfId="349" headerRowBorderDxfId="350" tableBorderDxfId="348">
  <autoFilter ref="B31:F56"/>
  <tableColumns count="5">
    <tableColumn id="1" name="Test ID" dataDxfId="347"/>
    <tableColumn id="2" name="Field" dataDxfId="346"/>
    <tableColumn id="3" name="Justification" dataDxfId="345"/>
    <tableColumn id="5" name="Number of Occurences" dataDxfId="344"/>
    <tableColumn id="4" name="Justification State" dataDxfId="343"/>
  </tableColumns>
  <tableStyleInfo name="TableStyleLight11" showFirstColumn="0" showLastColumn="0" showRowStripes="1" showColumnStripes="0"/>
</table>
</file>

<file path=xl/tables/table46.xml><?xml version="1.0" encoding="utf-8"?>
<table xmlns="http://schemas.openxmlformats.org/spreadsheetml/2006/main" id="46" name="Table1519242547" displayName="Table1519242547" ref="B31:F38" totalsRowShown="0" headerRowDxfId="342" headerRowBorderDxfId="341" tableBorderDxfId="340">
  <autoFilter ref="B31:F38"/>
  <sortState ref="B32:F38">
    <sortCondition ref="B31:B38"/>
  </sortState>
  <tableColumns count="5">
    <tableColumn id="1" name="Test ID" dataDxfId="339"/>
    <tableColumn id="2" name="Field" dataDxfId="338"/>
    <tableColumn id="3" name="Justification" dataDxfId="337"/>
    <tableColumn id="4" name="Number of Occurences" dataDxfId="336"/>
    <tableColumn id="5" name="Justification State" dataDxfId="335"/>
  </tableColumns>
  <tableStyleInfo name="TableStyleLight11" showFirstColumn="0" showLastColumn="0" showRowStripes="1" showColumnStripes="0"/>
</table>
</file>

<file path=xl/tables/table47.xml><?xml version="1.0" encoding="utf-8"?>
<table xmlns="http://schemas.openxmlformats.org/spreadsheetml/2006/main" id="47" name="Table16232648" displayName="Table16232648" ref="B2:AJ23" totalsRowShown="0" headerRowDxfId="334" dataDxfId="333">
  <autoFilter ref="B2:AJ23"/>
  <tableColumns count="35">
    <tableColumn id="1" name="Case_Test" dataDxfId="332"/>
    <tableColumn id="2" name="test_id" dataDxfId="331"/>
    <tableColumn id="3" name="test_timestamp" dataDxfId="330"/>
    <tableColumn id="4" name="query_driver_data_date_part" dataDxfId="329"/>
    <tableColumn id="5" name="test_number" dataDxfId="328"/>
    <tableColumn id="6" name="score" dataDxfId="327"/>
    <tableColumn id="7" name="general_result" dataDxfId="326"/>
    <tableColumn id="8" name="bank_id" dataDxfId="325"/>
    <tableColumn id="9" name="contract_id" dataDxfId="324"/>
    <tableColumn id="10" name="product_family_id" dataDxfId="323"/>
    <tableColumn id="11" name="product_id" dataDxfId="322"/>
    <tableColumn id="12" name="subproduct_id" dataDxfId="321"/>
    <tableColumn id="13" name="main_current_account_bank_id" dataDxfId="320"/>
    <tableColumn id="14" name="main_current_account_contract_id" dataDxfId="319"/>
    <tableColumn id="15" name="opening_date" dataDxfId="318"/>
    <tableColumn id="16" name="current_maturity_date" dataDxfId="317"/>
    <tableColumn id="17" name="currency_code" dataDxfId="316"/>
    <tableColumn id="18" name="initial_deposit_amount" dataDxfId="315"/>
    <tableColumn id="19" name="current_available_balance" dataDxfId="314"/>
    <tableColumn id="20" name="early_withdraw_penalty_fee" dataDxfId="313"/>
    <tableColumn id="21" name="init_passive_rate_type_code" dataDxfId="312"/>
    <tableColumn id="22" name="initial_passive_indexing" dataDxfId="311"/>
    <tableColumn id="23" name="initial_passive_index_rate" dataDxfId="310"/>
    <tableColumn id="24" name="initial_passive_spread" dataDxfId="309"/>
    <tableColumn id="25" name="initial_passive_interest_rate" dataDxfId="308"/>
    <tableColumn id="26" name="cur_passive_rate_type_code" dataDxfId="307"/>
    <tableColumn id="27" name="current_passive_indexing" dataDxfId="306"/>
    <tableColumn id="28" name="current_passive_index_rate" dataDxfId="305"/>
    <tableColumn id="29" name="current_passive_spread" dataDxfId="304"/>
    <tableColumn id="30" name="current_passive_interest_rate" dataDxfId="303"/>
    <tableColumn id="31" name="contract_status_code" dataDxfId="302"/>
    <tableColumn id="32" name="contract_opening_channel_code" dataDxfId="301"/>
    <tableColumn id="33" name="source_code" dataDxfId="300"/>
    <tableColumn id="34" name="data_date_part" dataDxfId="299"/>
    <tableColumn id="35" name="data_timestamp_part" dataDxfId="298"/>
  </tableColumns>
  <tableStyleInfo name="TableStyleLight11" showFirstColumn="0" showLastColumn="0" showRowStripes="1" showColumnStripes="0"/>
</table>
</file>

<file path=xl/tables/table48.xml><?xml version="1.0" encoding="utf-8"?>
<table xmlns="http://schemas.openxmlformats.org/spreadsheetml/2006/main" id="56" name="Table151924254749515357" displayName="Table151924254749515357" ref="B31:F46" totalsRowShown="0" headerRowDxfId="297" headerRowBorderDxfId="296" tableBorderDxfId="295">
  <autoFilter ref="B31:F46"/>
  <sortState ref="B32:F32">
    <sortCondition ref="B31:B32"/>
  </sortState>
  <tableColumns count="5">
    <tableColumn id="1" name="Test ID" dataDxfId="294"/>
    <tableColumn id="2" name="Field" dataDxfId="293"/>
    <tableColumn id="3" name="Justification" dataDxfId="292"/>
    <tableColumn id="4" name="Number of Occurences" dataDxfId="291"/>
    <tableColumn id="5" name="Justification State" dataDxfId="290"/>
  </tableColumns>
  <tableStyleInfo name="TableStyleLight11" showFirstColumn="0" showLastColumn="0" showRowStripes="1" showColumnStripes="0"/>
</table>
</file>

<file path=xl/tables/table49.xml><?xml version="1.0" encoding="utf-8"?>
<table xmlns="http://schemas.openxmlformats.org/spreadsheetml/2006/main" id="57" name="Table1623264850525458" displayName="Table1623264850525458" ref="B2:AJ23" totalsRowShown="0" headerRowDxfId="289" dataDxfId="288">
  <autoFilter ref="B2:AJ23"/>
  <tableColumns count="35">
    <tableColumn id="1" name="Case_Test" dataDxfId="287"/>
    <tableColumn id="2" name="test_id" dataDxfId="286"/>
    <tableColumn id="3" name="test_timestamp" dataDxfId="285"/>
    <tableColumn id="4" name="query_driver_data_date_part" dataDxfId="284"/>
    <tableColumn id="5" name="test_number" dataDxfId="283"/>
    <tableColumn id="6" name="score" dataDxfId="282"/>
    <tableColumn id="7" name="general_result" dataDxfId="281"/>
    <tableColumn id="8" name="bank_id" dataDxfId="280"/>
    <tableColumn id="9" name="contract_id" dataDxfId="279"/>
    <tableColumn id="10" name="product_family_id" dataDxfId="278"/>
    <tableColumn id="11" name="product_id" dataDxfId="277"/>
    <tableColumn id="12" name="subproduct_id" dataDxfId="276"/>
    <tableColumn id="13" name="opening_date" dataDxfId="275"/>
    <tableColumn id="14" name="current_maturity_date" dataDxfId="274"/>
    <tableColumn id="15" name="currency_code" dataDxfId="273"/>
    <tableColumn id="16" name="litigation_indicator" dataDxfId="272"/>
    <tableColumn id="17" name="current_ledger_balance" dataDxfId="271"/>
    <tableColumn id="18" name="current_reserved_balance" dataDxfId="270"/>
    <tableColumn id="19" name="current_available_balance" dataDxfId="269"/>
    <tableColumn id="35" name="cur_debt_litigation_princip_bal" dataDxfId="268"/>
    <tableColumn id="20" name="initial_active_variable_rate_ind" dataDxfId="267"/>
    <tableColumn id="21" name="initial_active_indexing" dataDxfId="266"/>
    <tableColumn id="22" name="initial_active_index_rate" dataDxfId="265"/>
    <tableColumn id="23" name="initial_active_spread" dataDxfId="264"/>
    <tableColumn id="24" name="initial_active_interest_rate" dataDxfId="263"/>
    <tableColumn id="25" name="cur_active_rate_type_code" dataDxfId="262"/>
    <tableColumn id="26" name="current_active_indexing" dataDxfId="261"/>
    <tableColumn id="27" name="current_active_index_rate" dataDxfId="260"/>
    <tableColumn id="28" name="current_active_spread" dataDxfId="259"/>
    <tableColumn id="29" name="current_active_interest_rate" dataDxfId="258"/>
    <tableColumn id="30" name="contract_status_code" dataDxfId="257"/>
    <tableColumn id="31" name="contract_opening_channel_code" dataDxfId="256"/>
    <tableColumn id="32" name="source_code" dataDxfId="255"/>
    <tableColumn id="33" name="data_date_part" dataDxfId="254"/>
    <tableColumn id="34" name="data_timestamp_part" dataDxfId="253"/>
  </tableColumns>
  <tableStyleInfo name="TableStyleLight11" showFirstColumn="0" showLastColumn="0" showRowStripes="1" showColumnStripes="0"/>
</table>
</file>

<file path=xl/tables/table50.xml><?xml version="1.0" encoding="utf-8"?>
<table xmlns="http://schemas.openxmlformats.org/spreadsheetml/2006/main" id="52" name="Table1519242547495153" displayName="Table1519242547495153" ref="B31:F46" totalsRowShown="0" headerRowDxfId="252" headerRowBorderDxfId="251" tableBorderDxfId="250">
  <autoFilter ref="B31:F46"/>
  <sortState ref="B32:F32">
    <sortCondition ref="B31:B32"/>
  </sortState>
  <tableColumns count="5">
    <tableColumn id="1" name="Test ID" dataDxfId="249"/>
    <tableColumn id="2" name="Field" dataDxfId="248"/>
    <tableColumn id="3" name="Justification" dataDxfId="247"/>
    <tableColumn id="4" name="Number of Occurences" dataDxfId="246"/>
    <tableColumn id="5" name="Justification State" dataDxfId="245"/>
  </tableColumns>
  <tableStyleInfo name="TableStyleLight11" showFirstColumn="0" showLastColumn="0" showRowStripes="1" showColumnStripes="0"/>
</table>
</file>

<file path=xl/tables/table51.xml><?xml version="1.0" encoding="utf-8"?>
<table xmlns="http://schemas.openxmlformats.org/spreadsheetml/2006/main" id="53" name="Table16232648505254" displayName="Table16232648505254" ref="B2:AJ23" totalsRowShown="0" headerRowDxfId="244" dataDxfId="243">
  <autoFilter ref="B2:AJ23"/>
  <tableColumns count="35">
    <tableColumn id="1" name="Case_Test" dataDxfId="242"/>
    <tableColumn id="2" name="test_id" dataDxfId="241"/>
    <tableColumn id="3" name="test_timestamp" dataDxfId="240"/>
    <tableColumn id="4" name="query_driver_data_date_part" dataDxfId="239"/>
    <tableColumn id="5" name="test_number" dataDxfId="238"/>
    <tableColumn id="6" name="score" dataDxfId="237"/>
    <tableColumn id="7" name="general_result" dataDxfId="236"/>
    <tableColumn id="8" name="bank_id" dataDxfId="235"/>
    <tableColumn id="9" name="contract_id" dataDxfId="234"/>
    <tableColumn id="10" name="product_family_id" dataDxfId="233"/>
    <tableColumn id="11" name="product_id" dataDxfId="232"/>
    <tableColumn id="12" name="subproduct_id" dataDxfId="231"/>
    <tableColumn id="13" name="opening_date" dataDxfId="230"/>
    <tableColumn id="14" name="current_maturity_date" dataDxfId="229"/>
    <tableColumn id="15" name="currency_code" dataDxfId="228"/>
    <tableColumn id="16" name="litigation_indicator" dataDxfId="227"/>
    <tableColumn id="17" name="current_ledger_balance" dataDxfId="226"/>
    <tableColumn id="18" name="current_reserved_balance" dataDxfId="225"/>
    <tableColumn id="19" name="current_available_balance" dataDxfId="224"/>
    <tableColumn id="35" name="cur_debt_litigation_princip_bal" dataDxfId="223"/>
    <tableColumn id="20" name="initial_active_variable_rate_ind" dataDxfId="222"/>
    <tableColumn id="21" name="initial_active_indexing" dataDxfId="221"/>
    <tableColumn id="22" name="initial_active_index_rate" dataDxfId="220"/>
    <tableColumn id="23" name="initial_active_spread" dataDxfId="219"/>
    <tableColumn id="24" name="initial_active_interest_rate" dataDxfId="218"/>
    <tableColumn id="25" name="cur_active_rate_type_code" dataDxfId="217"/>
    <tableColumn id="26" name="current_active_indexing" dataDxfId="216"/>
    <tableColumn id="27" name="current_active_index_rate" dataDxfId="215"/>
    <tableColumn id="28" name="current_active_spread" dataDxfId="214"/>
    <tableColumn id="29" name="current_active_interest_rate" dataDxfId="213"/>
    <tableColumn id="30" name="contract_status_code" dataDxfId="212"/>
    <tableColumn id="31" name="contract_opening_channel_code" dataDxfId="211"/>
    <tableColumn id="32" name="source_code" dataDxfId="210"/>
    <tableColumn id="33" name="data_date_part" dataDxfId="209"/>
    <tableColumn id="34" name="data_timestamp_part" dataDxfId="208"/>
  </tableColumns>
  <tableStyleInfo name="TableStyleLight11" showFirstColumn="0" showLastColumn="0" showRowStripes="1" showColumnStripes="0"/>
</table>
</file>

<file path=xl/tables/table52.xml><?xml version="1.0" encoding="utf-8"?>
<table xmlns="http://schemas.openxmlformats.org/spreadsheetml/2006/main" id="48" name="Table151924254749" displayName="Table151924254749" ref="B31:F33" totalsRowShown="0" headerRowDxfId="207" headerRowBorderDxfId="206" tableBorderDxfId="205">
  <autoFilter ref="B31:F33"/>
  <sortState ref="B32:F32">
    <sortCondition ref="B31:B32"/>
  </sortState>
  <tableColumns count="5">
    <tableColumn id="1" name="Test ID" dataDxfId="204"/>
    <tableColumn id="2" name="Field" dataDxfId="203"/>
    <tableColumn id="3" name="Justification" dataDxfId="202"/>
    <tableColumn id="4" name="Number of Occurences" dataDxfId="201"/>
    <tableColumn id="5" name="Justification State" dataDxfId="200"/>
  </tableColumns>
  <tableStyleInfo name="TableStyleLight11" showFirstColumn="0" showLastColumn="0" showRowStripes="1" showColumnStripes="0"/>
</table>
</file>

<file path=xl/tables/table53.xml><?xml version="1.0" encoding="utf-8"?>
<table xmlns="http://schemas.openxmlformats.org/spreadsheetml/2006/main" id="49" name="Table1623264850" displayName="Table1623264850" ref="B2:O23" totalsRowShown="0" headerRowDxfId="199" dataDxfId="198">
  <autoFilter ref="B2:O23"/>
  <tableColumns count="14">
    <tableColumn id="1" name="Case_Test" dataDxfId="197"/>
    <tableColumn id="2" name="test_id" dataDxfId="196"/>
    <tableColumn id="3" name="test_timestamp" dataDxfId="195"/>
    <tableColumn id="4" name="query_driver_data_date_part" dataDxfId="194"/>
    <tableColumn id="5" name="test_number" dataDxfId="193"/>
    <tableColumn id="6" name="score" dataDxfId="192"/>
    <tableColumn id="7" name="general_result" dataDxfId="191"/>
    <tableColumn id="8" name="bank_id" dataDxfId="190"/>
    <tableColumn id="9" name="contract_id" dataDxfId="189"/>
    <tableColumn id="10" name="product_family_id" dataDxfId="188"/>
    <tableColumn id="11" name="product_id" dataDxfId="187"/>
    <tableColumn id="12" name="subproduct_id" dataDxfId="186"/>
    <tableColumn id="13" name="opening_date" dataDxfId="185"/>
    <tableColumn id="14" name="current_maturity_date" dataDxfId="184"/>
  </tableColumns>
  <tableStyleInfo name="TableStyleLight11" showFirstColumn="0" showLastColumn="0" showRowStripes="1" showColumnStripes="0"/>
</table>
</file>

<file path=xl/tables/table54.xml><?xml version="1.0" encoding="utf-8"?>
<table xmlns="http://schemas.openxmlformats.org/spreadsheetml/2006/main" id="50" name="Table15192425474951" displayName="Table15192425474951" ref="B29:F33" totalsRowShown="0" headerRowDxfId="183" headerRowBorderDxfId="182" tableBorderDxfId="181">
  <autoFilter ref="B29:F33"/>
  <sortState ref="B30:F30">
    <sortCondition ref="B29:B30"/>
  </sortState>
  <tableColumns count="5">
    <tableColumn id="1" name="Test ID" dataDxfId="180"/>
    <tableColumn id="2" name="Field" dataDxfId="179"/>
    <tableColumn id="3" name="Justification" dataDxfId="178"/>
    <tableColumn id="4" name="Number of Occurences" dataDxfId="177"/>
    <tableColumn id="5" name="Justification State" dataDxfId="176"/>
  </tableColumns>
  <tableStyleInfo name="TableStyleLight11" showFirstColumn="0" showLastColumn="0" showRowStripes="1" showColumnStripes="0"/>
</table>
</file>

<file path=xl/tables/table55.xml><?xml version="1.0" encoding="utf-8"?>
<table xmlns="http://schemas.openxmlformats.org/spreadsheetml/2006/main" id="51" name="Table162326485052" displayName="Table162326485052" ref="B2:Q21" totalsRowShown="0" headerRowDxfId="175" dataDxfId="174">
  <autoFilter ref="B2:Q21"/>
  <tableColumns count="16">
    <tableColumn id="1" name="Case_Test" dataDxfId="173"/>
    <tableColumn id="2" name="test_id" dataDxfId="172"/>
    <tableColumn id="3" name="test_timestamp" dataDxfId="171"/>
    <tableColumn id="4" name="query_driver_data_date_part" dataDxfId="170"/>
    <tableColumn id="5" name="test_number" dataDxfId="169"/>
    <tableColumn id="6" name="score" dataDxfId="168"/>
    <tableColumn id="7" name="general_result" dataDxfId="167"/>
    <tableColumn id="8" name="bank_id" dataDxfId="166"/>
    <tableColumn id="9" name="contract_id" dataDxfId="165"/>
    <tableColumn id="10" name="order_number" dataDxfId="164"/>
    <tableColumn id="11" name="transport_imo_id" dataDxfId="163"/>
    <tableColumn id="12" name="arrival_location_name" dataDxfId="162"/>
    <tableColumn id="13" name="departure_location_name" dataDxfId="161"/>
    <tableColumn id="14" name="source_code" dataDxfId="160"/>
    <tableColumn id="15" name="data_date_part" dataDxfId="159"/>
    <tableColumn id="16" name="data_timestamp_part" dataDxfId="158"/>
  </tableColumns>
  <tableStyleInfo name="TableStyleLight11" showFirstColumn="0" showLastColumn="0" showRowStripes="1" showColumnStripes="0"/>
</table>
</file>

<file path=xl/tables/table56.xml><?xml version="1.0" encoding="utf-8"?>
<table xmlns="http://schemas.openxmlformats.org/spreadsheetml/2006/main" id="54" name="Table433313555" displayName="Table433313555" ref="B2:AN23" totalsRowShown="0" headerRowDxfId="157" dataDxfId="156">
  <autoFilter ref="B2:AN23"/>
  <tableColumns count="39">
    <tableColumn id="1" name="case_test" dataDxfId="155"/>
    <tableColumn id="2" name="test_id" dataDxfId="154"/>
    <tableColumn id="3" name="test_timestamp" dataDxfId="153"/>
    <tableColumn id="4" name="query_driver_data_date_part" dataDxfId="152"/>
    <tableColumn id="5" name="test_number" dataDxfId="151"/>
    <tableColumn id="6" name="score" dataDxfId="150"/>
    <tableColumn id="7" name="general_result" dataDxfId="149"/>
    <tableColumn id="8" name="bank_id" dataDxfId="148"/>
    <tableColumn id="9" name="contract_id" dataDxfId="147"/>
    <tableColumn id="10" name="product_family_id" dataDxfId="146"/>
    <tableColumn id="11" name="product_id" dataDxfId="145"/>
    <tableColumn id="12" name="subproduct_id" dataDxfId="144"/>
    <tableColumn id="13" name="main_current_account_bank_id" dataDxfId="143"/>
    <tableColumn id="14" name="main_current_account_contract_id" dataDxfId="142"/>
    <tableColumn id="15" name="opening_date" dataDxfId="141"/>
    <tableColumn id="16" name="current_maturity_date" dataDxfId="140"/>
    <tableColumn id="17" name="currency_code" dataDxfId="139"/>
    <tableColumn id="18" name="litigation_indicator" dataDxfId="138"/>
    <tableColumn id="19" name="current_authorized_amount" dataDxfId="137"/>
    <tableColumn id="20" name="current_available_amount" dataDxfId="136"/>
    <tableColumn id="40" name="current_reserved_balance" dataDxfId="135"/>
    <tableColumn id="41" name="cur_outsng_principal_balance" dataDxfId="134"/>
    <tableColumn id="42" name="current_overdue_principal_bal" dataDxfId="133"/>
    <tableColumn id="43" name="cur_debt_litigation_princip_bal" dataDxfId="132"/>
    <tableColumn id="44" name="initial_active_variable_rate_ind" dataDxfId="131"/>
    <tableColumn id="45" name="initial_active_indexing" dataDxfId="130"/>
    <tableColumn id="46" name="initial_active_index_rate" dataDxfId="129"/>
    <tableColumn id="47" name="initial_active_spread" dataDxfId="128"/>
    <tableColumn id="48" name="initial_active_interest_rate" dataDxfId="127"/>
    <tableColumn id="49" name="cur_active_rate_type_code" dataDxfId="126"/>
    <tableColumn id="50" name="current_active_indexing" dataDxfId="125"/>
    <tableColumn id="51" name="current_active_index_rate" dataDxfId="124"/>
    <tableColumn id="52" name="current_active_spread" dataDxfId="123"/>
    <tableColumn id="53" name="current_active_interest_rate" dataDxfId="122"/>
    <tableColumn id="54" name="contract_status_code" dataDxfId="121"/>
    <tableColumn id="55" name="contract_opening_channel_code" dataDxfId="120"/>
    <tableColumn id="56" name="source_code" dataDxfId="119"/>
    <tableColumn id="57" name="data_date_part" dataDxfId="118"/>
    <tableColumn id="58" name="data_timestamp_part" dataDxfId="117"/>
  </tableColumns>
  <tableStyleInfo name="TableStyleLight11" showFirstColumn="0" showLastColumn="0" showRowStripes="1" showColumnStripes="0"/>
</table>
</file>

<file path=xl/tables/table57.xml><?xml version="1.0" encoding="utf-8"?>
<table xmlns="http://schemas.openxmlformats.org/spreadsheetml/2006/main" id="55" name="Table15202134323656" displayName="Table15202134323656" ref="B31:F48" totalsRowShown="0" headerRowDxfId="116" dataDxfId="114" headerRowBorderDxfId="115" tableBorderDxfId="113">
  <autoFilter ref="B31:F48"/>
  <tableColumns count="5">
    <tableColumn id="1" name="Test ID" dataDxfId="112"/>
    <tableColumn id="2" name="Field" dataDxfId="111"/>
    <tableColumn id="3" name="Justification" dataDxfId="110"/>
    <tableColumn id="5" name="Number of Occurences" dataDxfId="109"/>
    <tableColumn id="4" name="Justification State" dataDxfId="108"/>
  </tableColumns>
  <tableStyleInfo name="TableStyleLight11" showFirstColumn="0" showLastColumn="0" showRowStripes="1" showColumnStripes="0"/>
</table>
</file>

<file path=xl/tables/table58.xml><?xml version="1.0" encoding="utf-8"?>
<table xmlns="http://schemas.openxmlformats.org/spreadsheetml/2006/main" id="58" name="Table15192425474959" displayName="Table15192425474959" ref="B31:F44" totalsRowShown="0" headerRowDxfId="107" headerRowBorderDxfId="106" tableBorderDxfId="105">
  <autoFilter ref="B31:F44"/>
  <sortState ref="B32:F32">
    <sortCondition ref="B31:B32"/>
  </sortState>
  <tableColumns count="5">
    <tableColumn id="1" name="Test ID" dataDxfId="104"/>
    <tableColumn id="2" name="Field" dataDxfId="103"/>
    <tableColumn id="3" name="Justification" dataDxfId="102"/>
    <tableColumn id="4" name="Number of Occurences" dataDxfId="101"/>
    <tableColumn id="5" name="Justification State" dataDxfId="100"/>
  </tableColumns>
  <tableStyleInfo name="TableStyleLight11" showFirstColumn="0" showLastColumn="0" showRowStripes="1" showColumnStripes="0"/>
</table>
</file>

<file path=xl/tables/table59.xml><?xml version="1.0" encoding="utf-8"?>
<table xmlns="http://schemas.openxmlformats.org/spreadsheetml/2006/main" id="59" name="Table162326485060" displayName="Table162326485060" ref="B2:BQ23" totalsRowShown="0" headerRowDxfId="99" dataDxfId="98">
  <autoFilter ref="B2:BQ23"/>
  <tableColumns count="68">
    <tableColumn id="1" name="Case_Test" dataDxfId="97"/>
    <tableColumn id="2" name="test_id" dataDxfId="96"/>
    <tableColumn id="3" name="test_timestamp" dataDxfId="95"/>
    <tableColumn id="4" name="query_driver_data_date_part" dataDxfId="94"/>
    <tableColumn id="5" name="test_number" dataDxfId="93"/>
    <tableColumn id="6" name="score" dataDxfId="92"/>
    <tableColumn id="7" name="general_result" dataDxfId="91"/>
    <tableColumn id="8" name="bank_id" dataDxfId="90"/>
    <tableColumn id="9" name="contract_id" dataDxfId="89"/>
    <tableColumn id="10" name="product_family_id" dataDxfId="88"/>
    <tableColumn id="11" name="product_id" dataDxfId="87"/>
    <tableColumn id="12" name="subproduct_id" dataDxfId="86"/>
    <tableColumn id="13" name="main_current_account_bank_id" dataDxfId="85"/>
    <tableColumn id="14" name="main_current_account_contract_id" dataDxfId="84"/>
    <tableColumn id="15" name="main_current_account_iban" dataDxfId="83"/>
    <tableColumn id="16" name="main_current_account_nib" dataDxfId="82"/>
    <tableColumn id="17" name="main_current_acc_supp_bank_code" dataDxfId="81"/>
    <tableColumn id="18" name="main_current_account_agency_id" dataDxfId="80"/>
    <tableColumn id="19" name="main_current_account_number" dataDxfId="79"/>
    <tableColumn id="20" name="opening_date" dataDxfId="78"/>
    <tableColumn id="21" name="current_maturity_date" dataDxfId="77"/>
    <tableColumn id="22" name="currency_code" dataDxfId="76"/>
    <tableColumn id="23" name="litigation_indicator" dataDxfId="75"/>
    <tableColumn id="24" name="total_num_past_due_installments" dataDxfId="74"/>
    <tableColumn id="25" name="initial_authorized_amount" dataDxfId="73"/>
    <tableColumn id="26" name="current_authorized_amount" dataDxfId="72"/>
    <tableColumn id="27" name="initial_advance_principal_amount" dataDxfId="71"/>
    <tableColumn id="28" name="current_advance_principal_amount" dataDxfId="70"/>
    <tableColumn id="29" name="current_available_amount" dataDxfId="69"/>
    <tableColumn id="30" name="cur_outsng_principal_balance" dataDxfId="68"/>
    <tableColumn id="31" name="current_overdue_principal_bal" dataDxfId="67"/>
    <tableColumn id="32" name="current_overdue_taxes_balance" dataDxfId="66"/>
    <tableColumn id="33" name="current_overdue_expenses_bal" dataDxfId="65"/>
    <tableColumn id="34" name="current_overdue_interest_bal" dataDxfId="64"/>
    <tableColumn id="35" name="cur_debt_litigation_princip_bal" dataDxfId="63"/>
    <tableColumn id="36" name="residual_value_principal_amount" dataDxfId="62"/>
    <tableColumn id="37" name="residual_value_taxes_amount" dataDxfId="61"/>
    <tableColumn id="38" name="residual_value_interest_amount" dataDxfId="60"/>
    <tableColumn id="39" name="residual_value_expenses_amount" dataDxfId="59"/>
    <tableColumn id="40" name="next_regular_amort_due_date" dataDxfId="58"/>
    <tableColumn id="41" name="next_regular_amort_principal_amt" dataDxfId="57"/>
    <tableColumn id="42" name="last_settled_amort_due_date" dataDxfId="56"/>
    <tableColumn id="43" name="last_settled_amort_princip_amt" dataDxfId="55"/>
    <tableColumn id="44" name="last_settled_amort_taxes_amount" dataDxfId="54"/>
    <tableColumn id="45" name="last_settled_amort_expenses_amt" dataDxfId="53"/>
    <tableColumn id="46" name="last_settled_amort_interest_amount" dataDxfId="52"/>
    <tableColumn id="47" name="last_early_amort_pay_date" dataDxfId="51"/>
    <tableColumn id="48" name="last_early_amort_principal_amt" dataDxfId="50"/>
    <tableColumn id="49" name="last_early_amort_taxes_amount" dataDxfId="49"/>
    <tableColumn id="50" name="last_early_amort_expenses_amt" dataDxfId="48"/>
    <tableColumn id="51" name="last_installment_payment_date" dataDxfId="47"/>
    <tableColumn id="52" name="last_install_payment_princip_amt" dataDxfId="46"/>
    <tableColumn id="53" name="last_regular_amort_install_num" dataDxfId="45"/>
    <tableColumn id="54" name="initial_active_rate_type_code" dataDxfId="44"/>
    <tableColumn id="55" name="initial_active_indexing" dataDxfId="43"/>
    <tableColumn id="56" name="initial_active_index_rate" dataDxfId="42"/>
    <tableColumn id="57" name="initial_active_spread" dataDxfId="41"/>
    <tableColumn id="58" name="initial_active_interest_rate" dataDxfId="40"/>
    <tableColumn id="59" name="cur_active_rate_type_code" dataDxfId="39"/>
    <tableColumn id="60" name="current_active_indexing" dataDxfId="38"/>
    <tableColumn id="61" name="current_active_index_rate" dataDxfId="37"/>
    <tableColumn id="62" name="current_active_spread" dataDxfId="36"/>
    <tableColumn id="63" name="current_active_interest_rate" dataDxfId="35"/>
    <tableColumn id="64" name="contract_status_code" dataDxfId="34"/>
    <tableColumn id="65" name="contract_opening_channel_code" dataDxfId="33"/>
    <tableColumn id="66" name="source_code" dataDxfId="32"/>
    <tableColumn id="67" name="data_date_part" dataDxfId="31"/>
    <tableColumn id="68" name="data_timestamp_part" dataDxfId="3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8"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A1:P45"/>
  <sheetViews>
    <sheetView workbookViewId="0">
      <selection activeCell="B3" sqref="B3"/>
    </sheetView>
  </sheetViews>
  <sheetFormatPr defaultColWidth="0" defaultRowHeight="12.5" zeroHeight="1"/>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5">
      <c r="A4" s="5"/>
      <c r="B4" s="7"/>
      <c r="C4" s="5"/>
      <c r="D4" s="5"/>
      <c r="E4" s="5"/>
      <c r="F4" s="5"/>
      <c r="G4" s="5"/>
      <c r="H4" s="5"/>
      <c r="I4" s="5"/>
      <c r="J4" s="5"/>
      <c r="K4" s="5"/>
      <c r="L4" s="5"/>
      <c r="M4" s="5"/>
      <c r="N4" s="5"/>
      <c r="O4" s="5"/>
      <c r="P4" s="5"/>
    </row>
    <row r="5" spans="1:16" ht="13"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
      <c r="A16" s="10"/>
      <c r="B16" s="10"/>
      <c r="C16" s="10"/>
      <c r="D16" s="10"/>
      <c r="E16" s="10"/>
      <c r="F16" s="10"/>
      <c r="G16" s="10"/>
      <c r="H16" s="10"/>
      <c r="I16" s="10"/>
      <c r="J16" s="10"/>
      <c r="K16" s="10"/>
      <c r="L16" s="10"/>
      <c r="M16" s="10"/>
      <c r="N16" s="10"/>
      <c r="O16" s="11"/>
      <c r="P16" s="10"/>
    </row>
    <row r="17" spans="1:16" s="3" customFormat="1" ht="25">
      <c r="A17" s="12"/>
      <c r="B17" s="12"/>
      <c r="C17" s="12"/>
      <c r="D17" s="12"/>
      <c r="E17" s="12"/>
      <c r="F17" s="12"/>
      <c r="G17" s="12"/>
      <c r="H17" s="12"/>
      <c r="I17" s="12"/>
      <c r="J17" s="12"/>
      <c r="K17" s="12"/>
      <c r="L17" s="12"/>
      <c r="M17" s="12"/>
      <c r="N17" s="12"/>
      <c r="O17" s="13"/>
      <c r="P17" s="12"/>
    </row>
    <row r="18" spans="1:16" ht="13">
      <c r="A18" s="5"/>
      <c r="B18" s="5"/>
      <c r="C18" s="5"/>
      <c r="D18" s="5"/>
      <c r="E18" s="5"/>
      <c r="F18" s="5"/>
      <c r="G18" s="5"/>
      <c r="H18" s="5"/>
      <c r="I18" s="5"/>
      <c r="J18" s="5"/>
      <c r="K18" s="5"/>
      <c r="L18" s="5"/>
      <c r="M18" s="5"/>
      <c r="N18" s="5"/>
      <c r="O18" s="14"/>
      <c r="P18" s="5"/>
    </row>
    <row r="19" spans="1:16" ht="13">
      <c r="A19" s="5"/>
      <c r="B19" s="5"/>
      <c r="C19" s="5"/>
      <c r="D19" s="5"/>
      <c r="E19" s="5"/>
      <c r="F19" s="5"/>
      <c r="G19" s="5"/>
      <c r="H19" s="5"/>
      <c r="I19" s="5"/>
      <c r="J19" s="5"/>
      <c r="K19" s="5"/>
      <c r="L19" s="5"/>
      <c r="M19" s="5"/>
      <c r="N19" s="5"/>
      <c r="O19" s="14"/>
      <c r="P19" s="5"/>
    </row>
    <row r="20" spans="1:16" ht="15.5">
      <c r="A20" s="5"/>
      <c r="B20" s="5"/>
      <c r="C20" s="5"/>
      <c r="D20" s="5"/>
      <c r="E20" s="5"/>
      <c r="F20" s="5"/>
      <c r="G20" s="5"/>
      <c r="H20" s="5"/>
      <c r="I20" s="5"/>
      <c r="J20" s="5"/>
      <c r="K20" s="5"/>
      <c r="L20" s="5"/>
      <c r="M20" s="5"/>
      <c r="N20" s="5"/>
      <c r="O20" s="15"/>
      <c r="P20" s="5"/>
    </row>
    <row r="21" spans="1:16" ht="13">
      <c r="A21" s="5"/>
      <c r="B21" s="5"/>
      <c r="C21" s="5"/>
      <c r="D21" s="5"/>
      <c r="E21" s="5"/>
      <c r="F21" s="5"/>
      <c r="G21" s="5"/>
      <c r="H21" s="5"/>
      <c r="I21" s="5"/>
      <c r="J21" s="5"/>
      <c r="K21" s="5"/>
      <c r="L21" s="5"/>
      <c r="M21" s="5"/>
      <c r="N21" s="5"/>
      <c r="O21" s="16"/>
      <c r="P21" s="5"/>
    </row>
    <row r="22" spans="1:16" ht="13">
      <c r="A22" s="5"/>
      <c r="B22" s="5"/>
      <c r="C22" s="5"/>
      <c r="D22" s="5"/>
      <c r="E22" s="5"/>
      <c r="F22" s="5"/>
      <c r="G22" s="5"/>
      <c r="H22" s="5"/>
      <c r="I22" s="5"/>
      <c r="J22" s="5"/>
      <c r="K22" s="5"/>
      <c r="L22" s="5"/>
      <c r="M22" s="5"/>
      <c r="N22" s="5"/>
      <c r="O22" s="16"/>
      <c r="P22" s="5"/>
    </row>
    <row r="23" spans="1:16" ht="15.5">
      <c r="A23" s="5"/>
      <c r="B23" s="5"/>
      <c r="C23" s="5"/>
      <c r="D23" s="5"/>
      <c r="E23" s="5"/>
      <c r="F23" s="5"/>
      <c r="G23" s="5"/>
      <c r="H23" s="5"/>
      <c r="I23" s="5"/>
      <c r="J23" s="5"/>
      <c r="K23" s="5"/>
      <c r="L23" s="5"/>
      <c r="M23" s="5"/>
      <c r="N23" s="5"/>
      <c r="O23" s="17"/>
      <c r="P23" s="5"/>
    </row>
    <row r="24" spans="1:16" ht="13">
      <c r="A24" s="5"/>
      <c r="B24" s="5"/>
      <c r="C24" s="5"/>
      <c r="D24" s="5"/>
      <c r="E24" s="5"/>
      <c r="F24" s="5"/>
      <c r="G24" s="5"/>
      <c r="H24" s="5"/>
      <c r="I24" s="5"/>
      <c r="J24" s="5"/>
      <c r="K24" s="5"/>
      <c r="L24" s="5"/>
      <c r="M24" s="5"/>
      <c r="N24" s="5"/>
      <c r="O24" s="14"/>
      <c r="P24" s="5"/>
    </row>
    <row r="25" spans="1:16" ht="13">
      <c r="A25" s="5"/>
      <c r="B25" s="5"/>
      <c r="C25" s="5"/>
      <c r="D25" s="5"/>
      <c r="E25" s="5"/>
      <c r="F25" s="5"/>
      <c r="G25" s="5"/>
      <c r="H25" s="5"/>
      <c r="I25" s="5"/>
      <c r="J25" s="5"/>
      <c r="K25" s="5"/>
      <c r="L25" s="5"/>
      <c r="M25" s="5"/>
      <c r="N25" s="5"/>
      <c r="O25" s="14"/>
      <c r="P25" s="5"/>
    </row>
    <row r="26" spans="1:16" ht="13">
      <c r="A26" s="5"/>
      <c r="B26" s="5"/>
      <c r="C26" s="5"/>
      <c r="D26" s="5"/>
      <c r="E26" s="5"/>
      <c r="F26" s="5"/>
      <c r="G26" s="5"/>
      <c r="H26" s="5"/>
      <c r="I26" s="5"/>
      <c r="J26" s="5"/>
      <c r="K26" s="5"/>
      <c r="L26" s="5"/>
      <c r="M26" s="5"/>
      <c r="N26" s="5"/>
      <c r="O26" s="14"/>
      <c r="P26" s="5"/>
    </row>
    <row r="27" spans="1:16" ht="13">
      <c r="A27" s="5"/>
      <c r="B27" s="5"/>
      <c r="C27" s="5"/>
      <c r="D27" s="5"/>
      <c r="E27" s="5"/>
      <c r="F27" s="5"/>
      <c r="G27" s="5"/>
      <c r="H27" s="5"/>
      <c r="I27" s="5"/>
      <c r="J27" s="5"/>
      <c r="K27" s="5"/>
      <c r="L27" s="5"/>
      <c r="M27" s="5"/>
      <c r="N27" s="5"/>
      <c r="O27" s="14"/>
      <c r="P27" s="5"/>
    </row>
    <row r="28" spans="1:16" ht="13">
      <c r="A28" s="5"/>
      <c r="B28" s="5"/>
      <c r="C28" s="5"/>
      <c r="D28" s="5"/>
      <c r="E28" s="5"/>
      <c r="F28" s="5"/>
      <c r="G28" s="5"/>
      <c r="H28" s="5"/>
      <c r="I28" s="5"/>
      <c r="J28" s="5"/>
      <c r="K28" s="5"/>
      <c r="L28" s="5"/>
      <c r="M28" s="5"/>
      <c r="N28" s="5"/>
      <c r="O28" s="14"/>
      <c r="P28" s="5"/>
    </row>
    <row r="29" spans="1:16" ht="13">
      <c r="A29" s="5"/>
      <c r="B29" s="5"/>
      <c r="C29" s="5"/>
      <c r="D29" s="5"/>
      <c r="E29" s="5"/>
      <c r="F29" s="5"/>
      <c r="G29" s="5"/>
      <c r="H29" s="5"/>
      <c r="I29" s="5"/>
      <c r="J29" s="5"/>
      <c r="K29" s="5"/>
      <c r="L29" s="5"/>
      <c r="M29" s="5"/>
      <c r="N29" s="5"/>
      <c r="O29" s="14"/>
      <c r="P29" s="5"/>
    </row>
    <row r="30" spans="1:16" ht="13">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93"/>
  <sheetViews>
    <sheetView zoomScale="115" zoomScaleNormal="115" workbookViewId="0">
      <selection activeCell="B31" sqref="B31"/>
    </sheetView>
  </sheetViews>
  <sheetFormatPr defaultColWidth="0" defaultRowHeight="14.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7"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7" t="s">
        <v>20</v>
      </c>
    </row>
    <row r="13" spans="1:5" s="4" customFormat="1">
      <c r="B13" s="39" t="s">
        <v>21</v>
      </c>
      <c r="C13" s="39" t="s">
        <v>22</v>
      </c>
      <c r="D13" s="303" t="s">
        <v>23</v>
      </c>
    </row>
    <row r="14" spans="1:5" s="4" customFormat="1">
      <c r="B14" s="39" t="s">
        <v>21</v>
      </c>
      <c r="C14" s="39" t="s">
        <v>24</v>
      </c>
      <c r="D14" s="40" t="s">
        <v>25</v>
      </c>
    </row>
    <row r="15" spans="1:5" s="4" customFormat="1">
      <c r="B15" s="48" t="s">
        <v>26</v>
      </c>
      <c r="C15" s="39" t="s">
        <v>27</v>
      </c>
      <c r="D15" s="40" t="s">
        <v>28</v>
      </c>
    </row>
    <row r="16" spans="1:5" s="4" customFormat="1">
      <c r="B16" s="39" t="s">
        <v>26</v>
      </c>
      <c r="C16" s="39" t="s">
        <v>29</v>
      </c>
      <c r="D16" s="40" t="s">
        <v>30</v>
      </c>
    </row>
    <row r="17" spans="2:4" s="4" customFormat="1">
      <c r="B17" s="48" t="s">
        <v>26</v>
      </c>
      <c r="C17" s="39" t="s">
        <v>31</v>
      </c>
      <c r="D17" s="40" t="s">
        <v>32</v>
      </c>
    </row>
    <row r="18" spans="2:4" s="4" customFormat="1">
      <c r="B18" s="39" t="s">
        <v>33</v>
      </c>
      <c r="C18" s="39" t="s">
        <v>34</v>
      </c>
      <c r="D18" s="40" t="s">
        <v>35</v>
      </c>
    </row>
    <row r="19" spans="2:4" s="4" customFormat="1">
      <c r="B19" s="39" t="s">
        <v>36</v>
      </c>
      <c r="C19" s="39" t="s">
        <v>37</v>
      </c>
      <c r="D19" s="40" t="s">
        <v>38</v>
      </c>
    </row>
    <row r="20" spans="2:4" s="4" customFormat="1">
      <c r="B20" s="39" t="s">
        <v>36</v>
      </c>
      <c r="C20" s="39" t="s">
        <v>39</v>
      </c>
      <c r="D20" s="40" t="s">
        <v>40</v>
      </c>
    </row>
    <row r="21" spans="2:4" s="4" customFormat="1">
      <c r="B21" s="39" t="s">
        <v>41</v>
      </c>
      <c r="C21" s="39" t="s">
        <v>42</v>
      </c>
      <c r="D21" s="40" t="s">
        <v>43</v>
      </c>
    </row>
    <row r="22" spans="2:4" s="4" customFormat="1">
      <c r="B22" s="39" t="s">
        <v>41</v>
      </c>
      <c r="C22" s="39" t="s">
        <v>44</v>
      </c>
      <c r="D22" s="40" t="s">
        <v>45</v>
      </c>
    </row>
    <row r="23" spans="2:4" s="4" customFormat="1">
      <c r="B23" s="39" t="s">
        <v>46</v>
      </c>
      <c r="C23" s="39" t="s">
        <v>47</v>
      </c>
      <c r="D23" s="40" t="s">
        <v>48</v>
      </c>
    </row>
    <row r="24" spans="2:4" s="4" customFormat="1">
      <c r="B24" s="39" t="s">
        <v>49</v>
      </c>
      <c r="C24" s="39" t="s">
        <v>50</v>
      </c>
      <c r="D24" s="40" t="s">
        <v>51</v>
      </c>
    </row>
    <row r="25" spans="2:4" s="4" customFormat="1">
      <c r="B25" s="39" t="s">
        <v>52</v>
      </c>
      <c r="C25" s="39" t="s">
        <v>53</v>
      </c>
      <c r="D25" s="40" t="s">
        <v>54</v>
      </c>
    </row>
    <row r="26" spans="2:4" s="4" customFormat="1">
      <c r="B26" s="39" t="s">
        <v>55</v>
      </c>
      <c r="C26" s="39" t="s">
        <v>56</v>
      </c>
      <c r="D26" s="40" t="s">
        <v>57</v>
      </c>
    </row>
    <row r="27" spans="2:4" s="4" customFormat="1">
      <c r="B27" s="39" t="s">
        <v>55</v>
      </c>
      <c r="C27" s="39" t="s">
        <v>58</v>
      </c>
      <c r="D27" s="40" t="s">
        <v>59</v>
      </c>
    </row>
    <row r="28" spans="2:4" s="4" customFormat="1">
      <c r="B28" s="39" t="s">
        <v>60</v>
      </c>
      <c r="C28" s="39" t="s">
        <v>61</v>
      </c>
      <c r="D28" s="40" t="s">
        <v>62</v>
      </c>
    </row>
    <row r="29" spans="2:4" s="4" customFormat="1">
      <c r="B29" s="39" t="s">
        <v>63</v>
      </c>
      <c r="C29" s="39" t="s">
        <v>64</v>
      </c>
      <c r="D29" s="40" t="s">
        <v>65</v>
      </c>
    </row>
    <row r="30" spans="2:4" s="4" customFormat="1">
      <c r="B30" s="39"/>
      <c r="C30"/>
      <c r="D30" s="25"/>
    </row>
    <row r="31" spans="2:4" s="4" customFormat="1">
      <c r="B31" s="39"/>
      <c r="C31"/>
      <c r="D31" s="40"/>
    </row>
    <row r="32" spans="2:4" s="4" customFormat="1">
      <c r="B32" s="39"/>
      <c r="C32"/>
      <c r="D32" s="40"/>
    </row>
    <row r="33" spans="2:4" s="4" customFormat="1">
      <c r="B33" s="39"/>
      <c r="C33"/>
      <c r="D33" s="25"/>
    </row>
    <row r="34" spans="2:4" s="4" customFormat="1">
      <c r="B34" s="39"/>
      <c r="C34"/>
      <c r="D34" s="25"/>
    </row>
    <row r="35" spans="2:4" s="4" customFormat="1">
      <c r="B35" s="39"/>
      <c r="C35"/>
      <c r="D35" s="40"/>
    </row>
    <row r="36" spans="2:4" s="4" customFormat="1">
      <c r="B36" s="39"/>
      <c r="C36"/>
      <c r="D36" s="25"/>
    </row>
    <row r="37" spans="2:4" s="4" customFormat="1">
      <c r="B37" s="39"/>
      <c r="C37"/>
      <c r="D37" s="40"/>
    </row>
    <row r="38" spans="2:4" s="4" customFormat="1">
      <c r="B38" s="39"/>
      <c r="C38"/>
      <c r="D38" s="40"/>
    </row>
    <row r="39" spans="2:4" s="4" customFormat="1">
      <c r="B39" s="39"/>
      <c r="C39"/>
      <c r="D39" s="25"/>
    </row>
    <row r="40" spans="2:4" s="4" customFormat="1">
      <c r="B40" s="39"/>
      <c r="C40"/>
      <c r="D40" s="25"/>
    </row>
    <row r="41" spans="2:4" s="4" customFormat="1">
      <c r="B41" s="39"/>
      <c r="C41"/>
      <c r="D41" s="25"/>
    </row>
    <row r="42" spans="2:4" s="4" customFormat="1">
      <c r="B42" s="39"/>
      <c r="C42"/>
      <c r="D42" s="25"/>
    </row>
    <row r="43" spans="2:4" s="4" customFormat="1">
      <c r="B43" s="39"/>
      <c r="C43"/>
      <c r="D43" s="40"/>
    </row>
    <row r="44" spans="2:4" s="4" customFormat="1">
      <c r="B44" s="39"/>
      <c r="C44"/>
      <c r="D44" s="40"/>
    </row>
    <row r="45" spans="2:4" s="4" customFormat="1">
      <c r="B45" s="39"/>
      <c r="C45"/>
      <c r="D45" s="40"/>
    </row>
    <row r="46" spans="2:4" s="4" customFormat="1">
      <c r="B46" s="39"/>
      <c r="C46"/>
      <c r="D46" s="25"/>
    </row>
    <row r="47" spans="2:4" s="4" customFormat="1">
      <c r="B47" s="39"/>
      <c r="C47"/>
      <c r="D47" s="40"/>
    </row>
    <row r="48" spans="2:4" s="4" customFormat="1">
      <c r="B48" s="39"/>
      <c r="C48"/>
      <c r="D48" s="40"/>
    </row>
    <row r="49" spans="2:4" s="4" customFormat="1">
      <c r="B49" s="39"/>
      <c r="C49"/>
      <c r="D49" s="40"/>
    </row>
    <row r="50" spans="2:4" s="4" customFormat="1">
      <c r="B50" s="39"/>
      <c r="C50"/>
      <c r="D50" s="40"/>
    </row>
    <row r="51" spans="2:4" s="4" customFormat="1">
      <c r="B51" s="39"/>
      <c r="C51"/>
      <c r="D51" s="40"/>
    </row>
    <row r="52" spans="2:4" s="4" customFormat="1">
      <c r="B52" s="39"/>
      <c r="C52"/>
      <c r="D52" s="40"/>
    </row>
    <row r="53" spans="2:4" s="4" customFormat="1">
      <c r="B53" s="39"/>
      <c r="C53"/>
      <c r="D53" s="40"/>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44"/>
      <c r="C63"/>
      <c r="D63" s="45"/>
    </row>
    <row r="64" spans="2:4" s="4" customFormat="1">
      <c r="B64" s="48"/>
      <c r="C64"/>
      <c r="D64" s="47"/>
    </row>
    <row r="65" spans="2:4" s="4" customFormat="1">
      <c r="B65" s="48"/>
      <c r="C65"/>
      <c r="D65" s="47"/>
    </row>
    <row r="66" spans="2:4" s="4" customFormat="1">
      <c r="B66" s="48"/>
      <c r="C66"/>
      <c r="D66" s="47"/>
    </row>
    <row r="67" spans="2:4" s="4" customFormat="1">
      <c r="B67" s="48"/>
      <c r="C67"/>
      <c r="D67" s="47"/>
    </row>
    <row r="68" spans="2:4" s="4" customFormat="1">
      <c r="B68" s="48"/>
      <c r="C68"/>
      <c r="D68" s="47"/>
    </row>
    <row r="69" spans="2:4" s="4" customFormat="1">
      <c r="B69" s="48"/>
      <c r="C69"/>
      <c r="D69" s="47"/>
    </row>
    <row r="70" spans="2:4" s="4" customFormat="1">
      <c r="B70" s="48"/>
      <c r="C70"/>
      <c r="D70" s="47"/>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s="4" customFormat="1">
      <c r="B232" s="48"/>
      <c r="C232"/>
      <c r="D232" s="47"/>
    </row>
    <row r="233" spans="2:4" s="4" customFormat="1">
      <c r="B233" s="48"/>
      <c r="C233"/>
      <c r="D233" s="47"/>
    </row>
    <row r="234" spans="2:4" s="4" customFormat="1">
      <c r="B234" s="48"/>
      <c r="C234"/>
      <c r="D234" s="47"/>
    </row>
    <row r="235" spans="2:4" s="4" customFormat="1">
      <c r="B235" s="48"/>
      <c r="C235"/>
      <c r="D235" s="47"/>
    </row>
    <row r="236" spans="2:4" s="4" customFormat="1">
      <c r="B236" s="48"/>
      <c r="C236"/>
      <c r="D236" s="47"/>
    </row>
    <row r="237" spans="2:4" s="4" customFormat="1">
      <c r="B237" s="48"/>
      <c r="C237"/>
      <c r="D237" s="47"/>
    </row>
    <row r="238" spans="2:4" s="4" customFormat="1">
      <c r="B238" s="48"/>
      <c r="C238"/>
      <c r="D238" s="47"/>
    </row>
    <row r="239" spans="2:4" s="4" customFormat="1">
      <c r="B239" s="48"/>
      <c r="C239"/>
      <c r="D239" s="47"/>
    </row>
    <row r="240" spans="2:4" s="4" customFormat="1">
      <c r="B240" s="48"/>
      <c r="C240"/>
      <c r="D240" s="47"/>
    </row>
    <row r="241" spans="2:4" s="4" customFormat="1">
      <c r="B241" s="48"/>
      <c r="C241"/>
      <c r="D241" s="47"/>
    </row>
    <row r="242" spans="2:4" s="4" customFormat="1">
      <c r="B242" s="48"/>
      <c r="C242"/>
      <c r="D242" s="47"/>
    </row>
    <row r="243" spans="2:4" s="4" customFormat="1">
      <c r="B243" s="48"/>
      <c r="C243"/>
      <c r="D243" s="47"/>
    </row>
    <row r="244" spans="2:4" s="4" customFormat="1">
      <c r="B244" s="48"/>
      <c r="C244"/>
      <c r="D244" s="47"/>
    </row>
    <row r="245" spans="2:4" s="4" customFormat="1">
      <c r="B245" s="48"/>
      <c r="C245"/>
      <c r="D245" s="47"/>
    </row>
    <row r="246" spans="2:4" s="4" customFormat="1">
      <c r="B246" s="48"/>
      <c r="C246"/>
      <c r="D246" s="47"/>
    </row>
    <row r="247" spans="2:4" s="4" customFormat="1">
      <c r="B247" s="48"/>
      <c r="C247"/>
      <c r="D247" s="47"/>
    </row>
    <row r="248" spans="2:4" s="4" customFormat="1">
      <c r="B248" s="48"/>
      <c r="C248"/>
      <c r="D248" s="47"/>
    </row>
    <row r="249" spans="2:4" s="4" customFormat="1">
      <c r="B249" s="48"/>
      <c r="C249"/>
      <c r="D249" s="47"/>
    </row>
    <row r="250" spans="2:4" s="4" customFormat="1">
      <c r="B250" s="48"/>
      <c r="C250"/>
      <c r="D250" s="47"/>
    </row>
    <row r="251" spans="2:4" s="4" customFormat="1">
      <c r="B251" s="48"/>
      <c r="C251"/>
      <c r="D251" s="47"/>
    </row>
    <row r="252" spans="2:4" s="4" customFormat="1">
      <c r="B252" s="48"/>
      <c r="C252"/>
      <c r="D252" s="47"/>
    </row>
    <row r="253" spans="2:4" s="4" customFormat="1">
      <c r="B253" s="48"/>
      <c r="C253"/>
      <c r="D253" s="47"/>
    </row>
    <row r="254" spans="2:4" s="4" customFormat="1">
      <c r="B254" s="48"/>
      <c r="C254"/>
      <c r="D254" s="47"/>
    </row>
    <row r="255" spans="2:4" s="4" customFormat="1">
      <c r="B255" s="48"/>
      <c r="C255"/>
      <c r="D255" s="47"/>
    </row>
    <row r="256" spans="2:4">
      <c r="B256" s="48"/>
      <c r="D256" s="47"/>
    </row>
    <row r="257" spans="2:4">
      <c r="B257" s="48"/>
      <c r="D257" s="47"/>
    </row>
    <row r="258" spans="2:4">
      <c r="B258" s="48"/>
      <c r="D258" s="47"/>
    </row>
    <row r="259" spans="2:4">
      <c r="B259" s="48"/>
      <c r="D259" s="47"/>
    </row>
    <row r="260" spans="2:4">
      <c r="B260" s="48"/>
      <c r="D260" s="47"/>
    </row>
    <row r="261" spans="2:4">
      <c r="B261" s="48"/>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row r="671" spans="2:4">
      <c r="B671" s="48"/>
      <c r="D671" s="47"/>
    </row>
    <row r="672" spans="2:4">
      <c r="B672" s="48"/>
      <c r="D672" s="47"/>
    </row>
    <row r="673" spans="2:4">
      <c r="B673" s="48"/>
      <c r="D673" s="47"/>
    </row>
    <row r="674" spans="2:4">
      <c r="B674" s="48"/>
      <c r="D674" s="47"/>
    </row>
    <row r="675" spans="2:4">
      <c r="B675" s="48"/>
      <c r="D675" s="47"/>
    </row>
    <row r="676" spans="2:4">
      <c r="B676" s="48"/>
      <c r="D676" s="47"/>
    </row>
    <row r="677" spans="2:4">
      <c r="B677" s="48"/>
      <c r="D677" s="47"/>
    </row>
    <row r="678" spans="2:4">
      <c r="B678" s="48"/>
      <c r="D678" s="47"/>
    </row>
    <row r="679" spans="2:4">
      <c r="B679" s="48"/>
      <c r="D679" s="47"/>
    </row>
    <row r="680" spans="2:4">
      <c r="B680" s="48"/>
      <c r="D680" s="47"/>
    </row>
    <row r="681" spans="2:4">
      <c r="B681" s="48"/>
      <c r="D681" s="47"/>
    </row>
    <row r="682" spans="2:4">
      <c r="B682" s="48"/>
      <c r="D682" s="47"/>
    </row>
    <row r="683" spans="2:4">
      <c r="B683" s="48"/>
      <c r="D683" s="47"/>
    </row>
    <row r="684" spans="2:4">
      <c r="B684" s="48"/>
      <c r="D684" s="47"/>
    </row>
    <row r="685" spans="2:4">
      <c r="B685" s="48"/>
      <c r="D685" s="47"/>
    </row>
    <row r="686" spans="2:4">
      <c r="B686" s="48"/>
      <c r="D686" s="47"/>
    </row>
    <row r="687" spans="2:4">
      <c r="B687" s="48"/>
      <c r="D687" s="47"/>
    </row>
    <row r="688" spans="2:4">
      <c r="B688" s="48"/>
      <c r="D688" s="47"/>
    </row>
    <row r="689" spans="2:4">
      <c r="B689" s="48"/>
      <c r="D689" s="47"/>
    </row>
    <row r="690" spans="2:4">
      <c r="B690" s="48"/>
      <c r="D690" s="47"/>
    </row>
    <row r="691" spans="2:4">
      <c r="B691" s="48"/>
      <c r="D691" s="47"/>
    </row>
    <row r="692" spans="2:4">
      <c r="B692" s="48"/>
      <c r="D692" s="47"/>
    </row>
    <row r="693" spans="2:4">
      <c r="B693" s="48"/>
      <c r="D693"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AA308"/>
  <sheetViews>
    <sheetView showGridLines="0" tabSelected="1" zoomScale="40" zoomScaleNormal="40" workbookViewId="0">
      <selection activeCell="W82" sqref="W82"/>
    </sheetView>
  </sheetViews>
  <sheetFormatPr defaultColWidth="8.54296875" defaultRowHeight="15" customHeight="1"/>
  <cols>
    <col min="1" max="1" width="3.1796875" style="38" customWidth="1"/>
    <col min="2" max="2" width="40.54296875" style="30" customWidth="1"/>
    <col min="3" max="3" width="49.7265625" style="29" customWidth="1"/>
    <col min="4" max="4" width="30.453125" style="29" customWidth="1"/>
    <col min="5" max="5" width="44.7265625" style="29" customWidth="1"/>
    <col min="6" max="6" width="96.81640625" style="29" customWidth="1"/>
    <col min="7" max="7" width="36.453125" style="29" customWidth="1"/>
    <col min="8" max="8" width="28.81640625" style="29" customWidth="1"/>
    <col min="9" max="9" width="12.81640625" style="29" customWidth="1"/>
    <col min="10" max="10" width="11.81640625" style="29" customWidth="1"/>
    <col min="11" max="11" width="19.453125" style="29" customWidth="1"/>
    <col min="12" max="13" width="26" style="29" customWidth="1"/>
    <col min="14" max="14" width="40.26953125" style="26" customWidth="1"/>
    <col min="15" max="15" width="58" style="30" customWidth="1"/>
    <col min="16" max="16" width="37.54296875" style="27" customWidth="1"/>
    <col min="17" max="17" width="131.7265625" style="28" customWidth="1"/>
    <col min="18" max="18" width="148.7265625" style="30" customWidth="1"/>
    <col min="19" max="19" width="42.7265625" style="24" customWidth="1"/>
    <col min="20" max="20" width="84.81640625" style="29" customWidth="1"/>
    <col min="21" max="21" width="38.54296875" style="30" customWidth="1"/>
    <col min="22" max="22" width="44.1796875" style="29" customWidth="1"/>
    <col min="23" max="23" width="150.26953125" style="26" customWidth="1"/>
    <col min="24" max="24" width="55.26953125" style="26" customWidth="1"/>
    <col min="25" max="25" width="46.54296875" style="26" customWidth="1"/>
    <col min="26" max="26" width="137.7265625" style="29" customWidth="1"/>
    <col min="27" max="27" width="99" style="27" customWidth="1"/>
    <col min="28" max="28" width="77.81640625" style="24" customWidth="1"/>
    <col min="29" max="16384" width="8.54296875" style="24"/>
  </cols>
  <sheetData>
    <row r="1" spans="1:27" ht="15" customHeight="1">
      <c r="U1" s="30" t="s">
        <v>66</v>
      </c>
    </row>
    <row r="3" spans="1:27" ht="14.5">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341" t="s">
        <v>67</v>
      </c>
      <c r="C5" s="341"/>
      <c r="D5" s="341"/>
      <c r="E5" s="341"/>
      <c r="F5" s="341"/>
      <c r="G5" s="341"/>
      <c r="H5" s="341"/>
      <c r="I5" s="341"/>
      <c r="J5" s="341"/>
      <c r="K5" s="341"/>
      <c r="L5" s="341"/>
      <c r="M5" s="341"/>
      <c r="N5" s="341"/>
      <c r="O5" s="341"/>
      <c r="P5" s="341"/>
      <c r="Q5" s="342"/>
      <c r="R5" s="345" t="s">
        <v>68</v>
      </c>
      <c r="S5" s="345"/>
      <c r="T5" s="348" t="s">
        <v>69</v>
      </c>
      <c r="U5" s="349"/>
      <c r="V5" s="349"/>
      <c r="W5" s="350"/>
      <c r="X5" s="340" t="s">
        <v>70</v>
      </c>
      <c r="Y5" s="340"/>
      <c r="Z5" s="340"/>
      <c r="AA5" s="340"/>
    </row>
    <row r="6" spans="1:27" ht="30" customHeight="1">
      <c r="B6" s="343" t="s">
        <v>71</v>
      </c>
      <c r="C6" s="343"/>
      <c r="D6" s="343"/>
      <c r="E6" s="343"/>
      <c r="F6" s="343"/>
      <c r="G6" s="343"/>
      <c r="H6" s="343"/>
      <c r="I6" s="343"/>
      <c r="J6" s="343"/>
      <c r="K6" s="343"/>
      <c r="L6" s="343"/>
      <c r="M6" s="343"/>
      <c r="N6" s="343"/>
      <c r="O6" s="343"/>
      <c r="P6" s="343"/>
      <c r="Q6" s="344"/>
      <c r="R6" s="345" t="s">
        <v>72</v>
      </c>
      <c r="S6" s="345"/>
      <c r="T6" s="297"/>
      <c r="U6" s="346" t="s">
        <v>73</v>
      </c>
      <c r="V6" s="346"/>
      <c r="W6" s="347"/>
      <c r="X6" s="339" t="s">
        <v>74</v>
      </c>
      <c r="Y6" s="339"/>
      <c r="Z6" s="339"/>
      <c r="AA6" s="339"/>
    </row>
    <row r="7" spans="1:27" s="68" customFormat="1" ht="39.75" customHeight="1">
      <c r="B7" s="46" t="s">
        <v>75</v>
      </c>
      <c r="C7" s="46" t="s">
        <v>76</v>
      </c>
      <c r="D7" s="328" t="s">
        <v>77</v>
      </c>
      <c r="E7" s="46" t="s">
        <v>78</v>
      </c>
      <c r="F7" s="46" t="s">
        <v>79</v>
      </c>
      <c r="G7" s="46" t="s">
        <v>80</v>
      </c>
      <c r="H7" s="46" t="s">
        <v>81</v>
      </c>
      <c r="I7" s="46" t="s">
        <v>82</v>
      </c>
      <c r="J7" s="46" t="s">
        <v>83</v>
      </c>
      <c r="K7" s="46" t="s">
        <v>84</v>
      </c>
      <c r="L7" s="46" t="s">
        <v>85</v>
      </c>
      <c r="M7" s="46" t="s">
        <v>86</v>
      </c>
      <c r="N7" s="46" t="s">
        <v>87</v>
      </c>
      <c r="O7" s="46" t="s">
        <v>88</v>
      </c>
      <c r="P7" s="46" t="s">
        <v>89</v>
      </c>
      <c r="Q7" s="46" t="s">
        <v>90</v>
      </c>
      <c r="R7" s="46" t="s">
        <v>91</v>
      </c>
      <c r="S7" s="46" t="s">
        <v>92</v>
      </c>
      <c r="T7" s="46" t="s">
        <v>93</v>
      </c>
      <c r="U7" s="46" t="s">
        <v>94</v>
      </c>
      <c r="V7" s="46" t="s">
        <v>95</v>
      </c>
      <c r="W7" s="46" t="s">
        <v>96</v>
      </c>
      <c r="X7" s="46" t="s">
        <v>97</v>
      </c>
      <c r="Y7" s="46" t="s">
        <v>98</v>
      </c>
      <c r="Z7" s="46" t="s">
        <v>99</v>
      </c>
      <c r="AA7" s="73" t="s">
        <v>100</v>
      </c>
    </row>
    <row r="8" spans="1:27" ht="80.25" customHeight="1">
      <c r="B8" s="51" t="s">
        <v>14</v>
      </c>
      <c r="C8" s="51" t="s">
        <v>245</v>
      </c>
      <c r="D8" s="51" t="s">
        <v>15</v>
      </c>
      <c r="E8" s="52">
        <v>1</v>
      </c>
      <c r="F8" s="51" t="s">
        <v>101</v>
      </c>
      <c r="G8" s="51" t="s">
        <v>102</v>
      </c>
      <c r="H8" s="51" t="s">
        <v>103</v>
      </c>
      <c r="I8" s="52">
        <v>1</v>
      </c>
      <c r="J8" s="51" t="s">
        <v>104</v>
      </c>
      <c r="K8" s="52">
        <v>4</v>
      </c>
      <c r="L8" s="52"/>
      <c r="M8" s="52"/>
      <c r="N8" s="300" t="s">
        <v>105</v>
      </c>
      <c r="O8" s="53" t="s">
        <v>106</v>
      </c>
      <c r="P8" s="52" t="s">
        <v>107</v>
      </c>
      <c r="Q8" s="54"/>
      <c r="R8" s="55" t="s">
        <v>108</v>
      </c>
      <c r="S8" s="55" t="s">
        <v>109</v>
      </c>
      <c r="T8" s="55" t="s">
        <v>246</v>
      </c>
      <c r="U8" s="53" t="s">
        <v>247</v>
      </c>
      <c r="V8" s="55" t="s">
        <v>200</v>
      </c>
      <c r="W8" s="294" t="s">
        <v>248</v>
      </c>
      <c r="X8" s="61" t="s">
        <v>249</v>
      </c>
      <c r="Y8" s="54" t="s">
        <v>206</v>
      </c>
      <c r="Z8" s="54" t="s">
        <v>206</v>
      </c>
      <c r="AA8" s="52" t="s">
        <v>218</v>
      </c>
    </row>
    <row r="9" spans="1:27" ht="80.25" customHeight="1">
      <c r="B9" s="51" t="s">
        <v>14</v>
      </c>
      <c r="C9" s="51" t="s">
        <v>245</v>
      </c>
      <c r="D9" s="51" t="s">
        <v>15</v>
      </c>
      <c r="E9" s="52">
        <v>1</v>
      </c>
      <c r="F9" s="51" t="s">
        <v>111</v>
      </c>
      <c r="G9" s="51" t="s">
        <v>112</v>
      </c>
      <c r="H9" s="51" t="s">
        <v>103</v>
      </c>
      <c r="I9" s="52">
        <v>2</v>
      </c>
      <c r="J9" s="51" t="s">
        <v>104</v>
      </c>
      <c r="K9" s="52">
        <v>30</v>
      </c>
      <c r="L9" s="52"/>
      <c r="M9" s="52"/>
      <c r="N9" s="53" t="s">
        <v>113</v>
      </c>
      <c r="O9" s="53" t="s">
        <v>114</v>
      </c>
      <c r="P9" s="52" t="s">
        <v>107</v>
      </c>
      <c r="Q9" s="54"/>
      <c r="R9" s="55" t="s">
        <v>108</v>
      </c>
      <c r="S9" s="55" t="s">
        <v>109</v>
      </c>
      <c r="T9" s="55" t="s">
        <v>250</v>
      </c>
      <c r="U9" s="53" t="s">
        <v>251</v>
      </c>
      <c r="V9" s="65" t="s">
        <v>252</v>
      </c>
      <c r="W9" s="294" t="s">
        <v>253</v>
      </c>
      <c r="X9" s="61" t="s">
        <v>249</v>
      </c>
      <c r="Y9" s="66" t="s">
        <v>254</v>
      </c>
      <c r="Z9" s="65" t="s">
        <v>255</v>
      </c>
      <c r="AA9" s="52" t="s">
        <v>206</v>
      </c>
    </row>
    <row r="10" spans="1:27" ht="80.25" customHeight="1">
      <c r="B10" s="51" t="s">
        <v>14</v>
      </c>
      <c r="C10" s="51" t="s">
        <v>245</v>
      </c>
      <c r="D10" s="51" t="s">
        <v>15</v>
      </c>
      <c r="E10" s="52">
        <v>1</v>
      </c>
      <c r="F10" s="51" t="s">
        <v>115</v>
      </c>
      <c r="G10" s="51" t="s">
        <v>116</v>
      </c>
      <c r="H10" s="54" t="s">
        <v>117</v>
      </c>
      <c r="I10" s="52">
        <v>3</v>
      </c>
      <c r="J10" s="51" t="s">
        <v>104</v>
      </c>
      <c r="K10" s="52">
        <v>4</v>
      </c>
      <c r="L10" s="52"/>
      <c r="M10" s="52"/>
      <c r="N10" s="53" t="s">
        <v>118</v>
      </c>
      <c r="O10" s="53" t="s">
        <v>119</v>
      </c>
      <c r="P10" s="52"/>
      <c r="Q10" s="53" t="s">
        <v>256</v>
      </c>
      <c r="R10" s="55"/>
      <c r="S10" s="51"/>
      <c r="T10" s="55" t="s">
        <v>246</v>
      </c>
      <c r="U10" s="53" t="s">
        <v>247</v>
      </c>
      <c r="V10" s="55" t="s">
        <v>200</v>
      </c>
      <c r="W10" s="294" t="s">
        <v>257</v>
      </c>
      <c r="X10" s="51" t="s">
        <v>206</v>
      </c>
      <c r="Y10" s="51" t="s">
        <v>206</v>
      </c>
      <c r="Z10" s="51" t="s">
        <v>206</v>
      </c>
      <c r="AA10" s="52" t="s">
        <v>206</v>
      </c>
    </row>
    <row r="11" spans="1:27" ht="80.25" customHeight="1">
      <c r="B11" s="51" t="s">
        <v>14</v>
      </c>
      <c r="C11" s="51" t="s">
        <v>245</v>
      </c>
      <c r="D11" s="51" t="s">
        <v>15</v>
      </c>
      <c r="E11" s="52">
        <v>1</v>
      </c>
      <c r="F11" s="51" t="s">
        <v>120</v>
      </c>
      <c r="G11" s="51" t="s">
        <v>121</v>
      </c>
      <c r="H11" s="54" t="s">
        <v>117</v>
      </c>
      <c r="I11" s="52">
        <v>4</v>
      </c>
      <c r="J11" s="51" t="s">
        <v>104</v>
      </c>
      <c r="K11" s="52">
        <v>4</v>
      </c>
      <c r="L11" s="52"/>
      <c r="M11" s="52"/>
      <c r="N11" s="53" t="s">
        <v>122</v>
      </c>
      <c r="O11" s="53" t="s">
        <v>123</v>
      </c>
      <c r="P11" s="52"/>
      <c r="Q11" s="55" t="s">
        <v>258</v>
      </c>
      <c r="R11" s="55" t="s">
        <v>124</v>
      </c>
      <c r="S11" s="55" t="s">
        <v>125</v>
      </c>
      <c r="T11" s="55" t="s">
        <v>259</v>
      </c>
      <c r="U11" s="53" t="s">
        <v>260</v>
      </c>
      <c r="V11" s="65" t="s">
        <v>261</v>
      </c>
      <c r="W11" s="72" t="s">
        <v>262</v>
      </c>
      <c r="X11" s="61" t="s">
        <v>249</v>
      </c>
      <c r="Y11" s="54" t="s">
        <v>263</v>
      </c>
      <c r="Z11" s="65" t="s">
        <v>264</v>
      </c>
      <c r="AA11" s="52" t="s">
        <v>206</v>
      </c>
    </row>
    <row r="12" spans="1:27" ht="80.25" customHeight="1">
      <c r="B12" s="51" t="s">
        <v>14</v>
      </c>
      <c r="C12" s="51" t="s">
        <v>245</v>
      </c>
      <c r="D12" s="51" t="s">
        <v>15</v>
      </c>
      <c r="E12" s="52">
        <v>1</v>
      </c>
      <c r="F12" s="51" t="s">
        <v>126</v>
      </c>
      <c r="G12" s="51" t="s">
        <v>127</v>
      </c>
      <c r="H12" s="54" t="s">
        <v>117</v>
      </c>
      <c r="I12" s="52">
        <v>5</v>
      </c>
      <c r="J12" s="51" t="s">
        <v>104</v>
      </c>
      <c r="K12" s="52">
        <v>4</v>
      </c>
      <c r="L12" s="52"/>
      <c r="M12" s="52"/>
      <c r="N12" s="53" t="s">
        <v>128</v>
      </c>
      <c r="O12" s="53" t="s">
        <v>129</v>
      </c>
      <c r="P12" s="52"/>
      <c r="Q12" s="53" t="s">
        <v>265</v>
      </c>
      <c r="R12" s="55" t="s">
        <v>124</v>
      </c>
      <c r="S12" s="55" t="s">
        <v>130</v>
      </c>
      <c r="T12" s="55" t="s">
        <v>259</v>
      </c>
      <c r="U12" s="53" t="s">
        <v>260</v>
      </c>
      <c r="V12" s="55" t="s">
        <v>266</v>
      </c>
      <c r="W12" s="72" t="s">
        <v>267</v>
      </c>
      <c r="X12" s="61" t="s">
        <v>249</v>
      </c>
      <c r="Y12" s="54" t="s">
        <v>263</v>
      </c>
      <c r="Z12" s="51" t="s">
        <v>268</v>
      </c>
      <c r="AA12" s="52" t="s">
        <v>206</v>
      </c>
    </row>
    <row r="13" spans="1:27" ht="80.25" customHeight="1">
      <c r="B13" s="51" t="s">
        <v>14</v>
      </c>
      <c r="C13" s="51" t="s">
        <v>245</v>
      </c>
      <c r="D13" s="51" t="s">
        <v>15</v>
      </c>
      <c r="E13" s="52">
        <v>1</v>
      </c>
      <c r="F13" s="51" t="s">
        <v>131</v>
      </c>
      <c r="G13" s="51" t="s">
        <v>132</v>
      </c>
      <c r="H13" s="54" t="s">
        <v>117</v>
      </c>
      <c r="I13" s="52">
        <v>6</v>
      </c>
      <c r="J13" s="51" t="s">
        <v>104</v>
      </c>
      <c r="K13" s="52">
        <v>4</v>
      </c>
      <c r="L13" s="52"/>
      <c r="M13" s="52"/>
      <c r="N13" s="69" t="s">
        <v>269</v>
      </c>
      <c r="O13" s="53" t="s">
        <v>133</v>
      </c>
      <c r="P13" s="52"/>
      <c r="Q13" s="54"/>
      <c r="R13" s="55" t="s">
        <v>142</v>
      </c>
      <c r="S13" s="51" t="s">
        <v>221</v>
      </c>
      <c r="T13" s="55" t="s">
        <v>246</v>
      </c>
      <c r="U13" s="53" t="s">
        <v>247</v>
      </c>
      <c r="V13" s="55" t="s">
        <v>200</v>
      </c>
      <c r="W13" s="294" t="s">
        <v>270</v>
      </c>
      <c r="X13" s="55" t="s">
        <v>249</v>
      </c>
      <c r="Y13" s="66" t="s">
        <v>206</v>
      </c>
      <c r="Z13" s="66" t="s">
        <v>206</v>
      </c>
      <c r="AA13" s="52" t="s">
        <v>218</v>
      </c>
    </row>
    <row r="14" spans="1:27" ht="80.25" customHeight="1">
      <c r="B14" s="51" t="s">
        <v>14</v>
      </c>
      <c r="C14" s="51" t="s">
        <v>245</v>
      </c>
      <c r="D14" s="51" t="s">
        <v>15</v>
      </c>
      <c r="E14" s="52">
        <v>1</v>
      </c>
      <c r="F14" s="51" t="s">
        <v>134</v>
      </c>
      <c r="G14" s="51" t="s">
        <v>135</v>
      </c>
      <c r="H14" s="54" t="s">
        <v>117</v>
      </c>
      <c r="I14" s="52">
        <v>7</v>
      </c>
      <c r="J14" s="51" t="s">
        <v>104</v>
      </c>
      <c r="K14" s="52">
        <v>30</v>
      </c>
      <c r="L14" s="52"/>
      <c r="M14" s="52"/>
      <c r="N14" s="53" t="s">
        <v>271</v>
      </c>
      <c r="O14" s="53" t="s">
        <v>136</v>
      </c>
      <c r="P14" s="52"/>
      <c r="Q14" s="54"/>
      <c r="R14" s="55" t="s">
        <v>142</v>
      </c>
      <c r="S14" s="51" t="s">
        <v>221</v>
      </c>
      <c r="T14" s="55" t="s">
        <v>259</v>
      </c>
      <c r="U14" s="65" t="s">
        <v>272</v>
      </c>
      <c r="V14" s="55" t="s">
        <v>273</v>
      </c>
      <c r="W14" s="72" t="s">
        <v>274</v>
      </c>
      <c r="X14" s="55" t="s">
        <v>249</v>
      </c>
      <c r="Y14" s="54" t="s">
        <v>263</v>
      </c>
      <c r="Z14" s="65" t="s">
        <v>275</v>
      </c>
      <c r="AA14" s="52" t="s">
        <v>206</v>
      </c>
    </row>
    <row r="15" spans="1:27" ht="80.25" customHeight="1">
      <c r="B15" s="51" t="s">
        <v>14</v>
      </c>
      <c r="C15" s="51" t="s">
        <v>245</v>
      </c>
      <c r="D15" s="51" t="s">
        <v>15</v>
      </c>
      <c r="E15" s="52">
        <v>1</v>
      </c>
      <c r="F15" s="51" t="s">
        <v>276</v>
      </c>
      <c r="G15" s="51" t="s">
        <v>277</v>
      </c>
      <c r="H15" s="54" t="s">
        <v>117</v>
      </c>
      <c r="I15" s="52">
        <v>8</v>
      </c>
      <c r="J15" s="51" t="s">
        <v>104</v>
      </c>
      <c r="K15" s="52">
        <v>4</v>
      </c>
      <c r="L15" s="52"/>
      <c r="M15" s="52"/>
      <c r="N15" s="53" t="s">
        <v>278</v>
      </c>
      <c r="O15" s="53" t="s">
        <v>279</v>
      </c>
      <c r="P15" s="52"/>
      <c r="Q15" s="54"/>
      <c r="R15" s="55"/>
      <c r="S15" s="51"/>
      <c r="T15" s="55" t="s">
        <v>246</v>
      </c>
      <c r="U15" s="53" t="s">
        <v>247</v>
      </c>
      <c r="V15" s="55" t="s">
        <v>200</v>
      </c>
      <c r="W15" s="72" t="s">
        <v>280</v>
      </c>
      <c r="X15" s="61" t="s">
        <v>249</v>
      </c>
      <c r="Y15" s="54" t="s">
        <v>206</v>
      </c>
      <c r="Z15" s="54" t="s">
        <v>206</v>
      </c>
      <c r="AA15" s="52" t="s">
        <v>218</v>
      </c>
    </row>
    <row r="16" spans="1:27" ht="80.25" customHeight="1">
      <c r="B16" s="51" t="s">
        <v>14</v>
      </c>
      <c r="C16" s="51" t="s">
        <v>245</v>
      </c>
      <c r="D16" s="51" t="s">
        <v>15</v>
      </c>
      <c r="E16" s="52">
        <v>1</v>
      </c>
      <c r="F16" s="51" t="s">
        <v>281</v>
      </c>
      <c r="G16" s="51" t="s">
        <v>282</v>
      </c>
      <c r="H16" s="54" t="s">
        <v>117</v>
      </c>
      <c r="I16" s="52">
        <v>9</v>
      </c>
      <c r="J16" s="51" t="s">
        <v>104</v>
      </c>
      <c r="K16" s="52">
        <v>15</v>
      </c>
      <c r="L16" s="52"/>
      <c r="M16" s="302"/>
      <c r="N16" s="53" t="s">
        <v>283</v>
      </c>
      <c r="O16" s="53" t="s">
        <v>284</v>
      </c>
      <c r="P16" s="52"/>
      <c r="Q16" s="54"/>
      <c r="R16" s="55"/>
      <c r="S16" s="51"/>
      <c r="T16" s="55" t="s">
        <v>250</v>
      </c>
      <c r="U16" s="53" t="s">
        <v>251</v>
      </c>
      <c r="V16" s="53" t="s">
        <v>285</v>
      </c>
      <c r="W16" s="72" t="s">
        <v>286</v>
      </c>
      <c r="X16" s="61" t="s">
        <v>249</v>
      </c>
      <c r="Y16" s="66" t="s">
        <v>254</v>
      </c>
      <c r="Z16" s="54" t="s">
        <v>287</v>
      </c>
      <c r="AA16" s="52" t="s">
        <v>206</v>
      </c>
    </row>
    <row r="17" spans="2:27" ht="80.25" customHeight="1">
      <c r="B17" s="51" t="s">
        <v>14</v>
      </c>
      <c r="C17" s="51" t="s">
        <v>245</v>
      </c>
      <c r="D17" s="51" t="s">
        <v>15</v>
      </c>
      <c r="E17" s="52">
        <v>1</v>
      </c>
      <c r="F17" s="51" t="s">
        <v>137</v>
      </c>
      <c r="G17" s="51" t="s">
        <v>138</v>
      </c>
      <c r="H17" s="54" t="s">
        <v>139</v>
      </c>
      <c r="I17" s="52">
        <v>10</v>
      </c>
      <c r="J17" s="51" t="s">
        <v>104</v>
      </c>
      <c r="K17" s="52">
        <v>10</v>
      </c>
      <c r="L17" s="52"/>
      <c r="M17" s="302"/>
      <c r="N17" s="53" t="s">
        <v>140</v>
      </c>
      <c r="O17" s="53" t="s">
        <v>141</v>
      </c>
      <c r="P17" s="52"/>
      <c r="Q17" s="54"/>
      <c r="R17" s="55" t="s">
        <v>142</v>
      </c>
      <c r="S17" s="51" t="s">
        <v>137</v>
      </c>
      <c r="T17" s="55" t="s">
        <v>250</v>
      </c>
      <c r="U17" s="53" t="s">
        <v>251</v>
      </c>
      <c r="V17" s="53" t="s">
        <v>288</v>
      </c>
      <c r="W17" s="72" t="s">
        <v>289</v>
      </c>
      <c r="X17" s="61" t="s">
        <v>249</v>
      </c>
      <c r="Y17" s="66" t="s">
        <v>254</v>
      </c>
      <c r="Z17" s="54" t="s">
        <v>290</v>
      </c>
      <c r="AA17" s="52" t="s">
        <v>206</v>
      </c>
    </row>
    <row r="18" spans="2:27" ht="80.25" customHeight="1">
      <c r="B18" s="51" t="s">
        <v>14</v>
      </c>
      <c r="C18" s="51" t="s">
        <v>245</v>
      </c>
      <c r="D18" s="51" t="s">
        <v>15</v>
      </c>
      <c r="E18" s="52">
        <v>1</v>
      </c>
      <c r="F18" s="51" t="s">
        <v>143</v>
      </c>
      <c r="G18" s="51" t="s">
        <v>144</v>
      </c>
      <c r="H18" s="54" t="s">
        <v>139</v>
      </c>
      <c r="I18" s="52">
        <v>11</v>
      </c>
      <c r="J18" s="51" t="s">
        <v>104</v>
      </c>
      <c r="K18" s="52">
        <v>10</v>
      </c>
      <c r="L18" s="52"/>
      <c r="M18" s="302"/>
      <c r="N18" s="53" t="s">
        <v>145</v>
      </c>
      <c r="O18" s="53" t="s">
        <v>146</v>
      </c>
      <c r="P18" s="52"/>
      <c r="Q18" s="54"/>
      <c r="R18" s="55" t="s">
        <v>147</v>
      </c>
      <c r="S18" s="51" t="s">
        <v>143</v>
      </c>
      <c r="T18" s="55" t="s">
        <v>250</v>
      </c>
      <c r="U18" s="65" t="s">
        <v>251</v>
      </c>
      <c r="V18" s="65" t="s">
        <v>291</v>
      </c>
      <c r="W18" s="306" t="s">
        <v>292</v>
      </c>
      <c r="X18" s="55" t="s">
        <v>293</v>
      </c>
      <c r="Y18" s="54" t="s">
        <v>294</v>
      </c>
      <c r="Z18" s="66" t="s">
        <v>295</v>
      </c>
      <c r="AA18" s="52" t="s">
        <v>296</v>
      </c>
    </row>
    <row r="19" spans="2:27" ht="80.25" customHeight="1">
      <c r="B19" s="51" t="s">
        <v>14</v>
      </c>
      <c r="C19" s="51" t="s">
        <v>245</v>
      </c>
      <c r="D19" s="51" t="s">
        <v>15</v>
      </c>
      <c r="E19" s="52">
        <v>1</v>
      </c>
      <c r="F19" s="51" t="s">
        <v>148</v>
      </c>
      <c r="G19" s="51" t="s">
        <v>149</v>
      </c>
      <c r="H19" s="54" t="s">
        <v>150</v>
      </c>
      <c r="I19" s="52">
        <v>12</v>
      </c>
      <c r="J19" s="51" t="s">
        <v>104</v>
      </c>
      <c r="K19" s="52">
        <v>4</v>
      </c>
      <c r="L19" s="52"/>
      <c r="M19" s="302"/>
      <c r="N19" s="53" t="s">
        <v>151</v>
      </c>
      <c r="O19" s="53" t="s">
        <v>152</v>
      </c>
      <c r="P19" s="52"/>
      <c r="Q19" s="53" t="s">
        <v>222</v>
      </c>
      <c r="R19" s="55" t="s">
        <v>297</v>
      </c>
      <c r="S19" s="55" t="s">
        <v>153</v>
      </c>
      <c r="T19" s="55" t="s">
        <v>259</v>
      </c>
      <c r="U19" s="65" t="s">
        <v>272</v>
      </c>
      <c r="V19" s="55" t="s">
        <v>298</v>
      </c>
      <c r="W19" s="72" t="s">
        <v>299</v>
      </c>
      <c r="X19" s="61" t="s">
        <v>249</v>
      </c>
      <c r="Y19" s="66" t="s">
        <v>263</v>
      </c>
      <c r="Z19" s="54" t="s">
        <v>224</v>
      </c>
      <c r="AA19" s="52" t="s">
        <v>206</v>
      </c>
    </row>
    <row r="20" spans="2:27" ht="80.25" customHeight="1">
      <c r="B20" s="51" t="s">
        <v>14</v>
      </c>
      <c r="C20" s="51" t="s">
        <v>245</v>
      </c>
      <c r="D20" s="51" t="s">
        <v>15</v>
      </c>
      <c r="E20" s="52">
        <v>1</v>
      </c>
      <c r="F20" s="51" t="s">
        <v>154</v>
      </c>
      <c r="G20" s="51" t="s">
        <v>155</v>
      </c>
      <c r="H20" s="54" t="s">
        <v>156</v>
      </c>
      <c r="I20" s="52">
        <v>13</v>
      </c>
      <c r="J20" s="51" t="s">
        <v>104</v>
      </c>
      <c r="K20" s="52">
        <v>4</v>
      </c>
      <c r="L20" s="52"/>
      <c r="M20" s="52"/>
      <c r="N20" s="53" t="s">
        <v>157</v>
      </c>
      <c r="O20" s="53" t="s">
        <v>158</v>
      </c>
      <c r="P20" s="52"/>
      <c r="Q20" s="54"/>
      <c r="R20" s="63"/>
      <c r="S20" s="61"/>
      <c r="T20" s="55" t="s">
        <v>250</v>
      </c>
      <c r="U20" s="65" t="s">
        <v>251</v>
      </c>
      <c r="V20" s="63" t="s">
        <v>236</v>
      </c>
      <c r="W20" s="299" t="s">
        <v>300</v>
      </c>
      <c r="X20" s="55" t="s">
        <v>293</v>
      </c>
      <c r="Y20" s="53" t="s">
        <v>296</v>
      </c>
      <c r="Z20" s="53" t="s">
        <v>296</v>
      </c>
      <c r="AA20" s="60" t="s">
        <v>301</v>
      </c>
    </row>
    <row r="21" spans="2:27" ht="80.25" customHeight="1">
      <c r="B21" s="51" t="s">
        <v>14</v>
      </c>
      <c r="C21" s="51" t="s">
        <v>245</v>
      </c>
      <c r="D21" s="51" t="s">
        <v>15</v>
      </c>
      <c r="E21" s="52">
        <v>1</v>
      </c>
      <c r="F21" s="51" t="s">
        <v>159</v>
      </c>
      <c r="G21" s="51" t="s">
        <v>160</v>
      </c>
      <c r="H21" s="54" t="s">
        <v>161</v>
      </c>
      <c r="I21" s="52">
        <v>14</v>
      </c>
      <c r="J21" s="51" t="s">
        <v>162</v>
      </c>
      <c r="K21" s="52">
        <v>23</v>
      </c>
      <c r="L21" s="52">
        <v>6</v>
      </c>
      <c r="M21" s="52"/>
      <c r="N21" s="53" t="s">
        <v>302</v>
      </c>
      <c r="O21" s="53" t="s">
        <v>163</v>
      </c>
      <c r="P21" s="52"/>
      <c r="Q21" s="51"/>
      <c r="R21" s="55" t="s">
        <v>142</v>
      </c>
      <c r="S21" s="51" t="s">
        <v>164</v>
      </c>
      <c r="T21" s="55" t="s">
        <v>259</v>
      </c>
      <c r="U21" s="55" t="s">
        <v>303</v>
      </c>
      <c r="V21" s="55" t="s">
        <v>304</v>
      </c>
      <c r="W21" s="306" t="s">
        <v>305</v>
      </c>
      <c r="X21" s="61" t="s">
        <v>249</v>
      </c>
      <c r="Y21" s="54" t="s">
        <v>306</v>
      </c>
      <c r="Z21" s="54" t="s">
        <v>307</v>
      </c>
      <c r="AA21" s="52" t="s">
        <v>206</v>
      </c>
    </row>
    <row r="22" spans="2:27" ht="80.25" customHeight="1">
      <c r="B22" s="51" t="s">
        <v>14</v>
      </c>
      <c r="C22" s="51" t="s">
        <v>245</v>
      </c>
      <c r="D22" s="51" t="s">
        <v>15</v>
      </c>
      <c r="E22" s="52">
        <v>1</v>
      </c>
      <c r="F22" s="309" t="s">
        <v>165</v>
      </c>
      <c r="G22" s="51" t="s">
        <v>166</v>
      </c>
      <c r="H22" s="54" t="s">
        <v>161</v>
      </c>
      <c r="I22" s="52">
        <v>14</v>
      </c>
      <c r="J22" s="51" t="s">
        <v>162</v>
      </c>
      <c r="K22" s="52">
        <v>23</v>
      </c>
      <c r="L22" s="52">
        <v>6</v>
      </c>
      <c r="M22" s="52"/>
      <c r="N22" s="53" t="s">
        <v>302</v>
      </c>
      <c r="O22" s="53" t="s">
        <v>167</v>
      </c>
      <c r="P22" s="52"/>
      <c r="Q22" s="51"/>
      <c r="R22" s="55" t="s">
        <v>142</v>
      </c>
      <c r="S22" s="51" t="s">
        <v>164</v>
      </c>
      <c r="T22" s="55" t="s">
        <v>259</v>
      </c>
      <c r="U22" s="55" t="s">
        <v>303</v>
      </c>
      <c r="V22" s="55" t="s">
        <v>304</v>
      </c>
      <c r="W22" s="306" t="s">
        <v>308</v>
      </c>
      <c r="X22" s="61" t="s">
        <v>249</v>
      </c>
      <c r="Y22" s="54" t="s">
        <v>306</v>
      </c>
      <c r="Z22" s="54" t="s">
        <v>307</v>
      </c>
      <c r="AA22" s="52" t="s">
        <v>206</v>
      </c>
    </row>
    <row r="23" spans="2:27" ht="80.25" customHeight="1">
      <c r="B23" s="51" t="s">
        <v>14</v>
      </c>
      <c r="C23" s="51" t="s">
        <v>245</v>
      </c>
      <c r="D23" s="51" t="s">
        <v>15</v>
      </c>
      <c r="E23" s="52">
        <v>1</v>
      </c>
      <c r="F23" s="313" t="s">
        <v>168</v>
      </c>
      <c r="G23" s="51" t="s">
        <v>309</v>
      </c>
      <c r="H23" s="54" t="s">
        <v>161</v>
      </c>
      <c r="I23" s="52">
        <v>15</v>
      </c>
      <c r="J23" s="51" t="s">
        <v>162</v>
      </c>
      <c r="K23" s="52">
        <v>23</v>
      </c>
      <c r="L23" s="52">
        <v>6</v>
      </c>
      <c r="M23" s="52"/>
      <c r="N23" s="53" t="s">
        <v>310</v>
      </c>
      <c r="O23" s="53" t="s">
        <v>170</v>
      </c>
      <c r="P23" s="52"/>
      <c r="Q23" s="51"/>
      <c r="R23" s="71"/>
      <c r="S23" s="71"/>
      <c r="T23" s="55" t="s">
        <v>311</v>
      </c>
      <c r="U23" s="65" t="s">
        <v>254</v>
      </c>
      <c r="V23" s="55" t="s">
        <v>312</v>
      </c>
      <c r="W23" s="72" t="s">
        <v>313</v>
      </c>
      <c r="X23" s="55" t="s">
        <v>314</v>
      </c>
      <c r="Y23" s="54" t="s">
        <v>254</v>
      </c>
      <c r="Z23" s="54" t="s">
        <v>315</v>
      </c>
      <c r="AA23" s="52" t="s">
        <v>206</v>
      </c>
    </row>
    <row r="24" spans="2:27" ht="80.25" customHeight="1">
      <c r="B24" s="51" t="s">
        <v>14</v>
      </c>
      <c r="C24" s="51" t="s">
        <v>245</v>
      </c>
      <c r="D24" s="51" t="s">
        <v>15</v>
      </c>
      <c r="E24" s="52">
        <v>1</v>
      </c>
      <c r="F24" s="313" t="s">
        <v>171</v>
      </c>
      <c r="G24" s="55" t="s">
        <v>172</v>
      </c>
      <c r="H24" s="54" t="s">
        <v>161</v>
      </c>
      <c r="I24" s="52">
        <v>16</v>
      </c>
      <c r="J24" s="51" t="s">
        <v>162</v>
      </c>
      <c r="K24" s="52">
        <v>23</v>
      </c>
      <c r="L24" s="52">
        <v>6</v>
      </c>
      <c r="M24" s="298"/>
      <c r="N24" s="53" t="s">
        <v>316</v>
      </c>
      <c r="O24" s="53" t="s">
        <v>173</v>
      </c>
      <c r="P24" s="52"/>
      <c r="Q24" s="51"/>
      <c r="R24" s="71"/>
      <c r="S24" s="71"/>
      <c r="T24" s="55"/>
      <c r="U24" s="66"/>
      <c r="V24" s="54"/>
      <c r="W24" s="72" t="s">
        <v>317</v>
      </c>
      <c r="X24" s="55" t="s">
        <v>314</v>
      </c>
      <c r="Y24" s="54" t="s">
        <v>254</v>
      </c>
      <c r="Z24" s="51"/>
      <c r="AA24" s="52"/>
    </row>
    <row r="25" spans="2:27" ht="80.25" customHeight="1">
      <c r="B25" s="51" t="s">
        <v>14</v>
      </c>
      <c r="C25" s="51" t="s">
        <v>245</v>
      </c>
      <c r="D25" s="51" t="s">
        <v>15</v>
      </c>
      <c r="E25" s="52">
        <v>1</v>
      </c>
      <c r="F25" s="313" t="s">
        <v>318</v>
      </c>
      <c r="G25" s="51" t="s">
        <v>319</v>
      </c>
      <c r="H25" s="51" t="s">
        <v>161</v>
      </c>
      <c r="I25" s="52">
        <v>19</v>
      </c>
      <c r="J25" s="51" t="s">
        <v>162</v>
      </c>
      <c r="K25" s="52">
        <v>23</v>
      </c>
      <c r="L25" s="52">
        <v>6</v>
      </c>
      <c r="M25" s="52"/>
      <c r="N25" s="53" t="s">
        <v>320</v>
      </c>
      <c r="O25" s="53" t="s">
        <v>321</v>
      </c>
      <c r="P25" s="52"/>
      <c r="Q25" s="54"/>
      <c r="R25" s="53" t="s">
        <v>322</v>
      </c>
      <c r="S25" s="53" t="s">
        <v>323</v>
      </c>
      <c r="T25" s="55" t="s">
        <v>259</v>
      </c>
      <c r="U25" s="55" t="s">
        <v>260</v>
      </c>
      <c r="V25" s="55" t="s">
        <v>324</v>
      </c>
      <c r="W25" s="306" t="s">
        <v>325</v>
      </c>
      <c r="X25" s="55" t="s">
        <v>314</v>
      </c>
      <c r="Y25" s="54" t="s">
        <v>326</v>
      </c>
      <c r="Z25" s="54" t="s">
        <v>327</v>
      </c>
      <c r="AA25" s="52" t="s">
        <v>328</v>
      </c>
    </row>
    <row r="26" spans="2:27" ht="80.25" customHeight="1">
      <c r="B26" s="51" t="s">
        <v>14</v>
      </c>
      <c r="C26" s="51" t="s">
        <v>245</v>
      </c>
      <c r="D26" s="51" t="s">
        <v>15</v>
      </c>
      <c r="E26" s="52">
        <v>1</v>
      </c>
      <c r="F26" s="309" t="s">
        <v>329</v>
      </c>
      <c r="G26" s="55" t="s">
        <v>330</v>
      </c>
      <c r="H26" s="54" t="s">
        <v>161</v>
      </c>
      <c r="I26" s="52">
        <v>20</v>
      </c>
      <c r="J26" s="51" t="s">
        <v>162</v>
      </c>
      <c r="K26" s="52">
        <v>23</v>
      </c>
      <c r="L26" s="52">
        <v>6</v>
      </c>
      <c r="M26" s="298"/>
      <c r="N26" s="53" t="s">
        <v>331</v>
      </c>
      <c r="O26" s="53" t="s">
        <v>332</v>
      </c>
      <c r="P26" s="52"/>
      <c r="Q26" s="51"/>
      <c r="R26" s="71"/>
      <c r="S26" s="71"/>
      <c r="T26" s="55"/>
      <c r="U26" s="66"/>
      <c r="V26" s="54"/>
      <c r="W26" s="72" t="s">
        <v>333</v>
      </c>
      <c r="X26" s="55" t="s">
        <v>314</v>
      </c>
      <c r="Y26" s="51"/>
      <c r="Z26" s="51"/>
      <c r="AA26" s="52"/>
    </row>
    <row r="27" spans="2:27" ht="80.25" customHeight="1">
      <c r="B27" s="51" t="s">
        <v>14</v>
      </c>
      <c r="C27" s="51" t="s">
        <v>245</v>
      </c>
      <c r="D27" s="51" t="s">
        <v>15</v>
      </c>
      <c r="E27" s="52">
        <v>1</v>
      </c>
      <c r="F27" s="313" t="s">
        <v>174</v>
      </c>
      <c r="G27" s="51" t="s">
        <v>175</v>
      </c>
      <c r="H27" s="51" t="s">
        <v>161</v>
      </c>
      <c r="I27" s="52">
        <v>21</v>
      </c>
      <c r="J27" s="51" t="s">
        <v>162</v>
      </c>
      <c r="K27" s="52">
        <v>23</v>
      </c>
      <c r="L27" s="52">
        <v>6</v>
      </c>
      <c r="M27" s="52"/>
      <c r="N27" s="53" t="s">
        <v>334</v>
      </c>
      <c r="O27" s="53" t="s">
        <v>176</v>
      </c>
      <c r="P27" s="52"/>
      <c r="Q27" s="54"/>
      <c r="R27" s="53" t="s">
        <v>177</v>
      </c>
      <c r="S27" s="54" t="s">
        <v>178</v>
      </c>
      <c r="T27" s="55" t="s">
        <v>259</v>
      </c>
      <c r="U27" s="55" t="s">
        <v>260</v>
      </c>
      <c r="V27" s="55" t="s">
        <v>324</v>
      </c>
      <c r="W27" s="72" t="s">
        <v>335</v>
      </c>
      <c r="X27" s="55" t="s">
        <v>314</v>
      </c>
      <c r="Y27" s="54" t="s">
        <v>326</v>
      </c>
      <c r="Z27" s="54" t="s">
        <v>327</v>
      </c>
      <c r="AA27" s="52" t="s">
        <v>336</v>
      </c>
    </row>
    <row r="28" spans="2:27" ht="80.25" customHeight="1">
      <c r="B28" s="51" t="s">
        <v>14</v>
      </c>
      <c r="C28" s="51" t="s">
        <v>245</v>
      </c>
      <c r="D28" s="51" t="s">
        <v>15</v>
      </c>
      <c r="E28" s="52">
        <v>1</v>
      </c>
      <c r="F28" s="309" t="s">
        <v>179</v>
      </c>
      <c r="G28" s="55" t="s">
        <v>180</v>
      </c>
      <c r="H28" s="54" t="s">
        <v>161</v>
      </c>
      <c r="I28" s="52">
        <v>22</v>
      </c>
      <c r="J28" s="51" t="s">
        <v>162</v>
      </c>
      <c r="K28" s="52">
        <v>23</v>
      </c>
      <c r="L28" s="52">
        <v>6</v>
      </c>
      <c r="M28" s="298"/>
      <c r="N28" s="53" t="s">
        <v>337</v>
      </c>
      <c r="O28" s="53" t="s">
        <v>181</v>
      </c>
      <c r="P28" s="52"/>
      <c r="Q28" s="51"/>
      <c r="R28" s="71"/>
      <c r="S28" s="71"/>
      <c r="T28" s="55"/>
      <c r="U28" s="66"/>
      <c r="V28" s="54"/>
      <c r="W28" s="72" t="s">
        <v>338</v>
      </c>
      <c r="X28" s="55" t="s">
        <v>314</v>
      </c>
      <c r="Y28" s="51"/>
      <c r="Z28" s="51"/>
      <c r="AA28" s="52"/>
    </row>
    <row r="29" spans="2:27" ht="80.25" customHeight="1">
      <c r="B29" s="51" t="s">
        <v>14</v>
      </c>
      <c r="C29" s="51" t="s">
        <v>245</v>
      </c>
      <c r="D29" s="51" t="s">
        <v>15</v>
      </c>
      <c r="E29" s="52">
        <v>1</v>
      </c>
      <c r="F29" s="309" t="s">
        <v>182</v>
      </c>
      <c r="G29" s="51" t="s">
        <v>183</v>
      </c>
      <c r="H29" s="51" t="s">
        <v>161</v>
      </c>
      <c r="I29" s="52">
        <v>23</v>
      </c>
      <c r="J29" s="51" t="s">
        <v>162</v>
      </c>
      <c r="K29" s="52">
        <v>23</v>
      </c>
      <c r="L29" s="52">
        <v>6</v>
      </c>
      <c r="M29" s="52"/>
      <c r="N29" s="53" t="s">
        <v>339</v>
      </c>
      <c r="O29" s="53" t="s">
        <v>184</v>
      </c>
      <c r="P29" s="52"/>
      <c r="Q29" s="54"/>
      <c r="R29" s="63"/>
      <c r="S29" s="61"/>
      <c r="T29" s="55" t="s">
        <v>340</v>
      </c>
      <c r="U29" s="65" t="s">
        <v>341</v>
      </c>
      <c r="V29" s="63" t="s">
        <v>185</v>
      </c>
      <c r="W29" s="306" t="s">
        <v>342</v>
      </c>
      <c r="X29" s="55" t="s">
        <v>314</v>
      </c>
      <c r="Y29" s="53" t="s">
        <v>343</v>
      </c>
      <c r="Z29" s="53" t="s">
        <v>344</v>
      </c>
      <c r="AA29" s="60" t="s">
        <v>345</v>
      </c>
    </row>
    <row r="30" spans="2:27" ht="80.25" customHeight="1">
      <c r="B30" s="51" t="s">
        <v>14</v>
      </c>
      <c r="C30" s="51" t="s">
        <v>245</v>
      </c>
      <c r="D30" s="51" t="s">
        <v>15</v>
      </c>
      <c r="E30" s="52">
        <v>1</v>
      </c>
      <c r="F30" s="309" t="s">
        <v>186</v>
      </c>
      <c r="G30" s="55" t="s">
        <v>187</v>
      </c>
      <c r="H30" s="54" t="s">
        <v>161</v>
      </c>
      <c r="I30" s="52">
        <v>24</v>
      </c>
      <c r="J30" s="51" t="s">
        <v>162</v>
      </c>
      <c r="K30" s="52">
        <v>23</v>
      </c>
      <c r="L30" s="52">
        <v>6</v>
      </c>
      <c r="M30" s="298"/>
      <c r="N30" s="53" t="s">
        <v>346</v>
      </c>
      <c r="O30" s="53" t="s">
        <v>188</v>
      </c>
      <c r="P30" s="52"/>
      <c r="Q30" s="51"/>
      <c r="R30" s="71"/>
      <c r="S30" s="71"/>
      <c r="T30" s="55"/>
      <c r="U30" s="66"/>
      <c r="V30" s="54"/>
      <c r="W30" s="306" t="s">
        <v>347</v>
      </c>
      <c r="X30" s="55" t="s">
        <v>314</v>
      </c>
      <c r="Y30" s="51"/>
      <c r="Z30" s="51"/>
      <c r="AA30" s="52"/>
    </row>
    <row r="31" spans="2:27" ht="80.25" customHeight="1">
      <c r="B31" s="51" t="s">
        <v>14</v>
      </c>
      <c r="C31" s="51" t="s">
        <v>245</v>
      </c>
      <c r="D31" s="51" t="s">
        <v>15</v>
      </c>
      <c r="E31" s="52">
        <v>1</v>
      </c>
      <c r="F31" s="309" t="s">
        <v>348</v>
      </c>
      <c r="G31" s="51" t="s">
        <v>349</v>
      </c>
      <c r="H31" s="54" t="s">
        <v>161</v>
      </c>
      <c r="I31" s="52">
        <v>25</v>
      </c>
      <c r="J31" s="51" t="s">
        <v>162</v>
      </c>
      <c r="K31" s="52">
        <v>23</v>
      </c>
      <c r="L31" s="52">
        <v>6</v>
      </c>
      <c r="M31" s="298"/>
      <c r="N31" s="53" t="s">
        <v>350</v>
      </c>
      <c r="O31" s="53" t="s">
        <v>351</v>
      </c>
      <c r="P31" s="52"/>
      <c r="Q31" s="51"/>
      <c r="R31" s="71"/>
      <c r="S31" s="71"/>
      <c r="T31" s="55" t="s">
        <v>311</v>
      </c>
      <c r="U31" s="65" t="s">
        <v>254</v>
      </c>
      <c r="V31" s="55" t="s">
        <v>312</v>
      </c>
      <c r="W31" s="72" t="s">
        <v>352</v>
      </c>
      <c r="X31" s="61" t="s">
        <v>249</v>
      </c>
      <c r="Y31" s="54" t="s">
        <v>254</v>
      </c>
      <c r="Z31" s="54" t="s">
        <v>315</v>
      </c>
      <c r="AA31" s="52" t="s">
        <v>206</v>
      </c>
    </row>
    <row r="32" spans="2:27" ht="80.25" customHeight="1">
      <c r="B32" s="51" t="s">
        <v>14</v>
      </c>
      <c r="C32" s="51" t="s">
        <v>245</v>
      </c>
      <c r="D32" s="51" t="s">
        <v>15</v>
      </c>
      <c r="E32" s="52">
        <v>1</v>
      </c>
      <c r="F32" s="309" t="s">
        <v>353</v>
      </c>
      <c r="G32" s="51" t="s">
        <v>354</v>
      </c>
      <c r="H32" s="54" t="s">
        <v>161</v>
      </c>
      <c r="I32" s="52">
        <v>26</v>
      </c>
      <c r="J32" s="51" t="s">
        <v>162</v>
      </c>
      <c r="K32" s="52">
        <v>23</v>
      </c>
      <c r="L32" s="52">
        <v>6</v>
      </c>
      <c r="M32" s="298"/>
      <c r="N32" s="53" t="s">
        <v>355</v>
      </c>
      <c r="O32" s="53" t="s">
        <v>356</v>
      </c>
      <c r="P32" s="52"/>
      <c r="Q32" s="51"/>
      <c r="R32" s="71"/>
      <c r="S32" s="71"/>
      <c r="T32" s="55" t="s">
        <v>357</v>
      </c>
      <c r="U32" s="65" t="s">
        <v>358</v>
      </c>
      <c r="V32" s="55" t="s">
        <v>359</v>
      </c>
      <c r="W32" s="72" t="s">
        <v>360</v>
      </c>
      <c r="X32" s="61" t="s">
        <v>249</v>
      </c>
      <c r="Y32" s="54" t="s">
        <v>254</v>
      </c>
      <c r="Z32" s="54" t="s">
        <v>315</v>
      </c>
      <c r="AA32" s="52" t="s">
        <v>206</v>
      </c>
    </row>
    <row r="33" spans="2:27" ht="80.25" customHeight="1">
      <c r="B33" s="51" t="s">
        <v>14</v>
      </c>
      <c r="C33" s="51" t="s">
        <v>245</v>
      </c>
      <c r="D33" s="51" t="s">
        <v>15</v>
      </c>
      <c r="E33" s="52">
        <v>1</v>
      </c>
      <c r="F33" s="51" t="s">
        <v>361</v>
      </c>
      <c r="G33" s="51" t="s">
        <v>362</v>
      </c>
      <c r="H33" s="54" t="s">
        <v>227</v>
      </c>
      <c r="I33" s="52">
        <v>27</v>
      </c>
      <c r="J33" s="51" t="s">
        <v>104</v>
      </c>
      <c r="K33" s="52">
        <v>10</v>
      </c>
      <c r="L33" s="52"/>
      <c r="M33" s="52"/>
      <c r="N33" s="53" t="s">
        <v>363</v>
      </c>
      <c r="O33" s="53" t="s">
        <v>364</v>
      </c>
      <c r="P33" s="52"/>
      <c r="Q33" s="54"/>
      <c r="R33" s="55"/>
      <c r="S33" s="51"/>
      <c r="T33" s="55" t="s">
        <v>250</v>
      </c>
      <c r="U33" s="53" t="s">
        <v>251</v>
      </c>
      <c r="V33" s="53" t="s">
        <v>365</v>
      </c>
      <c r="W33" s="72" t="s">
        <v>366</v>
      </c>
      <c r="X33" s="61" t="s">
        <v>249</v>
      </c>
      <c r="Y33" s="54" t="s">
        <v>254</v>
      </c>
      <c r="Z33" s="54" t="s">
        <v>367</v>
      </c>
      <c r="AA33" s="52" t="s">
        <v>206</v>
      </c>
    </row>
    <row r="34" spans="2:27" ht="80.25" customHeight="1">
      <c r="B34" s="51" t="s">
        <v>14</v>
      </c>
      <c r="C34" s="51" t="s">
        <v>245</v>
      </c>
      <c r="D34" s="51" t="s">
        <v>15</v>
      </c>
      <c r="E34" s="52">
        <v>1</v>
      </c>
      <c r="F34" s="51" t="s">
        <v>225</v>
      </c>
      <c r="G34" s="51" t="s">
        <v>226</v>
      </c>
      <c r="H34" s="54" t="s">
        <v>227</v>
      </c>
      <c r="I34" s="52">
        <v>28</v>
      </c>
      <c r="J34" s="51" t="s">
        <v>104</v>
      </c>
      <c r="K34" s="52">
        <v>10</v>
      </c>
      <c r="L34" s="52"/>
      <c r="M34" s="52"/>
      <c r="N34" s="53" t="s">
        <v>368</v>
      </c>
      <c r="O34" s="53" t="s">
        <v>228</v>
      </c>
      <c r="P34" s="52"/>
      <c r="Q34" s="54"/>
      <c r="R34" s="55" t="s">
        <v>369</v>
      </c>
      <c r="S34" s="51" t="s">
        <v>370</v>
      </c>
      <c r="T34" s="55" t="s">
        <v>250</v>
      </c>
      <c r="U34" s="53" t="s">
        <v>251</v>
      </c>
      <c r="V34" s="53" t="s">
        <v>371</v>
      </c>
      <c r="W34" s="72" t="s">
        <v>372</v>
      </c>
      <c r="X34" s="61" t="s">
        <v>249</v>
      </c>
      <c r="Y34" s="54" t="s">
        <v>254</v>
      </c>
      <c r="Z34" s="53" t="s">
        <v>373</v>
      </c>
      <c r="AA34" s="52" t="s">
        <v>206</v>
      </c>
    </row>
    <row r="35" spans="2:27" ht="80.25" customHeight="1">
      <c r="B35" s="51" t="s">
        <v>14</v>
      </c>
      <c r="C35" s="51" t="s">
        <v>245</v>
      </c>
      <c r="D35" s="51" t="s">
        <v>15</v>
      </c>
      <c r="E35" s="52">
        <v>1</v>
      </c>
      <c r="F35" s="56" t="s">
        <v>374</v>
      </c>
      <c r="G35" s="56" t="s">
        <v>375</v>
      </c>
      <c r="H35" s="51" t="s">
        <v>161</v>
      </c>
      <c r="I35" s="52">
        <v>29</v>
      </c>
      <c r="J35" s="51" t="s">
        <v>162</v>
      </c>
      <c r="K35" s="52">
        <v>23</v>
      </c>
      <c r="L35" s="52">
        <v>6</v>
      </c>
      <c r="M35" s="52"/>
      <c r="N35" s="53" t="s">
        <v>376</v>
      </c>
      <c r="O35" s="53" t="s">
        <v>377</v>
      </c>
      <c r="P35" s="52"/>
      <c r="Q35" s="54"/>
      <c r="R35" s="53"/>
      <c r="S35" s="54"/>
      <c r="T35" s="55" t="s">
        <v>250</v>
      </c>
      <c r="U35" s="65" t="s">
        <v>378</v>
      </c>
      <c r="V35" s="53" t="s">
        <v>379</v>
      </c>
      <c r="W35" s="295" t="s">
        <v>380</v>
      </c>
      <c r="X35" s="55" t="s">
        <v>249</v>
      </c>
      <c r="Y35" s="54" t="s">
        <v>254</v>
      </c>
      <c r="Z35" s="53" t="s">
        <v>381</v>
      </c>
      <c r="AA35" s="60" t="s">
        <v>206</v>
      </c>
    </row>
    <row r="36" spans="2:27" ht="80.25" customHeight="1">
      <c r="B36" s="51" t="s">
        <v>14</v>
      </c>
      <c r="C36" s="51" t="s">
        <v>245</v>
      </c>
      <c r="D36" s="51" t="s">
        <v>15</v>
      </c>
      <c r="E36" s="308">
        <v>1</v>
      </c>
      <c r="F36" s="56" t="s">
        <v>382</v>
      </c>
      <c r="G36" s="56" t="s">
        <v>383</v>
      </c>
      <c r="H36" s="51" t="s">
        <v>161</v>
      </c>
      <c r="I36" s="52">
        <v>30</v>
      </c>
      <c r="J36" s="51" t="s">
        <v>162</v>
      </c>
      <c r="K36" s="52">
        <v>23</v>
      </c>
      <c r="L36" s="52">
        <v>6</v>
      </c>
      <c r="M36" s="302"/>
      <c r="N36" s="53" t="s">
        <v>384</v>
      </c>
      <c r="O36" s="53" t="s">
        <v>385</v>
      </c>
      <c r="P36" s="52"/>
      <c r="Q36" s="51"/>
      <c r="R36" s="53"/>
      <c r="S36" s="54"/>
      <c r="T36" s="55" t="s">
        <v>250</v>
      </c>
      <c r="U36" s="65" t="s">
        <v>378</v>
      </c>
      <c r="V36" s="53" t="s">
        <v>386</v>
      </c>
      <c r="W36" s="72" t="s">
        <v>387</v>
      </c>
      <c r="X36" s="55" t="s">
        <v>293</v>
      </c>
      <c r="Y36" s="53" t="s">
        <v>388</v>
      </c>
      <c r="Z36" s="53" t="s">
        <v>389</v>
      </c>
      <c r="AA36" s="60" t="s">
        <v>390</v>
      </c>
    </row>
    <row r="37" spans="2:27" ht="80.25" customHeight="1">
      <c r="B37" s="309" t="s">
        <v>14</v>
      </c>
      <c r="C37" s="309" t="s">
        <v>245</v>
      </c>
      <c r="D37" s="309" t="s">
        <v>15</v>
      </c>
      <c r="E37" s="322">
        <v>1</v>
      </c>
      <c r="F37" s="323" t="s">
        <v>391</v>
      </c>
      <c r="G37" s="323" t="s">
        <v>392</v>
      </c>
      <c r="H37" s="54" t="s">
        <v>393</v>
      </c>
      <c r="I37" s="52">
        <v>31</v>
      </c>
      <c r="J37" s="51" t="s">
        <v>104</v>
      </c>
      <c r="K37" s="52">
        <v>3</v>
      </c>
      <c r="L37" s="52"/>
      <c r="M37" s="302"/>
      <c r="N37" s="53" t="s">
        <v>394</v>
      </c>
      <c r="O37" s="53" t="s">
        <v>395</v>
      </c>
      <c r="P37" s="52"/>
      <c r="Q37" s="53"/>
      <c r="R37" s="53"/>
      <c r="S37" s="54"/>
      <c r="T37" s="55" t="s">
        <v>396</v>
      </c>
      <c r="U37" s="312" t="s">
        <v>397</v>
      </c>
      <c r="V37" s="312" t="s">
        <v>398</v>
      </c>
      <c r="W37" s="314" t="s">
        <v>399</v>
      </c>
      <c r="X37" s="315" t="s">
        <v>249</v>
      </c>
      <c r="Y37" s="311" t="s">
        <v>400</v>
      </c>
      <c r="Z37" s="311" t="s">
        <v>401</v>
      </c>
      <c r="AA37" s="310" t="s">
        <v>402</v>
      </c>
    </row>
    <row r="38" spans="2:27" ht="80.25" customHeight="1">
      <c r="B38" s="309" t="s">
        <v>14</v>
      </c>
      <c r="C38" s="309" t="s">
        <v>245</v>
      </c>
      <c r="D38" s="309" t="s">
        <v>15</v>
      </c>
      <c r="E38" s="322">
        <v>1</v>
      </c>
      <c r="F38" s="323" t="s">
        <v>403</v>
      </c>
      <c r="G38" s="323" t="s">
        <v>404</v>
      </c>
      <c r="H38" s="54" t="s">
        <v>393</v>
      </c>
      <c r="I38" s="52">
        <v>32</v>
      </c>
      <c r="J38" s="51" t="s">
        <v>104</v>
      </c>
      <c r="K38" s="52">
        <v>3</v>
      </c>
      <c r="L38" s="52"/>
      <c r="M38" s="302"/>
      <c r="N38" s="53" t="s">
        <v>405</v>
      </c>
      <c r="O38" s="53" t="s">
        <v>406</v>
      </c>
      <c r="P38" s="52"/>
      <c r="Q38" s="53" t="s">
        <v>407</v>
      </c>
      <c r="R38" s="53"/>
      <c r="S38" s="54"/>
      <c r="T38" s="55" t="s">
        <v>396</v>
      </c>
      <c r="U38" s="312" t="s">
        <v>397</v>
      </c>
      <c r="V38" s="317" t="s">
        <v>408</v>
      </c>
      <c r="W38" s="319" t="s">
        <v>409</v>
      </c>
      <c r="X38" s="315" t="s">
        <v>249</v>
      </c>
      <c r="Y38" s="311" t="s">
        <v>410</v>
      </c>
      <c r="Z38" s="311" t="s">
        <v>411</v>
      </c>
      <c r="AA38" s="310" t="s">
        <v>412</v>
      </c>
    </row>
    <row r="39" spans="2:27" ht="80.25" customHeight="1">
      <c r="B39" s="309" t="s">
        <v>14</v>
      </c>
      <c r="C39" s="309" t="s">
        <v>245</v>
      </c>
      <c r="D39" s="309" t="s">
        <v>15</v>
      </c>
      <c r="E39" s="310">
        <v>1</v>
      </c>
      <c r="F39" s="323" t="s">
        <v>413</v>
      </c>
      <c r="G39" s="309" t="s">
        <v>414</v>
      </c>
      <c r="H39" s="116" t="s">
        <v>415</v>
      </c>
      <c r="I39" s="52">
        <v>33</v>
      </c>
      <c r="J39" s="51" t="s">
        <v>162</v>
      </c>
      <c r="K39" s="52">
        <v>23</v>
      </c>
      <c r="L39" s="52">
        <v>6</v>
      </c>
      <c r="M39" s="52"/>
      <c r="N39" s="53" t="s">
        <v>416</v>
      </c>
      <c r="O39" s="53" t="s">
        <v>417</v>
      </c>
      <c r="P39" s="52"/>
      <c r="Q39" s="54"/>
      <c r="R39" s="53"/>
      <c r="S39" s="54"/>
      <c r="T39" s="55" t="s">
        <v>396</v>
      </c>
      <c r="U39" s="312" t="s">
        <v>397</v>
      </c>
      <c r="V39" s="312" t="s">
        <v>418</v>
      </c>
      <c r="W39" s="320" t="s">
        <v>419</v>
      </c>
      <c r="X39" s="315" t="s">
        <v>249</v>
      </c>
      <c r="Y39" s="311" t="s">
        <v>420</v>
      </c>
      <c r="Z39" s="311" t="s">
        <v>421</v>
      </c>
      <c r="AA39" s="310" t="s">
        <v>422</v>
      </c>
    </row>
    <row r="40" spans="2:27" ht="80.25" customHeight="1">
      <c r="B40" s="309" t="s">
        <v>14</v>
      </c>
      <c r="C40" s="309" t="s">
        <v>245</v>
      </c>
      <c r="D40" s="309" t="s">
        <v>15</v>
      </c>
      <c r="E40" s="322">
        <v>1</v>
      </c>
      <c r="F40" s="324" t="s">
        <v>423</v>
      </c>
      <c r="G40" s="323" t="s">
        <v>424</v>
      </c>
      <c r="H40" s="54" t="s">
        <v>415</v>
      </c>
      <c r="I40" s="52">
        <v>34</v>
      </c>
      <c r="J40" s="51" t="s">
        <v>162</v>
      </c>
      <c r="K40" s="52">
        <v>23</v>
      </c>
      <c r="L40" s="52">
        <v>6</v>
      </c>
      <c r="M40" s="302"/>
      <c r="N40" s="53" t="s">
        <v>425</v>
      </c>
      <c r="O40" s="53" t="s">
        <v>426</v>
      </c>
      <c r="P40" s="52"/>
      <c r="Q40" s="54"/>
      <c r="R40" s="53"/>
      <c r="S40" s="54"/>
      <c r="T40" s="55" t="s">
        <v>396</v>
      </c>
      <c r="U40" s="312" t="s">
        <v>397</v>
      </c>
      <c r="V40" s="312" t="s">
        <v>427</v>
      </c>
      <c r="W40" s="320" t="s">
        <v>419</v>
      </c>
      <c r="X40" s="315" t="s">
        <v>249</v>
      </c>
      <c r="Y40" s="311" t="s">
        <v>428</v>
      </c>
      <c r="Z40" s="311" t="s">
        <v>429</v>
      </c>
      <c r="AA40" s="310" t="s">
        <v>430</v>
      </c>
    </row>
    <row r="41" spans="2:27" ht="80.25" customHeight="1">
      <c r="B41" s="309" t="s">
        <v>14</v>
      </c>
      <c r="C41" s="309" t="s">
        <v>245</v>
      </c>
      <c r="D41" s="309" t="s">
        <v>15</v>
      </c>
      <c r="E41" s="310">
        <v>1</v>
      </c>
      <c r="F41" s="323" t="s">
        <v>431</v>
      </c>
      <c r="G41" s="323" t="s">
        <v>432</v>
      </c>
      <c r="H41" s="116" t="s">
        <v>415</v>
      </c>
      <c r="I41" s="52">
        <v>35</v>
      </c>
      <c r="J41" s="51" t="s">
        <v>162</v>
      </c>
      <c r="K41" s="52">
        <v>23</v>
      </c>
      <c r="L41" s="52">
        <v>6</v>
      </c>
      <c r="M41" s="52"/>
      <c r="N41" s="53" t="s">
        <v>433</v>
      </c>
      <c r="O41" s="53" t="s">
        <v>434</v>
      </c>
      <c r="P41" s="52"/>
      <c r="Q41" s="51"/>
      <c r="R41" s="55" t="s">
        <v>435</v>
      </c>
      <c r="S41" s="51" t="s">
        <v>436</v>
      </c>
      <c r="T41" s="55" t="s">
        <v>259</v>
      </c>
      <c r="U41" s="312" t="s">
        <v>260</v>
      </c>
      <c r="V41" s="313" t="s">
        <v>437</v>
      </c>
      <c r="W41" s="316" t="s">
        <v>438</v>
      </c>
      <c r="X41" s="315" t="s">
        <v>249</v>
      </c>
      <c r="Y41" s="311" t="s">
        <v>439</v>
      </c>
      <c r="Z41" s="318" t="s">
        <v>440</v>
      </c>
      <c r="AA41" s="310" t="s">
        <v>441</v>
      </c>
    </row>
    <row r="42" spans="2:27" ht="80.25" customHeight="1">
      <c r="B42" s="51" t="s">
        <v>14</v>
      </c>
      <c r="C42" s="51" t="s">
        <v>245</v>
      </c>
      <c r="D42" s="51" t="s">
        <v>15</v>
      </c>
      <c r="E42" s="308">
        <v>1</v>
      </c>
      <c r="F42" s="122" t="s">
        <v>189</v>
      </c>
      <c r="G42" s="51" t="s">
        <v>190</v>
      </c>
      <c r="H42" s="116" t="s">
        <v>191</v>
      </c>
      <c r="I42" s="52">
        <v>36</v>
      </c>
      <c r="J42" s="51" t="s">
        <v>104</v>
      </c>
      <c r="K42" s="52">
        <v>4</v>
      </c>
      <c r="L42" s="52"/>
      <c r="M42" s="302"/>
      <c r="N42" s="53" t="s">
        <v>192</v>
      </c>
      <c r="O42" s="53" t="s">
        <v>193</v>
      </c>
      <c r="P42" s="52"/>
      <c r="Q42" s="53" t="s">
        <v>442</v>
      </c>
      <c r="R42" s="55" t="s">
        <v>194</v>
      </c>
      <c r="S42" s="55" t="s">
        <v>443</v>
      </c>
      <c r="T42" s="55" t="s">
        <v>246</v>
      </c>
      <c r="U42" s="53" t="s">
        <v>247</v>
      </c>
      <c r="V42" s="55" t="s">
        <v>200</v>
      </c>
      <c r="W42" s="299" t="s">
        <v>444</v>
      </c>
      <c r="X42" s="61" t="s">
        <v>249</v>
      </c>
      <c r="Y42" s="66" t="s">
        <v>254</v>
      </c>
      <c r="Z42" s="65" t="s">
        <v>445</v>
      </c>
      <c r="AA42" s="52" t="s">
        <v>206</v>
      </c>
    </row>
    <row r="43" spans="2:27" ht="80.25" customHeight="1">
      <c r="B43" s="51" t="s">
        <v>14</v>
      </c>
      <c r="C43" s="51" t="s">
        <v>245</v>
      </c>
      <c r="D43" s="51" t="s">
        <v>15</v>
      </c>
      <c r="E43" s="52">
        <v>1</v>
      </c>
      <c r="F43" s="122" t="s">
        <v>195</v>
      </c>
      <c r="G43" s="51" t="s">
        <v>196</v>
      </c>
      <c r="H43" s="116" t="s">
        <v>191</v>
      </c>
      <c r="I43" s="52">
        <v>37</v>
      </c>
      <c r="J43" s="51" t="s">
        <v>104</v>
      </c>
      <c r="K43" s="52">
        <v>4</v>
      </c>
      <c r="L43" s="52"/>
      <c r="M43" s="52"/>
      <c r="N43" s="53" t="s">
        <v>197</v>
      </c>
      <c r="O43" s="53" t="s">
        <v>198</v>
      </c>
      <c r="P43" s="52"/>
      <c r="Q43" s="53" t="s">
        <v>232</v>
      </c>
      <c r="R43" s="55" t="s">
        <v>142</v>
      </c>
      <c r="S43" s="51" t="s">
        <v>199</v>
      </c>
      <c r="T43" s="55" t="s">
        <v>246</v>
      </c>
      <c r="U43" s="53" t="s">
        <v>247</v>
      </c>
      <c r="V43" s="55" t="s">
        <v>200</v>
      </c>
      <c r="W43" s="321" t="s">
        <v>446</v>
      </c>
      <c r="X43" s="61" t="s">
        <v>249</v>
      </c>
      <c r="Y43" s="54" t="s">
        <v>206</v>
      </c>
      <c r="Z43" s="54" t="s">
        <v>206</v>
      </c>
      <c r="AA43" s="52" t="s">
        <v>233</v>
      </c>
    </row>
    <row r="44" spans="2:27" ht="80.25" customHeight="1">
      <c r="B44" s="51" t="s">
        <v>14</v>
      </c>
      <c r="C44" s="51" t="s">
        <v>245</v>
      </c>
      <c r="D44" s="51" t="s">
        <v>15</v>
      </c>
      <c r="E44" s="308">
        <v>1</v>
      </c>
      <c r="F44" s="51" t="s">
        <v>201</v>
      </c>
      <c r="G44" s="203" t="s">
        <v>202</v>
      </c>
      <c r="H44" s="51" t="s">
        <v>203</v>
      </c>
      <c r="I44" s="52">
        <v>38</v>
      </c>
      <c r="J44" s="51" t="s">
        <v>104</v>
      </c>
      <c r="K44" s="52">
        <v>2</v>
      </c>
      <c r="L44" s="52"/>
      <c r="M44" s="302"/>
      <c r="N44" s="53" t="s">
        <v>204</v>
      </c>
      <c r="O44" s="53" t="s">
        <v>205</v>
      </c>
      <c r="P44" s="52"/>
      <c r="Q44" s="53" t="s">
        <v>447</v>
      </c>
      <c r="R44" s="55"/>
      <c r="S44" s="51"/>
      <c r="T44" s="55" t="s">
        <v>250</v>
      </c>
      <c r="U44" s="55" t="s">
        <v>251</v>
      </c>
      <c r="V44" s="55" t="s">
        <v>236</v>
      </c>
      <c r="W44" s="72" t="s">
        <v>448</v>
      </c>
      <c r="X44" s="61" t="s">
        <v>293</v>
      </c>
      <c r="Y44" s="54" t="s">
        <v>296</v>
      </c>
      <c r="Z44" s="54" t="s">
        <v>296</v>
      </c>
      <c r="AA44" s="52" t="s">
        <v>449</v>
      </c>
    </row>
    <row r="45" spans="2:27" ht="80.25" customHeight="1">
      <c r="B45" s="51" t="s">
        <v>14</v>
      </c>
      <c r="C45" s="51" t="s">
        <v>245</v>
      </c>
      <c r="D45" s="51" t="s">
        <v>15</v>
      </c>
      <c r="E45" s="52">
        <v>1</v>
      </c>
      <c r="F45" s="203" t="s">
        <v>207</v>
      </c>
      <c r="G45" s="51" t="s">
        <v>208</v>
      </c>
      <c r="H45" s="51" t="s">
        <v>209</v>
      </c>
      <c r="I45" s="52">
        <v>39</v>
      </c>
      <c r="J45" s="51" t="s">
        <v>104</v>
      </c>
      <c r="K45" s="52">
        <v>10</v>
      </c>
      <c r="L45" s="52"/>
      <c r="M45" s="302"/>
      <c r="N45" s="53" t="s">
        <v>210</v>
      </c>
      <c r="O45" s="53" t="s">
        <v>211</v>
      </c>
      <c r="P45" s="52" t="s">
        <v>107</v>
      </c>
      <c r="Q45" s="54"/>
      <c r="R45" s="55" t="s">
        <v>177</v>
      </c>
      <c r="S45" s="51" t="s">
        <v>450</v>
      </c>
      <c r="T45" s="55" t="s">
        <v>250</v>
      </c>
      <c r="U45" s="55" t="s">
        <v>251</v>
      </c>
      <c r="V45" s="53" t="s">
        <v>451</v>
      </c>
      <c r="W45" s="230" t="s">
        <v>452</v>
      </c>
      <c r="X45" s="51" t="s">
        <v>206</v>
      </c>
      <c r="Y45" s="54" t="s">
        <v>206</v>
      </c>
      <c r="Z45" s="54" t="s">
        <v>206</v>
      </c>
      <c r="AA45" s="52" t="s">
        <v>206</v>
      </c>
    </row>
    <row r="46" spans="2:27" ht="80.25" customHeight="1">
      <c r="B46" s="51" t="s">
        <v>14</v>
      </c>
      <c r="C46" s="51" t="s">
        <v>245</v>
      </c>
      <c r="D46" s="51" t="s">
        <v>15</v>
      </c>
      <c r="E46" s="52">
        <v>1</v>
      </c>
      <c r="F46" s="51" t="s">
        <v>212</v>
      </c>
      <c r="G46" s="51" t="s">
        <v>213</v>
      </c>
      <c r="H46" s="51" t="s">
        <v>214</v>
      </c>
      <c r="I46" s="52">
        <v>40</v>
      </c>
      <c r="J46" s="51" t="s">
        <v>215</v>
      </c>
      <c r="K46" s="52">
        <v>23</v>
      </c>
      <c r="L46" s="52"/>
      <c r="M46" s="302"/>
      <c r="N46" s="53" t="s">
        <v>216</v>
      </c>
      <c r="O46" s="53" t="s">
        <v>217</v>
      </c>
      <c r="P46" s="52"/>
      <c r="Q46" s="54"/>
      <c r="R46" s="55"/>
      <c r="S46" s="51"/>
      <c r="T46" s="55" t="s">
        <v>250</v>
      </c>
      <c r="U46" s="55" t="s">
        <v>251</v>
      </c>
      <c r="V46" s="55" t="s">
        <v>236</v>
      </c>
      <c r="W46" s="295" t="s">
        <v>453</v>
      </c>
      <c r="X46" s="51" t="s">
        <v>206</v>
      </c>
      <c r="Y46" s="54" t="s">
        <v>206</v>
      </c>
      <c r="Z46" s="54" t="s">
        <v>206</v>
      </c>
      <c r="AA46" s="52" t="s">
        <v>206</v>
      </c>
    </row>
    <row r="47" spans="2:27" ht="41.25" customHeight="1">
      <c r="B47" s="51" t="s">
        <v>14</v>
      </c>
      <c r="C47" s="51" t="s">
        <v>454</v>
      </c>
      <c r="D47" s="51" t="s">
        <v>17</v>
      </c>
      <c r="E47" s="52">
        <v>2</v>
      </c>
      <c r="F47" s="51" t="s">
        <v>101</v>
      </c>
      <c r="G47" s="51" t="s">
        <v>102</v>
      </c>
      <c r="H47" s="51" t="s">
        <v>103</v>
      </c>
      <c r="I47" s="52">
        <v>1</v>
      </c>
      <c r="J47" s="51" t="s">
        <v>104</v>
      </c>
      <c r="K47" s="52">
        <v>4</v>
      </c>
      <c r="L47" s="52"/>
      <c r="M47" s="52"/>
      <c r="N47" s="300" t="s">
        <v>105</v>
      </c>
      <c r="O47" s="53" t="s">
        <v>106</v>
      </c>
      <c r="P47" s="52" t="s">
        <v>107</v>
      </c>
      <c r="Q47" s="54"/>
      <c r="R47" s="55"/>
      <c r="S47" s="51"/>
      <c r="T47" s="55" t="s">
        <v>455</v>
      </c>
      <c r="U47" s="65" t="s">
        <v>456</v>
      </c>
      <c r="V47" s="55" t="s">
        <v>110</v>
      </c>
      <c r="W47" s="72" t="s">
        <v>457</v>
      </c>
      <c r="X47" s="61" t="s">
        <v>249</v>
      </c>
      <c r="Y47" s="54" t="s">
        <v>206</v>
      </c>
      <c r="Z47" s="54" t="s">
        <v>206</v>
      </c>
      <c r="AA47" s="52" t="s">
        <v>218</v>
      </c>
    </row>
    <row r="48" spans="2:27" ht="80.25" customHeight="1">
      <c r="B48" s="51" t="s">
        <v>14</v>
      </c>
      <c r="C48" s="51" t="s">
        <v>454</v>
      </c>
      <c r="D48" s="51" t="s">
        <v>17</v>
      </c>
      <c r="E48" s="52">
        <v>2</v>
      </c>
      <c r="F48" s="51" t="s">
        <v>281</v>
      </c>
      <c r="G48" s="51" t="s">
        <v>282</v>
      </c>
      <c r="H48" s="51" t="s">
        <v>103</v>
      </c>
      <c r="I48" s="52">
        <v>2</v>
      </c>
      <c r="J48" s="51" t="s">
        <v>104</v>
      </c>
      <c r="K48" s="52">
        <v>15</v>
      </c>
      <c r="L48" s="52"/>
      <c r="M48" s="52"/>
      <c r="N48" s="53" t="s">
        <v>458</v>
      </c>
      <c r="O48" s="53" t="s">
        <v>284</v>
      </c>
      <c r="P48" s="52" t="s">
        <v>107</v>
      </c>
      <c r="Q48" s="54"/>
      <c r="R48" s="55"/>
      <c r="S48" s="51"/>
      <c r="T48" s="51" t="s">
        <v>311</v>
      </c>
      <c r="U48" s="66" t="s">
        <v>263</v>
      </c>
      <c r="V48" s="51" t="s">
        <v>459</v>
      </c>
      <c r="W48" s="72" t="s">
        <v>460</v>
      </c>
      <c r="X48" s="61" t="s">
        <v>249</v>
      </c>
      <c r="Y48" s="66" t="s">
        <v>263</v>
      </c>
      <c r="Z48" s="54" t="s">
        <v>287</v>
      </c>
      <c r="AA48" s="52" t="s">
        <v>206</v>
      </c>
    </row>
    <row r="49" spans="2:27" ht="80.25" customHeight="1">
      <c r="B49" s="51" t="s">
        <v>14</v>
      </c>
      <c r="C49" s="51" t="s">
        <v>454</v>
      </c>
      <c r="D49" s="51" t="s">
        <v>17</v>
      </c>
      <c r="E49" s="52">
        <v>2</v>
      </c>
      <c r="F49" s="51" t="s">
        <v>115</v>
      </c>
      <c r="G49" s="51" t="s">
        <v>116</v>
      </c>
      <c r="H49" s="54" t="s">
        <v>117</v>
      </c>
      <c r="I49" s="52">
        <v>3</v>
      </c>
      <c r="J49" s="51" t="s">
        <v>104</v>
      </c>
      <c r="K49" s="52">
        <v>4</v>
      </c>
      <c r="L49" s="52"/>
      <c r="M49" s="52"/>
      <c r="N49" s="53" t="s">
        <v>118</v>
      </c>
      <c r="O49" s="53" t="s">
        <v>119</v>
      </c>
      <c r="P49" s="52"/>
      <c r="Q49" s="53" t="s">
        <v>256</v>
      </c>
      <c r="R49" s="55"/>
      <c r="S49" s="51"/>
      <c r="T49" s="55" t="s">
        <v>455</v>
      </c>
      <c r="U49" s="65" t="s">
        <v>456</v>
      </c>
      <c r="V49" s="55" t="s">
        <v>110</v>
      </c>
      <c r="W49" s="72" t="s">
        <v>461</v>
      </c>
      <c r="X49" s="51" t="s">
        <v>206</v>
      </c>
      <c r="Y49" s="51" t="s">
        <v>206</v>
      </c>
      <c r="Z49" s="51" t="s">
        <v>206</v>
      </c>
      <c r="AA49" s="52" t="s">
        <v>206</v>
      </c>
    </row>
    <row r="50" spans="2:27" ht="80.25" customHeight="1">
      <c r="B50" s="51" t="s">
        <v>14</v>
      </c>
      <c r="C50" s="51" t="s">
        <v>454</v>
      </c>
      <c r="D50" s="51" t="s">
        <v>17</v>
      </c>
      <c r="E50" s="52">
        <v>2</v>
      </c>
      <c r="F50" s="51" t="s">
        <v>120</v>
      </c>
      <c r="G50" s="51" t="s">
        <v>121</v>
      </c>
      <c r="H50" s="54" t="s">
        <v>117</v>
      </c>
      <c r="I50" s="52">
        <v>3</v>
      </c>
      <c r="J50" s="51" t="s">
        <v>104</v>
      </c>
      <c r="K50" s="52">
        <v>4</v>
      </c>
      <c r="L50" s="52"/>
      <c r="M50" s="52"/>
      <c r="N50" s="53" t="s">
        <v>122</v>
      </c>
      <c r="O50" s="53" t="s">
        <v>123</v>
      </c>
      <c r="P50" s="52"/>
      <c r="Q50" s="53" t="s">
        <v>462</v>
      </c>
      <c r="R50" s="55"/>
      <c r="S50" s="51"/>
      <c r="T50" s="51" t="s">
        <v>311</v>
      </c>
      <c r="U50" s="61" t="s">
        <v>263</v>
      </c>
      <c r="V50" s="51" t="s">
        <v>264</v>
      </c>
      <c r="W50" s="295" t="s">
        <v>463</v>
      </c>
      <c r="X50" s="61" t="s">
        <v>249</v>
      </c>
      <c r="Y50" s="66" t="s">
        <v>263</v>
      </c>
      <c r="Z50" s="54" t="s">
        <v>264</v>
      </c>
      <c r="AA50" s="52" t="s">
        <v>206</v>
      </c>
    </row>
    <row r="51" spans="2:27" ht="80.25" customHeight="1">
      <c r="B51" s="51" t="s">
        <v>14</v>
      </c>
      <c r="C51" s="51" t="s">
        <v>454</v>
      </c>
      <c r="D51" s="51" t="s">
        <v>17</v>
      </c>
      <c r="E51" s="52">
        <v>2</v>
      </c>
      <c r="F51" s="51" t="s">
        <v>126</v>
      </c>
      <c r="G51" s="51" t="s">
        <v>127</v>
      </c>
      <c r="H51" s="54" t="s">
        <v>117</v>
      </c>
      <c r="I51" s="52">
        <v>3</v>
      </c>
      <c r="J51" s="51" t="s">
        <v>104</v>
      </c>
      <c r="K51" s="52">
        <v>4</v>
      </c>
      <c r="L51" s="52"/>
      <c r="M51" s="52"/>
      <c r="N51" s="53" t="s">
        <v>128</v>
      </c>
      <c r="O51" s="53" t="s">
        <v>129</v>
      </c>
      <c r="P51" s="52"/>
      <c r="Q51" s="53" t="s">
        <v>265</v>
      </c>
      <c r="R51" s="55"/>
      <c r="S51" s="51"/>
      <c r="T51" s="51" t="s">
        <v>311</v>
      </c>
      <c r="U51" s="61" t="s">
        <v>263</v>
      </c>
      <c r="V51" s="51" t="s">
        <v>268</v>
      </c>
      <c r="W51" s="72" t="s">
        <v>464</v>
      </c>
      <c r="X51" s="61" t="s">
        <v>249</v>
      </c>
      <c r="Y51" s="66" t="s">
        <v>263</v>
      </c>
      <c r="Z51" s="66" t="s">
        <v>268</v>
      </c>
      <c r="AA51" s="52" t="s">
        <v>206</v>
      </c>
    </row>
    <row r="52" spans="2:27" ht="80.25" customHeight="1">
      <c r="B52" s="51" t="s">
        <v>14</v>
      </c>
      <c r="C52" s="51" t="s">
        <v>454</v>
      </c>
      <c r="D52" s="51" t="s">
        <v>17</v>
      </c>
      <c r="E52" s="52">
        <v>2</v>
      </c>
      <c r="F52" s="51" t="s">
        <v>131</v>
      </c>
      <c r="G52" s="51" t="s">
        <v>132</v>
      </c>
      <c r="H52" s="54" t="s">
        <v>117</v>
      </c>
      <c r="I52" s="52">
        <v>6</v>
      </c>
      <c r="J52" s="51" t="s">
        <v>104</v>
      </c>
      <c r="K52" s="52">
        <v>4</v>
      </c>
      <c r="L52" s="52"/>
      <c r="M52" s="52"/>
      <c r="N52" s="53" t="s">
        <v>465</v>
      </c>
      <c r="O52" s="53" t="s">
        <v>133</v>
      </c>
      <c r="P52" s="52"/>
      <c r="Q52" s="54"/>
      <c r="R52" s="55"/>
      <c r="S52" s="51"/>
      <c r="T52" s="51" t="s">
        <v>311</v>
      </c>
      <c r="U52" s="66" t="s">
        <v>263</v>
      </c>
      <c r="V52" s="51" t="s">
        <v>206</v>
      </c>
      <c r="W52" s="306" t="s">
        <v>466</v>
      </c>
      <c r="X52" s="61" t="s">
        <v>249</v>
      </c>
      <c r="Y52" s="54" t="s">
        <v>206</v>
      </c>
      <c r="Z52" s="54" t="s">
        <v>206</v>
      </c>
      <c r="AA52" s="52" t="s">
        <v>218</v>
      </c>
    </row>
    <row r="53" spans="2:27" ht="80.25" customHeight="1">
      <c r="B53" s="51" t="s">
        <v>14</v>
      </c>
      <c r="C53" s="51" t="s">
        <v>454</v>
      </c>
      <c r="D53" s="51" t="s">
        <v>17</v>
      </c>
      <c r="E53" s="52">
        <v>2</v>
      </c>
      <c r="F53" s="51" t="s">
        <v>134</v>
      </c>
      <c r="G53" s="51" t="s">
        <v>135</v>
      </c>
      <c r="H53" s="54" t="s">
        <v>117</v>
      </c>
      <c r="I53" s="52">
        <v>7</v>
      </c>
      <c r="J53" s="51" t="s">
        <v>104</v>
      </c>
      <c r="K53" s="52">
        <v>30</v>
      </c>
      <c r="L53" s="52"/>
      <c r="M53" s="52"/>
      <c r="N53" s="53" t="s">
        <v>467</v>
      </c>
      <c r="O53" s="53" t="s">
        <v>136</v>
      </c>
      <c r="P53" s="52"/>
      <c r="Q53" s="54"/>
      <c r="R53" s="55"/>
      <c r="S53" s="51"/>
      <c r="T53" s="51" t="s">
        <v>311</v>
      </c>
      <c r="U53" s="66" t="s">
        <v>263</v>
      </c>
      <c r="V53" s="54" t="s">
        <v>468</v>
      </c>
      <c r="W53" s="294" t="s">
        <v>469</v>
      </c>
      <c r="X53" s="61" t="s">
        <v>249</v>
      </c>
      <c r="Y53" s="54" t="s">
        <v>263</v>
      </c>
      <c r="Z53" s="65" t="s">
        <v>275</v>
      </c>
      <c r="AA53" s="52" t="s">
        <v>206</v>
      </c>
    </row>
    <row r="54" spans="2:27" ht="80.25" customHeight="1">
      <c r="B54" s="51" t="s">
        <v>14</v>
      </c>
      <c r="C54" s="51" t="s">
        <v>454</v>
      </c>
      <c r="D54" s="51" t="s">
        <v>17</v>
      </c>
      <c r="E54" s="52">
        <v>2</v>
      </c>
      <c r="F54" s="51" t="s">
        <v>137</v>
      </c>
      <c r="G54" s="51" t="s">
        <v>138</v>
      </c>
      <c r="H54" s="54" t="s">
        <v>139</v>
      </c>
      <c r="I54" s="52">
        <v>8</v>
      </c>
      <c r="J54" s="51" t="s">
        <v>104</v>
      </c>
      <c r="K54" s="52">
        <v>10</v>
      </c>
      <c r="L54" s="52"/>
      <c r="M54" s="52"/>
      <c r="N54" s="53" t="s">
        <v>470</v>
      </c>
      <c r="O54" s="53" t="s">
        <v>141</v>
      </c>
      <c r="P54" s="52"/>
      <c r="Q54" s="54"/>
      <c r="R54" s="55"/>
      <c r="S54" s="51"/>
      <c r="T54" s="51" t="s">
        <v>311</v>
      </c>
      <c r="U54" s="66" t="s">
        <v>263</v>
      </c>
      <c r="V54" s="51" t="s">
        <v>471</v>
      </c>
      <c r="W54" s="72" t="s">
        <v>472</v>
      </c>
      <c r="X54" s="61" t="s">
        <v>249</v>
      </c>
      <c r="Y54" s="54" t="s">
        <v>263</v>
      </c>
      <c r="Z54" s="54" t="s">
        <v>471</v>
      </c>
      <c r="AA54" s="52" t="s">
        <v>206</v>
      </c>
    </row>
    <row r="55" spans="2:27" ht="80.25" customHeight="1">
      <c r="B55" s="51" t="s">
        <v>14</v>
      </c>
      <c r="C55" s="51" t="s">
        <v>454</v>
      </c>
      <c r="D55" s="51" t="s">
        <v>17</v>
      </c>
      <c r="E55" s="52">
        <v>2</v>
      </c>
      <c r="F55" s="51" t="s">
        <v>143</v>
      </c>
      <c r="G55" s="51" t="s">
        <v>144</v>
      </c>
      <c r="H55" s="54" t="s">
        <v>139</v>
      </c>
      <c r="I55" s="52">
        <v>9</v>
      </c>
      <c r="J55" s="51" t="s">
        <v>104</v>
      </c>
      <c r="K55" s="52">
        <v>10</v>
      </c>
      <c r="L55" s="52"/>
      <c r="M55" s="52"/>
      <c r="N55" s="53" t="s">
        <v>145</v>
      </c>
      <c r="O55" s="53" t="s">
        <v>146</v>
      </c>
      <c r="P55" s="52"/>
      <c r="Q55" s="54"/>
      <c r="R55" s="55"/>
      <c r="S55" s="51"/>
      <c r="T55" s="51" t="s">
        <v>311</v>
      </c>
      <c r="U55" s="66" t="s">
        <v>263</v>
      </c>
      <c r="V55" s="51" t="s">
        <v>206</v>
      </c>
      <c r="W55" s="72" t="s">
        <v>473</v>
      </c>
      <c r="X55" s="61" t="s">
        <v>249</v>
      </c>
      <c r="Y55" s="54" t="s">
        <v>206</v>
      </c>
      <c r="Z55" s="54" t="s">
        <v>206</v>
      </c>
      <c r="AA55" s="64" t="s">
        <v>474</v>
      </c>
    </row>
    <row r="56" spans="2:27" ht="80.25" customHeight="1">
      <c r="B56" s="51" t="s">
        <v>14</v>
      </c>
      <c r="C56" s="51" t="s">
        <v>454</v>
      </c>
      <c r="D56" s="51" t="s">
        <v>17</v>
      </c>
      <c r="E56" s="52">
        <v>2</v>
      </c>
      <c r="F56" s="51" t="s">
        <v>148</v>
      </c>
      <c r="G56" s="51" t="s">
        <v>149</v>
      </c>
      <c r="H56" s="54" t="s">
        <v>150</v>
      </c>
      <c r="I56" s="52">
        <v>10</v>
      </c>
      <c r="J56" s="51" t="s">
        <v>104</v>
      </c>
      <c r="K56" s="52">
        <v>4</v>
      </c>
      <c r="L56" s="52"/>
      <c r="M56" s="52"/>
      <c r="N56" s="53" t="s">
        <v>475</v>
      </c>
      <c r="O56" s="53" t="s">
        <v>152</v>
      </c>
      <c r="P56" s="52"/>
      <c r="Q56" s="53" t="s">
        <v>222</v>
      </c>
      <c r="R56" s="55"/>
      <c r="S56" s="55"/>
      <c r="T56" s="51" t="s">
        <v>311</v>
      </c>
      <c r="U56" s="66" t="s">
        <v>263</v>
      </c>
      <c r="V56" s="51" t="s">
        <v>224</v>
      </c>
      <c r="W56" s="72" t="s">
        <v>476</v>
      </c>
      <c r="X56" s="61" t="s">
        <v>249</v>
      </c>
      <c r="Y56" s="66" t="s">
        <v>263</v>
      </c>
      <c r="Z56" s="66" t="s">
        <v>224</v>
      </c>
      <c r="AA56" s="52" t="s">
        <v>206</v>
      </c>
    </row>
    <row r="57" spans="2:27" ht="80.25" customHeight="1">
      <c r="B57" s="51" t="s">
        <v>14</v>
      </c>
      <c r="C57" s="51" t="s">
        <v>454</v>
      </c>
      <c r="D57" s="51" t="s">
        <v>17</v>
      </c>
      <c r="E57" s="52">
        <v>2</v>
      </c>
      <c r="F57" s="51" t="s">
        <v>318</v>
      </c>
      <c r="G57" s="51" t="s">
        <v>319</v>
      </c>
      <c r="H57" s="51" t="s">
        <v>161</v>
      </c>
      <c r="I57" s="52">
        <v>11</v>
      </c>
      <c r="J57" s="51" t="s">
        <v>162</v>
      </c>
      <c r="K57" s="52">
        <v>23</v>
      </c>
      <c r="L57" s="52">
        <v>6</v>
      </c>
      <c r="M57" s="52"/>
      <c r="N57" s="53" t="s">
        <v>320</v>
      </c>
      <c r="O57" s="53" t="s">
        <v>321</v>
      </c>
      <c r="P57" s="52"/>
      <c r="Q57" s="54"/>
      <c r="R57" s="53"/>
      <c r="S57" s="53"/>
      <c r="T57" s="51" t="s">
        <v>311</v>
      </c>
      <c r="U57" s="66" t="s">
        <v>263</v>
      </c>
      <c r="V57" s="71" t="s">
        <v>477</v>
      </c>
      <c r="W57" s="294" t="s">
        <v>478</v>
      </c>
      <c r="X57" s="61" t="s">
        <v>249</v>
      </c>
      <c r="Y57" s="66" t="s">
        <v>263</v>
      </c>
      <c r="Z57" s="61" t="s">
        <v>477</v>
      </c>
      <c r="AA57" s="52" t="s">
        <v>206</v>
      </c>
    </row>
    <row r="58" spans="2:27" ht="127.5" customHeight="1">
      <c r="B58" s="51" t="s">
        <v>14</v>
      </c>
      <c r="C58" s="51" t="s">
        <v>454</v>
      </c>
      <c r="D58" s="51" t="s">
        <v>17</v>
      </c>
      <c r="E58" s="52">
        <v>2</v>
      </c>
      <c r="F58" s="51" t="s">
        <v>479</v>
      </c>
      <c r="G58" s="51" t="s">
        <v>480</v>
      </c>
      <c r="H58" s="54" t="s">
        <v>191</v>
      </c>
      <c r="I58" s="52">
        <v>12</v>
      </c>
      <c r="J58" s="51" t="s">
        <v>104</v>
      </c>
      <c r="K58" s="52">
        <v>4</v>
      </c>
      <c r="L58" s="52"/>
      <c r="M58" s="52"/>
      <c r="N58" s="53" t="s">
        <v>481</v>
      </c>
      <c r="O58" s="53" t="s">
        <v>482</v>
      </c>
      <c r="P58" s="52"/>
      <c r="Q58" s="53" t="s">
        <v>483</v>
      </c>
      <c r="R58" s="55"/>
      <c r="S58" s="51"/>
      <c r="T58" s="55" t="s">
        <v>455</v>
      </c>
      <c r="U58" s="65" t="s">
        <v>456</v>
      </c>
      <c r="V58" s="55" t="s">
        <v>110</v>
      </c>
      <c r="W58" s="299" t="s">
        <v>484</v>
      </c>
      <c r="X58" s="61" t="s">
        <v>249</v>
      </c>
      <c r="Y58" s="66" t="s">
        <v>263</v>
      </c>
      <c r="Z58" s="70" t="s">
        <v>485</v>
      </c>
      <c r="AA58" s="52" t="s">
        <v>206</v>
      </c>
    </row>
    <row r="59" spans="2:27" ht="80.25" customHeight="1">
      <c r="B59" s="51" t="s">
        <v>14</v>
      </c>
      <c r="C59" s="51" t="s">
        <v>454</v>
      </c>
      <c r="D59" s="51" t="s">
        <v>17</v>
      </c>
      <c r="E59" s="52">
        <v>2</v>
      </c>
      <c r="F59" s="51" t="s">
        <v>486</v>
      </c>
      <c r="G59" s="51" t="s">
        <v>487</v>
      </c>
      <c r="H59" s="54" t="s">
        <v>191</v>
      </c>
      <c r="I59" s="52">
        <v>13</v>
      </c>
      <c r="J59" s="51" t="s">
        <v>104</v>
      </c>
      <c r="K59" s="52">
        <v>4</v>
      </c>
      <c r="L59" s="52"/>
      <c r="M59" s="52"/>
      <c r="N59" s="53" t="s">
        <v>488</v>
      </c>
      <c r="O59" s="53" t="s">
        <v>489</v>
      </c>
      <c r="P59" s="52"/>
      <c r="Q59" s="53" t="s">
        <v>490</v>
      </c>
      <c r="R59" s="63"/>
      <c r="S59" s="61"/>
      <c r="T59" s="55" t="s">
        <v>455</v>
      </c>
      <c r="U59" s="65" t="s">
        <v>456</v>
      </c>
      <c r="V59" s="55" t="s">
        <v>110</v>
      </c>
      <c r="W59" s="72" t="s">
        <v>491</v>
      </c>
      <c r="X59" s="61" t="s">
        <v>249</v>
      </c>
      <c r="Y59" s="54" t="s">
        <v>206</v>
      </c>
      <c r="Z59" s="54" t="s">
        <v>206</v>
      </c>
      <c r="AA59" s="52" t="s">
        <v>233</v>
      </c>
    </row>
    <row r="60" spans="2:27" ht="80.25" customHeight="1">
      <c r="B60" s="51" t="s">
        <v>14</v>
      </c>
      <c r="C60" s="51" t="s">
        <v>454</v>
      </c>
      <c r="D60" s="51" t="s">
        <v>17</v>
      </c>
      <c r="E60" s="52">
        <v>2</v>
      </c>
      <c r="F60" s="51" t="s">
        <v>207</v>
      </c>
      <c r="G60" s="51" t="s">
        <v>208</v>
      </c>
      <c r="H60" s="51" t="s">
        <v>209</v>
      </c>
      <c r="I60" s="52">
        <v>14</v>
      </c>
      <c r="J60" s="51" t="s">
        <v>104</v>
      </c>
      <c r="K60" s="52">
        <v>10</v>
      </c>
      <c r="L60" s="52"/>
      <c r="M60" s="52"/>
      <c r="N60" s="53" t="s">
        <v>210</v>
      </c>
      <c r="O60" s="53" t="s">
        <v>234</v>
      </c>
      <c r="P60" s="52" t="s">
        <v>107</v>
      </c>
      <c r="Q60" s="54"/>
      <c r="R60" s="55"/>
      <c r="S60" s="51"/>
      <c r="T60" s="51" t="s">
        <v>311</v>
      </c>
      <c r="U60" s="66" t="s">
        <v>263</v>
      </c>
      <c r="V60" s="51" t="s">
        <v>492</v>
      </c>
      <c r="W60" s="72" t="s">
        <v>493</v>
      </c>
      <c r="X60" s="51" t="s">
        <v>206</v>
      </c>
      <c r="Y60" s="54" t="s">
        <v>206</v>
      </c>
      <c r="Z60" s="54" t="s">
        <v>206</v>
      </c>
      <c r="AA60" s="52" t="s">
        <v>206</v>
      </c>
    </row>
    <row r="61" spans="2:27" ht="80.25" customHeight="1">
      <c r="B61" s="51" t="s">
        <v>14</v>
      </c>
      <c r="C61" s="51" t="s">
        <v>454</v>
      </c>
      <c r="D61" s="51" t="s">
        <v>17</v>
      </c>
      <c r="E61" s="52">
        <v>2</v>
      </c>
      <c r="F61" s="51" t="s">
        <v>212</v>
      </c>
      <c r="G61" s="51" t="s">
        <v>213</v>
      </c>
      <c r="H61" s="51" t="s">
        <v>214</v>
      </c>
      <c r="I61" s="52">
        <v>15</v>
      </c>
      <c r="J61" s="51" t="s">
        <v>215</v>
      </c>
      <c r="K61" s="52">
        <v>23</v>
      </c>
      <c r="L61" s="52"/>
      <c r="M61" s="52"/>
      <c r="N61" s="53" t="s">
        <v>216</v>
      </c>
      <c r="O61" s="53" t="s">
        <v>217</v>
      </c>
      <c r="P61" s="52"/>
      <c r="Q61" s="54"/>
      <c r="R61" s="55"/>
      <c r="S61" s="51"/>
      <c r="T61" s="51" t="s">
        <v>311</v>
      </c>
      <c r="U61" s="66" t="s">
        <v>263</v>
      </c>
      <c r="V61" s="51" t="s">
        <v>206</v>
      </c>
      <c r="W61" s="72" t="s">
        <v>494</v>
      </c>
      <c r="X61" s="51" t="s">
        <v>206</v>
      </c>
      <c r="Y61" s="54" t="s">
        <v>206</v>
      </c>
      <c r="Z61" s="54" t="s">
        <v>206</v>
      </c>
      <c r="AA61" s="52" t="s">
        <v>206</v>
      </c>
    </row>
    <row r="62" spans="2:27" ht="80.25" customHeight="1">
      <c r="B62" s="354" t="s">
        <v>14</v>
      </c>
      <c r="C62" s="354" t="s">
        <v>2081</v>
      </c>
      <c r="D62" s="354" t="s">
        <v>2082</v>
      </c>
      <c r="E62" s="356">
        <v>2</v>
      </c>
      <c r="F62" s="354" t="s">
        <v>101</v>
      </c>
      <c r="G62" s="354" t="s">
        <v>102</v>
      </c>
      <c r="H62" s="54" t="s">
        <v>103</v>
      </c>
      <c r="I62" s="52">
        <v>1</v>
      </c>
      <c r="J62" s="51" t="s">
        <v>104</v>
      </c>
      <c r="K62" s="52">
        <v>4</v>
      </c>
      <c r="L62" s="52"/>
      <c r="M62" s="298"/>
      <c r="N62" s="300" t="s">
        <v>105</v>
      </c>
      <c r="O62" s="53" t="s">
        <v>106</v>
      </c>
      <c r="P62" s="52" t="s">
        <v>107</v>
      </c>
      <c r="Q62" s="51"/>
      <c r="R62" s="351" t="s">
        <v>2124</v>
      </c>
      <c r="S62" s="352" t="s">
        <v>2125</v>
      </c>
      <c r="T62" s="53" t="s">
        <v>2126</v>
      </c>
      <c r="U62" s="54" t="s">
        <v>2127</v>
      </c>
      <c r="V62" s="54" t="s">
        <v>2128</v>
      </c>
      <c r="W62" s="294" t="s">
        <v>2129</v>
      </c>
      <c r="X62" s="354" t="s">
        <v>569</v>
      </c>
      <c r="Y62" s="354" t="s">
        <v>236</v>
      </c>
      <c r="Z62" s="354" t="s">
        <v>236</v>
      </c>
      <c r="AA62" s="356" t="s">
        <v>2130</v>
      </c>
    </row>
    <row r="63" spans="2:27" ht="80.25" customHeight="1">
      <c r="B63" s="354" t="s">
        <v>14</v>
      </c>
      <c r="C63" s="354" t="s">
        <v>2081</v>
      </c>
      <c r="D63" s="354" t="s">
        <v>2082</v>
      </c>
      <c r="E63" s="356">
        <v>2</v>
      </c>
      <c r="F63" s="354" t="s">
        <v>111</v>
      </c>
      <c r="G63" s="354" t="s">
        <v>112</v>
      </c>
      <c r="H63" s="54" t="s">
        <v>103</v>
      </c>
      <c r="I63" s="52">
        <v>2</v>
      </c>
      <c r="J63" s="51" t="s">
        <v>104</v>
      </c>
      <c r="K63" s="52">
        <v>30</v>
      </c>
      <c r="L63" s="52"/>
      <c r="M63" s="298"/>
      <c r="N63" s="300" t="s">
        <v>2084</v>
      </c>
      <c r="O63" s="53" t="s">
        <v>2085</v>
      </c>
      <c r="P63" s="52" t="s">
        <v>107</v>
      </c>
      <c r="Q63" s="51"/>
      <c r="R63" s="351" t="s">
        <v>2124</v>
      </c>
      <c r="S63" s="352" t="s">
        <v>2125</v>
      </c>
      <c r="T63" s="53" t="s">
        <v>2131</v>
      </c>
      <c r="U63" s="54" t="s">
        <v>2132</v>
      </c>
      <c r="V63" s="54" t="s">
        <v>2133</v>
      </c>
      <c r="W63" s="294" t="s">
        <v>2134</v>
      </c>
      <c r="X63" s="354" t="s">
        <v>569</v>
      </c>
      <c r="Y63" s="354" t="s">
        <v>2135</v>
      </c>
      <c r="Z63" s="61" t="s">
        <v>2136</v>
      </c>
      <c r="AA63" s="356" t="s">
        <v>236</v>
      </c>
    </row>
    <row r="64" spans="2:27" ht="80.25" customHeight="1">
      <c r="B64" s="354" t="s">
        <v>14</v>
      </c>
      <c r="C64" s="354" t="s">
        <v>2081</v>
      </c>
      <c r="D64" s="354" t="s">
        <v>2082</v>
      </c>
      <c r="E64" s="356">
        <v>2</v>
      </c>
      <c r="F64" s="354" t="s">
        <v>2086</v>
      </c>
      <c r="G64" s="354" t="s">
        <v>1876</v>
      </c>
      <c r="H64" s="54" t="s">
        <v>2087</v>
      </c>
      <c r="I64" s="52">
        <v>3</v>
      </c>
      <c r="J64" s="51" t="s">
        <v>497</v>
      </c>
      <c r="K64" s="52"/>
      <c r="L64" s="52"/>
      <c r="M64" s="298"/>
      <c r="N64" s="300" t="s">
        <v>2088</v>
      </c>
      <c r="O64" s="53" t="s">
        <v>2089</v>
      </c>
      <c r="P64" s="52" t="s">
        <v>107</v>
      </c>
      <c r="Q64" s="51"/>
      <c r="R64" s="351" t="s">
        <v>2137</v>
      </c>
      <c r="S64" s="300" t="s">
        <v>2138</v>
      </c>
      <c r="T64" s="53" t="s">
        <v>2131</v>
      </c>
      <c r="U64" s="54" t="s">
        <v>2132</v>
      </c>
      <c r="V64" s="358" t="s">
        <v>2139</v>
      </c>
      <c r="W64" s="294" t="s">
        <v>2140</v>
      </c>
      <c r="X64" s="354" t="s">
        <v>569</v>
      </c>
      <c r="Y64" s="354" t="s">
        <v>2135</v>
      </c>
      <c r="Z64" s="354" t="s">
        <v>2141</v>
      </c>
      <c r="AA64" s="356" t="s">
        <v>236</v>
      </c>
    </row>
    <row r="65" spans="2:27" ht="80.25" customHeight="1">
      <c r="B65" s="354" t="s">
        <v>14</v>
      </c>
      <c r="C65" s="354" t="s">
        <v>2081</v>
      </c>
      <c r="D65" s="354" t="s">
        <v>2082</v>
      </c>
      <c r="E65" s="356">
        <v>2</v>
      </c>
      <c r="F65" s="354" t="s">
        <v>2090</v>
      </c>
      <c r="G65" s="354" t="s">
        <v>2091</v>
      </c>
      <c r="H65" s="54" t="s">
        <v>2087</v>
      </c>
      <c r="I65" s="52">
        <v>4</v>
      </c>
      <c r="J65" s="51" t="s">
        <v>497</v>
      </c>
      <c r="K65" s="52"/>
      <c r="L65" s="52"/>
      <c r="M65" s="298"/>
      <c r="N65" s="300" t="s">
        <v>2092</v>
      </c>
      <c r="O65" s="53" t="s">
        <v>2093</v>
      </c>
      <c r="P65" s="52" t="s">
        <v>107</v>
      </c>
      <c r="Q65" s="51"/>
      <c r="R65" s="351" t="s">
        <v>2137</v>
      </c>
      <c r="S65" s="300" t="s">
        <v>2138</v>
      </c>
      <c r="T65" s="53" t="s">
        <v>2131</v>
      </c>
      <c r="U65" s="54" t="s">
        <v>2132</v>
      </c>
      <c r="V65" s="358" t="s">
        <v>2142</v>
      </c>
      <c r="W65" s="294" t="s">
        <v>2143</v>
      </c>
      <c r="X65" s="354" t="s">
        <v>569</v>
      </c>
      <c r="Y65" s="354" t="s">
        <v>2135</v>
      </c>
      <c r="Z65" s="354" t="s">
        <v>2144</v>
      </c>
      <c r="AA65" s="356" t="s">
        <v>236</v>
      </c>
    </row>
    <row r="66" spans="2:27" ht="80.25" customHeight="1">
      <c r="B66" s="354" t="s">
        <v>14</v>
      </c>
      <c r="C66" s="354" t="s">
        <v>2081</v>
      </c>
      <c r="D66" s="354" t="s">
        <v>2082</v>
      </c>
      <c r="E66" s="356">
        <v>2</v>
      </c>
      <c r="F66" s="301" t="s">
        <v>2094</v>
      </c>
      <c r="G66" s="301" t="s">
        <v>2095</v>
      </c>
      <c r="H66" s="54" t="s">
        <v>2096</v>
      </c>
      <c r="I66" s="52">
        <v>5</v>
      </c>
      <c r="J66" s="51" t="s">
        <v>104</v>
      </c>
      <c r="K66" s="52">
        <v>4</v>
      </c>
      <c r="L66" s="52"/>
      <c r="M66" s="298"/>
      <c r="N66" s="74" t="s">
        <v>2097</v>
      </c>
      <c r="O66" s="53" t="s">
        <v>2098</v>
      </c>
      <c r="P66" s="52" t="s">
        <v>107</v>
      </c>
      <c r="Q66" s="51" t="s">
        <v>2145</v>
      </c>
      <c r="R66" s="351" t="s">
        <v>2146</v>
      </c>
      <c r="S66" s="352" t="s">
        <v>2147</v>
      </c>
      <c r="T66" s="53" t="s">
        <v>2126</v>
      </c>
      <c r="U66" s="54" t="s">
        <v>2127</v>
      </c>
      <c r="V66" s="54" t="s">
        <v>2128</v>
      </c>
      <c r="W66" s="299" t="s">
        <v>2148</v>
      </c>
      <c r="X66" s="354" t="s">
        <v>569</v>
      </c>
      <c r="Y66" s="354" t="s">
        <v>2135</v>
      </c>
      <c r="Z66" s="51" t="s">
        <v>2149</v>
      </c>
      <c r="AA66" s="356" t="s">
        <v>236</v>
      </c>
    </row>
    <row r="67" spans="2:27" ht="80.25" customHeight="1">
      <c r="B67" s="355" t="s">
        <v>14</v>
      </c>
      <c r="C67" s="355" t="s">
        <v>2081</v>
      </c>
      <c r="D67" s="355" t="s">
        <v>2082</v>
      </c>
      <c r="E67" s="357">
        <v>2</v>
      </c>
      <c r="F67" s="355" t="s">
        <v>2099</v>
      </c>
      <c r="G67" s="355" t="s">
        <v>2100</v>
      </c>
      <c r="H67" s="54" t="s">
        <v>2101</v>
      </c>
      <c r="I67" s="52">
        <v>6</v>
      </c>
      <c r="J67" s="51" t="s">
        <v>104</v>
      </c>
      <c r="K67" s="52">
        <v>4</v>
      </c>
      <c r="L67" s="52"/>
      <c r="M67" s="298"/>
      <c r="N67" s="74" t="s">
        <v>2102</v>
      </c>
      <c r="O67" s="53" t="s">
        <v>2103</v>
      </c>
      <c r="P67" s="52"/>
      <c r="Q67" s="51"/>
      <c r="R67" s="353"/>
      <c r="S67" s="353"/>
      <c r="T67" s="53" t="s">
        <v>2150</v>
      </c>
      <c r="U67" s="54" t="s">
        <v>2151</v>
      </c>
      <c r="V67" s="54" t="s">
        <v>2152</v>
      </c>
      <c r="W67" s="306" t="s">
        <v>2153</v>
      </c>
      <c r="X67" s="354" t="s">
        <v>569</v>
      </c>
      <c r="Y67" s="354" t="s">
        <v>2135</v>
      </c>
      <c r="Z67" s="51" t="s">
        <v>2149</v>
      </c>
      <c r="AA67" s="356" t="s">
        <v>236</v>
      </c>
    </row>
    <row r="68" spans="2:27" ht="80.25" customHeight="1">
      <c r="B68" s="354" t="s">
        <v>14</v>
      </c>
      <c r="C68" s="354" t="s">
        <v>2081</v>
      </c>
      <c r="D68" s="354" t="s">
        <v>2082</v>
      </c>
      <c r="E68" s="356">
        <v>2</v>
      </c>
      <c r="F68" s="301" t="s">
        <v>148</v>
      </c>
      <c r="G68" s="301" t="s">
        <v>149</v>
      </c>
      <c r="H68" s="54" t="s">
        <v>2096</v>
      </c>
      <c r="I68" s="52">
        <v>7</v>
      </c>
      <c r="J68" s="51" t="s">
        <v>104</v>
      </c>
      <c r="K68" s="52">
        <v>4</v>
      </c>
      <c r="L68" s="52"/>
      <c r="M68" s="298"/>
      <c r="N68" s="300" t="s">
        <v>2104</v>
      </c>
      <c r="O68" s="53" t="s">
        <v>2105</v>
      </c>
      <c r="P68" s="52"/>
      <c r="Q68" s="51" t="s">
        <v>2154</v>
      </c>
      <c r="R68" s="351" t="s">
        <v>2083</v>
      </c>
      <c r="S68" s="352" t="s">
        <v>223</v>
      </c>
      <c r="T68" s="53" t="s">
        <v>2131</v>
      </c>
      <c r="U68" s="54" t="s">
        <v>2132</v>
      </c>
      <c r="V68" s="358" t="s">
        <v>2155</v>
      </c>
      <c r="W68" s="294" t="s">
        <v>2156</v>
      </c>
      <c r="X68" s="354" t="s">
        <v>569</v>
      </c>
      <c r="Y68" s="354" t="s">
        <v>2135</v>
      </c>
      <c r="Z68" s="354" t="s">
        <v>2157</v>
      </c>
      <c r="AA68" s="356" t="s">
        <v>236</v>
      </c>
    </row>
    <row r="69" spans="2:27" ht="80.25" customHeight="1">
      <c r="B69" s="354" t="s">
        <v>14</v>
      </c>
      <c r="C69" s="354" t="s">
        <v>2081</v>
      </c>
      <c r="D69" s="354" t="s">
        <v>2082</v>
      </c>
      <c r="E69" s="356">
        <v>2</v>
      </c>
      <c r="F69" s="354" t="s">
        <v>2106</v>
      </c>
      <c r="G69" s="354" t="s">
        <v>2107</v>
      </c>
      <c r="H69" s="54" t="s">
        <v>2108</v>
      </c>
      <c r="I69" s="52">
        <v>8</v>
      </c>
      <c r="J69" s="51" t="s">
        <v>104</v>
      </c>
      <c r="K69" s="52">
        <v>10</v>
      </c>
      <c r="L69" s="52"/>
      <c r="M69" s="298"/>
      <c r="N69" s="300" t="s">
        <v>2109</v>
      </c>
      <c r="O69" s="53" t="s">
        <v>2110</v>
      </c>
      <c r="P69" s="52"/>
      <c r="Q69" s="51"/>
      <c r="R69" s="351" t="s">
        <v>2083</v>
      </c>
      <c r="S69" s="352" t="s">
        <v>2111</v>
      </c>
      <c r="T69" s="53" t="s">
        <v>2131</v>
      </c>
      <c r="U69" s="54" t="s">
        <v>2132</v>
      </c>
      <c r="V69" s="358" t="s">
        <v>2158</v>
      </c>
      <c r="W69" s="294" t="s">
        <v>2159</v>
      </c>
      <c r="X69" s="354" t="s">
        <v>569</v>
      </c>
      <c r="Y69" s="354" t="s">
        <v>2135</v>
      </c>
      <c r="Z69" s="354" t="s">
        <v>2160</v>
      </c>
      <c r="AA69" s="356" t="s">
        <v>236</v>
      </c>
    </row>
    <row r="70" spans="2:27" ht="80.25" customHeight="1">
      <c r="B70" s="354" t="s">
        <v>14</v>
      </c>
      <c r="C70" s="354" t="s">
        <v>2081</v>
      </c>
      <c r="D70" s="354" t="s">
        <v>2082</v>
      </c>
      <c r="E70" s="356">
        <v>2</v>
      </c>
      <c r="F70" s="354" t="s">
        <v>2112</v>
      </c>
      <c r="G70" s="354" t="s">
        <v>2113</v>
      </c>
      <c r="H70" s="54" t="s">
        <v>2108</v>
      </c>
      <c r="I70" s="52">
        <v>9</v>
      </c>
      <c r="J70" s="51" t="s">
        <v>104</v>
      </c>
      <c r="K70" s="52">
        <v>10</v>
      </c>
      <c r="L70" s="52"/>
      <c r="M70" s="298"/>
      <c r="N70" s="300" t="s">
        <v>2114</v>
      </c>
      <c r="O70" s="53" t="s">
        <v>2115</v>
      </c>
      <c r="P70" s="52"/>
      <c r="Q70" s="51"/>
      <c r="R70" s="351" t="s">
        <v>2083</v>
      </c>
      <c r="S70" s="352" t="s">
        <v>2116</v>
      </c>
      <c r="T70" s="53" t="s">
        <v>2131</v>
      </c>
      <c r="U70" s="54" t="s">
        <v>2132</v>
      </c>
      <c r="V70" s="359" t="s">
        <v>2161</v>
      </c>
      <c r="W70" s="294" t="s">
        <v>2162</v>
      </c>
      <c r="X70" s="354" t="s">
        <v>569</v>
      </c>
      <c r="Y70" s="354" t="s">
        <v>2135</v>
      </c>
      <c r="Z70" s="360" t="s">
        <v>2163</v>
      </c>
      <c r="AA70" s="356" t="s">
        <v>236</v>
      </c>
    </row>
    <row r="71" spans="2:27" ht="130.5">
      <c r="B71" s="354" t="s">
        <v>14</v>
      </c>
      <c r="C71" s="354" t="s">
        <v>2081</v>
      </c>
      <c r="D71" s="354" t="s">
        <v>2082</v>
      </c>
      <c r="E71" s="356">
        <v>2</v>
      </c>
      <c r="F71" s="354" t="s">
        <v>2117</v>
      </c>
      <c r="G71" s="354" t="s">
        <v>2118</v>
      </c>
      <c r="H71" s="54" t="s">
        <v>2119</v>
      </c>
      <c r="I71" s="52">
        <v>10</v>
      </c>
      <c r="J71" s="51" t="s">
        <v>162</v>
      </c>
      <c r="K71" s="52">
        <v>23</v>
      </c>
      <c r="L71" s="52">
        <v>6</v>
      </c>
      <c r="M71" s="298"/>
      <c r="N71" s="300" t="s">
        <v>2120</v>
      </c>
      <c r="O71" s="53" t="s">
        <v>2121</v>
      </c>
      <c r="P71" s="52"/>
      <c r="Q71" s="51"/>
      <c r="R71" s="351" t="s">
        <v>2083</v>
      </c>
      <c r="S71" s="352" t="s">
        <v>2122</v>
      </c>
      <c r="T71" s="53" t="s">
        <v>2131</v>
      </c>
      <c r="U71" s="54" t="s">
        <v>2132</v>
      </c>
      <c r="V71" s="358" t="s">
        <v>2164</v>
      </c>
      <c r="W71" s="294" t="s">
        <v>2165</v>
      </c>
      <c r="X71" s="354" t="s">
        <v>569</v>
      </c>
      <c r="Y71" s="354" t="s">
        <v>2135</v>
      </c>
      <c r="Z71" s="354" t="s">
        <v>2166</v>
      </c>
      <c r="AA71" s="356" t="s">
        <v>236</v>
      </c>
    </row>
    <row r="72" spans="2:27" ht="87">
      <c r="B72" s="354" t="s">
        <v>14</v>
      </c>
      <c r="C72" s="354" t="s">
        <v>2081</v>
      </c>
      <c r="D72" s="354" t="s">
        <v>2082</v>
      </c>
      <c r="E72" s="356">
        <v>2</v>
      </c>
      <c r="F72" s="51" t="s">
        <v>201</v>
      </c>
      <c r="G72" s="51" t="s">
        <v>202</v>
      </c>
      <c r="H72" s="54" t="s">
        <v>203</v>
      </c>
      <c r="I72" s="52">
        <v>11</v>
      </c>
      <c r="J72" s="51" t="s">
        <v>104</v>
      </c>
      <c r="K72" s="52">
        <v>2</v>
      </c>
      <c r="L72" s="52"/>
      <c r="M72" s="298"/>
      <c r="N72" s="53" t="s">
        <v>204</v>
      </c>
      <c r="O72" s="53" t="s">
        <v>2123</v>
      </c>
      <c r="P72" s="52"/>
      <c r="Q72" s="51" t="s">
        <v>2167</v>
      </c>
      <c r="R72" s="55"/>
      <c r="S72" s="51"/>
      <c r="T72" s="53" t="s">
        <v>2131</v>
      </c>
      <c r="U72" s="54" t="s">
        <v>2132</v>
      </c>
      <c r="V72" s="54" t="s">
        <v>398</v>
      </c>
      <c r="W72" s="294" t="s">
        <v>2168</v>
      </c>
      <c r="X72" s="354" t="s">
        <v>569</v>
      </c>
      <c r="Y72" s="51" t="s">
        <v>236</v>
      </c>
      <c r="Z72" s="51" t="s">
        <v>236</v>
      </c>
      <c r="AA72" s="52" t="s">
        <v>2169</v>
      </c>
    </row>
    <row r="73" spans="2:27" ht="87">
      <c r="B73" s="354" t="s">
        <v>14</v>
      </c>
      <c r="C73" s="354" t="s">
        <v>2081</v>
      </c>
      <c r="D73" s="354" t="s">
        <v>2082</v>
      </c>
      <c r="E73" s="356">
        <v>2</v>
      </c>
      <c r="F73" s="354" t="s">
        <v>207</v>
      </c>
      <c r="G73" s="354" t="s">
        <v>208</v>
      </c>
      <c r="H73" s="54" t="s">
        <v>209</v>
      </c>
      <c r="I73" s="52">
        <v>12</v>
      </c>
      <c r="J73" s="51" t="s">
        <v>104</v>
      </c>
      <c r="K73" s="52">
        <v>10</v>
      </c>
      <c r="L73" s="52"/>
      <c r="M73" s="298"/>
      <c r="N73" s="53" t="s">
        <v>210</v>
      </c>
      <c r="O73" s="53" t="s">
        <v>234</v>
      </c>
      <c r="P73" s="52" t="s">
        <v>107</v>
      </c>
      <c r="Q73" s="51"/>
      <c r="R73" s="351"/>
      <c r="S73" s="352"/>
      <c r="T73" s="53" t="s">
        <v>2131</v>
      </c>
      <c r="U73" s="54" t="s">
        <v>2132</v>
      </c>
      <c r="V73" s="54" t="s">
        <v>2170</v>
      </c>
      <c r="W73" s="294" t="s">
        <v>2171</v>
      </c>
      <c r="X73" s="51" t="s">
        <v>236</v>
      </c>
      <c r="Y73" s="51" t="s">
        <v>236</v>
      </c>
      <c r="Z73" s="51" t="s">
        <v>236</v>
      </c>
      <c r="AA73" s="356" t="s">
        <v>236</v>
      </c>
    </row>
    <row r="74" spans="2:27" ht="87">
      <c r="B74" s="361" t="s">
        <v>14</v>
      </c>
      <c r="C74" s="361" t="s">
        <v>2081</v>
      </c>
      <c r="D74" s="361" t="s">
        <v>2082</v>
      </c>
      <c r="E74" s="362">
        <v>2</v>
      </c>
      <c r="F74" s="361" t="s">
        <v>212</v>
      </c>
      <c r="G74" s="361" t="s">
        <v>213</v>
      </c>
      <c r="H74" s="183" t="s">
        <v>214</v>
      </c>
      <c r="I74" s="302">
        <v>13</v>
      </c>
      <c r="J74" s="56" t="s">
        <v>215</v>
      </c>
      <c r="K74" s="302">
        <v>23</v>
      </c>
      <c r="L74" s="302"/>
      <c r="M74" s="305"/>
      <c r="N74" s="139" t="s">
        <v>216</v>
      </c>
      <c r="O74" s="327" t="s">
        <v>2172</v>
      </c>
      <c r="P74" s="302"/>
      <c r="Q74" s="56"/>
      <c r="R74" s="363"/>
      <c r="S74" s="363"/>
      <c r="T74" s="139" t="s">
        <v>2131</v>
      </c>
      <c r="U74" s="183" t="s">
        <v>2132</v>
      </c>
      <c r="V74" s="183" t="s">
        <v>398</v>
      </c>
      <c r="W74" s="327" t="s">
        <v>2173</v>
      </c>
      <c r="X74" s="56" t="s">
        <v>236</v>
      </c>
      <c r="Y74" s="56" t="s">
        <v>236</v>
      </c>
      <c r="Z74" s="56" t="s">
        <v>236</v>
      </c>
      <c r="AA74" s="362" t="s">
        <v>236</v>
      </c>
    </row>
    <row r="75" spans="2:27" ht="58">
      <c r="B75" s="51" t="s">
        <v>565</v>
      </c>
      <c r="C75" s="62" t="s">
        <v>566</v>
      </c>
      <c r="D75" s="62" t="s">
        <v>19</v>
      </c>
      <c r="E75" s="298">
        <v>0</v>
      </c>
      <c r="F75" s="51" t="s">
        <v>101</v>
      </c>
      <c r="G75" s="51" t="s">
        <v>102</v>
      </c>
      <c r="H75" s="71" t="s">
        <v>103</v>
      </c>
      <c r="I75" s="298">
        <v>1</v>
      </c>
      <c r="J75" s="62" t="s">
        <v>104</v>
      </c>
      <c r="K75" s="298">
        <v>2</v>
      </c>
      <c r="L75" s="298"/>
      <c r="M75" s="305"/>
      <c r="N75" s="300" t="s">
        <v>105</v>
      </c>
      <c r="O75" s="53" t="s">
        <v>106</v>
      </c>
      <c r="P75" s="298" t="s">
        <v>107</v>
      </c>
      <c r="Q75" s="62"/>
      <c r="R75" s="159"/>
      <c r="S75" s="71"/>
      <c r="T75" s="55" t="s">
        <v>567</v>
      </c>
      <c r="U75" s="54" t="s">
        <v>247</v>
      </c>
      <c r="V75" s="54" t="s">
        <v>200</v>
      </c>
      <c r="W75" s="294" t="s">
        <v>568</v>
      </c>
      <c r="X75" s="62" t="s">
        <v>569</v>
      </c>
      <c r="Y75" s="51" t="s">
        <v>570</v>
      </c>
      <c r="Z75" s="51" t="s">
        <v>236</v>
      </c>
      <c r="AA75" s="364" t="s">
        <v>571</v>
      </c>
    </row>
    <row r="76" spans="2:27" ht="72.5">
      <c r="B76" s="51" t="s">
        <v>565</v>
      </c>
      <c r="C76" s="62" t="s">
        <v>566</v>
      </c>
      <c r="D76" s="62" t="s">
        <v>19</v>
      </c>
      <c r="E76" s="298">
        <v>0</v>
      </c>
      <c r="F76" s="62" t="s">
        <v>111</v>
      </c>
      <c r="G76" s="62" t="s">
        <v>112</v>
      </c>
      <c r="H76" s="71" t="s">
        <v>103</v>
      </c>
      <c r="I76" s="298">
        <v>2</v>
      </c>
      <c r="J76" s="62" t="s">
        <v>104</v>
      </c>
      <c r="K76" s="298">
        <v>30</v>
      </c>
      <c r="L76" s="298"/>
      <c r="M76" s="305"/>
      <c r="N76" s="53" t="s">
        <v>113</v>
      </c>
      <c r="O76" s="53" t="s">
        <v>114</v>
      </c>
      <c r="P76" s="298" t="s">
        <v>107</v>
      </c>
      <c r="Q76" s="62"/>
      <c r="R76" s="159"/>
      <c r="S76" s="71"/>
      <c r="T76" s="55" t="s">
        <v>250</v>
      </c>
      <c r="U76" s="54" t="s">
        <v>251</v>
      </c>
      <c r="V76" s="66" t="s">
        <v>572</v>
      </c>
      <c r="W76" s="294" t="s">
        <v>573</v>
      </c>
      <c r="X76" s="62" t="s">
        <v>569</v>
      </c>
      <c r="Y76" s="51" t="s">
        <v>251</v>
      </c>
      <c r="Z76" s="61" t="s">
        <v>574</v>
      </c>
      <c r="AA76" s="52" t="s">
        <v>236</v>
      </c>
    </row>
    <row r="77" spans="2:27" ht="58">
      <c r="B77" s="51" t="s">
        <v>565</v>
      </c>
      <c r="C77" s="62" t="s">
        <v>566</v>
      </c>
      <c r="D77" s="62" t="s">
        <v>19</v>
      </c>
      <c r="E77" s="298">
        <v>0</v>
      </c>
      <c r="F77" s="62" t="s">
        <v>520</v>
      </c>
      <c r="G77" s="62" t="s">
        <v>521</v>
      </c>
      <c r="H77" s="54" t="s">
        <v>156</v>
      </c>
      <c r="I77" s="298">
        <v>3</v>
      </c>
      <c r="J77" s="62" t="s">
        <v>104</v>
      </c>
      <c r="K77" s="298">
        <v>4</v>
      </c>
      <c r="L77" s="298"/>
      <c r="M77" s="305"/>
      <c r="N77" s="53" t="s">
        <v>522</v>
      </c>
      <c r="O77" s="53" t="s">
        <v>523</v>
      </c>
      <c r="P77" s="298"/>
      <c r="Q77" s="62"/>
      <c r="R77" s="159"/>
      <c r="S77" s="71"/>
      <c r="T77" s="55" t="s">
        <v>250</v>
      </c>
      <c r="U77" s="54" t="s">
        <v>251</v>
      </c>
      <c r="V77" s="71" t="s">
        <v>575</v>
      </c>
      <c r="W77" s="296" t="s">
        <v>576</v>
      </c>
      <c r="X77" s="62" t="s">
        <v>569</v>
      </c>
      <c r="Y77" s="51" t="s">
        <v>251</v>
      </c>
      <c r="Z77" s="62" t="s">
        <v>577</v>
      </c>
      <c r="AA77" s="298" t="s">
        <v>578</v>
      </c>
    </row>
    <row r="78" spans="2:27" ht="58">
      <c r="B78" s="51" t="s">
        <v>565</v>
      </c>
      <c r="C78" s="62" t="s">
        <v>566</v>
      </c>
      <c r="D78" s="62" t="s">
        <v>19</v>
      </c>
      <c r="E78" s="298">
        <v>0</v>
      </c>
      <c r="F78" s="62" t="s">
        <v>201</v>
      </c>
      <c r="G78" s="62" t="s">
        <v>202</v>
      </c>
      <c r="H78" s="54" t="s">
        <v>203</v>
      </c>
      <c r="I78" s="298">
        <v>4</v>
      </c>
      <c r="J78" s="62" t="s">
        <v>104</v>
      </c>
      <c r="K78" s="298">
        <v>4</v>
      </c>
      <c r="L78" s="298"/>
      <c r="M78" s="305"/>
      <c r="N78" s="53" t="s">
        <v>204</v>
      </c>
      <c r="O78" s="53" t="s">
        <v>205</v>
      </c>
      <c r="P78" s="298" t="s">
        <v>107</v>
      </c>
      <c r="Q78" s="62"/>
      <c r="R78" s="159"/>
      <c r="S78" s="71"/>
      <c r="T78" s="55" t="s">
        <v>250</v>
      </c>
      <c r="U78" s="54" t="s">
        <v>251</v>
      </c>
      <c r="V78" s="71" t="s">
        <v>579</v>
      </c>
      <c r="W78" s="296" t="s">
        <v>580</v>
      </c>
      <c r="X78" s="62" t="s">
        <v>569</v>
      </c>
      <c r="Y78" s="51" t="s">
        <v>570</v>
      </c>
      <c r="Z78" s="51" t="s">
        <v>236</v>
      </c>
      <c r="AA78" s="52" t="s">
        <v>581</v>
      </c>
    </row>
    <row r="79" spans="2:27" ht="58">
      <c r="B79" s="51" t="s">
        <v>565</v>
      </c>
      <c r="C79" s="62" t="s">
        <v>566</v>
      </c>
      <c r="D79" s="62" t="s">
        <v>19</v>
      </c>
      <c r="E79" s="298">
        <v>0</v>
      </c>
      <c r="F79" s="51" t="s">
        <v>207</v>
      </c>
      <c r="G79" s="51" t="s">
        <v>208</v>
      </c>
      <c r="H79" s="54" t="s">
        <v>214</v>
      </c>
      <c r="I79" s="298">
        <v>5</v>
      </c>
      <c r="J79" s="62" t="s">
        <v>104</v>
      </c>
      <c r="K79" s="298">
        <v>10</v>
      </c>
      <c r="L79" s="298"/>
      <c r="M79" s="305"/>
      <c r="N79" s="53" t="s">
        <v>210</v>
      </c>
      <c r="O79" s="53" t="s">
        <v>234</v>
      </c>
      <c r="P79" s="298"/>
      <c r="Q79" s="62"/>
      <c r="R79" s="159"/>
      <c r="S79" s="71"/>
      <c r="T79" s="55" t="s">
        <v>250</v>
      </c>
      <c r="U79" s="54" t="s">
        <v>251</v>
      </c>
      <c r="V79" s="71" t="s">
        <v>582</v>
      </c>
      <c r="W79" s="296" t="s">
        <v>583</v>
      </c>
      <c r="X79" s="62" t="s">
        <v>569</v>
      </c>
      <c r="Y79" s="51" t="s">
        <v>570</v>
      </c>
      <c r="Z79" s="51" t="s">
        <v>570</v>
      </c>
      <c r="AA79" s="52" t="s">
        <v>236</v>
      </c>
    </row>
    <row r="80" spans="2:27" ht="58">
      <c r="B80" s="56" t="s">
        <v>565</v>
      </c>
      <c r="C80" s="304" t="s">
        <v>566</v>
      </c>
      <c r="D80" s="304" t="s">
        <v>19</v>
      </c>
      <c r="E80" s="305">
        <v>0</v>
      </c>
      <c r="F80" s="56" t="s">
        <v>212</v>
      </c>
      <c r="G80" s="56" t="s">
        <v>213</v>
      </c>
      <c r="H80" s="183" t="s">
        <v>214</v>
      </c>
      <c r="I80" s="305">
        <v>6</v>
      </c>
      <c r="J80" s="56" t="s">
        <v>215</v>
      </c>
      <c r="K80" s="302">
        <v>23</v>
      </c>
      <c r="L80" s="305"/>
      <c r="M80" s="305"/>
      <c r="N80" s="139" t="s">
        <v>216</v>
      </c>
      <c r="O80" s="139" t="s">
        <v>217</v>
      </c>
      <c r="P80" s="305"/>
      <c r="Q80" s="304"/>
      <c r="R80" s="326"/>
      <c r="S80" s="325"/>
      <c r="T80" s="57" t="s">
        <v>250</v>
      </c>
      <c r="U80" s="183" t="s">
        <v>251</v>
      </c>
      <c r="V80" s="325" t="s">
        <v>579</v>
      </c>
      <c r="W80" s="365" t="s">
        <v>584</v>
      </c>
      <c r="X80" s="304" t="s">
        <v>569</v>
      </c>
      <c r="Y80" s="56" t="s">
        <v>570</v>
      </c>
      <c r="Z80" s="56" t="s">
        <v>570</v>
      </c>
      <c r="AA80" s="302" t="s">
        <v>236</v>
      </c>
    </row>
    <row r="81" ht="186" customHeight="1"/>
    <row r="82" ht="186" customHeight="1"/>
    <row r="83" ht="327" customHeight="1"/>
    <row r="84" ht="324" customHeight="1"/>
    <row r="85" ht="267" customHeight="1"/>
    <row r="86" ht="183.75" customHeight="1"/>
    <row r="87" ht="183.75" customHeight="1"/>
    <row r="88" ht="183.75" customHeight="1"/>
    <row r="89" ht="183.75" customHeight="1"/>
    <row r="90" ht="183.75" customHeight="1"/>
    <row r="91" ht="183.75" customHeight="1"/>
    <row r="92" ht="183.75" customHeight="1"/>
    <row r="93" ht="183.75" customHeight="1"/>
    <row r="94" ht="183.75" customHeight="1"/>
    <row r="95" ht="183.75" customHeight="1"/>
    <row r="96" ht="183.75" customHeight="1"/>
    <row r="97" ht="183.75" customHeight="1"/>
    <row r="98" ht="183.75" customHeight="1"/>
    <row r="99" ht="183.75" customHeight="1"/>
    <row r="100" ht="183.75" customHeight="1"/>
    <row r="101" ht="183.75" customHeight="1"/>
    <row r="102" ht="183.75" customHeight="1"/>
    <row r="103" ht="183.75" customHeight="1"/>
    <row r="104" ht="183.75" customHeight="1"/>
    <row r="105" ht="183.75" customHeight="1"/>
    <row r="106" ht="183.75" customHeight="1"/>
    <row r="107" ht="183.75" customHeight="1"/>
    <row r="108" ht="80.25" customHeight="1"/>
    <row r="109" ht="80.25" customHeight="1"/>
    <row r="110" ht="80.25" customHeight="1"/>
    <row r="111" ht="80.25" customHeight="1"/>
    <row r="113" ht="80.25" customHeight="1"/>
    <row r="115" ht="80.25" customHeight="1"/>
    <row r="117" ht="80.25" customHeight="1"/>
    <row r="119" ht="80.25" customHeight="1"/>
    <row r="149" ht="80.25" customHeight="1"/>
    <row r="150" ht="80.25" customHeight="1"/>
    <row r="151" ht="80.25" customHeight="1"/>
    <row r="152" ht="80.25" customHeight="1"/>
    <row r="153" ht="80.25" customHeight="1"/>
    <row r="154" ht="80.25" customHeight="1"/>
    <row r="155" ht="80.25" customHeight="1"/>
    <row r="156" ht="80.25" customHeight="1"/>
    <row r="157" ht="80.25" customHeight="1"/>
    <row r="158" ht="80.25" customHeight="1"/>
    <row r="159" ht="80.25" customHeight="1"/>
    <row r="160" ht="80.25" customHeight="1"/>
    <row r="161" ht="80.25" customHeight="1"/>
    <row r="162" ht="80.25" customHeight="1"/>
    <row r="163" ht="80.25" customHeight="1"/>
    <row r="164" ht="80.25" customHeight="1"/>
    <row r="165" ht="80.25" customHeight="1"/>
    <row r="166" ht="80.25" customHeight="1"/>
    <row r="167" ht="80.25" customHeight="1"/>
    <row r="168" ht="80.25" customHeight="1"/>
    <row r="169" ht="80.25" customHeight="1"/>
    <row r="170" ht="80.25" customHeight="1"/>
    <row r="171" ht="80.25" customHeight="1"/>
    <row r="172" ht="80.25" customHeight="1"/>
    <row r="173" ht="80.25" customHeight="1"/>
    <row r="174" ht="80.25" customHeight="1"/>
    <row r="175" ht="80.25" customHeight="1"/>
    <row r="176" ht="80.25" customHeight="1"/>
    <row r="177" ht="80.25" customHeight="1"/>
    <row r="178" ht="80.25" customHeight="1"/>
    <row r="179" ht="80.25" customHeight="1"/>
    <row r="180" ht="80.25" customHeight="1"/>
    <row r="181" ht="80.25" customHeight="1"/>
    <row r="182" ht="80.25" customHeight="1"/>
    <row r="183" ht="80.25" customHeight="1"/>
    <row r="184" ht="80.25" customHeight="1"/>
    <row r="185" ht="80.25" customHeight="1"/>
    <row r="186" ht="80.25" customHeight="1"/>
    <row r="187" ht="80.25" customHeight="1"/>
    <row r="188" ht="80.25" customHeight="1"/>
    <row r="189" ht="80.25" customHeight="1"/>
    <row r="190" ht="80.25" customHeight="1"/>
    <row r="191" ht="80.25" customHeight="1"/>
    <row r="192" ht="80.25" customHeight="1"/>
    <row r="193" ht="80.25" customHeight="1"/>
    <row r="194" ht="80.25" customHeight="1"/>
    <row r="195" ht="80.25" customHeight="1"/>
    <row r="196" ht="80.25" customHeight="1"/>
    <row r="197" ht="80.25" customHeight="1"/>
    <row r="198" ht="80.25" customHeight="1"/>
    <row r="199" ht="80.25" customHeight="1"/>
    <row r="200" ht="80.25" customHeight="1"/>
    <row r="201" ht="80.25" customHeight="1"/>
    <row r="202" ht="80.25" customHeight="1"/>
    <row r="203" ht="80.25" customHeight="1"/>
    <row r="204" ht="80.25" customHeight="1"/>
    <row r="205" ht="80.25" customHeight="1"/>
    <row r="206" ht="80.25" customHeight="1"/>
    <row r="207" ht="80.25" customHeight="1"/>
    <row r="208" ht="80.25" customHeight="1"/>
    <row r="209" ht="80.25" customHeight="1"/>
    <row r="210" ht="80.25" customHeight="1"/>
    <row r="211" ht="80.25" customHeight="1"/>
    <row r="212" ht="80.25" customHeight="1"/>
    <row r="213" ht="80.25" customHeight="1"/>
    <row r="214" ht="80.25" customHeight="1"/>
    <row r="215" ht="80.25" customHeight="1"/>
    <row r="216" ht="108" customHeight="1"/>
    <row r="217" ht="80.25" customHeight="1"/>
    <row r="218" ht="80.25" customHeight="1"/>
    <row r="219" ht="80.25" customHeight="1"/>
    <row r="220" ht="80.25" customHeight="1"/>
    <row r="221" ht="80.25" customHeight="1"/>
    <row r="222" ht="80.25" customHeight="1"/>
    <row r="223" ht="80.25" customHeight="1"/>
    <row r="224" ht="80.25" customHeight="1"/>
    <row r="225" ht="80.25" customHeight="1"/>
    <row r="226" ht="80.25" customHeight="1"/>
    <row r="227" ht="80.25" customHeight="1"/>
    <row r="228" ht="80.25" customHeight="1"/>
    <row r="229" ht="80.25" customHeight="1"/>
    <row r="230" ht="80.25" customHeight="1"/>
    <row r="231" ht="80.25" customHeight="1"/>
    <row r="232" ht="80.25" customHeight="1"/>
    <row r="233" ht="80.25" customHeight="1"/>
    <row r="234" ht="80.25" customHeight="1"/>
    <row r="235" ht="80.25" customHeight="1"/>
    <row r="236" ht="80.25" customHeight="1"/>
    <row r="237" ht="80.25" customHeight="1"/>
    <row r="238" ht="80.25" customHeight="1"/>
    <row r="239" ht="80.25" customHeight="1"/>
    <row r="240" ht="80.25" customHeight="1"/>
    <row r="241" ht="80.25" customHeight="1"/>
    <row r="242" ht="80.25" customHeight="1"/>
    <row r="243" ht="80.25" customHeight="1"/>
    <row r="244" ht="80.25" customHeight="1"/>
    <row r="245" ht="80.25" customHeight="1"/>
    <row r="246" ht="80.25" customHeight="1"/>
    <row r="247" ht="80.25" customHeight="1"/>
    <row r="248" ht="80.25" customHeight="1"/>
    <row r="249" ht="80.25" customHeight="1"/>
    <row r="250" ht="80.25" customHeight="1"/>
    <row r="251" ht="80.25" customHeight="1"/>
    <row r="252" ht="80.25" customHeight="1"/>
    <row r="253" ht="80.25" customHeight="1"/>
    <row r="254" ht="80.25" customHeight="1"/>
    <row r="255" ht="80.25" customHeight="1"/>
    <row r="256" ht="80.25" customHeight="1"/>
    <row r="257" ht="80.25" customHeight="1"/>
    <row r="258" ht="80.25" customHeight="1"/>
    <row r="259" ht="80.25" customHeight="1"/>
    <row r="260" ht="80.25" customHeight="1"/>
    <row r="261" ht="80.25" customHeight="1"/>
    <row r="262" ht="80.25" customHeight="1"/>
    <row r="263" ht="80.25" customHeight="1"/>
    <row r="264" ht="80.25" customHeight="1"/>
    <row r="265" ht="80.25" customHeight="1"/>
    <row r="266" ht="80.25" customHeight="1"/>
    <row r="267" ht="80.25" customHeight="1"/>
    <row r="268" ht="80.25" customHeight="1"/>
    <row r="269" ht="80.25" customHeight="1"/>
    <row r="270" ht="80.25" customHeight="1"/>
    <row r="271" ht="80.25" customHeight="1"/>
    <row r="272" ht="80.25" customHeight="1"/>
    <row r="273" ht="80.25" customHeight="1"/>
    <row r="274" ht="80.25" customHeight="1"/>
    <row r="275" ht="80.25" customHeight="1"/>
    <row r="276" ht="225" customHeight="1"/>
    <row r="277" ht="80.25" customHeight="1"/>
    <row r="278" ht="80.25" customHeight="1"/>
    <row r="279" ht="169.5" customHeight="1"/>
    <row r="280" ht="216" customHeight="1"/>
    <row r="281" ht="152.25" customHeight="1"/>
    <row r="282" ht="152.25" customHeight="1"/>
    <row r="283" ht="152.25" customHeight="1"/>
    <row r="284" ht="152.25" customHeight="1"/>
    <row r="285" ht="199.5" customHeight="1"/>
    <row r="286" ht="80.25" customHeight="1"/>
    <row r="287" ht="80.25" customHeight="1"/>
    <row r="288" ht="80.25" customHeight="1"/>
    <row r="289" ht="80.25" customHeight="1"/>
    <row r="290" ht="80.25" customHeight="1"/>
    <row r="291" ht="80.25" customHeight="1"/>
    <row r="292" ht="80.25" customHeight="1"/>
    <row r="293" ht="80.25" customHeight="1"/>
    <row r="294" ht="80.25" customHeight="1"/>
    <row r="295" ht="80.25" customHeight="1"/>
    <row r="296" ht="80.25" customHeight="1"/>
    <row r="297" ht="80.25" customHeight="1"/>
    <row r="298" ht="80.25" customHeight="1"/>
    <row r="299" ht="80.25" customHeight="1"/>
    <row r="300" ht="80.25" customHeight="1"/>
    <row r="301" ht="80.25" customHeight="1"/>
    <row r="302" ht="80.25" customHeight="1"/>
    <row r="303" ht="80.25" customHeight="1"/>
    <row r="304" ht="80.25" customHeight="1"/>
    <row r="305" ht="80.25" customHeight="1"/>
    <row r="306" ht="80.25" customHeight="1"/>
    <row r="307" ht="80.25" customHeight="1"/>
    <row r="308" ht="87" customHeight="1"/>
  </sheetData>
  <sortState ref="B8:Z120">
    <sortCondition ref="C8:C120"/>
    <sortCondition ref="I8:I120"/>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611"/>
  <sheetViews>
    <sheetView showGridLines="0" workbookViewId="0">
      <selection activeCell="C180" sqref="C180"/>
    </sheetView>
  </sheetViews>
  <sheetFormatPr defaultRowHeight="14.5"/>
  <cols>
    <col min="2" max="2" width="39.26953125" style="30" bestFit="1" customWidth="1"/>
    <col min="3" max="4" width="43.7265625" style="29" customWidth="1"/>
    <col min="5" max="5" width="40.1796875" style="29" customWidth="1"/>
    <col min="6" max="6" width="50.453125" style="29" customWidth="1"/>
    <col min="7" max="7" width="37.26953125" customWidth="1"/>
    <col min="8" max="8" width="125.54296875" style="49" customWidth="1"/>
    <col min="9" max="9" width="32.54296875" customWidth="1"/>
  </cols>
  <sheetData>
    <row r="1" spans="2:9" ht="40.5" customHeight="1"/>
    <row r="2" spans="2:9">
      <c r="B2" s="58" t="s">
        <v>589</v>
      </c>
      <c r="C2" s="58" t="s">
        <v>77</v>
      </c>
      <c r="D2" s="58" t="s">
        <v>590</v>
      </c>
      <c r="E2" s="58" t="s">
        <v>591</v>
      </c>
      <c r="F2" s="58" t="s">
        <v>592</v>
      </c>
      <c r="G2" s="58" t="s">
        <v>593</v>
      </c>
      <c r="H2" s="59" t="s">
        <v>594</v>
      </c>
      <c r="I2" s="100" t="s">
        <v>595</v>
      </c>
    </row>
    <row r="3" spans="2:9" ht="30" customHeight="1">
      <c r="B3" s="51" t="s">
        <v>4</v>
      </c>
      <c r="C3" s="51" t="s">
        <v>5</v>
      </c>
      <c r="D3" s="51" t="s">
        <v>596</v>
      </c>
      <c r="E3" s="51" t="s">
        <v>597</v>
      </c>
      <c r="F3" s="51" t="s">
        <v>596</v>
      </c>
      <c r="G3" s="51" t="s">
        <v>598</v>
      </c>
      <c r="H3" s="55" t="s">
        <v>599</v>
      </c>
      <c r="I3" s="55" t="s">
        <v>600</v>
      </c>
    </row>
    <row r="4" spans="2:9" ht="30" customHeight="1">
      <c r="B4" s="51" t="s">
        <v>4</v>
      </c>
      <c r="C4" s="51" t="s">
        <v>5</v>
      </c>
      <c r="D4" s="51" t="s">
        <v>596</v>
      </c>
      <c r="E4" s="51" t="s">
        <v>597</v>
      </c>
      <c r="F4" s="51" t="s">
        <v>596</v>
      </c>
      <c r="G4" s="51" t="s">
        <v>601</v>
      </c>
      <c r="H4" s="55" t="s">
        <v>602</v>
      </c>
      <c r="I4" s="55" t="s">
        <v>600</v>
      </c>
    </row>
    <row r="5" spans="2:9" ht="30" customHeight="1">
      <c r="B5" s="51" t="s">
        <v>4</v>
      </c>
      <c r="C5" s="51" t="s">
        <v>5</v>
      </c>
      <c r="D5" s="51" t="s">
        <v>596</v>
      </c>
      <c r="E5" s="51" t="s">
        <v>597</v>
      </c>
      <c r="F5" s="51" t="s">
        <v>596</v>
      </c>
      <c r="G5" s="51" t="s">
        <v>603</v>
      </c>
      <c r="H5" s="55" t="s">
        <v>604</v>
      </c>
      <c r="I5" s="55" t="s">
        <v>600</v>
      </c>
    </row>
    <row r="6" spans="2:9" ht="30" customHeight="1">
      <c r="B6" s="51" t="s">
        <v>4</v>
      </c>
      <c r="C6" s="51" t="s">
        <v>5</v>
      </c>
      <c r="D6" s="51" t="s">
        <v>596</v>
      </c>
      <c r="E6" s="51" t="s">
        <v>597</v>
      </c>
      <c r="F6" s="51" t="s">
        <v>605</v>
      </c>
      <c r="G6" s="51" t="s">
        <v>606</v>
      </c>
      <c r="H6" s="55" t="s">
        <v>607</v>
      </c>
      <c r="I6" s="55" t="s">
        <v>608</v>
      </c>
    </row>
    <row r="7" spans="2:9" ht="30" customHeight="1">
      <c r="B7" s="51" t="s">
        <v>4</v>
      </c>
      <c r="C7" s="51" t="s">
        <v>5</v>
      </c>
      <c r="D7" s="51" t="s">
        <v>596</v>
      </c>
      <c r="E7" s="51" t="s">
        <v>597</v>
      </c>
      <c r="F7" s="51" t="s">
        <v>605</v>
      </c>
      <c r="G7" s="51" t="s">
        <v>609</v>
      </c>
      <c r="H7" s="55" t="s">
        <v>610</v>
      </c>
      <c r="I7" s="55" t="s">
        <v>600</v>
      </c>
    </row>
    <row r="8" spans="2:9" ht="30" customHeight="1">
      <c r="B8" s="51" t="s">
        <v>4</v>
      </c>
      <c r="C8" s="51" t="s">
        <v>5</v>
      </c>
      <c r="D8" s="51" t="s">
        <v>596</v>
      </c>
      <c r="E8" s="51" t="s">
        <v>597</v>
      </c>
      <c r="F8" s="51" t="s">
        <v>605</v>
      </c>
      <c r="G8" s="51" t="s">
        <v>611</v>
      </c>
      <c r="H8" s="55" t="s">
        <v>612</v>
      </c>
      <c r="I8" s="55" t="s">
        <v>600</v>
      </c>
    </row>
    <row r="9" spans="2:9" ht="30" customHeight="1">
      <c r="B9" s="51" t="s">
        <v>4</v>
      </c>
      <c r="C9" s="51" t="s">
        <v>5</v>
      </c>
      <c r="D9" s="51" t="s">
        <v>596</v>
      </c>
      <c r="E9" s="51" t="s">
        <v>597</v>
      </c>
      <c r="F9" s="51" t="s">
        <v>605</v>
      </c>
      <c r="G9" s="51" t="s">
        <v>613</v>
      </c>
      <c r="H9" s="55" t="s">
        <v>614</v>
      </c>
      <c r="I9" s="55" t="s">
        <v>600</v>
      </c>
    </row>
    <row r="10" spans="2:9" ht="30" customHeight="1">
      <c r="B10" s="51" t="s">
        <v>4</v>
      </c>
      <c r="C10" s="51" t="s">
        <v>5</v>
      </c>
      <c r="D10" s="51" t="s">
        <v>605</v>
      </c>
      <c r="E10" s="94" t="s">
        <v>615</v>
      </c>
      <c r="F10" s="51" t="s">
        <v>605</v>
      </c>
      <c r="G10" s="51" t="s">
        <v>606</v>
      </c>
      <c r="H10" s="55" t="s">
        <v>616</v>
      </c>
      <c r="I10" s="55" t="s">
        <v>600</v>
      </c>
    </row>
    <row r="11" spans="2:9" ht="30" customHeight="1">
      <c r="B11" s="51" t="s">
        <v>4</v>
      </c>
      <c r="C11" s="51" t="s">
        <v>5</v>
      </c>
      <c r="D11" s="51" t="s">
        <v>617</v>
      </c>
      <c r="E11" s="51" t="s">
        <v>618</v>
      </c>
      <c r="F11" s="51" t="s">
        <v>617</v>
      </c>
      <c r="G11" s="51" t="s">
        <v>619</v>
      </c>
      <c r="H11" s="55" t="s">
        <v>620</v>
      </c>
      <c r="I11" s="55" t="s">
        <v>600</v>
      </c>
    </row>
    <row r="12" spans="2:9" ht="30" customHeight="1">
      <c r="B12" s="51" t="s">
        <v>4</v>
      </c>
      <c r="C12" s="51" t="s">
        <v>5</v>
      </c>
      <c r="D12" s="51" t="s">
        <v>617</v>
      </c>
      <c r="E12" s="51" t="s">
        <v>618</v>
      </c>
      <c r="F12" s="51" t="s">
        <v>605</v>
      </c>
      <c r="G12" s="51" t="s">
        <v>621</v>
      </c>
      <c r="H12" s="55" t="s">
        <v>622</v>
      </c>
      <c r="I12" s="55" t="s">
        <v>600</v>
      </c>
    </row>
    <row r="13" spans="2:9" ht="30" customHeight="1">
      <c r="B13" s="51" t="s">
        <v>4</v>
      </c>
      <c r="C13" s="51" t="s">
        <v>5</v>
      </c>
      <c r="D13" s="56" t="s">
        <v>605</v>
      </c>
      <c r="E13" s="56" t="s">
        <v>606</v>
      </c>
      <c r="F13" s="329" t="s">
        <v>565</v>
      </c>
      <c r="G13" s="329" t="s">
        <v>7</v>
      </c>
      <c r="H13" s="330" t="s">
        <v>623</v>
      </c>
      <c r="I13" s="329" t="s">
        <v>608</v>
      </c>
    </row>
    <row r="14" spans="2:9" ht="30" customHeight="1">
      <c r="B14" s="51" t="s">
        <v>4</v>
      </c>
      <c r="C14" s="51" t="s">
        <v>5</v>
      </c>
      <c r="D14" s="331" t="s">
        <v>624</v>
      </c>
      <c r="E14" s="331" t="s">
        <v>625</v>
      </c>
      <c r="F14" s="331" t="s">
        <v>565</v>
      </c>
      <c r="G14" s="331" t="s">
        <v>7</v>
      </c>
      <c r="H14" s="332" t="s">
        <v>626</v>
      </c>
      <c r="I14" s="329" t="s">
        <v>608</v>
      </c>
    </row>
    <row r="15" spans="2:9" ht="30" customHeight="1">
      <c r="B15" s="51" t="s">
        <v>4</v>
      </c>
      <c r="C15" s="51" t="s">
        <v>5</v>
      </c>
      <c r="D15" s="331" t="s">
        <v>605</v>
      </c>
      <c r="E15" s="331" t="s">
        <v>611</v>
      </c>
      <c r="F15" s="331" t="s">
        <v>627</v>
      </c>
      <c r="G15" s="331" t="s">
        <v>628</v>
      </c>
      <c r="H15" s="332" t="s">
        <v>629</v>
      </c>
      <c r="I15" s="329" t="s">
        <v>600</v>
      </c>
    </row>
    <row r="16" spans="2:9" ht="30" customHeight="1">
      <c r="B16" s="51" t="s">
        <v>4</v>
      </c>
      <c r="C16" s="51" t="s">
        <v>5</v>
      </c>
      <c r="D16" s="51" t="s">
        <v>624</v>
      </c>
      <c r="E16" s="51" t="s">
        <v>625</v>
      </c>
      <c r="F16" s="51" t="s">
        <v>627</v>
      </c>
      <c r="G16" s="51" t="s">
        <v>628</v>
      </c>
      <c r="H16" s="55" t="s">
        <v>630</v>
      </c>
      <c r="I16" s="56" t="s">
        <v>600</v>
      </c>
    </row>
    <row r="17" spans="2:9" ht="30" customHeight="1">
      <c r="B17" s="51" t="s">
        <v>4</v>
      </c>
      <c r="C17" s="51" t="s">
        <v>5</v>
      </c>
      <c r="D17" s="51" t="s">
        <v>605</v>
      </c>
      <c r="E17" s="51" t="s">
        <v>621</v>
      </c>
      <c r="F17" s="51" t="s">
        <v>627</v>
      </c>
      <c r="G17" s="51" t="s">
        <v>628</v>
      </c>
      <c r="H17" s="55" t="s">
        <v>631</v>
      </c>
      <c r="I17" s="56" t="s">
        <v>600</v>
      </c>
    </row>
    <row r="18" spans="2:9" ht="30" customHeight="1">
      <c r="B18" s="331" t="s">
        <v>565</v>
      </c>
      <c r="C18" s="331" t="s">
        <v>7</v>
      </c>
      <c r="D18" s="331" t="s">
        <v>624</v>
      </c>
      <c r="E18" s="331" t="s">
        <v>625</v>
      </c>
      <c r="F18" s="331" t="s">
        <v>632</v>
      </c>
      <c r="G18" s="331" t="s">
        <v>633</v>
      </c>
      <c r="H18" s="332" t="s">
        <v>634</v>
      </c>
      <c r="I18" s="329" t="s">
        <v>608</v>
      </c>
    </row>
    <row r="19" spans="2:9" ht="30" customHeight="1">
      <c r="B19" s="331" t="s">
        <v>565</v>
      </c>
      <c r="C19" s="331" t="s">
        <v>7</v>
      </c>
      <c r="D19" s="51" t="s">
        <v>617</v>
      </c>
      <c r="E19" s="51" t="s">
        <v>618</v>
      </c>
      <c r="F19" s="331" t="s">
        <v>632</v>
      </c>
      <c r="G19" s="331" t="s">
        <v>633</v>
      </c>
      <c r="H19" s="332" t="s">
        <v>635</v>
      </c>
      <c r="I19" s="329"/>
    </row>
    <row r="20" spans="2:9" ht="30" customHeight="1">
      <c r="B20" s="331" t="s">
        <v>565</v>
      </c>
      <c r="C20" s="331" t="s">
        <v>7</v>
      </c>
      <c r="D20" s="51" t="s">
        <v>596</v>
      </c>
      <c r="E20" s="51" t="s">
        <v>597</v>
      </c>
      <c r="F20" s="51" t="s">
        <v>605</v>
      </c>
      <c r="G20" s="51" t="s">
        <v>606</v>
      </c>
      <c r="H20" s="332" t="s">
        <v>636</v>
      </c>
      <c r="I20" s="329" t="s">
        <v>608</v>
      </c>
    </row>
    <row r="21" spans="2:9" ht="30" customHeight="1">
      <c r="B21" s="51" t="s">
        <v>4</v>
      </c>
      <c r="C21" s="51" t="s">
        <v>5</v>
      </c>
      <c r="D21" s="331" t="s">
        <v>617</v>
      </c>
      <c r="E21" s="331" t="s">
        <v>618</v>
      </c>
      <c r="F21" s="331" t="s">
        <v>565</v>
      </c>
      <c r="G21" s="331" t="s">
        <v>7</v>
      </c>
      <c r="H21" s="332" t="s">
        <v>637</v>
      </c>
      <c r="I21" s="329" t="s">
        <v>608</v>
      </c>
    </row>
    <row r="22" spans="2:9" ht="30" customHeight="1">
      <c r="B22" s="51" t="s">
        <v>9</v>
      </c>
      <c r="C22" s="51" t="s">
        <v>10</v>
      </c>
      <c r="D22" s="51" t="s">
        <v>638</v>
      </c>
      <c r="E22" s="51" t="s">
        <v>639</v>
      </c>
      <c r="F22" s="51" t="s">
        <v>638</v>
      </c>
      <c r="G22" s="51" t="s">
        <v>640</v>
      </c>
      <c r="H22" s="55" t="s">
        <v>641</v>
      </c>
      <c r="I22" s="55" t="s">
        <v>600</v>
      </c>
    </row>
    <row r="23" spans="2:9" ht="30" customHeight="1">
      <c r="B23" s="51" t="s">
        <v>9</v>
      </c>
      <c r="C23" s="51" t="s">
        <v>10</v>
      </c>
      <c r="D23" s="51" t="s">
        <v>638</v>
      </c>
      <c r="E23" s="51" t="s">
        <v>639</v>
      </c>
      <c r="F23" s="51" t="s">
        <v>638</v>
      </c>
      <c r="G23" s="51" t="s">
        <v>642</v>
      </c>
      <c r="H23" s="55" t="s">
        <v>643</v>
      </c>
      <c r="I23" s="55" t="s">
        <v>600</v>
      </c>
    </row>
    <row r="24" spans="2:9" ht="30" customHeight="1">
      <c r="B24" s="51" t="s">
        <v>9</v>
      </c>
      <c r="C24" s="51" t="s">
        <v>10</v>
      </c>
      <c r="D24" s="51" t="s">
        <v>638</v>
      </c>
      <c r="E24" s="51" t="s">
        <v>639</v>
      </c>
      <c r="F24" s="51" t="s">
        <v>624</v>
      </c>
      <c r="G24" s="51" t="s">
        <v>625</v>
      </c>
      <c r="H24" s="55" t="s">
        <v>644</v>
      </c>
      <c r="I24" s="55" t="s">
        <v>600</v>
      </c>
    </row>
    <row r="25" spans="2:9" ht="30" customHeight="1">
      <c r="B25" s="51" t="s">
        <v>9</v>
      </c>
      <c r="C25" s="51" t="s">
        <v>12</v>
      </c>
      <c r="D25" s="51" t="s">
        <v>638</v>
      </c>
      <c r="E25" s="51" t="s">
        <v>645</v>
      </c>
      <c r="F25" s="51" t="s">
        <v>638</v>
      </c>
      <c r="G25" s="51" t="s">
        <v>639</v>
      </c>
      <c r="H25" s="55" t="s">
        <v>646</v>
      </c>
      <c r="I25" s="55" t="s">
        <v>608</v>
      </c>
    </row>
    <row r="26" spans="2:9" ht="30" customHeight="1">
      <c r="B26" s="56" t="s">
        <v>9</v>
      </c>
      <c r="C26" s="51" t="s">
        <v>12</v>
      </c>
      <c r="D26" s="51" t="s">
        <v>638</v>
      </c>
      <c r="E26" s="51" t="s">
        <v>645</v>
      </c>
      <c r="F26" s="51" t="s">
        <v>647</v>
      </c>
      <c r="G26" s="56" t="s">
        <v>648</v>
      </c>
      <c r="H26" s="57" t="s">
        <v>649</v>
      </c>
      <c r="I26" s="55" t="s">
        <v>600</v>
      </c>
    </row>
    <row r="27" spans="2:9" ht="30" customHeight="1">
      <c r="B27" s="51" t="s">
        <v>9</v>
      </c>
      <c r="C27" s="51" t="s">
        <v>12</v>
      </c>
      <c r="D27" s="51" t="s">
        <v>638</v>
      </c>
      <c r="E27" s="51" t="s">
        <v>645</v>
      </c>
      <c r="F27" s="51" t="s">
        <v>647</v>
      </c>
      <c r="G27" s="51" t="s">
        <v>648</v>
      </c>
      <c r="H27" s="57" t="s">
        <v>650</v>
      </c>
      <c r="I27" s="55" t="s">
        <v>600</v>
      </c>
    </row>
    <row r="28" spans="2:9" ht="30" customHeight="1">
      <c r="B28" s="56" t="s">
        <v>14</v>
      </c>
      <c r="C28" s="56" t="s">
        <v>15</v>
      </c>
      <c r="D28" s="57" t="s">
        <v>651</v>
      </c>
      <c r="E28" s="56" t="s">
        <v>652</v>
      </c>
      <c r="F28" s="57" t="s">
        <v>651</v>
      </c>
      <c r="G28" s="56" t="s">
        <v>653</v>
      </c>
      <c r="H28" s="57" t="s">
        <v>654</v>
      </c>
      <c r="I28" s="101" t="s">
        <v>600</v>
      </c>
    </row>
    <row r="29" spans="2:9" ht="30" customHeight="1">
      <c r="B29" s="56" t="s">
        <v>14</v>
      </c>
      <c r="C29" s="56" t="s">
        <v>15</v>
      </c>
      <c r="D29" s="57" t="s">
        <v>651</v>
      </c>
      <c r="E29" s="57" t="s">
        <v>655</v>
      </c>
      <c r="F29" s="56" t="s">
        <v>617</v>
      </c>
      <c r="G29" s="51" t="s">
        <v>656</v>
      </c>
      <c r="H29" s="72" t="s">
        <v>657</v>
      </c>
      <c r="I29" s="101" t="s">
        <v>600</v>
      </c>
    </row>
    <row r="30" spans="2:9" ht="30" customHeight="1">
      <c r="B30" s="56" t="s">
        <v>14</v>
      </c>
      <c r="C30" s="56" t="s">
        <v>15</v>
      </c>
      <c r="D30" s="57" t="s">
        <v>651</v>
      </c>
      <c r="E30" s="57" t="s">
        <v>655</v>
      </c>
      <c r="F30" s="55" t="s">
        <v>651</v>
      </c>
      <c r="G30" s="51" t="s">
        <v>652</v>
      </c>
      <c r="H30" s="72" t="s">
        <v>658</v>
      </c>
      <c r="I30" s="101" t="s">
        <v>600</v>
      </c>
    </row>
    <row r="31" spans="2:9" ht="30" customHeight="1">
      <c r="B31" s="56" t="s">
        <v>14</v>
      </c>
      <c r="C31" s="56" t="s">
        <v>15</v>
      </c>
      <c r="D31" s="55" t="s">
        <v>651</v>
      </c>
      <c r="E31" s="55" t="s">
        <v>655</v>
      </c>
      <c r="F31" s="55" t="s">
        <v>651</v>
      </c>
      <c r="G31" s="51" t="s">
        <v>659</v>
      </c>
      <c r="H31" s="55" t="s">
        <v>660</v>
      </c>
      <c r="I31" s="101" t="s">
        <v>600</v>
      </c>
    </row>
    <row r="32" spans="2:9" ht="30" customHeight="1">
      <c r="B32" s="56" t="s">
        <v>14</v>
      </c>
      <c r="C32" s="56" t="s">
        <v>15</v>
      </c>
      <c r="D32" s="51" t="s">
        <v>617</v>
      </c>
      <c r="E32" s="51" t="s">
        <v>618</v>
      </c>
      <c r="F32" s="51" t="s">
        <v>617</v>
      </c>
      <c r="G32" s="51" t="s">
        <v>619</v>
      </c>
      <c r="H32" s="55" t="s">
        <v>620</v>
      </c>
      <c r="I32" s="101" t="s">
        <v>600</v>
      </c>
    </row>
    <row r="33" spans="2:9" ht="30" customHeight="1">
      <c r="B33" s="329" t="s">
        <v>14</v>
      </c>
      <c r="C33" s="329" t="s">
        <v>15</v>
      </c>
      <c r="D33" s="55" t="s">
        <v>651</v>
      </c>
      <c r="E33" s="55" t="s">
        <v>655</v>
      </c>
      <c r="F33" s="331" t="s">
        <v>565</v>
      </c>
      <c r="G33" s="331" t="s">
        <v>19</v>
      </c>
      <c r="H33" s="333" t="s">
        <v>661</v>
      </c>
      <c r="I33" s="331" t="s">
        <v>608</v>
      </c>
    </row>
    <row r="34" spans="2:9" ht="30" customHeight="1">
      <c r="B34" s="56" t="s">
        <v>14</v>
      </c>
      <c r="C34" s="56" t="s">
        <v>17</v>
      </c>
      <c r="D34" s="56" t="s">
        <v>651</v>
      </c>
      <c r="E34" s="56" t="s">
        <v>652</v>
      </c>
      <c r="F34" s="51" t="s">
        <v>206</v>
      </c>
      <c r="G34" s="51" t="s">
        <v>206</v>
      </c>
      <c r="H34" s="51" t="s">
        <v>206</v>
      </c>
      <c r="I34" s="51" t="s">
        <v>206</v>
      </c>
    </row>
    <row r="35" spans="2:9" ht="30" customHeight="1">
      <c r="B35" s="56" t="s">
        <v>14</v>
      </c>
      <c r="C35" s="56" t="s">
        <v>15</v>
      </c>
      <c r="D35" s="56" t="s">
        <v>651</v>
      </c>
      <c r="E35" s="56" t="s">
        <v>652</v>
      </c>
      <c r="F35" s="331" t="s">
        <v>627</v>
      </c>
      <c r="G35" s="331" t="s">
        <v>628</v>
      </c>
      <c r="H35" s="332" t="s">
        <v>662</v>
      </c>
      <c r="I35" s="329" t="s">
        <v>600</v>
      </c>
    </row>
    <row r="36" spans="2:9" ht="30" customHeight="1">
      <c r="B36" s="329" t="s">
        <v>565</v>
      </c>
      <c r="C36" s="329" t="s">
        <v>19</v>
      </c>
      <c r="D36" s="56" t="s">
        <v>617</v>
      </c>
      <c r="E36" s="56" t="s">
        <v>656</v>
      </c>
      <c r="F36" s="57" t="s">
        <v>651</v>
      </c>
      <c r="G36" s="57" t="s">
        <v>655</v>
      </c>
      <c r="H36" s="280" t="s">
        <v>663</v>
      </c>
      <c r="I36" s="329" t="s">
        <v>608</v>
      </c>
    </row>
    <row r="37" spans="2:9" ht="30" customHeight="1">
      <c r="B37" s="51" t="s">
        <v>26</v>
      </c>
      <c r="C37" s="51" t="s">
        <v>27</v>
      </c>
      <c r="D37" s="51" t="s">
        <v>664</v>
      </c>
      <c r="E37" s="51" t="s">
        <v>665</v>
      </c>
      <c r="F37" s="51" t="s">
        <v>664</v>
      </c>
      <c r="G37" s="51" t="s">
        <v>666</v>
      </c>
      <c r="H37" s="55" t="s">
        <v>667</v>
      </c>
      <c r="I37" s="55" t="s">
        <v>608</v>
      </c>
    </row>
    <row r="38" spans="2:9" ht="30" customHeight="1">
      <c r="B38" s="51" t="s">
        <v>26</v>
      </c>
      <c r="C38" s="51" t="s">
        <v>27</v>
      </c>
      <c r="D38" s="51" t="s">
        <v>664</v>
      </c>
      <c r="E38" s="51" t="s">
        <v>665</v>
      </c>
      <c r="F38" s="51" t="s">
        <v>664</v>
      </c>
      <c r="G38" s="51" t="s">
        <v>668</v>
      </c>
      <c r="H38" s="55" t="s">
        <v>669</v>
      </c>
      <c r="I38" s="55" t="s">
        <v>600</v>
      </c>
    </row>
    <row r="39" spans="2:9" ht="30" customHeight="1">
      <c r="B39" s="51" t="s">
        <v>26</v>
      </c>
      <c r="C39" s="51" t="s">
        <v>27</v>
      </c>
      <c r="D39" s="51" t="s">
        <v>664</v>
      </c>
      <c r="E39" s="51" t="s">
        <v>668</v>
      </c>
      <c r="F39" s="331" t="s">
        <v>605</v>
      </c>
      <c r="G39" s="51" t="s">
        <v>670</v>
      </c>
      <c r="H39" s="55" t="s">
        <v>671</v>
      </c>
      <c r="I39" s="55" t="s">
        <v>608</v>
      </c>
    </row>
    <row r="40" spans="2:9" ht="30" customHeight="1">
      <c r="B40" s="51" t="s">
        <v>26</v>
      </c>
      <c r="C40" s="51" t="s">
        <v>27</v>
      </c>
      <c r="D40" s="51" t="s">
        <v>664</v>
      </c>
      <c r="E40" s="51" t="s">
        <v>668</v>
      </c>
      <c r="F40" s="51" t="s">
        <v>672</v>
      </c>
      <c r="G40" s="51" t="s">
        <v>673</v>
      </c>
      <c r="H40" s="332" t="s">
        <v>674</v>
      </c>
      <c r="I40" s="51" t="s">
        <v>600</v>
      </c>
    </row>
    <row r="41" spans="2:9" ht="30" customHeight="1">
      <c r="B41" s="51" t="s">
        <v>26</v>
      </c>
      <c r="C41" s="51" t="s">
        <v>27</v>
      </c>
      <c r="D41" s="51" t="s">
        <v>664</v>
      </c>
      <c r="E41" s="51" t="s">
        <v>668</v>
      </c>
      <c r="F41" s="51" t="s">
        <v>617</v>
      </c>
      <c r="G41" s="51" t="s">
        <v>656</v>
      </c>
      <c r="H41" s="55" t="s">
        <v>675</v>
      </c>
      <c r="I41" s="51" t="s">
        <v>600</v>
      </c>
    </row>
    <row r="42" spans="2:9" ht="30" customHeight="1">
      <c r="B42" s="51" t="s">
        <v>26</v>
      </c>
      <c r="C42" s="51" t="s">
        <v>29</v>
      </c>
      <c r="D42" s="56" t="s">
        <v>664</v>
      </c>
      <c r="E42" s="56" t="s">
        <v>668</v>
      </c>
      <c r="F42" s="56" t="s">
        <v>605</v>
      </c>
      <c r="G42" s="56" t="s">
        <v>670</v>
      </c>
      <c r="H42" s="57" t="s">
        <v>671</v>
      </c>
      <c r="I42" s="56" t="s">
        <v>608</v>
      </c>
    </row>
    <row r="43" spans="2:9" ht="30" customHeight="1">
      <c r="B43" s="56" t="s">
        <v>26</v>
      </c>
      <c r="C43" s="56" t="s">
        <v>29</v>
      </c>
      <c r="D43" s="56" t="s">
        <v>664</v>
      </c>
      <c r="E43" s="56" t="s">
        <v>668</v>
      </c>
      <c r="F43" s="56" t="s">
        <v>664</v>
      </c>
      <c r="G43" s="56" t="s">
        <v>676</v>
      </c>
      <c r="H43" s="57" t="s">
        <v>677</v>
      </c>
      <c r="I43" s="56" t="s">
        <v>600</v>
      </c>
    </row>
    <row r="44" spans="2:9" ht="30" customHeight="1">
      <c r="B44" s="56" t="s">
        <v>26</v>
      </c>
      <c r="C44" s="56" t="s">
        <v>29</v>
      </c>
      <c r="D44" s="56" t="s">
        <v>664</v>
      </c>
      <c r="E44" s="56" t="s">
        <v>668</v>
      </c>
      <c r="F44" s="329" t="s">
        <v>664</v>
      </c>
      <c r="G44" s="56" t="s">
        <v>678</v>
      </c>
      <c r="H44" s="57" t="s">
        <v>679</v>
      </c>
      <c r="I44" s="51" t="s">
        <v>600</v>
      </c>
    </row>
    <row r="45" spans="2:9" ht="30" customHeight="1">
      <c r="B45" s="56" t="s">
        <v>26</v>
      </c>
      <c r="C45" s="56" t="s">
        <v>31</v>
      </c>
      <c r="D45" s="56" t="s">
        <v>664</v>
      </c>
      <c r="E45" s="56" t="s">
        <v>668</v>
      </c>
      <c r="F45" s="56" t="s">
        <v>680</v>
      </c>
      <c r="G45" s="56" t="s">
        <v>681</v>
      </c>
      <c r="H45" s="57" t="s">
        <v>682</v>
      </c>
      <c r="I45" s="51" t="s">
        <v>600</v>
      </c>
    </row>
    <row r="46" spans="2:9" ht="30" customHeight="1">
      <c r="B46" s="56" t="s">
        <v>26</v>
      </c>
      <c r="C46" s="51" t="s">
        <v>31</v>
      </c>
      <c r="D46" s="56" t="s">
        <v>664</v>
      </c>
      <c r="E46" s="56" t="s">
        <v>668</v>
      </c>
      <c r="F46" s="56" t="s">
        <v>664</v>
      </c>
      <c r="G46" s="56" t="s">
        <v>683</v>
      </c>
      <c r="H46" s="57" t="s">
        <v>684</v>
      </c>
      <c r="I46" s="56" t="s">
        <v>600</v>
      </c>
    </row>
    <row r="47" spans="2:9" ht="30" customHeight="1">
      <c r="B47" s="56" t="s">
        <v>26</v>
      </c>
      <c r="C47" s="56" t="s">
        <v>31</v>
      </c>
      <c r="D47" s="56" t="s">
        <v>664</v>
      </c>
      <c r="E47" s="56" t="s">
        <v>668</v>
      </c>
      <c r="F47" s="56" t="s">
        <v>664</v>
      </c>
      <c r="G47" s="56" t="s">
        <v>685</v>
      </c>
      <c r="H47" s="57" t="s">
        <v>686</v>
      </c>
      <c r="I47" s="51" t="s">
        <v>600</v>
      </c>
    </row>
    <row r="48" spans="2:9" ht="30" customHeight="1">
      <c r="B48" s="56" t="s">
        <v>26</v>
      </c>
      <c r="C48" s="56" t="s">
        <v>31</v>
      </c>
      <c r="D48" s="56" t="s">
        <v>664</v>
      </c>
      <c r="E48" s="56" t="s">
        <v>668</v>
      </c>
      <c r="F48" s="56" t="s">
        <v>664</v>
      </c>
      <c r="G48" s="56" t="s">
        <v>687</v>
      </c>
      <c r="H48" s="57" t="s">
        <v>688</v>
      </c>
      <c r="I48" s="56" t="s">
        <v>600</v>
      </c>
    </row>
    <row r="49" spans="2:9" ht="30" customHeight="1">
      <c r="B49" s="56" t="s">
        <v>26</v>
      </c>
      <c r="C49" s="56" t="s">
        <v>31</v>
      </c>
      <c r="D49" s="56" t="s">
        <v>664</v>
      </c>
      <c r="E49" s="56" t="s">
        <v>668</v>
      </c>
      <c r="F49" s="56" t="s">
        <v>664</v>
      </c>
      <c r="G49" s="56" t="s">
        <v>678</v>
      </c>
      <c r="H49" s="57" t="s">
        <v>689</v>
      </c>
      <c r="I49" s="56" t="s">
        <v>600</v>
      </c>
    </row>
    <row r="50" spans="2:9" ht="30" customHeight="1">
      <c r="B50" s="56" t="s">
        <v>26</v>
      </c>
      <c r="C50" s="56" t="s">
        <v>31</v>
      </c>
      <c r="D50" s="56" t="s">
        <v>664</v>
      </c>
      <c r="E50" s="56" t="s">
        <v>668</v>
      </c>
      <c r="F50" s="56" t="s">
        <v>664</v>
      </c>
      <c r="G50" s="56" t="s">
        <v>690</v>
      </c>
      <c r="H50" s="57" t="s">
        <v>691</v>
      </c>
      <c r="I50" s="56" t="s">
        <v>600</v>
      </c>
    </row>
    <row r="51" spans="2:9" ht="30" customHeight="1">
      <c r="B51" s="56" t="s">
        <v>26</v>
      </c>
      <c r="C51" s="56" t="s">
        <v>31</v>
      </c>
      <c r="D51" s="56" t="s">
        <v>664</v>
      </c>
      <c r="E51" s="56" t="s">
        <v>668</v>
      </c>
      <c r="F51" s="56" t="s">
        <v>664</v>
      </c>
      <c r="G51" s="56" t="s">
        <v>676</v>
      </c>
      <c r="H51" s="55" t="s">
        <v>692</v>
      </c>
      <c r="I51" s="56" t="s">
        <v>600</v>
      </c>
    </row>
    <row r="52" spans="2:9" ht="30" customHeight="1">
      <c r="B52" s="51" t="s">
        <v>26</v>
      </c>
      <c r="C52" s="51" t="s">
        <v>31</v>
      </c>
      <c r="D52" s="56" t="s">
        <v>664</v>
      </c>
      <c r="E52" s="56" t="s">
        <v>668</v>
      </c>
      <c r="F52" s="56" t="s">
        <v>605</v>
      </c>
      <c r="G52" s="56" t="s">
        <v>621</v>
      </c>
      <c r="H52" s="57" t="s">
        <v>693</v>
      </c>
      <c r="I52" s="329" t="s">
        <v>608</v>
      </c>
    </row>
    <row r="53" spans="2:9" ht="30" customHeight="1">
      <c r="B53" s="51" t="s">
        <v>26</v>
      </c>
      <c r="C53" s="51" t="s">
        <v>31</v>
      </c>
      <c r="D53" s="51" t="s">
        <v>664</v>
      </c>
      <c r="E53" s="51" t="s">
        <v>668</v>
      </c>
      <c r="F53" s="51" t="s">
        <v>617</v>
      </c>
      <c r="G53" s="51" t="s">
        <v>656</v>
      </c>
      <c r="H53" s="55" t="s">
        <v>675</v>
      </c>
      <c r="I53" s="51" t="s">
        <v>600</v>
      </c>
    </row>
    <row r="54" spans="2:9" ht="30" customHeight="1">
      <c r="B54" s="51" t="s">
        <v>26</v>
      </c>
      <c r="C54" s="51" t="s">
        <v>31</v>
      </c>
      <c r="D54" s="51" t="s">
        <v>664</v>
      </c>
      <c r="E54" s="51" t="s">
        <v>685</v>
      </c>
      <c r="F54" s="51" t="s">
        <v>664</v>
      </c>
      <c r="G54" s="331" t="s">
        <v>694</v>
      </c>
      <c r="H54" s="332" t="s">
        <v>695</v>
      </c>
      <c r="I54" s="56" t="s">
        <v>600</v>
      </c>
    </row>
    <row r="55" spans="2:9" ht="30" customHeight="1">
      <c r="B55" s="51" t="s">
        <v>26</v>
      </c>
      <c r="C55" s="51" t="s">
        <v>31</v>
      </c>
      <c r="D55" s="51" t="s">
        <v>664</v>
      </c>
      <c r="E55" s="51" t="s">
        <v>696</v>
      </c>
      <c r="F55" s="51" t="s">
        <v>664</v>
      </c>
      <c r="G55" s="51" t="s">
        <v>668</v>
      </c>
      <c r="H55" s="55" t="s">
        <v>697</v>
      </c>
      <c r="I55" s="56" t="s">
        <v>608</v>
      </c>
    </row>
    <row r="56" spans="2:9" ht="30" customHeight="1">
      <c r="B56" s="51" t="s">
        <v>26</v>
      </c>
      <c r="C56" s="51" t="s">
        <v>31</v>
      </c>
      <c r="D56" s="56" t="s">
        <v>664</v>
      </c>
      <c r="E56" s="56" t="s">
        <v>696</v>
      </c>
      <c r="F56" s="56" t="s">
        <v>664</v>
      </c>
      <c r="G56" s="56" t="s">
        <v>698</v>
      </c>
      <c r="H56" s="57" t="s">
        <v>699</v>
      </c>
      <c r="I56" s="56" t="s">
        <v>600</v>
      </c>
    </row>
    <row r="57" spans="2:9" ht="30" customHeight="1">
      <c r="B57" s="51" t="s">
        <v>26</v>
      </c>
      <c r="C57" s="51" t="s">
        <v>31</v>
      </c>
      <c r="D57" s="329" t="s">
        <v>700</v>
      </c>
      <c r="E57" s="329" t="s">
        <v>701</v>
      </c>
      <c r="F57" s="56" t="s">
        <v>664</v>
      </c>
      <c r="G57" s="56" t="s">
        <v>668</v>
      </c>
      <c r="H57" s="330" t="s">
        <v>702</v>
      </c>
      <c r="I57" s="329" t="s">
        <v>600</v>
      </c>
    </row>
    <row r="58" spans="2:9" ht="30" customHeight="1">
      <c r="B58" s="56" t="s">
        <v>26</v>
      </c>
      <c r="C58" s="56" t="s">
        <v>31</v>
      </c>
      <c r="D58" s="329" t="s">
        <v>700</v>
      </c>
      <c r="E58" s="329" t="s">
        <v>703</v>
      </c>
      <c r="F58" s="329" t="s">
        <v>700</v>
      </c>
      <c r="G58" s="329" t="s">
        <v>701</v>
      </c>
      <c r="H58" s="330" t="s">
        <v>704</v>
      </c>
      <c r="I58" s="331" t="s">
        <v>600</v>
      </c>
    </row>
    <row r="59" spans="2:9" ht="30" customHeight="1">
      <c r="B59" s="56" t="s">
        <v>26</v>
      </c>
      <c r="C59" s="56" t="s">
        <v>31</v>
      </c>
      <c r="D59" s="329" t="s">
        <v>700</v>
      </c>
      <c r="E59" s="329" t="s">
        <v>705</v>
      </c>
      <c r="F59" s="56" t="s">
        <v>664</v>
      </c>
      <c r="G59" s="56" t="s">
        <v>668</v>
      </c>
      <c r="H59" s="330" t="s">
        <v>706</v>
      </c>
      <c r="I59" s="331" t="s">
        <v>600</v>
      </c>
    </row>
    <row r="60" spans="2:9" ht="30" customHeight="1">
      <c r="B60" s="56" t="s">
        <v>26</v>
      </c>
      <c r="C60" s="56" t="s">
        <v>31</v>
      </c>
      <c r="D60" s="329" t="s">
        <v>700</v>
      </c>
      <c r="E60" s="329" t="s">
        <v>705</v>
      </c>
      <c r="F60" s="329" t="s">
        <v>700</v>
      </c>
      <c r="G60" s="329" t="s">
        <v>703</v>
      </c>
      <c r="H60" s="330" t="s">
        <v>707</v>
      </c>
      <c r="I60" s="331" t="s">
        <v>600</v>
      </c>
    </row>
    <row r="61" spans="2:9" ht="30" customHeight="1">
      <c r="B61" s="56" t="s">
        <v>26</v>
      </c>
      <c r="C61" s="56" t="s">
        <v>31</v>
      </c>
      <c r="D61" s="56" t="s">
        <v>617</v>
      </c>
      <c r="E61" s="56" t="s">
        <v>656</v>
      </c>
      <c r="F61" s="56" t="s">
        <v>605</v>
      </c>
      <c r="G61" s="56" t="s">
        <v>621</v>
      </c>
      <c r="H61" s="57" t="s">
        <v>708</v>
      </c>
      <c r="I61" s="51" t="s">
        <v>600</v>
      </c>
    </row>
    <row r="62" spans="2:9" ht="30" customHeight="1">
      <c r="B62" s="56" t="s">
        <v>26</v>
      </c>
      <c r="C62" s="56" t="s">
        <v>31</v>
      </c>
      <c r="D62" s="56" t="s">
        <v>617</v>
      </c>
      <c r="E62" s="56" t="s">
        <v>656</v>
      </c>
      <c r="F62" s="56" t="s">
        <v>617</v>
      </c>
      <c r="G62" s="56" t="s">
        <v>619</v>
      </c>
      <c r="H62" s="57" t="s">
        <v>709</v>
      </c>
      <c r="I62" s="51" t="s">
        <v>600</v>
      </c>
    </row>
    <row r="63" spans="2:9" ht="30" customHeight="1">
      <c r="B63" s="56" t="s">
        <v>26</v>
      </c>
      <c r="C63" s="56" t="s">
        <v>31</v>
      </c>
      <c r="D63" s="56" t="s">
        <v>664</v>
      </c>
      <c r="E63" s="56" t="s">
        <v>668</v>
      </c>
      <c r="F63" s="331" t="s">
        <v>565</v>
      </c>
      <c r="G63" s="331" t="s">
        <v>519</v>
      </c>
      <c r="H63" s="332" t="s">
        <v>710</v>
      </c>
      <c r="I63" s="331" t="s">
        <v>608</v>
      </c>
    </row>
    <row r="64" spans="2:9" ht="30" customHeight="1">
      <c r="B64" s="56" t="s">
        <v>26</v>
      </c>
      <c r="C64" s="56" t="s">
        <v>31</v>
      </c>
      <c r="D64" s="56" t="s">
        <v>664</v>
      </c>
      <c r="E64" s="56" t="s">
        <v>656</v>
      </c>
      <c r="F64" s="331" t="s">
        <v>565</v>
      </c>
      <c r="G64" s="331" t="s">
        <v>519</v>
      </c>
      <c r="H64" s="332" t="s">
        <v>711</v>
      </c>
      <c r="I64" s="331" t="s">
        <v>608</v>
      </c>
    </row>
    <row r="65" spans="2:9" ht="30" customHeight="1">
      <c r="B65" s="56" t="s">
        <v>26</v>
      </c>
      <c r="C65" s="56" t="s">
        <v>31</v>
      </c>
      <c r="D65" s="56" t="s">
        <v>664</v>
      </c>
      <c r="E65" s="56" t="s">
        <v>625</v>
      </c>
      <c r="F65" s="331" t="s">
        <v>565</v>
      </c>
      <c r="G65" s="331" t="s">
        <v>519</v>
      </c>
      <c r="H65" s="332" t="s">
        <v>712</v>
      </c>
      <c r="I65" s="331" t="s">
        <v>608</v>
      </c>
    </row>
    <row r="66" spans="2:9" ht="30" customHeight="1">
      <c r="B66" s="56" t="s">
        <v>26</v>
      </c>
      <c r="C66" s="56" t="s">
        <v>31</v>
      </c>
      <c r="D66" s="56" t="s">
        <v>664</v>
      </c>
      <c r="E66" s="56" t="s">
        <v>713</v>
      </c>
      <c r="F66" s="331" t="s">
        <v>565</v>
      </c>
      <c r="G66" s="331" t="s">
        <v>519</v>
      </c>
      <c r="H66" s="332" t="s">
        <v>714</v>
      </c>
      <c r="I66" s="331" t="s">
        <v>608</v>
      </c>
    </row>
    <row r="67" spans="2:9" ht="30" customHeight="1">
      <c r="B67" s="56" t="s">
        <v>26</v>
      </c>
      <c r="C67" s="56" t="s">
        <v>29</v>
      </c>
      <c r="D67" s="56" t="s">
        <v>664</v>
      </c>
      <c r="E67" s="56" t="s">
        <v>668</v>
      </c>
      <c r="F67" s="331" t="s">
        <v>565</v>
      </c>
      <c r="G67" s="331" t="s">
        <v>519</v>
      </c>
      <c r="H67" s="332" t="s">
        <v>715</v>
      </c>
      <c r="I67" s="331" t="s">
        <v>608</v>
      </c>
    </row>
    <row r="68" spans="2:9" ht="30" customHeight="1">
      <c r="B68" s="56" t="s">
        <v>26</v>
      </c>
      <c r="C68" s="56" t="s">
        <v>27</v>
      </c>
      <c r="D68" s="56" t="s">
        <v>664</v>
      </c>
      <c r="E68" s="56" t="s">
        <v>668</v>
      </c>
      <c r="F68" s="331" t="s">
        <v>565</v>
      </c>
      <c r="G68" s="331" t="s">
        <v>519</v>
      </c>
      <c r="H68" s="332" t="s">
        <v>716</v>
      </c>
      <c r="I68" s="331" t="s">
        <v>608</v>
      </c>
    </row>
    <row r="69" spans="2:9" ht="30" customHeight="1">
      <c r="B69" s="56" t="s">
        <v>33</v>
      </c>
      <c r="C69" s="56" t="s">
        <v>34</v>
      </c>
      <c r="D69" s="56" t="s">
        <v>624</v>
      </c>
      <c r="E69" s="56" t="s">
        <v>625</v>
      </c>
      <c r="F69" s="56" t="s">
        <v>717</v>
      </c>
      <c r="G69" s="56" t="s">
        <v>718</v>
      </c>
      <c r="H69" s="57" t="s">
        <v>719</v>
      </c>
      <c r="I69" s="55" t="s">
        <v>600</v>
      </c>
    </row>
    <row r="70" spans="2:9" ht="30" customHeight="1">
      <c r="B70" s="56" t="s">
        <v>33</v>
      </c>
      <c r="C70" s="56" t="s">
        <v>34</v>
      </c>
      <c r="D70" s="56" t="s">
        <v>624</v>
      </c>
      <c r="E70" s="56" t="s">
        <v>625</v>
      </c>
      <c r="F70" s="56" t="s">
        <v>617</v>
      </c>
      <c r="G70" s="56" t="s">
        <v>618</v>
      </c>
      <c r="H70" s="57" t="s">
        <v>720</v>
      </c>
      <c r="I70" s="55" t="s">
        <v>600</v>
      </c>
    </row>
    <row r="71" spans="2:9" ht="30" customHeight="1">
      <c r="B71" s="56" t="s">
        <v>33</v>
      </c>
      <c r="C71" s="56" t="s">
        <v>34</v>
      </c>
      <c r="D71" s="56" t="s">
        <v>617</v>
      </c>
      <c r="E71" s="56" t="s">
        <v>618</v>
      </c>
      <c r="F71" s="56" t="s">
        <v>617</v>
      </c>
      <c r="G71" s="56" t="s">
        <v>619</v>
      </c>
      <c r="H71" s="57" t="s">
        <v>620</v>
      </c>
      <c r="I71" s="55" t="s">
        <v>600</v>
      </c>
    </row>
    <row r="72" spans="2:9" ht="30" customHeight="1">
      <c r="B72" s="56" t="s">
        <v>33</v>
      </c>
      <c r="C72" s="56" t="s">
        <v>34</v>
      </c>
      <c r="D72" s="56" t="s">
        <v>624</v>
      </c>
      <c r="E72" s="56" t="s">
        <v>625</v>
      </c>
      <c r="F72" s="56" t="s">
        <v>627</v>
      </c>
      <c r="G72" s="331" t="s">
        <v>628</v>
      </c>
      <c r="H72" s="332" t="s">
        <v>630</v>
      </c>
      <c r="I72" s="55" t="s">
        <v>600</v>
      </c>
    </row>
    <row r="73" spans="2:9" ht="30" customHeight="1">
      <c r="B73" s="56" t="s">
        <v>33</v>
      </c>
      <c r="C73" s="56" t="s">
        <v>34</v>
      </c>
      <c r="D73" s="56" t="s">
        <v>624</v>
      </c>
      <c r="E73" s="56" t="s">
        <v>625</v>
      </c>
      <c r="F73" s="51" t="s">
        <v>565</v>
      </c>
      <c r="G73" s="331" t="s">
        <v>721</v>
      </c>
      <c r="H73" s="55" t="s">
        <v>722</v>
      </c>
      <c r="I73" s="331" t="s">
        <v>608</v>
      </c>
    </row>
    <row r="74" spans="2:9" ht="30" customHeight="1">
      <c r="B74" s="56" t="s">
        <v>36</v>
      </c>
      <c r="C74" s="56" t="s">
        <v>37</v>
      </c>
      <c r="D74" s="56" t="s">
        <v>664</v>
      </c>
      <c r="E74" s="56" t="s">
        <v>665</v>
      </c>
      <c r="F74" s="56" t="s">
        <v>664</v>
      </c>
      <c r="G74" s="56" t="s">
        <v>668</v>
      </c>
      <c r="H74" s="57" t="s">
        <v>669</v>
      </c>
      <c r="I74" s="51" t="s">
        <v>608</v>
      </c>
    </row>
    <row r="75" spans="2:9" ht="30" customHeight="1">
      <c r="B75" s="56" t="s">
        <v>36</v>
      </c>
      <c r="C75" s="56" t="s">
        <v>37</v>
      </c>
      <c r="D75" s="56" t="s">
        <v>664</v>
      </c>
      <c r="E75" s="56" t="s">
        <v>665</v>
      </c>
      <c r="F75" s="56" t="s">
        <v>664</v>
      </c>
      <c r="G75" s="56" t="s">
        <v>666</v>
      </c>
      <c r="H75" s="57" t="s">
        <v>723</v>
      </c>
      <c r="I75" s="51" t="s">
        <v>600</v>
      </c>
    </row>
    <row r="76" spans="2:9" ht="30" customHeight="1">
      <c r="B76" s="56" t="s">
        <v>36</v>
      </c>
      <c r="C76" s="56" t="s">
        <v>37</v>
      </c>
      <c r="D76" s="56" t="s">
        <v>664</v>
      </c>
      <c r="E76" s="56" t="s">
        <v>668</v>
      </c>
      <c r="F76" s="56" t="s">
        <v>672</v>
      </c>
      <c r="G76" s="51" t="s">
        <v>673</v>
      </c>
      <c r="H76" s="332" t="s">
        <v>674</v>
      </c>
      <c r="I76" s="51" t="s">
        <v>600</v>
      </c>
    </row>
    <row r="77" spans="2:9" ht="30" customHeight="1">
      <c r="B77" s="56" t="s">
        <v>36</v>
      </c>
      <c r="C77" s="56" t="s">
        <v>37</v>
      </c>
      <c r="D77" s="56" t="s">
        <v>664</v>
      </c>
      <c r="E77" s="56" t="s">
        <v>668</v>
      </c>
      <c r="F77" s="56" t="s">
        <v>605</v>
      </c>
      <c r="G77" s="56" t="s">
        <v>670</v>
      </c>
      <c r="H77" s="57" t="s">
        <v>671</v>
      </c>
      <c r="I77" s="51" t="s">
        <v>608</v>
      </c>
    </row>
    <row r="78" spans="2:9" ht="30" customHeight="1">
      <c r="B78" s="56" t="s">
        <v>36</v>
      </c>
      <c r="C78" s="56" t="s">
        <v>39</v>
      </c>
      <c r="D78" s="56" t="s">
        <v>664</v>
      </c>
      <c r="E78" s="56" t="s">
        <v>668</v>
      </c>
      <c r="F78" s="56" t="s">
        <v>605</v>
      </c>
      <c r="G78" s="56" t="s">
        <v>670</v>
      </c>
      <c r="H78" s="57" t="s">
        <v>671</v>
      </c>
      <c r="I78" s="51" t="s">
        <v>608</v>
      </c>
    </row>
    <row r="79" spans="2:9" ht="30" customHeight="1">
      <c r="B79" s="56" t="s">
        <v>36</v>
      </c>
      <c r="C79" s="56" t="s">
        <v>39</v>
      </c>
      <c r="D79" s="51" t="s">
        <v>664</v>
      </c>
      <c r="E79" s="51" t="s">
        <v>668</v>
      </c>
      <c r="F79" s="51" t="s">
        <v>664</v>
      </c>
      <c r="G79" s="51" t="s">
        <v>676</v>
      </c>
      <c r="H79" s="55" t="s">
        <v>677</v>
      </c>
      <c r="I79" s="51" t="s">
        <v>600</v>
      </c>
    </row>
    <row r="80" spans="2:9" ht="30" customHeight="1">
      <c r="B80" s="56" t="s">
        <v>36</v>
      </c>
      <c r="C80" s="56" t="s">
        <v>39</v>
      </c>
      <c r="D80" s="51" t="s">
        <v>664</v>
      </c>
      <c r="E80" s="51" t="s">
        <v>668</v>
      </c>
      <c r="F80" s="56" t="s">
        <v>664</v>
      </c>
      <c r="G80" s="56" t="s">
        <v>678</v>
      </c>
      <c r="H80" s="55" t="s">
        <v>679</v>
      </c>
      <c r="I80" s="51" t="s">
        <v>600</v>
      </c>
    </row>
    <row r="81" spans="2:9" ht="30" customHeight="1">
      <c r="B81" s="56" t="s">
        <v>36</v>
      </c>
      <c r="C81" s="56" t="s">
        <v>39</v>
      </c>
      <c r="D81" s="51" t="s">
        <v>664</v>
      </c>
      <c r="E81" s="51" t="s">
        <v>668</v>
      </c>
      <c r="F81" s="51" t="s">
        <v>664</v>
      </c>
      <c r="G81" s="51" t="s">
        <v>724</v>
      </c>
      <c r="H81" s="55" t="s">
        <v>725</v>
      </c>
      <c r="I81" s="51" t="s">
        <v>600</v>
      </c>
    </row>
    <row r="82" spans="2:9" ht="30" customHeight="1">
      <c r="B82" s="56" t="s">
        <v>36</v>
      </c>
      <c r="C82" s="56" t="s">
        <v>39</v>
      </c>
      <c r="D82" s="51" t="s">
        <v>664</v>
      </c>
      <c r="E82" s="51" t="s">
        <v>724</v>
      </c>
      <c r="F82" s="56" t="s">
        <v>726</v>
      </c>
      <c r="G82" s="56" t="s">
        <v>727</v>
      </c>
      <c r="H82" s="55" t="s">
        <v>728</v>
      </c>
      <c r="I82" s="51" t="s">
        <v>600</v>
      </c>
    </row>
    <row r="83" spans="2:9" ht="30" customHeight="1">
      <c r="B83" s="56" t="s">
        <v>36</v>
      </c>
      <c r="C83" s="56" t="s">
        <v>39</v>
      </c>
      <c r="D83" s="56" t="s">
        <v>726</v>
      </c>
      <c r="E83" s="56" t="s">
        <v>727</v>
      </c>
      <c r="F83" s="56" t="s">
        <v>605</v>
      </c>
      <c r="G83" s="56" t="s">
        <v>670</v>
      </c>
      <c r="H83" s="57" t="s">
        <v>729</v>
      </c>
      <c r="I83" s="51" t="s">
        <v>600</v>
      </c>
    </row>
    <row r="84" spans="2:9" ht="30" customHeight="1">
      <c r="B84" s="56" t="s">
        <v>41</v>
      </c>
      <c r="C84" s="51" t="s">
        <v>44</v>
      </c>
      <c r="D84" s="56" t="s">
        <v>730</v>
      </c>
      <c r="E84" s="56" t="s">
        <v>731</v>
      </c>
      <c r="F84" s="56" t="s">
        <v>730</v>
      </c>
      <c r="G84" s="56" t="s">
        <v>732</v>
      </c>
      <c r="H84" s="57" t="s">
        <v>733</v>
      </c>
      <c r="I84" s="55" t="s">
        <v>600</v>
      </c>
    </row>
    <row r="85" spans="2:9" ht="30" customHeight="1">
      <c r="B85" s="56" t="s">
        <v>41</v>
      </c>
      <c r="C85" s="56" t="s">
        <v>44</v>
      </c>
      <c r="D85" s="56" t="s">
        <v>730</v>
      </c>
      <c r="E85" s="56" t="s">
        <v>731</v>
      </c>
      <c r="F85" s="56" t="s">
        <v>730</v>
      </c>
      <c r="G85" s="56" t="s">
        <v>734</v>
      </c>
      <c r="H85" s="57" t="s">
        <v>735</v>
      </c>
      <c r="I85" s="55" t="s">
        <v>600</v>
      </c>
    </row>
    <row r="86" spans="2:9" ht="30" customHeight="1">
      <c r="B86" s="56" t="s">
        <v>41</v>
      </c>
      <c r="C86" s="56" t="s">
        <v>42</v>
      </c>
      <c r="D86" s="331" t="s">
        <v>730</v>
      </c>
      <c r="E86" s="331" t="s">
        <v>736</v>
      </c>
      <c r="F86" s="331" t="s">
        <v>730</v>
      </c>
      <c r="G86" s="331" t="s">
        <v>737</v>
      </c>
      <c r="H86" s="332" t="s">
        <v>738</v>
      </c>
      <c r="I86" s="331" t="s">
        <v>600</v>
      </c>
    </row>
    <row r="87" spans="2:9" ht="30" customHeight="1">
      <c r="B87" s="56" t="s">
        <v>41</v>
      </c>
      <c r="C87" s="56" t="s">
        <v>42</v>
      </c>
      <c r="D87" s="51" t="s">
        <v>730</v>
      </c>
      <c r="E87" s="331" t="s">
        <v>734</v>
      </c>
      <c r="F87" s="51" t="s">
        <v>730</v>
      </c>
      <c r="G87" s="331" t="s">
        <v>739</v>
      </c>
      <c r="H87" s="332" t="s">
        <v>740</v>
      </c>
      <c r="I87" s="331" t="s">
        <v>600</v>
      </c>
    </row>
    <row r="88" spans="2:9" ht="30" customHeight="1">
      <c r="B88" s="56" t="s">
        <v>41</v>
      </c>
      <c r="C88" s="56" t="s">
        <v>42</v>
      </c>
      <c r="D88" s="331" t="s">
        <v>730</v>
      </c>
      <c r="E88" s="331" t="s">
        <v>734</v>
      </c>
      <c r="F88" s="331" t="s">
        <v>730</v>
      </c>
      <c r="G88" s="331" t="s">
        <v>736</v>
      </c>
      <c r="H88" s="332" t="s">
        <v>741</v>
      </c>
      <c r="I88" s="331" t="s">
        <v>600</v>
      </c>
    </row>
    <row r="89" spans="2:9" ht="30" customHeight="1">
      <c r="B89" s="56" t="s">
        <v>41</v>
      </c>
      <c r="C89" s="56" t="s">
        <v>42</v>
      </c>
      <c r="D89" s="331" t="s">
        <v>730</v>
      </c>
      <c r="E89" s="331" t="s">
        <v>739</v>
      </c>
      <c r="F89" s="331" t="s">
        <v>730</v>
      </c>
      <c r="G89" s="331" t="s">
        <v>732</v>
      </c>
      <c r="H89" s="332" t="s">
        <v>742</v>
      </c>
      <c r="I89" s="331" t="s">
        <v>600</v>
      </c>
    </row>
    <row r="90" spans="2:9" ht="30" customHeight="1">
      <c r="B90" s="56" t="s">
        <v>41</v>
      </c>
      <c r="C90" s="56" t="s">
        <v>42</v>
      </c>
      <c r="D90" s="331" t="s">
        <v>730</v>
      </c>
      <c r="E90" s="331" t="s">
        <v>732</v>
      </c>
      <c r="F90" s="331" t="s">
        <v>730</v>
      </c>
      <c r="G90" s="331" t="s">
        <v>743</v>
      </c>
      <c r="H90" s="332" t="s">
        <v>744</v>
      </c>
      <c r="I90" s="331" t="s">
        <v>600</v>
      </c>
    </row>
    <row r="91" spans="2:9" ht="30" customHeight="1">
      <c r="B91" s="56" t="s">
        <v>41</v>
      </c>
      <c r="C91" s="56" t="s">
        <v>42</v>
      </c>
      <c r="D91" s="331" t="s">
        <v>730</v>
      </c>
      <c r="E91" s="331" t="s">
        <v>732</v>
      </c>
      <c r="F91" s="331" t="s">
        <v>730</v>
      </c>
      <c r="G91" s="331" t="s">
        <v>745</v>
      </c>
      <c r="H91" s="332" t="s">
        <v>746</v>
      </c>
      <c r="I91" s="331" t="s">
        <v>600</v>
      </c>
    </row>
    <row r="92" spans="2:9" ht="30" customHeight="1">
      <c r="B92" s="56" t="s">
        <v>41</v>
      </c>
      <c r="C92" s="56" t="s">
        <v>42</v>
      </c>
      <c r="D92" s="331" t="s">
        <v>730</v>
      </c>
      <c r="E92" s="331" t="s">
        <v>747</v>
      </c>
      <c r="F92" s="334" t="s">
        <v>730</v>
      </c>
      <c r="G92" s="331" t="s">
        <v>748</v>
      </c>
      <c r="H92" s="332" t="s">
        <v>749</v>
      </c>
      <c r="I92" s="331" t="s">
        <v>600</v>
      </c>
    </row>
    <row r="93" spans="2:9" ht="30" customHeight="1">
      <c r="B93" s="331" t="s">
        <v>41</v>
      </c>
      <c r="C93" s="331" t="s">
        <v>42</v>
      </c>
      <c r="D93" s="331" t="s">
        <v>730</v>
      </c>
      <c r="E93" s="331" t="s">
        <v>739</v>
      </c>
      <c r="F93" s="334" t="s">
        <v>730</v>
      </c>
      <c r="G93" s="331" t="s">
        <v>750</v>
      </c>
      <c r="H93" s="332" t="s">
        <v>751</v>
      </c>
      <c r="I93" s="331" t="s">
        <v>600</v>
      </c>
    </row>
    <row r="94" spans="2:9" ht="30" customHeight="1">
      <c r="B94" s="331" t="s">
        <v>41</v>
      </c>
      <c r="C94" s="331" t="s">
        <v>42</v>
      </c>
      <c r="D94" s="331" t="s">
        <v>730</v>
      </c>
      <c r="E94" s="331" t="s">
        <v>739</v>
      </c>
      <c r="F94" s="334" t="s">
        <v>730</v>
      </c>
      <c r="G94" s="331" t="s">
        <v>747</v>
      </c>
      <c r="H94" s="332" t="s">
        <v>752</v>
      </c>
      <c r="I94" s="331" t="s">
        <v>600</v>
      </c>
    </row>
    <row r="95" spans="2:9" ht="30" customHeight="1">
      <c r="B95" s="56" t="s">
        <v>41</v>
      </c>
      <c r="C95" s="56" t="s">
        <v>42</v>
      </c>
      <c r="D95" s="331" t="s">
        <v>730</v>
      </c>
      <c r="E95" s="331" t="s">
        <v>739</v>
      </c>
      <c r="F95" s="331" t="s">
        <v>565</v>
      </c>
      <c r="G95" s="331" t="s">
        <v>550</v>
      </c>
      <c r="H95" s="332" t="s">
        <v>753</v>
      </c>
      <c r="I95" s="331" t="s">
        <v>608</v>
      </c>
    </row>
    <row r="96" spans="2:9" ht="30" customHeight="1">
      <c r="B96" s="331" t="s">
        <v>41</v>
      </c>
      <c r="C96" s="331" t="s">
        <v>42</v>
      </c>
      <c r="D96" s="331" t="s">
        <v>730</v>
      </c>
      <c r="E96" s="331" t="s">
        <v>732</v>
      </c>
      <c r="F96" s="331" t="s">
        <v>730</v>
      </c>
      <c r="G96" s="331" t="s">
        <v>731</v>
      </c>
      <c r="H96" s="332" t="s">
        <v>754</v>
      </c>
      <c r="I96" s="331" t="s">
        <v>600</v>
      </c>
    </row>
    <row r="97" spans="2:9" ht="30" customHeight="1">
      <c r="B97" s="331" t="s">
        <v>41</v>
      </c>
      <c r="C97" s="331" t="s">
        <v>42</v>
      </c>
      <c r="D97" s="331" t="s">
        <v>730</v>
      </c>
      <c r="E97" s="331" t="s">
        <v>739</v>
      </c>
      <c r="F97" s="331" t="s">
        <v>730</v>
      </c>
      <c r="G97" s="331" t="s">
        <v>731</v>
      </c>
      <c r="H97" s="332" t="s">
        <v>755</v>
      </c>
      <c r="I97" s="331" t="s">
        <v>600</v>
      </c>
    </row>
    <row r="98" spans="2:9" ht="30" customHeight="1">
      <c r="B98" s="331" t="s">
        <v>41</v>
      </c>
      <c r="C98" s="331" t="s">
        <v>42</v>
      </c>
      <c r="D98" s="331" t="s">
        <v>730</v>
      </c>
      <c r="E98" s="331" t="s">
        <v>739</v>
      </c>
      <c r="F98" s="331" t="s">
        <v>605</v>
      </c>
      <c r="G98" s="331" t="s">
        <v>621</v>
      </c>
      <c r="H98" s="332" t="s">
        <v>756</v>
      </c>
      <c r="I98" s="331" t="s">
        <v>600</v>
      </c>
    </row>
    <row r="99" spans="2:9" ht="30" customHeight="1">
      <c r="B99" s="331" t="s">
        <v>41</v>
      </c>
      <c r="C99" s="331" t="s">
        <v>42</v>
      </c>
      <c r="D99" s="331" t="s">
        <v>730</v>
      </c>
      <c r="E99" s="331" t="s">
        <v>732</v>
      </c>
      <c r="F99" s="331" t="s">
        <v>605</v>
      </c>
      <c r="G99" s="331" t="s">
        <v>621</v>
      </c>
      <c r="H99" s="332" t="s">
        <v>757</v>
      </c>
      <c r="I99" s="331" t="s">
        <v>600</v>
      </c>
    </row>
    <row r="100" spans="2:9" ht="30" customHeight="1">
      <c r="B100" s="331" t="s">
        <v>41</v>
      </c>
      <c r="C100" s="331" t="s">
        <v>42</v>
      </c>
      <c r="D100" s="331" t="s">
        <v>730</v>
      </c>
      <c r="E100" s="331" t="s">
        <v>732</v>
      </c>
      <c r="F100" s="331" t="s">
        <v>730</v>
      </c>
      <c r="G100" s="331" t="s">
        <v>758</v>
      </c>
      <c r="H100" s="332" t="s">
        <v>759</v>
      </c>
      <c r="I100" s="331" t="s">
        <v>600</v>
      </c>
    </row>
    <row r="101" spans="2:9" ht="30" customHeight="1">
      <c r="B101" s="56" t="s">
        <v>41</v>
      </c>
      <c r="C101" s="56" t="s">
        <v>42</v>
      </c>
      <c r="D101" s="331" t="s">
        <v>730</v>
      </c>
      <c r="E101" s="331" t="s">
        <v>732</v>
      </c>
      <c r="F101" s="331" t="s">
        <v>565</v>
      </c>
      <c r="G101" s="331" t="s">
        <v>760</v>
      </c>
      <c r="H101" s="332" t="s">
        <v>761</v>
      </c>
      <c r="I101" s="331" t="s">
        <v>608</v>
      </c>
    </row>
    <row r="102" spans="2:9" ht="30" customHeight="1">
      <c r="B102" s="56" t="s">
        <v>41</v>
      </c>
      <c r="C102" s="56" t="s">
        <v>42</v>
      </c>
      <c r="D102" s="331" t="s">
        <v>730</v>
      </c>
      <c r="E102" s="331" t="s">
        <v>732</v>
      </c>
      <c r="F102" s="331" t="s">
        <v>565</v>
      </c>
      <c r="G102" s="331" t="s">
        <v>762</v>
      </c>
      <c r="H102" s="332" t="s">
        <v>763</v>
      </c>
      <c r="I102" s="331"/>
    </row>
    <row r="103" spans="2:9" ht="30" customHeight="1">
      <c r="B103" s="56" t="s">
        <v>41</v>
      </c>
      <c r="C103" s="56" t="s">
        <v>42</v>
      </c>
      <c r="D103" s="331" t="s">
        <v>624</v>
      </c>
      <c r="E103" s="331" t="s">
        <v>625</v>
      </c>
      <c r="F103" s="331" t="s">
        <v>565</v>
      </c>
      <c r="G103" s="331" t="s">
        <v>550</v>
      </c>
      <c r="H103" s="332" t="s">
        <v>764</v>
      </c>
      <c r="I103" s="331" t="s">
        <v>608</v>
      </c>
    </row>
    <row r="104" spans="2:9" ht="30" customHeight="1">
      <c r="B104" s="56" t="s">
        <v>41</v>
      </c>
      <c r="C104" s="56" t="s">
        <v>42</v>
      </c>
      <c r="D104" s="331" t="s">
        <v>617</v>
      </c>
      <c r="E104" s="331" t="s">
        <v>656</v>
      </c>
      <c r="F104" s="331" t="s">
        <v>565</v>
      </c>
      <c r="G104" s="331" t="s">
        <v>550</v>
      </c>
      <c r="H104" s="332" t="s">
        <v>765</v>
      </c>
      <c r="I104" s="331" t="s">
        <v>608</v>
      </c>
    </row>
    <row r="105" spans="2:9" ht="30" customHeight="1">
      <c r="B105" s="56" t="s">
        <v>41</v>
      </c>
      <c r="C105" s="56" t="s">
        <v>42</v>
      </c>
      <c r="D105" s="331" t="s">
        <v>617</v>
      </c>
      <c r="E105" s="331" t="s">
        <v>656</v>
      </c>
      <c r="F105" s="331" t="s">
        <v>617</v>
      </c>
      <c r="G105" s="331" t="s">
        <v>619</v>
      </c>
      <c r="H105" s="332" t="s">
        <v>766</v>
      </c>
      <c r="I105" s="331" t="s">
        <v>600</v>
      </c>
    </row>
    <row r="106" spans="2:9" ht="30" customHeight="1">
      <c r="B106" s="56" t="s">
        <v>41</v>
      </c>
      <c r="C106" s="56" t="s">
        <v>42</v>
      </c>
      <c r="D106" s="331" t="s">
        <v>617</v>
      </c>
      <c r="E106" s="331" t="s">
        <v>656</v>
      </c>
      <c r="F106" s="331" t="s">
        <v>605</v>
      </c>
      <c r="G106" s="331" t="s">
        <v>621</v>
      </c>
      <c r="H106" s="332" t="s">
        <v>767</v>
      </c>
      <c r="I106" s="329" t="s">
        <v>600</v>
      </c>
    </row>
    <row r="107" spans="2:9" ht="30" customHeight="1">
      <c r="B107" s="56" t="s">
        <v>41</v>
      </c>
      <c r="C107" s="56" t="s">
        <v>42</v>
      </c>
      <c r="D107" s="331" t="s">
        <v>605</v>
      </c>
      <c r="E107" s="331" t="s">
        <v>621</v>
      </c>
      <c r="F107" s="331" t="s">
        <v>627</v>
      </c>
      <c r="G107" s="331" t="s">
        <v>628</v>
      </c>
      <c r="H107" s="332" t="s">
        <v>768</v>
      </c>
      <c r="I107" s="329" t="s">
        <v>600</v>
      </c>
    </row>
    <row r="108" spans="2:9" ht="30" customHeight="1">
      <c r="B108" s="56" t="s">
        <v>41</v>
      </c>
      <c r="C108" s="56" t="s">
        <v>42</v>
      </c>
      <c r="D108" s="331" t="s">
        <v>730</v>
      </c>
      <c r="E108" s="331" t="s">
        <v>739</v>
      </c>
      <c r="F108" s="331" t="s">
        <v>730</v>
      </c>
      <c r="G108" s="331" t="s">
        <v>769</v>
      </c>
      <c r="H108" s="332" t="s">
        <v>770</v>
      </c>
      <c r="I108" s="329" t="s">
        <v>600</v>
      </c>
    </row>
    <row r="109" spans="2:9" ht="30" customHeight="1">
      <c r="B109" s="56" t="s">
        <v>41</v>
      </c>
      <c r="C109" s="56" t="s">
        <v>42</v>
      </c>
      <c r="D109" s="334" t="s">
        <v>730</v>
      </c>
      <c r="E109" s="334" t="s">
        <v>732</v>
      </c>
      <c r="F109" s="334" t="s">
        <v>730</v>
      </c>
      <c r="G109" s="331" t="s">
        <v>771</v>
      </c>
      <c r="H109" s="335" t="s">
        <v>772</v>
      </c>
      <c r="I109" s="331" t="s">
        <v>600</v>
      </c>
    </row>
    <row r="110" spans="2:9" ht="30" customHeight="1">
      <c r="B110" s="56" t="s">
        <v>41</v>
      </c>
      <c r="C110" s="56" t="s">
        <v>42</v>
      </c>
      <c r="D110" s="334" t="s">
        <v>624</v>
      </c>
      <c r="E110" s="334" t="s">
        <v>625</v>
      </c>
      <c r="F110" s="331" t="s">
        <v>627</v>
      </c>
      <c r="G110" s="331" t="s">
        <v>628</v>
      </c>
      <c r="H110" s="332" t="s">
        <v>630</v>
      </c>
      <c r="I110" s="336" t="s">
        <v>600</v>
      </c>
    </row>
    <row r="111" spans="2:9" ht="30" customHeight="1">
      <c r="B111" s="331" t="s">
        <v>41</v>
      </c>
      <c r="C111" s="331" t="s">
        <v>550</v>
      </c>
      <c r="D111" s="331" t="s">
        <v>730</v>
      </c>
      <c r="E111" s="331" t="s">
        <v>732</v>
      </c>
      <c r="F111" s="331" t="s">
        <v>730</v>
      </c>
      <c r="G111" s="331" t="s">
        <v>731</v>
      </c>
      <c r="H111" s="332" t="s">
        <v>773</v>
      </c>
      <c r="I111" s="336" t="s">
        <v>600</v>
      </c>
    </row>
    <row r="112" spans="2:9" ht="30" customHeight="1">
      <c r="B112" s="300" t="s">
        <v>46</v>
      </c>
      <c r="C112" s="56" t="s">
        <v>47</v>
      </c>
      <c r="D112" s="56" t="s">
        <v>624</v>
      </c>
      <c r="E112" s="56" t="s">
        <v>625</v>
      </c>
      <c r="F112" s="56" t="s">
        <v>605</v>
      </c>
      <c r="G112" s="56" t="s">
        <v>615</v>
      </c>
      <c r="H112" s="57" t="s">
        <v>774</v>
      </c>
      <c r="I112" s="55" t="s">
        <v>600</v>
      </c>
    </row>
    <row r="113" spans="2:9" ht="30" customHeight="1">
      <c r="B113" s="300" t="s">
        <v>46</v>
      </c>
      <c r="C113" s="56" t="s">
        <v>47</v>
      </c>
      <c r="D113" s="56" t="s">
        <v>605</v>
      </c>
      <c r="E113" s="56" t="s">
        <v>615</v>
      </c>
      <c r="F113" s="56" t="s">
        <v>605</v>
      </c>
      <c r="G113" s="56" t="s">
        <v>606</v>
      </c>
      <c r="H113" s="57" t="s">
        <v>775</v>
      </c>
      <c r="I113" s="55" t="s">
        <v>600</v>
      </c>
    </row>
    <row r="114" spans="2:9" ht="30" customHeight="1">
      <c r="B114" s="300" t="s">
        <v>46</v>
      </c>
      <c r="C114" s="56" t="s">
        <v>47</v>
      </c>
      <c r="D114" s="334" t="s">
        <v>624</v>
      </c>
      <c r="E114" s="334" t="s">
        <v>625</v>
      </c>
      <c r="F114" s="331" t="s">
        <v>627</v>
      </c>
      <c r="G114" s="331" t="s">
        <v>628</v>
      </c>
      <c r="H114" s="332" t="s">
        <v>630</v>
      </c>
      <c r="I114" s="55" t="s">
        <v>600</v>
      </c>
    </row>
    <row r="115" spans="2:9" ht="30" customHeight="1">
      <c r="B115" s="56" t="s">
        <v>49</v>
      </c>
      <c r="C115" s="56" t="s">
        <v>50</v>
      </c>
      <c r="D115" s="56" t="s">
        <v>624</v>
      </c>
      <c r="E115" s="51" t="s">
        <v>625</v>
      </c>
      <c r="F115" s="51" t="s">
        <v>565</v>
      </c>
      <c r="G115" s="51" t="s">
        <v>585</v>
      </c>
      <c r="H115" s="307" t="s">
        <v>776</v>
      </c>
      <c r="I115" s="55" t="s">
        <v>608</v>
      </c>
    </row>
    <row r="116" spans="2:9" ht="30" customHeight="1">
      <c r="B116" s="56" t="s">
        <v>49</v>
      </c>
      <c r="C116" s="56" t="s">
        <v>50</v>
      </c>
      <c r="D116" s="56" t="s">
        <v>617</v>
      </c>
      <c r="E116" s="51" t="s">
        <v>656</v>
      </c>
      <c r="F116" s="51" t="s">
        <v>565</v>
      </c>
      <c r="G116" s="51" t="s">
        <v>585</v>
      </c>
      <c r="H116" s="307" t="s">
        <v>777</v>
      </c>
      <c r="I116" s="55" t="s">
        <v>608</v>
      </c>
    </row>
    <row r="117" spans="2:9" ht="30" customHeight="1">
      <c r="B117" s="56" t="s">
        <v>52</v>
      </c>
      <c r="C117" s="51" t="s">
        <v>53</v>
      </c>
      <c r="D117" s="56" t="s">
        <v>624</v>
      </c>
      <c r="E117" s="56" t="s">
        <v>625</v>
      </c>
      <c r="F117" s="51" t="s">
        <v>617</v>
      </c>
      <c r="G117" s="51" t="s">
        <v>618</v>
      </c>
      <c r="H117" s="57" t="s">
        <v>720</v>
      </c>
      <c r="I117" s="57" t="s">
        <v>600</v>
      </c>
    </row>
    <row r="118" spans="2:9" ht="30" customHeight="1">
      <c r="B118" s="56" t="s">
        <v>52</v>
      </c>
      <c r="C118" s="51" t="s">
        <v>53</v>
      </c>
      <c r="D118" s="56" t="s">
        <v>617</v>
      </c>
      <c r="E118" s="56" t="s">
        <v>618</v>
      </c>
      <c r="F118" s="56" t="s">
        <v>617</v>
      </c>
      <c r="G118" s="56" t="s">
        <v>619</v>
      </c>
      <c r="H118" s="199" t="s">
        <v>620</v>
      </c>
      <c r="I118" s="51" t="s">
        <v>600</v>
      </c>
    </row>
    <row r="119" spans="2:9" ht="30" customHeight="1">
      <c r="B119" s="56" t="s">
        <v>52</v>
      </c>
      <c r="C119" s="51" t="s">
        <v>53</v>
      </c>
      <c r="D119" s="334" t="s">
        <v>624</v>
      </c>
      <c r="E119" s="334" t="s">
        <v>625</v>
      </c>
      <c r="F119" s="331" t="s">
        <v>627</v>
      </c>
      <c r="G119" s="331" t="s">
        <v>628</v>
      </c>
      <c r="H119" s="332" t="s">
        <v>630</v>
      </c>
      <c r="I119" s="55" t="s">
        <v>600</v>
      </c>
    </row>
    <row r="120" spans="2:9" ht="30" customHeight="1">
      <c r="B120" s="56" t="s">
        <v>52</v>
      </c>
      <c r="C120" s="51" t="s">
        <v>53</v>
      </c>
      <c r="D120" s="56" t="s">
        <v>624</v>
      </c>
      <c r="E120" s="51" t="s">
        <v>625</v>
      </c>
      <c r="F120" s="51" t="s">
        <v>565</v>
      </c>
      <c r="G120" s="51" t="s">
        <v>586</v>
      </c>
      <c r="H120" s="307" t="s">
        <v>778</v>
      </c>
      <c r="I120" s="55" t="s">
        <v>608</v>
      </c>
    </row>
    <row r="121" spans="2:9" ht="30" customHeight="1">
      <c r="B121" s="56" t="s">
        <v>52</v>
      </c>
      <c r="C121" s="51" t="s">
        <v>53</v>
      </c>
      <c r="D121" s="56" t="s">
        <v>617</v>
      </c>
      <c r="E121" s="51" t="s">
        <v>656</v>
      </c>
      <c r="F121" s="51" t="s">
        <v>565</v>
      </c>
      <c r="G121" s="51" t="s">
        <v>586</v>
      </c>
      <c r="H121" s="307" t="s">
        <v>779</v>
      </c>
      <c r="I121" s="55" t="s">
        <v>608</v>
      </c>
    </row>
    <row r="122" spans="2:9" ht="30" customHeight="1">
      <c r="B122" s="56" t="s">
        <v>55</v>
      </c>
      <c r="C122" s="51" t="s">
        <v>56</v>
      </c>
      <c r="D122" s="56" t="s">
        <v>664</v>
      </c>
      <c r="E122" s="56" t="s">
        <v>668</v>
      </c>
      <c r="F122" s="56" t="s">
        <v>672</v>
      </c>
      <c r="G122" s="56" t="s">
        <v>673</v>
      </c>
      <c r="H122" s="335" t="s">
        <v>674</v>
      </c>
      <c r="I122" s="51" t="s">
        <v>600</v>
      </c>
    </row>
    <row r="123" spans="2:9" ht="30" customHeight="1">
      <c r="B123" s="56" t="s">
        <v>55</v>
      </c>
      <c r="C123" s="51" t="s">
        <v>56</v>
      </c>
      <c r="D123" s="56" t="s">
        <v>664</v>
      </c>
      <c r="E123" s="56" t="s">
        <v>665</v>
      </c>
      <c r="F123" s="56" t="s">
        <v>664</v>
      </c>
      <c r="G123" s="56" t="s">
        <v>666</v>
      </c>
      <c r="H123" s="199" t="s">
        <v>667</v>
      </c>
      <c r="I123" s="51" t="s">
        <v>608</v>
      </c>
    </row>
    <row r="124" spans="2:9" ht="30" customHeight="1">
      <c r="B124" s="56" t="s">
        <v>55</v>
      </c>
      <c r="C124" s="56" t="s">
        <v>56</v>
      </c>
      <c r="D124" s="51" t="s">
        <v>664</v>
      </c>
      <c r="E124" s="51" t="s">
        <v>665</v>
      </c>
      <c r="F124" s="56" t="s">
        <v>664</v>
      </c>
      <c r="G124" s="56" t="s">
        <v>668</v>
      </c>
      <c r="H124" s="57" t="s">
        <v>669</v>
      </c>
      <c r="I124" s="203" t="s">
        <v>600</v>
      </c>
    </row>
    <row r="125" spans="2:9" ht="30" customHeight="1">
      <c r="B125" s="56" t="s">
        <v>55</v>
      </c>
      <c r="C125" s="56" t="s">
        <v>56</v>
      </c>
      <c r="D125" s="56" t="s">
        <v>664</v>
      </c>
      <c r="E125" s="56" t="s">
        <v>665</v>
      </c>
      <c r="F125" s="56" t="s">
        <v>664</v>
      </c>
      <c r="G125" s="56" t="s">
        <v>666</v>
      </c>
      <c r="H125" s="57" t="s">
        <v>723</v>
      </c>
      <c r="I125" s="51" t="s">
        <v>600</v>
      </c>
    </row>
    <row r="126" spans="2:9" ht="30" customHeight="1">
      <c r="B126" s="56" t="s">
        <v>55</v>
      </c>
      <c r="C126" s="56" t="s">
        <v>56</v>
      </c>
      <c r="D126" s="51" t="s">
        <v>664</v>
      </c>
      <c r="E126" s="51" t="s">
        <v>668</v>
      </c>
      <c r="F126" s="51" t="s">
        <v>605</v>
      </c>
      <c r="G126" s="51" t="s">
        <v>670</v>
      </c>
      <c r="H126" s="55" t="s">
        <v>671</v>
      </c>
      <c r="I126" s="51" t="s">
        <v>608</v>
      </c>
    </row>
    <row r="127" spans="2:9" ht="30" customHeight="1">
      <c r="B127" s="56" t="s">
        <v>55</v>
      </c>
      <c r="C127" s="56" t="s">
        <v>58</v>
      </c>
      <c r="D127" s="51" t="s">
        <v>664</v>
      </c>
      <c r="E127" s="51" t="s">
        <v>668</v>
      </c>
      <c r="F127" s="51" t="s">
        <v>605</v>
      </c>
      <c r="G127" s="51" t="s">
        <v>670</v>
      </c>
      <c r="H127" s="55" t="s">
        <v>671</v>
      </c>
      <c r="I127" s="51" t="s">
        <v>608</v>
      </c>
    </row>
    <row r="128" spans="2:9" ht="30" customHeight="1">
      <c r="B128" s="56" t="s">
        <v>55</v>
      </c>
      <c r="C128" s="56" t="s">
        <v>58</v>
      </c>
      <c r="D128" s="51" t="s">
        <v>664</v>
      </c>
      <c r="E128" s="51" t="s">
        <v>668</v>
      </c>
      <c r="F128" s="51" t="s">
        <v>664</v>
      </c>
      <c r="G128" s="51" t="s">
        <v>676</v>
      </c>
      <c r="H128" s="55" t="s">
        <v>677</v>
      </c>
      <c r="I128" s="51" t="s">
        <v>600</v>
      </c>
    </row>
    <row r="129" spans="2:9" ht="30" customHeight="1">
      <c r="B129" s="56" t="s">
        <v>55</v>
      </c>
      <c r="C129" s="51" t="s">
        <v>58</v>
      </c>
      <c r="D129" s="56" t="s">
        <v>664</v>
      </c>
      <c r="E129" s="56" t="s">
        <v>668</v>
      </c>
      <c r="F129" s="56" t="s">
        <v>664</v>
      </c>
      <c r="G129" s="56" t="s">
        <v>678</v>
      </c>
      <c r="H129" s="57" t="s">
        <v>679</v>
      </c>
      <c r="I129" s="51" t="s">
        <v>600</v>
      </c>
    </row>
    <row r="130" spans="2:9" ht="30" customHeight="1">
      <c r="B130" s="56" t="s">
        <v>55</v>
      </c>
      <c r="C130" s="51" t="s">
        <v>58</v>
      </c>
      <c r="D130" s="56" t="s">
        <v>664</v>
      </c>
      <c r="E130" s="56" t="s">
        <v>668</v>
      </c>
      <c r="F130" s="56" t="s">
        <v>664</v>
      </c>
      <c r="G130" s="56" t="s">
        <v>724</v>
      </c>
      <c r="H130" s="57" t="s">
        <v>725</v>
      </c>
      <c r="I130" s="51" t="s">
        <v>600</v>
      </c>
    </row>
    <row r="131" spans="2:9" ht="30" customHeight="1">
      <c r="B131" s="56" t="s">
        <v>55</v>
      </c>
      <c r="C131" s="56" t="s">
        <v>58</v>
      </c>
      <c r="D131" s="56" t="s">
        <v>664</v>
      </c>
      <c r="E131" s="56" t="s">
        <v>724</v>
      </c>
      <c r="F131" s="56" t="s">
        <v>726</v>
      </c>
      <c r="G131" s="56" t="s">
        <v>727</v>
      </c>
      <c r="H131" s="57" t="s">
        <v>728</v>
      </c>
      <c r="I131" s="51" t="s">
        <v>600</v>
      </c>
    </row>
    <row r="132" spans="2:9" ht="30" customHeight="1">
      <c r="B132" s="56" t="s">
        <v>55</v>
      </c>
      <c r="C132" s="56" t="s">
        <v>58</v>
      </c>
      <c r="D132" s="56" t="s">
        <v>726</v>
      </c>
      <c r="E132" s="56" t="s">
        <v>727</v>
      </c>
      <c r="F132" s="56" t="s">
        <v>605</v>
      </c>
      <c r="G132" s="56" t="s">
        <v>670</v>
      </c>
      <c r="H132" s="57" t="s">
        <v>729</v>
      </c>
      <c r="I132" s="51" t="s">
        <v>600</v>
      </c>
    </row>
    <row r="133" spans="2:9" ht="51.75" customHeight="1">
      <c r="B133" s="56" t="s">
        <v>60</v>
      </c>
      <c r="C133" s="56" t="s">
        <v>61</v>
      </c>
      <c r="D133" s="56" t="s">
        <v>780</v>
      </c>
      <c r="E133" s="56" t="s">
        <v>781</v>
      </c>
      <c r="F133" s="56" t="s">
        <v>780</v>
      </c>
      <c r="G133" s="56" t="s">
        <v>782</v>
      </c>
      <c r="H133" s="57" t="s">
        <v>783</v>
      </c>
      <c r="I133" s="51" t="s">
        <v>600</v>
      </c>
    </row>
    <row r="134" spans="2:9" ht="30" customHeight="1">
      <c r="B134" s="56" t="s">
        <v>60</v>
      </c>
      <c r="C134" s="56" t="s">
        <v>61</v>
      </c>
      <c r="D134" s="56" t="s">
        <v>780</v>
      </c>
      <c r="E134" s="56" t="s">
        <v>781</v>
      </c>
      <c r="F134" s="56" t="s">
        <v>605</v>
      </c>
      <c r="G134" s="56" t="s">
        <v>606</v>
      </c>
      <c r="H134" s="57" t="s">
        <v>784</v>
      </c>
      <c r="I134" s="51" t="s">
        <v>600</v>
      </c>
    </row>
    <row r="135" spans="2:9" ht="30" customHeight="1">
      <c r="B135" s="56" t="s">
        <v>60</v>
      </c>
      <c r="C135" s="56" t="s">
        <v>61</v>
      </c>
      <c r="D135" s="56" t="s">
        <v>605</v>
      </c>
      <c r="E135" s="56" t="s">
        <v>606</v>
      </c>
      <c r="F135" s="56" t="s">
        <v>605</v>
      </c>
      <c r="G135" s="56" t="s">
        <v>615</v>
      </c>
      <c r="H135" s="57" t="s">
        <v>616</v>
      </c>
      <c r="I135" s="51" t="s">
        <v>600</v>
      </c>
    </row>
    <row r="136" spans="2:9" ht="30" customHeight="1">
      <c r="B136" s="56" t="s">
        <v>60</v>
      </c>
      <c r="C136" s="56" t="s">
        <v>61</v>
      </c>
      <c r="D136" s="56" t="s">
        <v>605</v>
      </c>
      <c r="E136" s="56" t="s">
        <v>615</v>
      </c>
      <c r="F136" s="56" t="s">
        <v>605</v>
      </c>
      <c r="G136" s="56" t="s">
        <v>606</v>
      </c>
      <c r="H136" s="57" t="s">
        <v>616</v>
      </c>
      <c r="I136" s="51" t="s">
        <v>600</v>
      </c>
    </row>
    <row r="137" spans="2:9" ht="30" customHeight="1">
      <c r="B137" s="56" t="s">
        <v>60</v>
      </c>
      <c r="C137" s="56" t="s">
        <v>61</v>
      </c>
      <c r="D137" s="56" t="s">
        <v>780</v>
      </c>
      <c r="E137" s="56" t="s">
        <v>781</v>
      </c>
      <c r="F137" s="56" t="s">
        <v>780</v>
      </c>
      <c r="G137" s="56" t="s">
        <v>785</v>
      </c>
      <c r="H137" s="57" t="s">
        <v>786</v>
      </c>
      <c r="I137" s="51" t="s">
        <v>600</v>
      </c>
    </row>
    <row r="138" spans="2:9" ht="30" customHeight="1">
      <c r="B138" s="56" t="s">
        <v>60</v>
      </c>
      <c r="C138" s="56" t="s">
        <v>61</v>
      </c>
      <c r="D138" s="56" t="s">
        <v>780</v>
      </c>
      <c r="E138" s="56" t="s">
        <v>785</v>
      </c>
      <c r="F138" s="56" t="s">
        <v>605</v>
      </c>
      <c r="G138" s="56" t="s">
        <v>787</v>
      </c>
      <c r="H138" s="57" t="s">
        <v>788</v>
      </c>
      <c r="I138" s="57" t="s">
        <v>600</v>
      </c>
    </row>
    <row r="139" spans="2:9" ht="30" customHeight="1">
      <c r="B139" s="56" t="s">
        <v>60</v>
      </c>
      <c r="C139" s="56" t="s">
        <v>61</v>
      </c>
      <c r="D139" s="56" t="s">
        <v>780</v>
      </c>
      <c r="E139" s="56" t="s">
        <v>781</v>
      </c>
      <c r="F139" s="331" t="s">
        <v>565</v>
      </c>
      <c r="G139" s="331" t="s">
        <v>587</v>
      </c>
      <c r="H139" s="337" t="s">
        <v>789</v>
      </c>
      <c r="I139" s="329" t="s">
        <v>608</v>
      </c>
    </row>
    <row r="140" spans="2:9" ht="30" customHeight="1">
      <c r="B140" s="56" t="s">
        <v>60</v>
      </c>
      <c r="C140" s="56" t="s">
        <v>61</v>
      </c>
      <c r="D140" s="56" t="s">
        <v>780</v>
      </c>
      <c r="E140" s="56" t="s">
        <v>782</v>
      </c>
      <c r="F140" s="331" t="s">
        <v>627</v>
      </c>
      <c r="G140" s="331" t="s">
        <v>628</v>
      </c>
      <c r="H140" s="337" t="s">
        <v>790</v>
      </c>
      <c r="I140" s="329" t="s">
        <v>600</v>
      </c>
    </row>
    <row r="141" spans="2:9" ht="30" customHeight="1">
      <c r="B141" s="331" t="s">
        <v>63</v>
      </c>
      <c r="C141" s="331" t="s">
        <v>64</v>
      </c>
      <c r="D141" s="51" t="s">
        <v>791</v>
      </c>
      <c r="E141" s="331" t="s">
        <v>792</v>
      </c>
      <c r="F141" s="56" t="s">
        <v>605</v>
      </c>
      <c r="G141" s="331" t="s">
        <v>793</v>
      </c>
      <c r="H141" s="332" t="s">
        <v>794</v>
      </c>
      <c r="I141" s="329" t="s">
        <v>600</v>
      </c>
    </row>
    <row r="142" spans="2:9" ht="30" customHeight="1">
      <c r="B142" s="331" t="s">
        <v>63</v>
      </c>
      <c r="C142" s="331" t="s">
        <v>64</v>
      </c>
      <c r="D142" s="331" t="s">
        <v>791</v>
      </c>
      <c r="E142" s="331" t="s">
        <v>792</v>
      </c>
      <c r="F142" s="331" t="s">
        <v>791</v>
      </c>
      <c r="G142" s="331" t="s">
        <v>795</v>
      </c>
      <c r="H142" s="332" t="s">
        <v>796</v>
      </c>
      <c r="I142" s="329" t="s">
        <v>600</v>
      </c>
    </row>
    <row r="143" spans="2:9" ht="30" customHeight="1">
      <c r="B143" s="331" t="s">
        <v>63</v>
      </c>
      <c r="C143" s="331" t="s">
        <v>64</v>
      </c>
      <c r="D143" s="331" t="s">
        <v>791</v>
      </c>
      <c r="E143" s="331" t="s">
        <v>792</v>
      </c>
      <c r="F143" s="56" t="s">
        <v>605</v>
      </c>
      <c r="G143" s="331" t="s">
        <v>797</v>
      </c>
      <c r="H143" s="332" t="s">
        <v>798</v>
      </c>
      <c r="I143" s="329" t="s">
        <v>600</v>
      </c>
    </row>
    <row r="144" spans="2:9" ht="30" customHeight="1">
      <c r="B144" s="331" t="s">
        <v>63</v>
      </c>
      <c r="C144" s="331" t="s">
        <v>64</v>
      </c>
      <c r="D144" s="331" t="s">
        <v>791</v>
      </c>
      <c r="E144" s="331" t="s">
        <v>792</v>
      </c>
      <c r="F144" s="56" t="s">
        <v>565</v>
      </c>
      <c r="G144" s="331" t="s">
        <v>64</v>
      </c>
      <c r="H144" s="337" t="s">
        <v>799</v>
      </c>
      <c r="I144" s="329" t="s">
        <v>608</v>
      </c>
    </row>
    <row r="145" spans="2:9" ht="30" customHeight="1">
      <c r="B145" s="331" t="s">
        <v>63</v>
      </c>
      <c r="C145" s="331" t="s">
        <v>64</v>
      </c>
      <c r="D145" s="331" t="s">
        <v>791</v>
      </c>
      <c r="E145" s="331" t="s">
        <v>800</v>
      </c>
      <c r="F145" s="331" t="s">
        <v>791</v>
      </c>
      <c r="G145" s="331" t="s">
        <v>801</v>
      </c>
      <c r="H145" s="332" t="s">
        <v>802</v>
      </c>
      <c r="I145" s="329" t="s">
        <v>600</v>
      </c>
    </row>
    <row r="146" spans="2:9" ht="30" customHeight="1">
      <c r="B146" s="331" t="s">
        <v>63</v>
      </c>
      <c r="C146" s="331" t="s">
        <v>64</v>
      </c>
      <c r="D146" s="51" t="s">
        <v>791</v>
      </c>
      <c r="E146" s="331" t="s">
        <v>800</v>
      </c>
      <c r="F146" s="56" t="s">
        <v>605</v>
      </c>
      <c r="G146" s="331" t="s">
        <v>793</v>
      </c>
      <c r="H146" s="332" t="s">
        <v>803</v>
      </c>
      <c r="I146" s="329" t="s">
        <v>600</v>
      </c>
    </row>
    <row r="147" spans="2:9" ht="30" customHeight="1">
      <c r="B147" s="331" t="s">
        <v>63</v>
      </c>
      <c r="C147" s="331" t="s">
        <v>64</v>
      </c>
      <c r="D147" s="331" t="s">
        <v>791</v>
      </c>
      <c r="E147" s="331" t="s">
        <v>800</v>
      </c>
      <c r="F147" s="56" t="s">
        <v>605</v>
      </c>
      <c r="G147" s="331" t="s">
        <v>797</v>
      </c>
      <c r="H147" s="332" t="s">
        <v>804</v>
      </c>
      <c r="I147" s="329" t="s">
        <v>600</v>
      </c>
    </row>
    <row r="148" spans="2:9" ht="30" customHeight="1">
      <c r="B148" s="331" t="s">
        <v>63</v>
      </c>
      <c r="C148" s="331" t="s">
        <v>64</v>
      </c>
      <c r="D148" s="331" t="s">
        <v>791</v>
      </c>
      <c r="E148" s="331" t="s">
        <v>800</v>
      </c>
      <c r="F148" s="331" t="s">
        <v>791</v>
      </c>
      <c r="G148" s="331" t="s">
        <v>795</v>
      </c>
      <c r="H148" s="332" t="s">
        <v>805</v>
      </c>
      <c r="I148" s="329" t="s">
        <v>600</v>
      </c>
    </row>
    <row r="149" spans="2:9" ht="30" customHeight="1">
      <c r="B149" s="331" t="s">
        <v>63</v>
      </c>
      <c r="C149" s="331" t="s">
        <v>64</v>
      </c>
      <c r="D149" s="331" t="s">
        <v>791</v>
      </c>
      <c r="E149" s="331" t="s">
        <v>800</v>
      </c>
      <c r="F149" s="56" t="s">
        <v>565</v>
      </c>
      <c r="G149" s="331" t="s">
        <v>64</v>
      </c>
      <c r="H149" s="337" t="s">
        <v>806</v>
      </c>
      <c r="I149" s="329" t="s">
        <v>608</v>
      </c>
    </row>
    <row r="150" spans="2:9" ht="30" customHeight="1">
      <c r="B150" s="331" t="s">
        <v>63</v>
      </c>
      <c r="C150" s="331" t="s">
        <v>64</v>
      </c>
      <c r="D150" s="331" t="s">
        <v>791</v>
      </c>
      <c r="E150" s="331" t="s">
        <v>807</v>
      </c>
      <c r="F150" s="331" t="s">
        <v>791</v>
      </c>
      <c r="G150" s="331" t="s">
        <v>808</v>
      </c>
      <c r="H150" s="332" t="s">
        <v>809</v>
      </c>
      <c r="I150" s="329" t="s">
        <v>600</v>
      </c>
    </row>
    <row r="151" spans="2:9" ht="30" customHeight="1">
      <c r="B151" s="331" t="s">
        <v>63</v>
      </c>
      <c r="C151" s="331" t="s">
        <v>64</v>
      </c>
      <c r="D151" s="51" t="s">
        <v>791</v>
      </c>
      <c r="E151" s="331" t="s">
        <v>807</v>
      </c>
      <c r="F151" s="56" t="s">
        <v>605</v>
      </c>
      <c r="G151" s="331" t="s">
        <v>793</v>
      </c>
      <c r="H151" s="332" t="s">
        <v>810</v>
      </c>
      <c r="I151" s="329" t="s">
        <v>600</v>
      </c>
    </row>
    <row r="152" spans="2:9" ht="30" customHeight="1">
      <c r="B152" s="331" t="s">
        <v>63</v>
      </c>
      <c r="C152" s="331" t="s">
        <v>64</v>
      </c>
      <c r="D152" s="331" t="s">
        <v>791</v>
      </c>
      <c r="E152" s="331" t="s">
        <v>807</v>
      </c>
      <c r="F152" s="56" t="s">
        <v>605</v>
      </c>
      <c r="G152" s="331" t="s">
        <v>797</v>
      </c>
      <c r="H152" s="332" t="s">
        <v>811</v>
      </c>
      <c r="I152" s="329" t="s">
        <v>600</v>
      </c>
    </row>
    <row r="153" spans="2:9" ht="30" customHeight="1">
      <c r="B153" s="331" t="s">
        <v>63</v>
      </c>
      <c r="C153" s="331" t="s">
        <v>64</v>
      </c>
      <c r="D153" s="331" t="s">
        <v>791</v>
      </c>
      <c r="E153" s="331" t="s">
        <v>807</v>
      </c>
      <c r="F153" s="331" t="s">
        <v>791</v>
      </c>
      <c r="G153" s="331" t="s">
        <v>812</v>
      </c>
      <c r="H153" s="332" t="s">
        <v>813</v>
      </c>
      <c r="I153" s="329" t="s">
        <v>600</v>
      </c>
    </row>
    <row r="154" spans="2:9" ht="30" customHeight="1">
      <c r="B154" s="331" t="s">
        <v>63</v>
      </c>
      <c r="C154" s="331" t="s">
        <v>64</v>
      </c>
      <c r="D154" s="331" t="s">
        <v>791</v>
      </c>
      <c r="E154" s="331" t="s">
        <v>807</v>
      </c>
      <c r="F154" s="56" t="s">
        <v>565</v>
      </c>
      <c r="G154" s="331" t="s">
        <v>64</v>
      </c>
      <c r="H154" s="337" t="s">
        <v>814</v>
      </c>
      <c r="I154" s="329" t="s">
        <v>608</v>
      </c>
    </row>
    <row r="155" spans="2:9" ht="30" customHeight="1">
      <c r="B155" s="331" t="s">
        <v>63</v>
      </c>
      <c r="C155" s="331" t="s">
        <v>64</v>
      </c>
      <c r="D155" s="331" t="s">
        <v>791</v>
      </c>
      <c r="E155" s="331" t="s">
        <v>815</v>
      </c>
      <c r="F155" s="331" t="s">
        <v>791</v>
      </c>
      <c r="G155" s="331" t="s">
        <v>816</v>
      </c>
      <c r="H155" s="332" t="s">
        <v>817</v>
      </c>
      <c r="I155" s="329" t="s">
        <v>600</v>
      </c>
    </row>
    <row r="156" spans="2:9" ht="30" customHeight="1">
      <c r="B156" s="331" t="s">
        <v>63</v>
      </c>
      <c r="C156" s="331" t="s">
        <v>64</v>
      </c>
      <c r="D156" s="51" t="s">
        <v>791</v>
      </c>
      <c r="E156" s="331" t="s">
        <v>815</v>
      </c>
      <c r="F156" s="56" t="s">
        <v>605</v>
      </c>
      <c r="G156" s="331" t="s">
        <v>793</v>
      </c>
      <c r="H156" s="332" t="s">
        <v>818</v>
      </c>
      <c r="I156" s="329" t="s">
        <v>600</v>
      </c>
    </row>
    <row r="157" spans="2:9" ht="30" customHeight="1">
      <c r="B157" s="331" t="s">
        <v>63</v>
      </c>
      <c r="C157" s="331" t="s">
        <v>64</v>
      </c>
      <c r="D157" s="331" t="s">
        <v>791</v>
      </c>
      <c r="E157" s="331" t="s">
        <v>815</v>
      </c>
      <c r="F157" s="56" t="s">
        <v>605</v>
      </c>
      <c r="G157" s="331" t="s">
        <v>797</v>
      </c>
      <c r="H157" s="332" t="s">
        <v>819</v>
      </c>
      <c r="I157" s="329" t="s">
        <v>600</v>
      </c>
    </row>
    <row r="158" spans="2:9" ht="30" customHeight="1">
      <c r="B158" s="331" t="s">
        <v>63</v>
      </c>
      <c r="C158" s="331" t="s">
        <v>64</v>
      </c>
      <c r="D158" s="331" t="s">
        <v>791</v>
      </c>
      <c r="E158" s="331" t="s">
        <v>815</v>
      </c>
      <c r="F158" s="331" t="s">
        <v>791</v>
      </c>
      <c r="G158" s="331" t="s">
        <v>812</v>
      </c>
      <c r="H158" s="332" t="s">
        <v>820</v>
      </c>
      <c r="I158" s="329" t="s">
        <v>600</v>
      </c>
    </row>
    <row r="159" spans="2:9" ht="30" customHeight="1">
      <c r="B159" s="331" t="s">
        <v>63</v>
      </c>
      <c r="C159" s="331" t="s">
        <v>64</v>
      </c>
      <c r="D159" s="331" t="s">
        <v>791</v>
      </c>
      <c r="E159" s="331" t="s">
        <v>815</v>
      </c>
      <c r="F159" s="56" t="s">
        <v>565</v>
      </c>
      <c r="G159" s="331" t="s">
        <v>64</v>
      </c>
      <c r="H159" s="337" t="s">
        <v>821</v>
      </c>
      <c r="I159" s="329" t="s">
        <v>608</v>
      </c>
    </row>
    <row r="160" spans="2:9" ht="30" customHeight="1">
      <c r="B160" s="331" t="s">
        <v>63</v>
      </c>
      <c r="C160" s="331" t="s">
        <v>64</v>
      </c>
      <c r="D160" s="51" t="s">
        <v>624</v>
      </c>
      <c r="E160" s="51" t="s">
        <v>625</v>
      </c>
      <c r="F160" s="56" t="s">
        <v>565</v>
      </c>
      <c r="G160" s="331" t="s">
        <v>64</v>
      </c>
      <c r="H160" s="337" t="s">
        <v>822</v>
      </c>
      <c r="I160" s="55" t="s">
        <v>608</v>
      </c>
    </row>
    <row r="161" spans="2:9" ht="30" customHeight="1">
      <c r="B161" s="331" t="s">
        <v>63</v>
      </c>
      <c r="C161" s="331" t="s">
        <v>64</v>
      </c>
      <c r="D161" s="51" t="s">
        <v>617</v>
      </c>
      <c r="E161" s="51" t="s">
        <v>618</v>
      </c>
      <c r="F161" s="56" t="s">
        <v>565</v>
      </c>
      <c r="G161" s="331" t="s">
        <v>64</v>
      </c>
      <c r="H161" s="337" t="s">
        <v>823</v>
      </c>
      <c r="I161" s="55" t="s">
        <v>608</v>
      </c>
    </row>
    <row r="162" spans="2:9" ht="30" customHeight="1">
      <c r="B162" s="331" t="s">
        <v>63</v>
      </c>
      <c r="C162" s="331" t="s">
        <v>64</v>
      </c>
      <c r="D162" s="51" t="s">
        <v>617</v>
      </c>
      <c r="E162" s="51" t="s">
        <v>824</v>
      </c>
      <c r="F162" s="51" t="s">
        <v>617</v>
      </c>
      <c r="G162" s="331" t="s">
        <v>825</v>
      </c>
      <c r="H162" s="337" t="s">
        <v>826</v>
      </c>
      <c r="I162" s="331"/>
    </row>
    <row r="163" spans="2:9" ht="30" customHeight="1">
      <c r="B163" s="329" t="s">
        <v>63</v>
      </c>
      <c r="C163" s="329" t="s">
        <v>64</v>
      </c>
      <c r="D163" s="329" t="s">
        <v>617</v>
      </c>
      <c r="E163" s="329" t="s">
        <v>618</v>
      </c>
      <c r="F163" s="329" t="s">
        <v>617</v>
      </c>
      <c r="G163" s="329" t="s">
        <v>619</v>
      </c>
      <c r="H163" s="57" t="s">
        <v>620</v>
      </c>
      <c r="I163" s="55" t="s">
        <v>600</v>
      </c>
    </row>
    <row r="164" spans="2:9" ht="30" customHeight="1">
      <c r="B164" s="329" t="s">
        <v>63</v>
      </c>
      <c r="C164" s="329" t="s">
        <v>64</v>
      </c>
      <c r="D164" s="329" t="s">
        <v>617</v>
      </c>
      <c r="E164" s="329" t="s">
        <v>618</v>
      </c>
      <c r="F164" s="56" t="s">
        <v>605</v>
      </c>
      <c r="G164" s="331" t="s">
        <v>621</v>
      </c>
      <c r="H164" s="332" t="s">
        <v>827</v>
      </c>
      <c r="I164" s="331"/>
    </row>
    <row r="165" spans="2:9" ht="30" customHeight="1">
      <c r="B165" s="329" t="s">
        <v>63</v>
      </c>
      <c r="C165" s="329" t="s">
        <v>64</v>
      </c>
      <c r="D165" s="331" t="s">
        <v>791</v>
      </c>
      <c r="E165" s="331" t="s">
        <v>792</v>
      </c>
      <c r="F165" s="331" t="s">
        <v>565</v>
      </c>
      <c r="G165" s="331" t="s">
        <v>564</v>
      </c>
      <c r="H165" s="337" t="s">
        <v>828</v>
      </c>
      <c r="I165" s="55" t="s">
        <v>608</v>
      </c>
    </row>
    <row r="166" spans="2:9" ht="30" customHeight="1">
      <c r="B166" s="329" t="s">
        <v>63</v>
      </c>
      <c r="C166" s="329" t="s">
        <v>64</v>
      </c>
      <c r="D166" s="331" t="s">
        <v>791</v>
      </c>
      <c r="E166" s="331" t="s">
        <v>800</v>
      </c>
      <c r="F166" s="331" t="s">
        <v>565</v>
      </c>
      <c r="G166" s="331" t="s">
        <v>564</v>
      </c>
      <c r="H166" s="337" t="s">
        <v>829</v>
      </c>
      <c r="I166" s="55" t="s">
        <v>608</v>
      </c>
    </row>
    <row r="167" spans="2:9" ht="30" customHeight="1">
      <c r="B167" s="329" t="s">
        <v>63</v>
      </c>
      <c r="C167" s="329" t="s">
        <v>64</v>
      </c>
      <c r="D167" s="331" t="s">
        <v>791</v>
      </c>
      <c r="E167" s="331" t="s">
        <v>830</v>
      </c>
      <c r="F167" s="331" t="s">
        <v>565</v>
      </c>
      <c r="G167" s="331" t="s">
        <v>564</v>
      </c>
      <c r="H167" s="337" t="s">
        <v>814</v>
      </c>
      <c r="I167" s="55" t="s">
        <v>608</v>
      </c>
    </row>
    <row r="168" spans="2:9" ht="30" customHeight="1">
      <c r="B168" s="329" t="s">
        <v>63</v>
      </c>
      <c r="C168" s="329" t="s">
        <v>64</v>
      </c>
      <c r="D168" s="331" t="s">
        <v>791</v>
      </c>
      <c r="E168" s="331" t="s">
        <v>831</v>
      </c>
      <c r="F168" s="331" t="s">
        <v>565</v>
      </c>
      <c r="G168" s="331" t="s">
        <v>564</v>
      </c>
      <c r="H168" s="337" t="s">
        <v>832</v>
      </c>
      <c r="I168" s="55" t="s">
        <v>608</v>
      </c>
    </row>
    <row r="169" spans="2:9" ht="30" customHeight="1">
      <c r="B169" s="329" t="s">
        <v>63</v>
      </c>
      <c r="C169" s="329" t="s">
        <v>64</v>
      </c>
      <c r="D169" s="331" t="s">
        <v>791</v>
      </c>
      <c r="E169" s="331" t="s">
        <v>833</v>
      </c>
      <c r="F169" s="331" t="s">
        <v>565</v>
      </c>
      <c r="G169" s="331" t="s">
        <v>564</v>
      </c>
      <c r="H169" s="337" t="s">
        <v>834</v>
      </c>
      <c r="I169" s="55" t="s">
        <v>608</v>
      </c>
    </row>
    <row r="170" spans="2:9" ht="30" customHeight="1">
      <c r="B170" s="329" t="s">
        <v>63</v>
      </c>
      <c r="C170" s="329" t="s">
        <v>64</v>
      </c>
      <c r="D170" s="331" t="s">
        <v>791</v>
      </c>
      <c r="E170" s="331" t="s">
        <v>815</v>
      </c>
      <c r="F170" s="331" t="s">
        <v>565</v>
      </c>
      <c r="G170" s="331" t="s">
        <v>564</v>
      </c>
      <c r="H170" s="337" t="s">
        <v>835</v>
      </c>
      <c r="I170" s="55" t="s">
        <v>608</v>
      </c>
    </row>
    <row r="171" spans="2:9" ht="30" customHeight="1">
      <c r="B171" s="329" t="s">
        <v>63</v>
      </c>
      <c r="C171" s="329" t="s">
        <v>64</v>
      </c>
      <c r="D171" s="331" t="s">
        <v>624</v>
      </c>
      <c r="E171" s="331" t="s">
        <v>625</v>
      </c>
      <c r="F171" s="331" t="s">
        <v>565</v>
      </c>
      <c r="G171" s="331" t="s">
        <v>564</v>
      </c>
      <c r="H171" s="337" t="s">
        <v>836</v>
      </c>
      <c r="I171" s="55" t="s">
        <v>608</v>
      </c>
    </row>
    <row r="172" spans="2:9" ht="30" customHeight="1">
      <c r="B172" s="329" t="s">
        <v>63</v>
      </c>
      <c r="C172" s="329" t="s">
        <v>64</v>
      </c>
      <c r="D172" s="331" t="s">
        <v>617</v>
      </c>
      <c r="E172" s="331" t="s">
        <v>656</v>
      </c>
      <c r="F172" s="331" t="s">
        <v>565</v>
      </c>
      <c r="G172" s="331" t="s">
        <v>564</v>
      </c>
      <c r="H172" s="337" t="s">
        <v>837</v>
      </c>
      <c r="I172" s="55" t="s">
        <v>608</v>
      </c>
    </row>
    <row r="173" spans="2:9" ht="30" customHeight="1">
      <c r="B173" s="329" t="s">
        <v>63</v>
      </c>
      <c r="C173" s="329" t="s">
        <v>64</v>
      </c>
      <c r="D173" s="329" t="s">
        <v>791</v>
      </c>
      <c r="E173" s="329" t="s">
        <v>807</v>
      </c>
      <c r="F173" s="329" t="s">
        <v>791</v>
      </c>
      <c r="G173" s="329" t="s">
        <v>838</v>
      </c>
      <c r="H173" s="330" t="s">
        <v>839</v>
      </c>
      <c r="I173" s="55" t="s">
        <v>600</v>
      </c>
    </row>
    <row r="174" spans="2:9">
      <c r="B174" s="329" t="s">
        <v>565</v>
      </c>
      <c r="C174" s="329" t="s">
        <v>564</v>
      </c>
      <c r="D174" s="329" t="s">
        <v>791</v>
      </c>
      <c r="E174" s="329" t="s">
        <v>807</v>
      </c>
      <c r="F174" s="329" t="s">
        <v>791</v>
      </c>
      <c r="G174" s="329" t="s">
        <v>838</v>
      </c>
      <c r="H174" s="330" t="s">
        <v>839</v>
      </c>
      <c r="I174" s="55" t="s">
        <v>600</v>
      </c>
    </row>
    <row r="175" spans="2:9" ht="33" customHeight="1">
      <c r="B175" s="329" t="s">
        <v>63</v>
      </c>
      <c r="C175" s="329" t="s">
        <v>64</v>
      </c>
      <c r="D175" s="56" t="s">
        <v>605</v>
      </c>
      <c r="E175" s="51" t="s">
        <v>797</v>
      </c>
      <c r="F175" s="329" t="s">
        <v>627</v>
      </c>
      <c r="G175" s="329" t="s">
        <v>628</v>
      </c>
      <c r="H175" s="330" t="s">
        <v>840</v>
      </c>
      <c r="I175" s="338" t="s">
        <v>600</v>
      </c>
    </row>
    <row r="176" spans="2:9">
      <c r="B176"/>
      <c r="C176"/>
      <c r="D176"/>
      <c r="E176"/>
      <c r="F176"/>
    </row>
    <row r="177" spans="2:6">
      <c r="B177"/>
      <c r="C177"/>
      <c r="D177"/>
      <c r="E177"/>
      <c r="F177"/>
    </row>
    <row r="178" spans="2:6">
      <c r="B178"/>
      <c r="C178"/>
      <c r="D178"/>
      <c r="E178"/>
      <c r="F178"/>
    </row>
    <row r="179" spans="2:6">
      <c r="B179"/>
      <c r="C179"/>
      <c r="D179"/>
      <c r="E179" s="338"/>
      <c r="F179" s="338"/>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C611"/>
      <c r="D611"/>
      <c r="E611"/>
      <c r="F611"/>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H563"/>
  <sheetViews>
    <sheetView showGridLines="0" workbookViewId="0">
      <selection activeCell="A11" sqref="A11:XFD11"/>
    </sheetView>
  </sheetViews>
  <sheetFormatPr defaultRowHeight="14.5"/>
  <cols>
    <col min="2" max="2" width="39.26953125" style="30" bestFit="1" customWidth="1"/>
    <col min="3" max="3" width="43.7265625" style="29" customWidth="1"/>
    <col min="4" max="4" width="38.1796875" customWidth="1"/>
    <col min="5" max="5" width="47" customWidth="1"/>
    <col min="6" max="6" width="122.54296875" customWidth="1"/>
    <col min="7" max="7" width="42.81640625" customWidth="1"/>
    <col min="8" max="8" width="77.26953125" customWidth="1"/>
  </cols>
  <sheetData>
    <row r="1" spans="2:8" ht="42.75" customHeight="1"/>
    <row r="2" spans="2:8">
      <c r="B2" s="58" t="s">
        <v>75</v>
      </c>
      <c r="C2" s="58" t="s">
        <v>77</v>
      </c>
      <c r="D2" s="58" t="s">
        <v>841</v>
      </c>
      <c r="E2" s="58" t="s">
        <v>842</v>
      </c>
      <c r="F2" s="58" t="s">
        <v>843</v>
      </c>
      <c r="G2" s="58" t="s">
        <v>844</v>
      </c>
      <c r="H2" s="58" t="s">
        <v>845</v>
      </c>
    </row>
    <row r="3" spans="2:8" ht="30" customHeight="1">
      <c r="B3" s="51" t="s">
        <v>4</v>
      </c>
      <c r="C3" s="51" t="s">
        <v>5</v>
      </c>
      <c r="D3" s="51" t="s">
        <v>596</v>
      </c>
      <c r="E3" s="51" t="s">
        <v>597</v>
      </c>
      <c r="F3" s="51" t="s">
        <v>846</v>
      </c>
      <c r="G3" s="51" t="s">
        <v>847</v>
      </c>
      <c r="H3" s="75" t="s">
        <v>848</v>
      </c>
    </row>
    <row r="4" spans="2:8" ht="30" customHeight="1">
      <c r="B4" s="51" t="s">
        <v>4</v>
      </c>
      <c r="C4" s="51" t="s">
        <v>5</v>
      </c>
      <c r="D4" s="51" t="s">
        <v>617</v>
      </c>
      <c r="E4" s="56" t="s">
        <v>618</v>
      </c>
      <c r="F4" s="51" t="s">
        <v>849</v>
      </c>
      <c r="G4" s="51" t="s">
        <v>850</v>
      </c>
      <c r="H4" s="55" t="s">
        <v>851</v>
      </c>
    </row>
    <row r="5" spans="2:8" ht="30" customHeight="1">
      <c r="B5" s="51" t="s">
        <v>4</v>
      </c>
      <c r="C5" s="51" t="s">
        <v>5</v>
      </c>
      <c r="D5" s="51" t="s">
        <v>624</v>
      </c>
      <c r="E5" s="51" t="s">
        <v>625</v>
      </c>
      <c r="F5" s="55" t="s">
        <v>852</v>
      </c>
      <c r="G5" s="55" t="s">
        <v>853</v>
      </c>
      <c r="H5" s="55" t="s">
        <v>854</v>
      </c>
    </row>
    <row r="6" spans="2:8" ht="30" customHeight="1">
      <c r="B6" s="51" t="s">
        <v>9</v>
      </c>
      <c r="C6" s="51" t="s">
        <v>10</v>
      </c>
      <c r="D6" s="51" t="s">
        <v>638</v>
      </c>
      <c r="E6" s="51" t="s">
        <v>639</v>
      </c>
      <c r="F6" s="51" t="s">
        <v>855</v>
      </c>
      <c r="G6" s="55" t="s">
        <v>856</v>
      </c>
      <c r="H6" s="55" t="s">
        <v>857</v>
      </c>
    </row>
    <row r="7" spans="2:8" ht="30" customHeight="1">
      <c r="B7" s="51" t="s">
        <v>14</v>
      </c>
      <c r="C7" s="51" t="s">
        <v>858</v>
      </c>
      <c r="D7" s="55" t="s">
        <v>651</v>
      </c>
      <c r="E7" s="55" t="s">
        <v>655</v>
      </c>
      <c r="F7" s="55" t="s">
        <v>859</v>
      </c>
      <c r="G7" s="55" t="s">
        <v>860</v>
      </c>
      <c r="H7" s="55" t="s">
        <v>861</v>
      </c>
    </row>
    <row r="8" spans="2:8" ht="30" customHeight="1">
      <c r="B8" s="51" t="s">
        <v>14</v>
      </c>
      <c r="C8" s="51" t="s">
        <v>858</v>
      </c>
      <c r="D8" s="51" t="s">
        <v>617</v>
      </c>
      <c r="E8" s="56" t="s">
        <v>618</v>
      </c>
      <c r="F8" s="51" t="s">
        <v>862</v>
      </c>
      <c r="G8" s="51" t="s">
        <v>850</v>
      </c>
      <c r="H8" s="55" t="s">
        <v>851</v>
      </c>
    </row>
    <row r="9" spans="2:8" ht="30" customHeight="1">
      <c r="B9" s="51" t="s">
        <v>14</v>
      </c>
      <c r="C9" s="51" t="s">
        <v>858</v>
      </c>
      <c r="D9" s="55" t="s">
        <v>651</v>
      </c>
      <c r="E9" s="56" t="s">
        <v>652</v>
      </c>
      <c r="F9" s="51" t="s">
        <v>863</v>
      </c>
      <c r="G9" s="51" t="s">
        <v>864</v>
      </c>
      <c r="H9" s="55" t="s">
        <v>865</v>
      </c>
    </row>
    <row r="10" spans="2:8" ht="30" customHeight="1">
      <c r="B10" s="51" t="s">
        <v>14</v>
      </c>
      <c r="C10" s="331" t="s">
        <v>866</v>
      </c>
      <c r="D10" s="55" t="s">
        <v>651</v>
      </c>
      <c r="E10" s="51" t="s">
        <v>652</v>
      </c>
      <c r="F10" s="51" t="s">
        <v>863</v>
      </c>
      <c r="G10" s="51" t="s">
        <v>864</v>
      </c>
      <c r="H10" s="55" t="s">
        <v>865</v>
      </c>
    </row>
    <row r="11" spans="2:8" ht="30" customHeight="1">
      <c r="B11" s="56" t="s">
        <v>26</v>
      </c>
      <c r="C11" s="56" t="s">
        <v>27</v>
      </c>
      <c r="D11" s="51" t="s">
        <v>664</v>
      </c>
      <c r="E11" s="51" t="s">
        <v>665</v>
      </c>
      <c r="F11" s="55" t="s">
        <v>867</v>
      </c>
      <c r="G11" s="55" t="s">
        <v>868</v>
      </c>
      <c r="H11" s="55" t="s">
        <v>869</v>
      </c>
    </row>
    <row r="12" spans="2:8" ht="30" customHeight="1">
      <c r="B12" s="56" t="s">
        <v>26</v>
      </c>
      <c r="C12" s="56" t="s">
        <v>29</v>
      </c>
      <c r="D12" s="51" t="s">
        <v>664</v>
      </c>
      <c r="E12" s="51" t="s">
        <v>668</v>
      </c>
      <c r="F12" s="55" t="s">
        <v>870</v>
      </c>
      <c r="G12" s="55" t="s">
        <v>871</v>
      </c>
      <c r="H12" s="51" t="s">
        <v>206</v>
      </c>
    </row>
    <row r="13" spans="2:8" ht="30" customHeight="1">
      <c r="B13" s="56" t="s">
        <v>26</v>
      </c>
      <c r="C13" s="56" t="s">
        <v>31</v>
      </c>
      <c r="D13" s="51" t="s">
        <v>617</v>
      </c>
      <c r="E13" s="56" t="s">
        <v>618</v>
      </c>
      <c r="F13" s="51" t="s">
        <v>862</v>
      </c>
      <c r="G13" s="51" t="s">
        <v>850</v>
      </c>
      <c r="H13" s="55" t="s">
        <v>851</v>
      </c>
    </row>
    <row r="14" spans="2:8" ht="30" customHeight="1">
      <c r="B14" s="56" t="s">
        <v>26</v>
      </c>
      <c r="C14" s="56" t="s">
        <v>31</v>
      </c>
      <c r="D14" s="56" t="s">
        <v>664</v>
      </c>
      <c r="E14" s="56" t="s">
        <v>668</v>
      </c>
      <c r="F14" s="57" t="s">
        <v>872</v>
      </c>
      <c r="G14" s="57" t="s">
        <v>871</v>
      </c>
      <c r="H14" s="56" t="s">
        <v>206</v>
      </c>
    </row>
    <row r="15" spans="2:8" ht="30" customHeight="1">
      <c r="B15" s="56" t="s">
        <v>26</v>
      </c>
      <c r="C15" s="56" t="s">
        <v>31</v>
      </c>
      <c r="D15" s="56" t="s">
        <v>664</v>
      </c>
      <c r="E15" s="56" t="s">
        <v>696</v>
      </c>
      <c r="F15" s="56" t="s">
        <v>873</v>
      </c>
      <c r="G15" s="57" t="s">
        <v>874</v>
      </c>
      <c r="H15" s="57" t="s">
        <v>875</v>
      </c>
    </row>
    <row r="16" spans="2:8" ht="30" customHeight="1">
      <c r="B16" s="56" t="s">
        <v>26</v>
      </c>
      <c r="C16" s="56" t="s">
        <v>31</v>
      </c>
      <c r="D16" s="56" t="s">
        <v>617</v>
      </c>
      <c r="E16" s="56" t="s">
        <v>618</v>
      </c>
      <c r="F16" s="51" t="s">
        <v>876</v>
      </c>
      <c r="G16" s="51" t="s">
        <v>850</v>
      </c>
      <c r="H16" s="55" t="s">
        <v>851</v>
      </c>
    </row>
    <row r="17" spans="2:8" ht="30" customHeight="1">
      <c r="B17" s="56" t="s">
        <v>26</v>
      </c>
      <c r="C17" s="56" t="s">
        <v>31</v>
      </c>
      <c r="D17" s="56" t="s">
        <v>624</v>
      </c>
      <c r="E17" s="56" t="s">
        <v>625</v>
      </c>
      <c r="F17" s="57" t="s">
        <v>877</v>
      </c>
      <c r="G17" s="57" t="s">
        <v>853</v>
      </c>
      <c r="H17" s="57" t="s">
        <v>854</v>
      </c>
    </row>
    <row r="18" spans="2:8" ht="30" customHeight="1">
      <c r="B18" s="56" t="s">
        <v>33</v>
      </c>
      <c r="C18" s="56" t="s">
        <v>34</v>
      </c>
      <c r="D18" s="56" t="s">
        <v>624</v>
      </c>
      <c r="E18" s="56" t="s">
        <v>625</v>
      </c>
      <c r="F18" s="56" t="s">
        <v>878</v>
      </c>
      <c r="G18" s="57" t="s">
        <v>879</v>
      </c>
      <c r="H18" s="280" t="s">
        <v>880</v>
      </c>
    </row>
    <row r="19" spans="2:8" ht="30" customHeight="1">
      <c r="B19" s="56" t="s">
        <v>33</v>
      </c>
      <c r="C19" s="56" t="s">
        <v>34</v>
      </c>
      <c r="D19" s="56" t="s">
        <v>617</v>
      </c>
      <c r="E19" s="56" t="s">
        <v>618</v>
      </c>
      <c r="F19" s="56" t="s">
        <v>862</v>
      </c>
      <c r="G19" s="56" t="s">
        <v>850</v>
      </c>
      <c r="H19" s="57" t="s">
        <v>851</v>
      </c>
    </row>
    <row r="20" spans="2:8" ht="30" customHeight="1">
      <c r="B20" s="56" t="s">
        <v>36</v>
      </c>
      <c r="C20" s="56" t="s">
        <v>37</v>
      </c>
      <c r="D20" s="56" t="s">
        <v>664</v>
      </c>
      <c r="E20" s="56" t="s">
        <v>668</v>
      </c>
      <c r="F20" s="331" t="s">
        <v>881</v>
      </c>
      <c r="G20" s="331" t="s">
        <v>588</v>
      </c>
      <c r="H20" s="331" t="s">
        <v>588</v>
      </c>
    </row>
    <row r="21" spans="2:8" ht="30" customHeight="1">
      <c r="B21" s="56" t="s">
        <v>36</v>
      </c>
      <c r="C21" s="56" t="s">
        <v>37</v>
      </c>
      <c r="D21" s="56" t="s">
        <v>664</v>
      </c>
      <c r="E21" s="56" t="s">
        <v>665</v>
      </c>
      <c r="F21" s="57" t="s">
        <v>882</v>
      </c>
      <c r="G21" s="57" t="s">
        <v>868</v>
      </c>
      <c r="H21" s="57" t="s">
        <v>869</v>
      </c>
    </row>
    <row r="22" spans="2:8" ht="30" customHeight="1">
      <c r="B22" s="56" t="s">
        <v>36</v>
      </c>
      <c r="C22" s="56" t="s">
        <v>39</v>
      </c>
      <c r="D22" s="56" t="s">
        <v>664</v>
      </c>
      <c r="E22" s="56" t="s">
        <v>668</v>
      </c>
      <c r="F22" s="57" t="s">
        <v>883</v>
      </c>
      <c r="G22" s="57" t="s">
        <v>871</v>
      </c>
      <c r="H22" s="56" t="s">
        <v>206</v>
      </c>
    </row>
    <row r="23" spans="2:8" ht="30" customHeight="1">
      <c r="B23" s="56" t="s">
        <v>41</v>
      </c>
      <c r="C23" s="56" t="s">
        <v>44</v>
      </c>
      <c r="D23" s="56" t="s">
        <v>730</v>
      </c>
      <c r="E23" s="56" t="s">
        <v>731</v>
      </c>
      <c r="F23" s="56" t="s">
        <v>884</v>
      </c>
      <c r="G23" s="56" t="s">
        <v>885</v>
      </c>
      <c r="H23" s="57" t="s">
        <v>886</v>
      </c>
    </row>
    <row r="24" spans="2:8" ht="30" customHeight="1">
      <c r="B24" s="56" t="s">
        <v>887</v>
      </c>
      <c r="C24" s="56" t="s">
        <v>47</v>
      </c>
      <c r="D24" s="56" t="s">
        <v>624</v>
      </c>
      <c r="E24" s="56" t="s">
        <v>625</v>
      </c>
      <c r="F24" s="56" t="s">
        <v>888</v>
      </c>
      <c r="G24" s="57" t="s">
        <v>889</v>
      </c>
      <c r="H24" s="57" t="s">
        <v>890</v>
      </c>
    </row>
    <row r="25" spans="2:8" ht="30" customHeight="1">
      <c r="B25" s="56" t="s">
        <v>52</v>
      </c>
      <c r="C25" s="56" t="s">
        <v>53</v>
      </c>
      <c r="D25" s="56" t="s">
        <v>624</v>
      </c>
      <c r="E25" s="56" t="s">
        <v>625</v>
      </c>
      <c r="F25" s="56" t="s">
        <v>891</v>
      </c>
      <c r="G25" s="280" t="s">
        <v>892</v>
      </c>
      <c r="H25" s="280" t="s">
        <v>893</v>
      </c>
    </row>
    <row r="26" spans="2:8" ht="30" customHeight="1">
      <c r="B26" s="56" t="s">
        <v>52</v>
      </c>
      <c r="C26" s="56" t="s">
        <v>53</v>
      </c>
      <c r="D26" s="56" t="s">
        <v>617</v>
      </c>
      <c r="E26" s="56" t="s">
        <v>618</v>
      </c>
      <c r="F26" s="51" t="s">
        <v>862</v>
      </c>
      <c r="G26" s="51"/>
      <c r="H26" s="55" t="s">
        <v>851</v>
      </c>
    </row>
    <row r="27" spans="2:8" ht="30" customHeight="1">
      <c r="B27" s="56" t="s">
        <v>55</v>
      </c>
      <c r="C27" s="56" t="s">
        <v>56</v>
      </c>
      <c r="D27" s="56" t="s">
        <v>664</v>
      </c>
      <c r="E27" s="56" t="s">
        <v>668</v>
      </c>
      <c r="F27" s="329" t="s">
        <v>881</v>
      </c>
      <c r="G27" s="329" t="s">
        <v>588</v>
      </c>
      <c r="H27" s="329" t="s">
        <v>588</v>
      </c>
    </row>
    <row r="28" spans="2:8" ht="30" customHeight="1">
      <c r="B28" s="56" t="s">
        <v>55</v>
      </c>
      <c r="C28" s="56" t="s">
        <v>56</v>
      </c>
      <c r="D28" s="51" t="s">
        <v>664</v>
      </c>
      <c r="E28" s="51" t="s">
        <v>665</v>
      </c>
      <c r="F28" s="55" t="s">
        <v>894</v>
      </c>
      <c r="G28" s="55" t="s">
        <v>868</v>
      </c>
      <c r="H28" s="55" t="s">
        <v>869</v>
      </c>
    </row>
    <row r="29" spans="2:8" ht="30" customHeight="1">
      <c r="B29" s="56" t="s">
        <v>55</v>
      </c>
      <c r="C29" s="56" t="s">
        <v>58</v>
      </c>
      <c r="D29" s="51" t="s">
        <v>664</v>
      </c>
      <c r="E29" s="51" t="s">
        <v>668</v>
      </c>
      <c r="F29" s="55" t="s">
        <v>895</v>
      </c>
      <c r="G29" s="55" t="s">
        <v>871</v>
      </c>
      <c r="H29" s="51" t="s">
        <v>206</v>
      </c>
    </row>
    <row r="30" spans="2:8" ht="30" customHeight="1">
      <c r="B30" s="56" t="s">
        <v>60</v>
      </c>
      <c r="C30" s="56" t="s">
        <v>61</v>
      </c>
      <c r="D30" s="56" t="s">
        <v>780</v>
      </c>
      <c r="E30" s="56" t="s">
        <v>781</v>
      </c>
      <c r="F30" s="56" t="s">
        <v>896</v>
      </c>
      <c r="G30" s="56" t="s">
        <v>847</v>
      </c>
      <c r="H30" s="57" t="s">
        <v>897</v>
      </c>
    </row>
    <row r="31" spans="2:8" ht="30" customHeight="1">
      <c r="B31" s="56" t="s">
        <v>63</v>
      </c>
      <c r="C31" s="56" t="s">
        <v>64</v>
      </c>
      <c r="D31" s="56" t="s">
        <v>791</v>
      </c>
      <c r="E31" s="56" t="s">
        <v>792</v>
      </c>
      <c r="F31" s="56" t="s">
        <v>898</v>
      </c>
      <c r="G31" s="56" t="s">
        <v>206</v>
      </c>
      <c r="H31" s="56" t="s">
        <v>206</v>
      </c>
    </row>
    <row r="32" spans="2:8" ht="30" customHeight="1">
      <c r="B32" s="56" t="s">
        <v>63</v>
      </c>
      <c r="C32" s="56" t="s">
        <v>64</v>
      </c>
      <c r="D32" s="56" t="s">
        <v>791</v>
      </c>
      <c r="E32" s="56" t="s">
        <v>800</v>
      </c>
      <c r="F32" s="56" t="s">
        <v>899</v>
      </c>
      <c r="G32" s="56" t="s">
        <v>206</v>
      </c>
      <c r="H32" s="56" t="s">
        <v>206</v>
      </c>
    </row>
    <row r="33" spans="2:8" ht="30" customHeight="1">
      <c r="B33" s="56" t="s">
        <v>63</v>
      </c>
      <c r="C33" s="56" t="s">
        <v>64</v>
      </c>
      <c r="D33" s="56" t="s">
        <v>791</v>
      </c>
      <c r="E33" s="56" t="s">
        <v>807</v>
      </c>
      <c r="F33" s="56" t="s">
        <v>900</v>
      </c>
      <c r="G33" s="56" t="s">
        <v>206</v>
      </c>
      <c r="H33" s="56" t="s">
        <v>206</v>
      </c>
    </row>
    <row r="34" spans="2:8" ht="30" customHeight="1">
      <c r="B34" s="56" t="s">
        <v>49</v>
      </c>
      <c r="C34" s="56" t="s">
        <v>50</v>
      </c>
      <c r="D34" s="56" t="s">
        <v>624</v>
      </c>
      <c r="E34" s="56" t="s">
        <v>625</v>
      </c>
      <c r="F34" s="56" t="s">
        <v>901</v>
      </c>
      <c r="G34" s="57" t="s">
        <v>902</v>
      </c>
      <c r="H34" s="57" t="s">
        <v>903</v>
      </c>
    </row>
    <row r="35" spans="2:8" ht="30" customHeight="1">
      <c r="B35" s="56" t="s">
        <v>63</v>
      </c>
      <c r="C35" s="56" t="s">
        <v>64</v>
      </c>
      <c r="D35" s="56" t="s">
        <v>791</v>
      </c>
      <c r="E35" s="56" t="s">
        <v>815</v>
      </c>
      <c r="F35" s="56" t="s">
        <v>904</v>
      </c>
      <c r="G35" s="56" t="s">
        <v>206</v>
      </c>
      <c r="H35" s="56" t="s">
        <v>206</v>
      </c>
    </row>
    <row r="36" spans="2:8">
      <c r="B36" s="50"/>
      <c r="C36" s="50"/>
      <c r="D36" s="50"/>
      <c r="E36" s="50"/>
      <c r="F36" s="50"/>
      <c r="G36" s="97"/>
      <c r="H36" s="97"/>
    </row>
    <row r="37" spans="2:8">
      <c r="B37"/>
      <c r="C37"/>
    </row>
    <row r="38" spans="2:8">
      <c r="B38"/>
      <c r="C38"/>
    </row>
    <row r="39" spans="2:8">
      <c r="B39"/>
      <c r="C39"/>
    </row>
    <row r="40" spans="2:8">
      <c r="B40"/>
      <c r="C40"/>
    </row>
    <row r="41" spans="2:8">
      <c r="B41"/>
      <c r="C41"/>
    </row>
    <row r="42" spans="2:8">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B1:E23"/>
  <sheetViews>
    <sheetView showGridLines="0" topLeftCell="A7" workbookViewId="0">
      <selection activeCell="C9" sqref="C9"/>
    </sheetView>
  </sheetViews>
  <sheetFormatPr defaultRowHeight="14.5"/>
  <cols>
    <col min="2" max="2" width="14" style="76" customWidth="1"/>
    <col min="3" max="3" width="35.453125" customWidth="1"/>
    <col min="4" max="4" width="40.1796875" style="49" customWidth="1"/>
    <col min="5" max="5" width="42.7265625" customWidth="1"/>
  </cols>
  <sheetData>
    <row r="1" spans="2:5" ht="45.75" customHeight="1"/>
    <row r="2" spans="2:5" ht="39.75" customHeight="1">
      <c r="B2" s="82" t="s">
        <v>237</v>
      </c>
      <c r="C2" s="81" t="s">
        <v>905</v>
      </c>
      <c r="D2" s="81" t="s">
        <v>906</v>
      </c>
      <c r="E2" s="86" t="s">
        <v>243</v>
      </c>
    </row>
    <row r="3" spans="2:5" ht="39.75" customHeight="1">
      <c r="B3" s="83">
        <v>1</v>
      </c>
      <c r="C3" s="77" t="s">
        <v>907</v>
      </c>
      <c r="D3" s="79" t="s">
        <v>908</v>
      </c>
      <c r="E3" s="87"/>
    </row>
    <row r="4" spans="2:5" ht="39.75" customHeight="1">
      <c r="B4" s="83">
        <v>2</v>
      </c>
      <c r="C4" s="77" t="s">
        <v>909</v>
      </c>
      <c r="D4" s="79" t="s">
        <v>910</v>
      </c>
      <c r="E4" s="87"/>
    </row>
    <row r="5" spans="2:5" ht="39.75" customHeight="1">
      <c r="B5" s="83">
        <v>3</v>
      </c>
      <c r="C5" s="77" t="s">
        <v>911</v>
      </c>
      <c r="D5" s="79" t="s">
        <v>912</v>
      </c>
      <c r="E5" s="87"/>
    </row>
    <row r="6" spans="2:5" ht="39.75" customHeight="1">
      <c r="B6" s="83">
        <v>4</v>
      </c>
      <c r="C6" s="79" t="s">
        <v>913</v>
      </c>
      <c r="D6" s="79" t="s">
        <v>914</v>
      </c>
      <c r="E6" s="87"/>
    </row>
    <row r="7" spans="2:5" ht="39.75" customHeight="1">
      <c r="B7" s="84">
        <v>5</v>
      </c>
      <c r="C7" s="79" t="s">
        <v>915</v>
      </c>
      <c r="D7" s="79" t="s">
        <v>914</v>
      </c>
      <c r="E7" s="87"/>
    </row>
    <row r="8" spans="2:5" ht="39.75" customHeight="1">
      <c r="B8" s="84">
        <v>6</v>
      </c>
      <c r="C8" s="79" t="s">
        <v>916</v>
      </c>
      <c r="D8" s="79" t="s">
        <v>917</v>
      </c>
      <c r="E8" s="193" t="s">
        <v>918</v>
      </c>
    </row>
    <row r="9" spans="2:5" ht="39.75" customHeight="1">
      <c r="B9" s="84">
        <v>7</v>
      </c>
      <c r="C9" s="77" t="s">
        <v>919</v>
      </c>
      <c r="D9" s="79" t="s">
        <v>920</v>
      </c>
      <c r="E9" s="87" t="s">
        <v>921</v>
      </c>
    </row>
    <row r="10" spans="2:5" ht="39.75" customHeight="1">
      <c r="B10" s="83">
        <v>8</v>
      </c>
      <c r="C10" s="77" t="s">
        <v>922</v>
      </c>
      <c r="D10" s="79" t="s">
        <v>923</v>
      </c>
      <c r="E10" s="87"/>
    </row>
    <row r="11" spans="2:5" ht="39.75" customHeight="1">
      <c r="B11" s="84">
        <v>9</v>
      </c>
      <c r="C11" s="77" t="s">
        <v>924</v>
      </c>
      <c r="D11" s="79" t="s">
        <v>925</v>
      </c>
      <c r="E11" s="87"/>
    </row>
    <row r="12" spans="2:5" ht="39.75" customHeight="1">
      <c r="B12" s="83">
        <v>10</v>
      </c>
      <c r="C12" s="79" t="s">
        <v>926</v>
      </c>
      <c r="D12" s="79" t="s">
        <v>927</v>
      </c>
      <c r="E12" s="87"/>
    </row>
    <row r="13" spans="2:5" ht="39.75" customHeight="1">
      <c r="B13" s="84">
        <v>11</v>
      </c>
      <c r="C13" s="77" t="s">
        <v>928</v>
      </c>
      <c r="D13" s="79" t="s">
        <v>929</v>
      </c>
      <c r="E13" s="87"/>
    </row>
    <row r="14" spans="2:5" ht="39.75" customHeight="1">
      <c r="B14" s="84">
        <v>12</v>
      </c>
      <c r="C14" s="77" t="s">
        <v>930</v>
      </c>
      <c r="D14" s="79" t="s">
        <v>931</v>
      </c>
      <c r="E14" s="87"/>
    </row>
    <row r="15" spans="2:5" ht="39.75" customHeight="1">
      <c r="B15" s="84">
        <v>13</v>
      </c>
      <c r="C15" s="77" t="s">
        <v>932</v>
      </c>
      <c r="D15" s="79" t="s">
        <v>933</v>
      </c>
      <c r="E15" s="87"/>
    </row>
    <row r="16" spans="2:5" ht="39.75" customHeight="1">
      <c r="B16" s="85">
        <v>14</v>
      </c>
      <c r="C16" s="80" t="s">
        <v>934</v>
      </c>
      <c r="D16" s="79" t="s">
        <v>935</v>
      </c>
      <c r="E16" s="87"/>
    </row>
    <row r="17" spans="2:5" ht="39.75" customHeight="1">
      <c r="B17" s="84">
        <v>15</v>
      </c>
      <c r="C17" s="77" t="s">
        <v>936</v>
      </c>
      <c r="D17" s="79" t="s">
        <v>937</v>
      </c>
      <c r="E17" s="87"/>
    </row>
    <row r="18" spans="2:5" ht="39.75" customHeight="1">
      <c r="B18" s="84">
        <v>16</v>
      </c>
      <c r="C18" s="77" t="s">
        <v>938</v>
      </c>
      <c r="D18" s="79" t="s">
        <v>939</v>
      </c>
      <c r="E18" s="87"/>
    </row>
    <row r="19" spans="2:5" ht="39.75" customHeight="1">
      <c r="B19" s="84">
        <v>17</v>
      </c>
      <c r="C19" s="77" t="s">
        <v>940</v>
      </c>
      <c r="D19" s="79" t="s">
        <v>941</v>
      </c>
      <c r="E19" s="87"/>
    </row>
    <row r="20" spans="2:5" ht="39.75" customHeight="1">
      <c r="B20" s="85">
        <v>18</v>
      </c>
      <c r="C20" s="80" t="s">
        <v>942</v>
      </c>
      <c r="D20" s="78" t="s">
        <v>943</v>
      </c>
      <c r="E20" s="88"/>
    </row>
    <row r="21" spans="2:5" ht="39.75" customHeight="1">
      <c r="B21" s="85">
        <v>19</v>
      </c>
      <c r="C21" s="80" t="s">
        <v>944</v>
      </c>
      <c r="D21" s="78" t="s">
        <v>945</v>
      </c>
      <c r="E21" s="88" t="s">
        <v>946</v>
      </c>
    </row>
    <row r="22" spans="2:5" ht="39.75" customHeight="1">
      <c r="B22" s="84">
        <v>20</v>
      </c>
      <c r="C22" s="77" t="s">
        <v>947</v>
      </c>
      <c r="D22" s="79" t="s">
        <v>948</v>
      </c>
      <c r="E22" s="87" t="s">
        <v>949</v>
      </c>
    </row>
    <row r="23" spans="2:5" ht="39.75" customHeight="1">
      <c r="B23" s="85">
        <v>21</v>
      </c>
      <c r="C23" s="80" t="s">
        <v>950</v>
      </c>
      <c r="D23" s="78" t="s">
        <v>951</v>
      </c>
      <c r="E23" s="88" t="s">
        <v>952</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H36"/>
  <sheetViews>
    <sheetView showGridLines="0" topLeftCell="A27" workbookViewId="0">
      <selection activeCell="AD4" sqref="AD4"/>
    </sheetView>
  </sheetViews>
  <sheetFormatPr defaultRowHeight="14.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16.453125" bestFit="1" customWidth="1"/>
    <col min="29" max="29" width="30.7265625" bestFit="1" customWidth="1"/>
    <col min="30" max="30" width="35.7265625" customWidth="1"/>
  </cols>
  <sheetData>
    <row r="1" spans="2:28" ht="27.75" customHeight="1"/>
    <row r="2" spans="2:28">
      <c r="B2" s="76" t="s">
        <v>953</v>
      </c>
      <c r="C2" s="76" t="s">
        <v>954</v>
      </c>
      <c r="D2" s="76" t="s">
        <v>955</v>
      </c>
      <c r="E2" s="76" t="s">
        <v>956</v>
      </c>
      <c r="F2" s="76" t="s">
        <v>957</v>
      </c>
      <c r="G2" s="76" t="s">
        <v>958</v>
      </c>
      <c r="H2" s="76" t="s">
        <v>959</v>
      </c>
      <c r="I2" s="76" t="s">
        <v>102</v>
      </c>
      <c r="J2" s="76" t="s">
        <v>112</v>
      </c>
      <c r="K2" s="76" t="s">
        <v>116</v>
      </c>
      <c r="L2" s="76" t="s">
        <v>121</v>
      </c>
      <c r="M2" s="76" t="s">
        <v>127</v>
      </c>
      <c r="N2" s="76" t="s">
        <v>132</v>
      </c>
      <c r="O2" s="76" t="s">
        <v>135</v>
      </c>
      <c r="P2" s="76" t="s">
        <v>138</v>
      </c>
      <c r="Q2" s="76" t="s">
        <v>144</v>
      </c>
      <c r="R2" s="76" t="s">
        <v>149</v>
      </c>
      <c r="S2" s="76" t="s">
        <v>155</v>
      </c>
      <c r="T2" s="76" t="s">
        <v>160</v>
      </c>
      <c r="U2" s="76" t="s">
        <v>169</v>
      </c>
      <c r="V2" s="76" t="s">
        <v>175</v>
      </c>
      <c r="W2" s="76" t="s">
        <v>183</v>
      </c>
      <c r="X2" s="76" t="s">
        <v>190</v>
      </c>
      <c r="Y2" s="76" t="s">
        <v>196</v>
      </c>
      <c r="Z2" s="76" t="s">
        <v>202</v>
      </c>
      <c r="AA2" s="76" t="s">
        <v>208</v>
      </c>
      <c r="AB2" s="76" t="s">
        <v>213</v>
      </c>
    </row>
    <row r="3" spans="2:28">
      <c r="B3" s="50" t="s">
        <v>907</v>
      </c>
      <c r="C3" s="50">
        <v>1</v>
      </c>
      <c r="D3" s="50" t="s">
        <v>960</v>
      </c>
      <c r="E3" s="95">
        <v>45439</v>
      </c>
      <c r="F3" s="50">
        <v>2</v>
      </c>
      <c r="G3" s="208">
        <v>1</v>
      </c>
      <c r="H3" s="50">
        <v>21676</v>
      </c>
      <c r="I3" s="50" t="s">
        <v>961</v>
      </c>
      <c r="J3" s="50" t="s">
        <v>961</v>
      </c>
      <c r="K3" s="50" t="s">
        <v>961</v>
      </c>
      <c r="L3" s="50" t="s">
        <v>961</v>
      </c>
      <c r="M3" s="50" t="s">
        <v>961</v>
      </c>
      <c r="N3" s="50" t="s">
        <v>961</v>
      </c>
      <c r="O3" s="50" t="s">
        <v>961</v>
      </c>
      <c r="P3" s="50" t="s">
        <v>961</v>
      </c>
      <c r="Q3" s="50" t="s">
        <v>961</v>
      </c>
      <c r="R3" s="50" t="s">
        <v>961</v>
      </c>
      <c r="S3" s="50" t="s">
        <v>961</v>
      </c>
      <c r="T3" s="50" t="s">
        <v>961</v>
      </c>
      <c r="U3" s="50" t="s">
        <v>961</v>
      </c>
      <c r="V3" s="50" t="s">
        <v>961</v>
      </c>
      <c r="W3" s="50" t="s">
        <v>961</v>
      </c>
      <c r="X3" s="50" t="s">
        <v>961</v>
      </c>
      <c r="Y3" s="50" t="s">
        <v>961</v>
      </c>
      <c r="Z3" s="50" t="s">
        <v>961</v>
      </c>
      <c r="AA3" s="50" t="s">
        <v>961</v>
      </c>
      <c r="AB3" s="50" t="s">
        <v>961</v>
      </c>
    </row>
    <row r="4" spans="2:28">
      <c r="B4" s="50" t="s">
        <v>909</v>
      </c>
      <c r="C4" s="50">
        <v>2</v>
      </c>
      <c r="D4" s="50" t="s">
        <v>962</v>
      </c>
      <c r="E4" s="95">
        <v>45439</v>
      </c>
      <c r="F4" s="50">
        <v>2</v>
      </c>
      <c r="G4" s="208">
        <v>1</v>
      </c>
      <c r="H4" s="50">
        <v>0</v>
      </c>
      <c r="I4" s="50" t="s">
        <v>961</v>
      </c>
      <c r="J4" s="50" t="s">
        <v>961</v>
      </c>
      <c r="K4" s="50" t="s">
        <v>961</v>
      </c>
      <c r="L4" s="50" t="s">
        <v>961</v>
      </c>
      <c r="M4" s="50" t="s">
        <v>961</v>
      </c>
      <c r="N4" s="50" t="s">
        <v>961</v>
      </c>
      <c r="O4" s="50" t="s">
        <v>961</v>
      </c>
      <c r="P4" s="50" t="s">
        <v>961</v>
      </c>
      <c r="Q4" s="50" t="s">
        <v>961</v>
      </c>
      <c r="R4" s="50" t="s">
        <v>961</v>
      </c>
      <c r="S4" s="50" t="s">
        <v>961</v>
      </c>
      <c r="T4" s="50" t="s">
        <v>961</v>
      </c>
      <c r="U4" s="50" t="s">
        <v>961</v>
      </c>
      <c r="V4" s="50" t="s">
        <v>961</v>
      </c>
      <c r="W4" s="50" t="s">
        <v>961</v>
      </c>
      <c r="X4" s="50" t="s">
        <v>961</v>
      </c>
      <c r="Y4" s="50" t="s">
        <v>961</v>
      </c>
      <c r="Z4" s="50" t="s">
        <v>961</v>
      </c>
      <c r="AA4" s="50" t="s">
        <v>961</v>
      </c>
      <c r="AB4" s="50" t="s">
        <v>961</v>
      </c>
    </row>
    <row r="5" spans="2:28">
      <c r="B5" s="50" t="s">
        <v>911</v>
      </c>
      <c r="C5" s="50">
        <v>3</v>
      </c>
      <c r="D5" s="50" t="s">
        <v>963</v>
      </c>
      <c r="E5" s="95">
        <v>45439</v>
      </c>
      <c r="F5" s="50">
        <v>2</v>
      </c>
      <c r="G5" s="208">
        <v>1</v>
      </c>
      <c r="H5" s="50">
        <v>0</v>
      </c>
      <c r="I5" s="50">
        <v>0</v>
      </c>
      <c r="J5" s="50">
        <v>0</v>
      </c>
      <c r="K5" s="50" t="s">
        <v>961</v>
      </c>
      <c r="L5" s="50" t="s">
        <v>961</v>
      </c>
      <c r="M5" s="50" t="s">
        <v>961</v>
      </c>
      <c r="N5" s="50" t="s">
        <v>961</v>
      </c>
      <c r="O5" s="50" t="s">
        <v>961</v>
      </c>
      <c r="P5" s="50" t="s">
        <v>961</v>
      </c>
      <c r="Q5" s="50" t="s">
        <v>961</v>
      </c>
      <c r="R5" s="50" t="s">
        <v>961</v>
      </c>
      <c r="S5" s="50" t="s">
        <v>961</v>
      </c>
      <c r="T5" s="50" t="s">
        <v>961</v>
      </c>
      <c r="U5" s="50" t="s">
        <v>961</v>
      </c>
      <c r="V5" s="50" t="s">
        <v>961</v>
      </c>
      <c r="W5" s="50" t="s">
        <v>961</v>
      </c>
      <c r="X5" s="50" t="s">
        <v>961</v>
      </c>
      <c r="Y5" s="50" t="s">
        <v>961</v>
      </c>
      <c r="Z5" s="50" t="s">
        <v>961</v>
      </c>
      <c r="AA5" s="50">
        <v>0</v>
      </c>
      <c r="AB5" s="50" t="s">
        <v>961</v>
      </c>
    </row>
    <row r="6" spans="2:28">
      <c r="B6" s="97" t="s">
        <v>913</v>
      </c>
      <c r="C6" s="50">
        <v>4</v>
      </c>
      <c r="D6" s="50" t="s">
        <v>964</v>
      </c>
      <c r="E6" s="95" t="s">
        <v>961</v>
      </c>
      <c r="F6" s="50">
        <v>2</v>
      </c>
      <c r="G6" s="208" t="s">
        <v>961</v>
      </c>
      <c r="H6" s="50" t="s">
        <v>961</v>
      </c>
      <c r="I6" s="50" t="s">
        <v>961</v>
      </c>
      <c r="J6" s="50" t="s">
        <v>961</v>
      </c>
      <c r="K6" s="50" t="s">
        <v>961</v>
      </c>
      <c r="L6" s="50" t="s">
        <v>961</v>
      </c>
      <c r="M6" s="50" t="s">
        <v>961</v>
      </c>
      <c r="N6" s="50" t="s">
        <v>961</v>
      </c>
      <c r="O6" s="50" t="s">
        <v>961</v>
      </c>
      <c r="P6" s="50" t="s">
        <v>961</v>
      </c>
      <c r="Q6" s="50" t="s">
        <v>961</v>
      </c>
      <c r="R6" s="50" t="s">
        <v>961</v>
      </c>
      <c r="S6" s="50" t="s">
        <v>961</v>
      </c>
      <c r="T6" s="50" t="s">
        <v>961</v>
      </c>
      <c r="U6" s="50" t="s">
        <v>961</v>
      </c>
      <c r="V6" s="50" t="s">
        <v>961</v>
      </c>
      <c r="W6" s="50" t="s">
        <v>961</v>
      </c>
      <c r="X6" s="50" t="s">
        <v>961</v>
      </c>
      <c r="Y6" s="50" t="s">
        <v>961</v>
      </c>
      <c r="Z6" s="50" t="s">
        <v>961</v>
      </c>
      <c r="AA6" s="50" t="s">
        <v>961</v>
      </c>
      <c r="AB6" s="50" t="s">
        <v>961</v>
      </c>
    </row>
    <row r="7" spans="2:28">
      <c r="B7" s="50" t="s">
        <v>915</v>
      </c>
      <c r="C7" s="50">
        <v>5</v>
      </c>
      <c r="D7" s="50" t="s">
        <v>964</v>
      </c>
      <c r="E7" s="95" t="s">
        <v>961</v>
      </c>
      <c r="F7" s="50">
        <v>2</v>
      </c>
      <c r="G7" s="208" t="s">
        <v>961</v>
      </c>
      <c r="H7" s="50" t="s">
        <v>961</v>
      </c>
      <c r="I7" s="50" t="s">
        <v>961</v>
      </c>
      <c r="J7" s="50" t="s">
        <v>961</v>
      </c>
      <c r="K7" s="50" t="s">
        <v>961</v>
      </c>
      <c r="L7" s="50" t="s">
        <v>961</v>
      </c>
      <c r="M7" s="50" t="s">
        <v>961</v>
      </c>
      <c r="N7" s="50" t="s">
        <v>961</v>
      </c>
      <c r="O7" s="50" t="s">
        <v>961</v>
      </c>
      <c r="P7" s="50" t="s">
        <v>961</v>
      </c>
      <c r="Q7" s="50" t="s">
        <v>961</v>
      </c>
      <c r="R7" s="50" t="s">
        <v>961</v>
      </c>
      <c r="S7" s="50" t="s">
        <v>961</v>
      </c>
      <c r="T7" s="50" t="s">
        <v>961</v>
      </c>
      <c r="U7" s="50" t="s">
        <v>961</v>
      </c>
      <c r="V7" s="50" t="s">
        <v>961</v>
      </c>
      <c r="W7" s="50" t="s">
        <v>961</v>
      </c>
      <c r="X7" s="50" t="s">
        <v>961</v>
      </c>
      <c r="Y7" s="50" t="s">
        <v>961</v>
      </c>
      <c r="Z7" s="50" t="s">
        <v>961</v>
      </c>
      <c r="AA7" s="50" t="s">
        <v>961</v>
      </c>
      <c r="AB7" s="50" t="s">
        <v>961</v>
      </c>
    </row>
    <row r="8" spans="2:28">
      <c r="B8" s="50" t="s">
        <v>916</v>
      </c>
      <c r="C8" s="50">
        <v>6</v>
      </c>
      <c r="D8" s="50" t="s">
        <v>965</v>
      </c>
      <c r="E8" s="95">
        <v>45439</v>
      </c>
      <c r="F8" s="50">
        <v>2</v>
      </c>
      <c r="G8" s="20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919</v>
      </c>
      <c r="C9" s="50">
        <v>7</v>
      </c>
      <c r="D9" s="50" t="s">
        <v>966</v>
      </c>
      <c r="E9" s="95">
        <v>45439</v>
      </c>
      <c r="F9" s="50">
        <v>2</v>
      </c>
      <c r="G9" s="208" t="e" cm="1">
        <f t="array" aca="1" ref="G9" ca="1">SUMPRODUCT(--(I9:AB9 &lt;= I27:AB27))/COUNTA(I27:AB27)</f>
        <v>#NAME?</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97" t="s">
        <v>922</v>
      </c>
      <c r="C10" s="50">
        <v>8</v>
      </c>
      <c r="D10" s="50" t="s">
        <v>967</v>
      </c>
      <c r="E10" s="95">
        <v>45439</v>
      </c>
      <c r="F10" s="50">
        <v>2</v>
      </c>
      <c r="G10" s="208" t="s">
        <v>961</v>
      </c>
      <c r="H10" s="50">
        <v>0</v>
      </c>
      <c r="I10" s="50">
        <v>31</v>
      </c>
      <c r="J10" s="50">
        <v>3.11009553029E+26</v>
      </c>
      <c r="K10" s="50" t="s">
        <v>968</v>
      </c>
      <c r="L10" s="50">
        <v>29</v>
      </c>
      <c r="M10" s="50">
        <v>2</v>
      </c>
      <c r="N10" s="50">
        <v>31</v>
      </c>
      <c r="O10" s="95">
        <v>2.4340000999999999E+22</v>
      </c>
      <c r="P10" s="95">
        <v>21939</v>
      </c>
      <c r="Q10" s="98" t="s">
        <v>969</v>
      </c>
      <c r="R10" s="50">
        <v>978</v>
      </c>
      <c r="S10" s="95">
        <v>0</v>
      </c>
      <c r="T10" s="95" t="s">
        <v>970</v>
      </c>
      <c r="U10" s="50" t="s">
        <v>970</v>
      </c>
      <c r="V10" s="98">
        <v>-754910000</v>
      </c>
      <c r="W10" s="98" t="s">
        <v>970</v>
      </c>
      <c r="X10" s="50" t="s">
        <v>971</v>
      </c>
      <c r="Y10" s="50" t="s">
        <v>972</v>
      </c>
      <c r="Z10" s="98" t="s">
        <v>973</v>
      </c>
      <c r="AA10" s="95">
        <v>45438</v>
      </c>
      <c r="AB10" s="95" t="s">
        <v>974</v>
      </c>
    </row>
    <row r="11" spans="2:28">
      <c r="B11" s="50" t="s">
        <v>924</v>
      </c>
      <c r="C11" s="50">
        <v>9</v>
      </c>
      <c r="D11" s="50" t="s">
        <v>975</v>
      </c>
      <c r="E11" s="95">
        <v>45439</v>
      </c>
      <c r="F11" s="50">
        <v>2</v>
      </c>
      <c r="G11" s="208" t="s">
        <v>961</v>
      </c>
      <c r="H11" s="50">
        <v>0</v>
      </c>
      <c r="I11" s="50">
        <v>31</v>
      </c>
      <c r="J11" s="50">
        <v>2.6552000000265499E+19</v>
      </c>
      <c r="K11" s="50"/>
      <c r="L11" s="50">
        <v>0</v>
      </c>
      <c r="M11" s="50">
        <v>0</v>
      </c>
      <c r="N11" s="50"/>
      <c r="O11" s="95" t="e">
        <v>#N/A</v>
      </c>
      <c r="P11" s="95" t="s">
        <v>969</v>
      </c>
      <c r="Q11" s="50" t="s">
        <v>969</v>
      </c>
      <c r="R11" s="50">
        <v>36</v>
      </c>
      <c r="S11" s="95">
        <v>0</v>
      </c>
      <c r="T11" s="95" t="s">
        <v>970</v>
      </c>
      <c r="U11" s="50" t="s">
        <v>970</v>
      </c>
      <c r="V11" s="98">
        <v>-509358085210000</v>
      </c>
      <c r="W11" s="98" t="s">
        <v>970</v>
      </c>
      <c r="X11" s="50">
        <v>0</v>
      </c>
      <c r="Y11" s="50" t="s">
        <v>976</v>
      </c>
      <c r="Z11" s="98" t="s">
        <v>973</v>
      </c>
      <c r="AA11" s="95">
        <v>44135</v>
      </c>
      <c r="AB11" s="95" t="s">
        <v>977</v>
      </c>
    </row>
    <row r="12" spans="2:28">
      <c r="B12" s="50" t="s">
        <v>926</v>
      </c>
      <c r="C12" s="50">
        <v>10</v>
      </c>
      <c r="D12" s="50" t="s">
        <v>978</v>
      </c>
      <c r="E12" s="95">
        <v>45439</v>
      </c>
      <c r="F12" s="50">
        <v>2</v>
      </c>
      <c r="G12" s="208" t="s">
        <v>961</v>
      </c>
      <c r="H12" s="50">
        <v>0</v>
      </c>
      <c r="I12" s="50">
        <v>31</v>
      </c>
      <c r="J12" s="50">
        <v>962304890438110</v>
      </c>
      <c r="K12" s="50" t="s">
        <v>968</v>
      </c>
      <c r="L12" s="50">
        <v>48</v>
      </c>
      <c r="M12" s="50">
        <v>213</v>
      </c>
      <c r="N12" s="50">
        <v>31</v>
      </c>
      <c r="O12" s="192">
        <v>2.3960180788801999E+29</v>
      </c>
      <c r="P12" s="95">
        <v>45447</v>
      </c>
      <c r="Q12" s="95">
        <v>2958465</v>
      </c>
      <c r="R12" s="50" t="s">
        <v>979</v>
      </c>
      <c r="S12" s="95">
        <v>1</v>
      </c>
      <c r="T12" s="192">
        <v>58769262340000</v>
      </c>
      <c r="U12" s="98">
        <v>58769262340000</v>
      </c>
      <c r="V12" s="98">
        <v>774352080000</v>
      </c>
      <c r="W12" s="98">
        <v>325186000000</v>
      </c>
      <c r="X12" s="98" t="s">
        <v>980</v>
      </c>
      <c r="Y12" s="98" t="s">
        <v>972</v>
      </c>
      <c r="Z12" s="98" t="s">
        <v>981</v>
      </c>
      <c r="AA12" s="95">
        <v>45450</v>
      </c>
      <c r="AB12" s="95" t="s">
        <v>974</v>
      </c>
    </row>
    <row r="13" spans="2:28">
      <c r="B13" s="50" t="s">
        <v>928</v>
      </c>
      <c r="C13" s="50">
        <v>11</v>
      </c>
      <c r="D13" s="50" t="s">
        <v>982</v>
      </c>
      <c r="E13" s="95">
        <v>45439</v>
      </c>
      <c r="F13" s="50">
        <v>2</v>
      </c>
      <c r="G13" s="208" t="s">
        <v>961</v>
      </c>
      <c r="H13" s="50">
        <v>0</v>
      </c>
      <c r="I13" s="50">
        <v>31</v>
      </c>
      <c r="J13" s="50">
        <v>962304890438110</v>
      </c>
      <c r="K13" s="50"/>
      <c r="L13" s="50" t="s">
        <v>983</v>
      </c>
      <c r="M13" s="50" t="s">
        <v>984</v>
      </c>
      <c r="N13" s="50" t="e">
        <v>#N/A</v>
      </c>
      <c r="O13" s="192">
        <v>2.3970105815901999E+29</v>
      </c>
      <c r="P13" s="95">
        <v>2958465</v>
      </c>
      <c r="Q13" s="95">
        <v>2958465</v>
      </c>
      <c r="R13" s="50" t="s">
        <v>985</v>
      </c>
      <c r="S13" s="95">
        <v>1</v>
      </c>
      <c r="T13" s="192">
        <v>58769262340000</v>
      </c>
      <c r="U13" s="98">
        <v>58769262340000</v>
      </c>
      <c r="V13" s="98">
        <v>2072551670000000</v>
      </c>
      <c r="W13" s="98">
        <v>14286165090000</v>
      </c>
      <c r="X13" s="98" t="s">
        <v>986</v>
      </c>
      <c r="Y13" s="98" t="s">
        <v>987</v>
      </c>
      <c r="Z13" s="98" t="s">
        <v>981</v>
      </c>
      <c r="AA13" s="95">
        <v>45520</v>
      </c>
      <c r="AB13" s="95" t="s">
        <v>988</v>
      </c>
    </row>
    <row r="14" spans="2:28">
      <c r="B14" s="50" t="s">
        <v>930</v>
      </c>
      <c r="C14" s="50">
        <v>12</v>
      </c>
      <c r="D14" s="50" t="s">
        <v>989</v>
      </c>
      <c r="E14" s="95">
        <v>45439</v>
      </c>
      <c r="F14" s="50">
        <v>2</v>
      </c>
      <c r="G14" s="20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932</v>
      </c>
      <c r="C15" s="50">
        <v>13</v>
      </c>
      <c r="D15" s="50" t="s">
        <v>990</v>
      </c>
      <c r="E15" s="95">
        <v>45439</v>
      </c>
      <c r="F15" s="50">
        <v>2</v>
      </c>
      <c r="G15" s="208">
        <v>1</v>
      </c>
      <c r="H15" s="50">
        <v>0</v>
      </c>
      <c r="I15" s="50" t="s">
        <v>961</v>
      </c>
      <c r="J15" s="50" t="s">
        <v>961</v>
      </c>
      <c r="K15" s="50" t="s">
        <v>961</v>
      </c>
      <c r="L15" s="50" t="s">
        <v>961</v>
      </c>
      <c r="M15" s="50" t="s">
        <v>961</v>
      </c>
      <c r="N15" s="50" t="s">
        <v>961</v>
      </c>
      <c r="O15" s="97" t="s">
        <v>961</v>
      </c>
      <c r="P15" s="97">
        <v>0</v>
      </c>
      <c r="Q15" s="97">
        <v>0</v>
      </c>
      <c r="R15" s="50" t="s">
        <v>961</v>
      </c>
      <c r="S15" s="50" t="s">
        <v>961</v>
      </c>
      <c r="T15" s="97" t="s">
        <v>961</v>
      </c>
      <c r="U15" s="50" t="s">
        <v>961</v>
      </c>
      <c r="V15" s="50" t="s">
        <v>961</v>
      </c>
      <c r="W15" s="50" t="s">
        <v>961</v>
      </c>
      <c r="X15" s="50" t="s">
        <v>961</v>
      </c>
      <c r="Y15" s="50" t="s">
        <v>961</v>
      </c>
      <c r="Z15" s="50" t="s">
        <v>961</v>
      </c>
      <c r="AA15" s="50" t="s">
        <v>961</v>
      </c>
      <c r="AB15" s="50" t="s">
        <v>961</v>
      </c>
    </row>
    <row r="16" spans="2:28">
      <c r="B16" s="50" t="s">
        <v>934</v>
      </c>
      <c r="C16" s="50">
        <v>14</v>
      </c>
      <c r="D16" s="50" t="s">
        <v>991</v>
      </c>
      <c r="E16" s="95">
        <v>45439</v>
      </c>
      <c r="F16" s="50">
        <v>2</v>
      </c>
      <c r="G16" s="208">
        <v>1</v>
      </c>
      <c r="H16" s="50">
        <v>0</v>
      </c>
      <c r="I16" s="50">
        <v>0</v>
      </c>
      <c r="J16" s="50">
        <v>0</v>
      </c>
      <c r="K16" s="50">
        <v>0</v>
      </c>
      <c r="L16" s="50">
        <v>0</v>
      </c>
      <c r="M16" s="50">
        <v>0</v>
      </c>
      <c r="N16" s="50" t="s">
        <v>961</v>
      </c>
      <c r="O16" s="50" t="s">
        <v>961</v>
      </c>
      <c r="P16" s="50" t="s">
        <v>961</v>
      </c>
      <c r="Q16" s="50" t="s">
        <v>961</v>
      </c>
      <c r="R16" s="50">
        <v>0</v>
      </c>
      <c r="S16" s="97" t="s">
        <v>961</v>
      </c>
      <c r="T16" s="50" t="s">
        <v>961</v>
      </c>
      <c r="U16" s="50" t="s">
        <v>961</v>
      </c>
      <c r="V16" s="50" t="s">
        <v>961</v>
      </c>
      <c r="W16" s="50" t="s">
        <v>961</v>
      </c>
      <c r="X16" s="50">
        <v>0</v>
      </c>
      <c r="Y16" s="50">
        <v>0</v>
      </c>
      <c r="Z16" s="50">
        <v>0</v>
      </c>
      <c r="AA16" s="50" t="s">
        <v>961</v>
      </c>
      <c r="AB16" s="50" t="s">
        <v>961</v>
      </c>
    </row>
    <row r="17" spans="2:34">
      <c r="B17" s="50" t="s">
        <v>936</v>
      </c>
      <c r="C17" s="50">
        <v>15</v>
      </c>
      <c r="D17" s="50" t="s">
        <v>992</v>
      </c>
      <c r="E17" s="95">
        <v>45439</v>
      </c>
      <c r="F17" s="50">
        <v>2</v>
      </c>
      <c r="G17" s="208">
        <v>1</v>
      </c>
      <c r="H17" s="50">
        <v>0</v>
      </c>
      <c r="I17" s="50" t="s">
        <v>961</v>
      </c>
      <c r="J17" s="50" t="s">
        <v>961</v>
      </c>
      <c r="K17" s="50" t="s">
        <v>961</v>
      </c>
      <c r="L17" s="50" t="s">
        <v>961</v>
      </c>
      <c r="M17" s="50" t="s">
        <v>961</v>
      </c>
      <c r="N17" s="50" t="s">
        <v>961</v>
      </c>
      <c r="O17" s="50" t="s">
        <v>961</v>
      </c>
      <c r="P17" s="50" t="s">
        <v>961</v>
      </c>
      <c r="Q17" s="50" t="s">
        <v>961</v>
      </c>
      <c r="R17" s="50" t="s">
        <v>961</v>
      </c>
      <c r="S17" s="97" t="s">
        <v>961</v>
      </c>
      <c r="T17" s="50" t="s">
        <v>961</v>
      </c>
      <c r="U17" s="50" t="s">
        <v>961</v>
      </c>
      <c r="V17" s="50" t="s">
        <v>961</v>
      </c>
      <c r="W17" s="50" t="s">
        <v>961</v>
      </c>
      <c r="X17" s="50" t="s">
        <v>961</v>
      </c>
      <c r="Y17" s="50" t="s">
        <v>961</v>
      </c>
      <c r="Z17" s="50" t="s">
        <v>961</v>
      </c>
      <c r="AA17" s="50" t="s">
        <v>961</v>
      </c>
      <c r="AB17" s="50" t="s">
        <v>961</v>
      </c>
    </row>
    <row r="18" spans="2:34">
      <c r="B18" s="50" t="s">
        <v>938</v>
      </c>
      <c r="C18" s="50">
        <v>16</v>
      </c>
      <c r="D18" s="50" t="s">
        <v>992</v>
      </c>
      <c r="E18" s="95">
        <v>45439</v>
      </c>
      <c r="F18" s="50">
        <v>2</v>
      </c>
      <c r="G18" s="208">
        <v>1</v>
      </c>
      <c r="H18" s="212">
        <v>0</v>
      </c>
      <c r="I18" s="50" t="s">
        <v>961</v>
      </c>
      <c r="J18" s="50" t="s">
        <v>961</v>
      </c>
      <c r="K18" s="50" t="s">
        <v>961</v>
      </c>
      <c r="L18" s="50" t="s">
        <v>961</v>
      </c>
      <c r="M18" s="50" t="s">
        <v>961</v>
      </c>
      <c r="N18" s="50" t="s">
        <v>961</v>
      </c>
      <c r="O18" s="50" t="s">
        <v>961</v>
      </c>
      <c r="P18" s="50" t="s">
        <v>961</v>
      </c>
      <c r="Q18" s="50" t="s">
        <v>961</v>
      </c>
      <c r="R18" s="50" t="s">
        <v>961</v>
      </c>
      <c r="S18" s="50" t="s">
        <v>961</v>
      </c>
      <c r="T18" s="50" t="s">
        <v>961</v>
      </c>
      <c r="U18" s="50" t="s">
        <v>961</v>
      </c>
      <c r="V18" s="50" t="s">
        <v>961</v>
      </c>
      <c r="W18" s="50" t="s">
        <v>961</v>
      </c>
      <c r="X18" s="50" t="s">
        <v>961</v>
      </c>
      <c r="Y18" s="50" t="s">
        <v>961</v>
      </c>
      <c r="Z18" s="50" t="s">
        <v>961</v>
      </c>
      <c r="AA18" s="50" t="s">
        <v>961</v>
      </c>
      <c r="AB18" s="50" t="s">
        <v>961</v>
      </c>
    </row>
    <row r="19" spans="2:34">
      <c r="B19" s="50" t="s">
        <v>940</v>
      </c>
      <c r="C19" s="50">
        <v>17</v>
      </c>
      <c r="D19" s="50" t="s">
        <v>993</v>
      </c>
      <c r="E19" s="95">
        <v>45439</v>
      </c>
      <c r="F19" s="50">
        <v>2</v>
      </c>
      <c r="G19" s="208">
        <v>0.99</v>
      </c>
      <c r="H19" s="50">
        <v>215</v>
      </c>
      <c r="I19" s="50" t="s">
        <v>961</v>
      </c>
      <c r="J19" s="50" t="s">
        <v>961</v>
      </c>
      <c r="K19" s="50" t="s">
        <v>961</v>
      </c>
      <c r="L19" s="50" t="s">
        <v>961</v>
      </c>
      <c r="M19" s="50" t="s">
        <v>961</v>
      </c>
      <c r="N19" s="50" t="s">
        <v>961</v>
      </c>
      <c r="O19" s="50" t="s">
        <v>961</v>
      </c>
      <c r="P19" s="50" t="s">
        <v>961</v>
      </c>
      <c r="Q19" s="50" t="s">
        <v>961</v>
      </c>
      <c r="R19" s="50" t="s">
        <v>961</v>
      </c>
      <c r="S19" s="50" t="s">
        <v>961</v>
      </c>
      <c r="T19" s="50" t="s">
        <v>961</v>
      </c>
      <c r="U19" s="50" t="s">
        <v>961</v>
      </c>
      <c r="V19" s="50" t="s">
        <v>961</v>
      </c>
      <c r="W19" s="50" t="s">
        <v>961</v>
      </c>
      <c r="X19" s="50" t="s">
        <v>961</v>
      </c>
      <c r="Y19" s="50" t="s">
        <v>961</v>
      </c>
      <c r="Z19" s="50" t="s">
        <v>961</v>
      </c>
      <c r="AA19" s="50" t="s">
        <v>961</v>
      </c>
      <c r="AB19" s="50" t="s">
        <v>961</v>
      </c>
    </row>
    <row r="20" spans="2:34">
      <c r="B20" s="50" t="s">
        <v>942</v>
      </c>
      <c r="C20" s="50">
        <v>18</v>
      </c>
      <c r="D20" s="50" t="s">
        <v>993</v>
      </c>
      <c r="E20" s="95">
        <v>45439</v>
      </c>
      <c r="F20" s="50">
        <v>2</v>
      </c>
      <c r="G20" s="208">
        <v>1</v>
      </c>
      <c r="H20" s="50">
        <v>3</v>
      </c>
      <c r="I20" s="50" t="s">
        <v>961</v>
      </c>
      <c r="J20" s="50" t="s">
        <v>961</v>
      </c>
      <c r="K20" s="50" t="s">
        <v>961</v>
      </c>
      <c r="L20" s="50" t="s">
        <v>961</v>
      </c>
      <c r="M20" s="50" t="s">
        <v>961</v>
      </c>
      <c r="N20" s="50" t="s">
        <v>961</v>
      </c>
      <c r="O20" s="50" t="s">
        <v>961</v>
      </c>
      <c r="P20" s="50" t="s">
        <v>961</v>
      </c>
      <c r="Q20" s="50" t="s">
        <v>961</v>
      </c>
      <c r="R20" s="50" t="s">
        <v>961</v>
      </c>
      <c r="S20" s="50" t="s">
        <v>961</v>
      </c>
      <c r="T20" s="50" t="s">
        <v>961</v>
      </c>
      <c r="U20" s="50" t="s">
        <v>961</v>
      </c>
      <c r="V20" s="50" t="s">
        <v>961</v>
      </c>
      <c r="W20" s="50" t="s">
        <v>961</v>
      </c>
      <c r="X20" s="50" t="s">
        <v>961</v>
      </c>
      <c r="Y20" s="50" t="s">
        <v>961</v>
      </c>
      <c r="Z20" s="50" t="s">
        <v>961</v>
      </c>
      <c r="AA20" s="50" t="s">
        <v>961</v>
      </c>
      <c r="AB20" s="50" t="s">
        <v>961</v>
      </c>
    </row>
    <row r="21" spans="2:34">
      <c r="B21" s="50" t="s">
        <v>944</v>
      </c>
      <c r="C21" s="50">
        <v>19</v>
      </c>
      <c r="D21" s="50" t="s">
        <v>994</v>
      </c>
      <c r="E21" s="95">
        <v>45439</v>
      </c>
      <c r="F21" s="50">
        <v>2</v>
      </c>
      <c r="G21" s="208" cm="1">
        <f t="array" aca="1" ref="G21" ca="1">SUMPRODUCT(--(ISNUMBER((SEARCH(I26:AB26,I21:AB21)))))/COUNTA(I21:AB21)</f>
        <v>0</v>
      </c>
      <c r="H21" s="50">
        <v>0</v>
      </c>
      <c r="I21" s="50" t="s">
        <v>995</v>
      </c>
      <c r="J21" s="50" t="s">
        <v>995</v>
      </c>
      <c r="K21" s="50" t="s">
        <v>995</v>
      </c>
      <c r="L21" s="50" t="s">
        <v>995</v>
      </c>
      <c r="M21" s="50" t="s">
        <v>995</v>
      </c>
      <c r="N21" s="50" t="s">
        <v>995</v>
      </c>
      <c r="O21" s="50" t="s">
        <v>995</v>
      </c>
      <c r="P21" s="50" t="s">
        <v>995</v>
      </c>
      <c r="Q21" s="50" t="s">
        <v>995</v>
      </c>
      <c r="R21" s="50" t="s">
        <v>995</v>
      </c>
      <c r="S21" s="50" t="s">
        <v>995</v>
      </c>
      <c r="T21" s="50" t="s">
        <v>996</v>
      </c>
      <c r="U21" s="50" t="s">
        <v>996</v>
      </c>
      <c r="V21" s="50" t="s">
        <v>996</v>
      </c>
      <c r="W21" s="50" t="s">
        <v>996</v>
      </c>
      <c r="X21" s="50" t="s">
        <v>995</v>
      </c>
      <c r="Y21" s="50" t="s">
        <v>995</v>
      </c>
      <c r="Z21" s="50" t="s">
        <v>995</v>
      </c>
      <c r="AA21" s="50" t="s">
        <v>995</v>
      </c>
      <c r="AB21" s="50" t="s">
        <v>997</v>
      </c>
    </row>
    <row r="22" spans="2:34">
      <c r="B22" s="97" t="s">
        <v>947</v>
      </c>
      <c r="C22" s="50">
        <v>20</v>
      </c>
      <c r="D22" s="50" t="s">
        <v>994</v>
      </c>
      <c r="E22" s="95">
        <v>45439</v>
      </c>
      <c r="F22" s="50">
        <v>2</v>
      </c>
      <c r="G22" s="208" t="e" cm="1">
        <f t="array" aca="1" ref="G22" ca="1">SUM(IF(I2:AB2 = I25:AB25, 1, 0))/ COUNTA(I2:AB2)</f>
        <v>#NAME?</v>
      </c>
      <c r="H22" s="50" t="s">
        <v>961</v>
      </c>
      <c r="I22" s="50" t="s">
        <v>961</v>
      </c>
      <c r="J22" s="50" t="s">
        <v>961</v>
      </c>
      <c r="K22" s="50" t="s">
        <v>961</v>
      </c>
      <c r="L22" s="50" t="s">
        <v>961</v>
      </c>
      <c r="M22" s="50" t="s">
        <v>961</v>
      </c>
      <c r="N22" s="50" t="s">
        <v>961</v>
      </c>
      <c r="O22" s="50" t="s">
        <v>961</v>
      </c>
      <c r="P22" s="50" t="s">
        <v>961</v>
      </c>
      <c r="Q22" s="50" t="s">
        <v>961</v>
      </c>
      <c r="R22" s="50" t="s">
        <v>961</v>
      </c>
      <c r="S22" s="50" t="s">
        <v>961</v>
      </c>
      <c r="T22" s="50" t="s">
        <v>961</v>
      </c>
      <c r="U22" s="50" t="s">
        <v>961</v>
      </c>
      <c r="V22" s="50" t="s">
        <v>961</v>
      </c>
      <c r="W22" s="50" t="s">
        <v>961</v>
      </c>
      <c r="X22" s="50" t="s">
        <v>961</v>
      </c>
      <c r="Y22" s="50" t="s">
        <v>961</v>
      </c>
      <c r="Z22" s="50" t="s">
        <v>961</v>
      </c>
      <c r="AA22" s="50" t="s">
        <v>961</v>
      </c>
      <c r="AB22" s="50" t="s">
        <v>961</v>
      </c>
    </row>
    <row r="23" spans="2:34">
      <c r="B23" s="50" t="s">
        <v>950</v>
      </c>
      <c r="C23" s="50">
        <v>21</v>
      </c>
      <c r="D23" s="50" t="s">
        <v>994</v>
      </c>
      <c r="E23" s="95">
        <v>45439</v>
      </c>
      <c r="F23" s="50">
        <v>2</v>
      </c>
      <c r="G23" s="208" t="e" cm="1">
        <f t="array" aca="1" ref="G23" ca="1">SUM(IF(IF(G3:G22="null",1,G3:G22)=1,1,0))/COUNT(IF(G3:G22="null",1,1))</f>
        <v>#NAME?</v>
      </c>
      <c r="H23" s="50" t="s">
        <v>961</v>
      </c>
      <c r="I23" s="50" t="s">
        <v>961</v>
      </c>
      <c r="J23" s="50" t="s">
        <v>961</v>
      </c>
      <c r="K23" s="50" t="s">
        <v>961</v>
      </c>
      <c r="L23" s="50" t="s">
        <v>961</v>
      </c>
      <c r="M23" s="50" t="s">
        <v>961</v>
      </c>
      <c r="N23" s="50" t="s">
        <v>961</v>
      </c>
      <c r="O23" s="50" t="s">
        <v>961</v>
      </c>
      <c r="P23" s="50" t="s">
        <v>961</v>
      </c>
      <c r="Q23" s="50" t="s">
        <v>961</v>
      </c>
      <c r="R23" s="50" t="s">
        <v>961</v>
      </c>
      <c r="S23" s="50" t="s">
        <v>961</v>
      </c>
      <c r="T23" s="50" t="s">
        <v>961</v>
      </c>
      <c r="U23" s="50" t="s">
        <v>961</v>
      </c>
      <c r="V23" s="50" t="s">
        <v>961</v>
      </c>
      <c r="W23" s="50" t="s">
        <v>961</v>
      </c>
      <c r="X23" s="50" t="s">
        <v>961</v>
      </c>
      <c r="Y23" s="50" t="s">
        <v>961</v>
      </c>
      <c r="Z23" s="50" t="s">
        <v>961</v>
      </c>
      <c r="AA23" s="50" t="s">
        <v>961</v>
      </c>
      <c r="AB23" s="50" t="s">
        <v>961</v>
      </c>
    </row>
    <row r="24" spans="2:34">
      <c r="B24" s="50"/>
      <c r="C24" s="50"/>
      <c r="D24" s="50"/>
      <c r="E24" s="95"/>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4">
      <c r="B25" s="133" t="s">
        <v>953</v>
      </c>
      <c r="C25" s="129" t="s">
        <v>954</v>
      </c>
      <c r="D25" s="129" t="s">
        <v>955</v>
      </c>
      <c r="E25" s="129" t="s">
        <v>956</v>
      </c>
      <c r="F25" s="129" t="s">
        <v>957</v>
      </c>
      <c r="G25" s="129" t="s">
        <v>958</v>
      </c>
      <c r="H25" s="129" t="s">
        <v>959</v>
      </c>
      <c r="I25" s="129" t="e" cm="1">
        <f t="array" aca="1" ref="I25:AH25" ca="1">TRANSPOSE(_xlfn.SORTBY(_xlfn._xlws.FILTER(Table3[NOME FÍSICO CAMPO],Table3[NOME FÍSICO TABELA]="bank_guarantee"), _xlfn._xlws.FILTER(Table3[ORDEM], Table3[NOME FÍSICO TABELA]="bank_guarantee"), 1))</f>
        <v>#NAME?</v>
      </c>
      <c r="J25" s="129" t="e">
        <f ca="1"/>
        <v>#NAME?</v>
      </c>
      <c r="K25" s="129" t="e">
        <f ca="1"/>
        <v>#NAME?</v>
      </c>
      <c r="L25" s="129" t="e">
        <f ca="1"/>
        <v>#NAME?</v>
      </c>
      <c r="M25" s="129" t="e">
        <f ca="1"/>
        <v>#NAME?</v>
      </c>
      <c r="N25" s="129" t="e">
        <f ca="1"/>
        <v>#NAME?</v>
      </c>
      <c r="O25" s="129" t="e">
        <f ca="1"/>
        <v>#NAME?</v>
      </c>
      <c r="P25" s="129" t="e">
        <f ca="1"/>
        <v>#NAME?</v>
      </c>
      <c r="Q25" s="129" t="e">
        <f ca="1"/>
        <v>#NAME?</v>
      </c>
      <c r="R25" s="129" t="e">
        <f ca="1"/>
        <v>#NAME?</v>
      </c>
      <c r="S25" s="129" t="e">
        <f ca="1"/>
        <v>#NAME?</v>
      </c>
      <c r="T25" s="129" t="e">
        <f ca="1"/>
        <v>#NAME?</v>
      </c>
      <c r="U25" s="129" t="e">
        <f ca="1"/>
        <v>#NAME?</v>
      </c>
      <c r="V25" s="129" t="e">
        <f ca="1"/>
        <v>#NAME?</v>
      </c>
      <c r="W25" s="129" t="e">
        <f ca="1"/>
        <v>#NAME?</v>
      </c>
      <c r="X25" s="129" t="e">
        <f ca="1"/>
        <v>#NAME?</v>
      </c>
      <c r="Y25" s="129" t="e">
        <f ca="1"/>
        <v>#NAME?</v>
      </c>
      <c r="Z25" s="129" t="e">
        <f ca="1"/>
        <v>#NAME?</v>
      </c>
      <c r="AA25" s="129" t="e">
        <f ca="1"/>
        <v>#NAME?</v>
      </c>
      <c r="AB25" s="129" t="e">
        <f ca="1"/>
        <v>#NAME?</v>
      </c>
      <c r="AC25" s="205" t="e">
        <f ca="1"/>
        <v>#NAME?</v>
      </c>
      <c r="AD25" s="216" t="e">
        <f ca="1"/>
        <v>#NAME?</v>
      </c>
      <c r="AE25" t="e">
        <f ca="1"/>
        <v>#NAME?</v>
      </c>
      <c r="AF25" t="e">
        <f ca="1"/>
        <v>#NAME?</v>
      </c>
      <c r="AG25" t="e">
        <f ca="1"/>
        <v>#NAME?</v>
      </c>
      <c r="AH25" t="e">
        <f ca="1"/>
        <v>#NAME?</v>
      </c>
    </row>
    <row r="26" spans="2:34">
      <c r="B26" s="107" t="s">
        <v>998</v>
      </c>
      <c r="C26" s="110">
        <v>21</v>
      </c>
      <c r="D26" s="104" t="s">
        <v>999</v>
      </c>
      <c r="E26" s="103" t="s">
        <v>1000</v>
      </c>
      <c r="F26" s="103" t="s">
        <v>206</v>
      </c>
      <c r="G26" s="103" t="s">
        <v>206</v>
      </c>
      <c r="H26" s="103" t="s">
        <v>206</v>
      </c>
      <c r="I26" s="103" t="e" cm="1">
        <f t="array" aca="1" ref="I26:AH27" ca="1">TRANSPOSE(_xlfn.SORTBY(_xlfn._xlws.FILTER(IF(Table3[FORMATO]:Table3[COMP_ CAMPO]&lt;&gt;"",Table3[FORMATO]:Table3[COMP_ CAMPO],9999999),Table3[NOME FÍSICO TABELA]="bank_guarantee"), _xlfn._xlws.FILTER(Table3[ORDEM], Table3[NOME FÍSICO TABELA]="bank_guarantee"), 1))</f>
        <v>#NAME?</v>
      </c>
      <c r="J26" s="103" t="e">
        <f ca="1"/>
        <v>#NAME?</v>
      </c>
      <c r="K26" s="103" t="e">
        <f ca="1"/>
        <v>#NAME?</v>
      </c>
      <c r="L26" s="103" t="e">
        <f ca="1"/>
        <v>#NAME?</v>
      </c>
      <c r="M26" s="103" t="e">
        <f ca="1"/>
        <v>#NAME?</v>
      </c>
      <c r="N26" s="103" t="e">
        <f ca="1"/>
        <v>#NAME?</v>
      </c>
      <c r="O26" s="103" t="e">
        <f ca="1"/>
        <v>#NAME?</v>
      </c>
      <c r="P26" s="103" t="e">
        <f ca="1"/>
        <v>#NAME?</v>
      </c>
      <c r="Q26" s="103" t="e">
        <f ca="1"/>
        <v>#NAME?</v>
      </c>
      <c r="R26" s="103" t="e">
        <f ca="1"/>
        <v>#NAME?</v>
      </c>
      <c r="S26" s="103" t="e">
        <f ca="1"/>
        <v>#NAME?</v>
      </c>
      <c r="T26" s="103" t="e">
        <f ca="1"/>
        <v>#NAME?</v>
      </c>
      <c r="U26" s="103" t="e">
        <f ca="1"/>
        <v>#NAME?</v>
      </c>
      <c r="V26" s="103" t="e">
        <f ca="1"/>
        <v>#NAME?</v>
      </c>
      <c r="W26" s="103" t="e">
        <f ca="1"/>
        <v>#NAME?</v>
      </c>
      <c r="X26" s="103" t="e">
        <f ca="1"/>
        <v>#NAME?</v>
      </c>
      <c r="Y26" s="103" t="e">
        <f ca="1"/>
        <v>#NAME?</v>
      </c>
      <c r="Z26" s="103" t="e">
        <f ca="1"/>
        <v>#NAME?</v>
      </c>
      <c r="AA26" s="103" t="e">
        <f ca="1"/>
        <v>#NAME?</v>
      </c>
      <c r="AB26" s="103" t="e">
        <f ca="1"/>
        <v>#NAME?</v>
      </c>
      <c r="AC26" s="206" t="e">
        <f ca="1"/>
        <v>#NAME?</v>
      </c>
      <c r="AD26" t="e">
        <f ca="1"/>
        <v>#NAME?</v>
      </c>
      <c r="AE26" t="e">
        <f ca="1"/>
        <v>#NAME?</v>
      </c>
      <c r="AF26" t="e">
        <f ca="1"/>
        <v>#NAME?</v>
      </c>
      <c r="AG26" t="e">
        <f ca="1"/>
        <v>#NAME?</v>
      </c>
      <c r="AH26" t="e">
        <f ca="1"/>
        <v>#NAME?</v>
      </c>
    </row>
    <row r="27" spans="2:34">
      <c r="B27" s="107" t="s">
        <v>1001</v>
      </c>
      <c r="C27" s="110">
        <v>7</v>
      </c>
      <c r="D27" s="104" t="s">
        <v>999</v>
      </c>
      <c r="E27" s="103" t="s">
        <v>1000</v>
      </c>
      <c r="F27" s="105" t="s">
        <v>206</v>
      </c>
      <c r="G27" s="105" t="s">
        <v>206</v>
      </c>
      <c r="H27" s="105" t="s">
        <v>206</v>
      </c>
      <c r="I27" s="151" t="e">
        <f ca="1"/>
        <v>#NAME?</v>
      </c>
      <c r="J27" s="151" t="e">
        <f ca="1"/>
        <v>#NAME?</v>
      </c>
      <c r="K27" s="151" t="e">
        <f ca="1"/>
        <v>#NAME?</v>
      </c>
      <c r="L27" s="151" t="e">
        <f ca="1"/>
        <v>#NAME?</v>
      </c>
      <c r="M27" s="151" t="e">
        <f ca="1"/>
        <v>#NAME?</v>
      </c>
      <c r="N27" s="151" t="e">
        <f ca="1"/>
        <v>#NAME?</v>
      </c>
      <c r="O27" s="151" t="e">
        <f ca="1"/>
        <v>#NAME?</v>
      </c>
      <c r="P27" s="151" t="e">
        <f ca="1"/>
        <v>#NAME?</v>
      </c>
      <c r="Q27" s="151" t="e">
        <f ca="1"/>
        <v>#NAME?</v>
      </c>
      <c r="R27" s="151" t="e">
        <f ca="1"/>
        <v>#NAME?</v>
      </c>
      <c r="S27" s="151" t="e">
        <f ca="1"/>
        <v>#NAME?</v>
      </c>
      <c r="T27" s="151" t="e">
        <f ca="1"/>
        <v>#NAME?</v>
      </c>
      <c r="U27" s="151" t="e">
        <f ca="1"/>
        <v>#NAME?</v>
      </c>
      <c r="V27" s="151" t="e">
        <f ca="1"/>
        <v>#NAME?</v>
      </c>
      <c r="W27" s="151" t="e">
        <f ca="1"/>
        <v>#NAME?</v>
      </c>
      <c r="X27" s="151" t="e">
        <f ca="1"/>
        <v>#NAME?</v>
      </c>
      <c r="Y27" s="151" t="e">
        <f ca="1"/>
        <v>#NAME?</v>
      </c>
      <c r="Z27" s="151" t="e">
        <f ca="1"/>
        <v>#NAME?</v>
      </c>
      <c r="AA27" s="151" t="e">
        <f ca="1"/>
        <v>#NAME?</v>
      </c>
      <c r="AB27" s="151" t="e">
        <f ca="1"/>
        <v>#NAME?</v>
      </c>
      <c r="AC27" s="207" t="e">
        <f ca="1"/>
        <v>#NAME?</v>
      </c>
      <c r="AD27" s="93" t="e">
        <f ca="1"/>
        <v>#NAME?</v>
      </c>
      <c r="AE27" t="e">
        <f ca="1"/>
        <v>#NAME?</v>
      </c>
      <c r="AF27" t="e">
        <f ca="1"/>
        <v>#NAME?</v>
      </c>
      <c r="AG27" t="e">
        <f ca="1"/>
        <v>#NAME?</v>
      </c>
      <c r="AH27" t="e">
        <f ca="1"/>
        <v>#NAME?</v>
      </c>
    </row>
    <row r="29" spans="2:34">
      <c r="B29" s="140" t="s">
        <v>1002</v>
      </c>
    </row>
    <row r="30" spans="2:34">
      <c r="B30" s="134" t="s">
        <v>1003</v>
      </c>
      <c r="C30" s="134" t="s">
        <v>1004</v>
      </c>
      <c r="D30" s="135" t="s">
        <v>1005</v>
      </c>
      <c r="E30" s="134" t="s">
        <v>1006</v>
      </c>
      <c r="F30" s="134" t="s">
        <v>1007</v>
      </c>
    </row>
    <row r="31" spans="2:34" ht="87">
      <c r="B31" s="137" t="s">
        <v>1008</v>
      </c>
      <c r="C31" s="138" t="s">
        <v>135</v>
      </c>
      <c r="D31" s="139" t="s">
        <v>1009</v>
      </c>
      <c r="E31" s="97" t="s">
        <v>1010</v>
      </c>
      <c r="F31" s="188" t="s">
        <v>1011</v>
      </c>
    </row>
    <row r="32" spans="2:34" ht="29">
      <c r="B32" s="111" t="s">
        <v>1008</v>
      </c>
      <c r="C32" s="115" t="s">
        <v>132</v>
      </c>
      <c r="D32" s="256" t="s">
        <v>1012</v>
      </c>
      <c r="E32" s="153" t="s">
        <v>1013</v>
      </c>
      <c r="F32" s="136" t="s">
        <v>1014</v>
      </c>
    </row>
    <row r="33" spans="2:6" ht="29">
      <c r="B33" s="111" t="s">
        <v>1008</v>
      </c>
      <c r="C33" s="115" t="s">
        <v>196</v>
      </c>
      <c r="D33" s="256" t="s">
        <v>1015</v>
      </c>
      <c r="E33" s="153" t="s">
        <v>1016</v>
      </c>
      <c r="F33" s="136" t="s">
        <v>1017</v>
      </c>
    </row>
    <row r="34" spans="2:6" ht="29">
      <c r="B34" s="137" t="s">
        <v>1018</v>
      </c>
      <c r="C34" s="138" t="s">
        <v>1019</v>
      </c>
      <c r="D34" s="139" t="s">
        <v>1020</v>
      </c>
      <c r="E34" s="97" t="s">
        <v>1021</v>
      </c>
      <c r="F34" s="197" t="s">
        <v>1017</v>
      </c>
    </row>
    <row r="35" spans="2:6" ht="29">
      <c r="B35" s="137" t="s">
        <v>1018</v>
      </c>
      <c r="C35" s="138" t="s">
        <v>1019</v>
      </c>
      <c r="D35" s="139" t="s">
        <v>1020</v>
      </c>
      <c r="E35" s="153" t="s">
        <v>1022</v>
      </c>
      <c r="F35" s="197" t="s">
        <v>1017</v>
      </c>
    </row>
    <row r="36" spans="2:6" ht="29">
      <c r="B36" s="177" t="s">
        <v>1023</v>
      </c>
      <c r="C36" s="178" t="s">
        <v>1019</v>
      </c>
      <c r="D36" s="57" t="s">
        <v>1024</v>
      </c>
      <c r="E36" s="97" t="s">
        <v>1025</v>
      </c>
      <c r="F36" s="197" t="s">
        <v>1017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U37"/>
  <sheetViews>
    <sheetView showGridLines="0" topLeftCell="D6" workbookViewId="0">
      <selection activeCell="D31" sqref="D31"/>
    </sheetView>
  </sheetViews>
  <sheetFormatPr defaultRowHeight="14.5"/>
  <cols>
    <col min="2" max="3" width="30.7265625" bestFit="1" customWidth="1"/>
    <col min="4" max="4" width="97.26953125" customWidth="1"/>
    <col min="5" max="5" width="45.453125" customWidth="1"/>
    <col min="6" max="6" width="30.453125" bestFit="1" customWidth="1"/>
    <col min="7" max="7" width="15" bestFit="1" customWidth="1"/>
    <col min="8" max="8" width="16.453125" bestFit="1" customWidth="1"/>
    <col min="9" max="9" width="18.453125" bestFit="1" customWidth="1"/>
    <col min="10" max="12" width="30.7265625" bestFit="1" customWidth="1"/>
    <col min="13" max="13" width="27.7265625" bestFit="1" customWidth="1"/>
    <col min="14" max="37" width="30.7265625" bestFit="1" customWidth="1"/>
    <col min="38" max="38" width="40.453125" customWidth="1"/>
    <col min="39" max="39" width="49.54296875" customWidth="1"/>
    <col min="40" max="40" width="30.7265625" bestFit="1" customWidth="1"/>
    <col min="41" max="41" width="107" customWidth="1"/>
    <col min="42" max="42" width="109" customWidth="1"/>
  </cols>
  <sheetData>
    <row r="1" spans="2:40" ht="33" customHeight="1"/>
    <row r="2" spans="2:40">
      <c r="B2" s="76" t="s">
        <v>1026</v>
      </c>
      <c r="C2" s="76" t="s">
        <v>954</v>
      </c>
      <c r="D2" s="76" t="s">
        <v>955</v>
      </c>
      <c r="E2" s="76" t="s">
        <v>956</v>
      </c>
      <c r="F2" s="76" t="s">
        <v>957</v>
      </c>
      <c r="G2" s="76" t="s">
        <v>958</v>
      </c>
      <c r="H2" s="76" t="s">
        <v>959</v>
      </c>
      <c r="I2" s="76" t="s">
        <v>102</v>
      </c>
      <c r="J2" s="76" t="s">
        <v>112</v>
      </c>
      <c r="K2" s="76" t="s">
        <v>116</v>
      </c>
      <c r="L2" s="76" t="s">
        <v>121</v>
      </c>
      <c r="M2" s="76" t="s">
        <v>127</v>
      </c>
      <c r="N2" s="76" t="s">
        <v>132</v>
      </c>
      <c r="O2" s="76" t="s">
        <v>135</v>
      </c>
      <c r="P2" s="76" t="s">
        <v>277</v>
      </c>
      <c r="Q2" s="76" t="s">
        <v>282</v>
      </c>
      <c r="R2" s="76" t="s">
        <v>138</v>
      </c>
      <c r="S2" s="76" t="s">
        <v>144</v>
      </c>
      <c r="T2" s="76" t="s">
        <v>149</v>
      </c>
      <c r="U2" s="76" t="s">
        <v>155</v>
      </c>
      <c r="V2" s="76" t="s">
        <v>1027</v>
      </c>
      <c r="W2" s="76" t="s">
        <v>1028</v>
      </c>
      <c r="X2" s="76" t="s">
        <v>319</v>
      </c>
      <c r="Y2" s="76" t="s">
        <v>175</v>
      </c>
      <c r="Z2" s="76" t="s">
        <v>183</v>
      </c>
      <c r="AA2" s="76" t="s">
        <v>1029</v>
      </c>
      <c r="AB2" s="76" t="s">
        <v>1030</v>
      </c>
      <c r="AC2" s="76" t="s">
        <v>1031</v>
      </c>
      <c r="AD2" s="76" t="s">
        <v>1032</v>
      </c>
      <c r="AE2" s="76" t="s">
        <v>561</v>
      </c>
      <c r="AF2" s="76" t="s">
        <v>404</v>
      </c>
      <c r="AG2" s="76" t="s">
        <v>414</v>
      </c>
      <c r="AH2" s="76" t="s">
        <v>424</v>
      </c>
      <c r="AI2" s="76" t="s">
        <v>432</v>
      </c>
      <c r="AJ2" s="76" t="s">
        <v>190</v>
      </c>
      <c r="AK2" s="76" t="s">
        <v>196</v>
      </c>
      <c r="AL2" s="76" t="s">
        <v>202</v>
      </c>
      <c r="AM2" s="76" t="s">
        <v>208</v>
      </c>
      <c r="AN2" s="76" t="s">
        <v>213</v>
      </c>
    </row>
    <row r="3" spans="2:40" s="93" customFormat="1">
      <c r="B3" s="50" t="s">
        <v>907</v>
      </c>
      <c r="C3" s="50">
        <v>1</v>
      </c>
      <c r="D3" s="50" t="s">
        <v>1033</v>
      </c>
      <c r="E3" s="95">
        <v>45422</v>
      </c>
      <c r="F3" s="50">
        <v>1</v>
      </c>
      <c r="G3" s="98">
        <v>1</v>
      </c>
      <c r="H3" s="98">
        <v>3529</v>
      </c>
      <c r="I3" s="50" t="s">
        <v>961</v>
      </c>
      <c r="J3" s="50" t="s">
        <v>961</v>
      </c>
      <c r="K3" s="50" t="s">
        <v>961</v>
      </c>
      <c r="L3" s="50" t="s">
        <v>961</v>
      </c>
      <c r="M3" s="50" t="s">
        <v>961</v>
      </c>
      <c r="N3" s="50" t="s">
        <v>961</v>
      </c>
      <c r="O3" s="50" t="s">
        <v>961</v>
      </c>
      <c r="P3" s="50" t="s">
        <v>961</v>
      </c>
      <c r="Q3" s="50" t="s">
        <v>961</v>
      </c>
      <c r="R3" s="50" t="s">
        <v>961</v>
      </c>
      <c r="S3" s="50" t="s">
        <v>961</v>
      </c>
      <c r="T3" s="50" t="s">
        <v>961</v>
      </c>
      <c r="U3" s="50" t="s">
        <v>961</v>
      </c>
      <c r="V3" s="50" t="s">
        <v>961</v>
      </c>
      <c r="W3" s="50" t="s">
        <v>961</v>
      </c>
      <c r="X3" s="50" t="s">
        <v>961</v>
      </c>
      <c r="Y3" s="50" t="s">
        <v>961</v>
      </c>
      <c r="Z3" s="50" t="s">
        <v>961</v>
      </c>
      <c r="AA3" s="50" t="s">
        <v>961</v>
      </c>
      <c r="AB3" s="50" t="s">
        <v>961</v>
      </c>
      <c r="AC3" s="50" t="s">
        <v>961</v>
      </c>
      <c r="AD3" s="50" t="s">
        <v>961</v>
      </c>
      <c r="AE3" s="50" t="s">
        <v>961</v>
      </c>
      <c r="AF3" s="50" t="s">
        <v>961</v>
      </c>
      <c r="AG3" s="50" t="s">
        <v>961</v>
      </c>
      <c r="AH3" s="50" t="s">
        <v>961</v>
      </c>
      <c r="AI3" s="50" t="s">
        <v>961</v>
      </c>
      <c r="AJ3" s="50" t="s">
        <v>961</v>
      </c>
      <c r="AK3" s="50" t="s">
        <v>961</v>
      </c>
      <c r="AL3" s="50" t="s">
        <v>961</v>
      </c>
      <c r="AM3" s="50" t="s">
        <v>961</v>
      </c>
      <c r="AN3" s="50" t="s">
        <v>961</v>
      </c>
    </row>
    <row r="4" spans="2:40" s="93" customFormat="1">
      <c r="B4" s="50" t="s">
        <v>909</v>
      </c>
      <c r="C4" s="50">
        <v>2</v>
      </c>
      <c r="D4" s="50" t="s">
        <v>1034</v>
      </c>
      <c r="E4" s="95">
        <v>45422</v>
      </c>
      <c r="F4" s="50">
        <v>1</v>
      </c>
      <c r="G4" s="98">
        <v>1</v>
      </c>
      <c r="H4" s="50" t="s">
        <v>970</v>
      </c>
      <c r="I4" s="50" t="s">
        <v>961</v>
      </c>
      <c r="J4" s="50" t="s">
        <v>961</v>
      </c>
      <c r="K4" s="50" t="s">
        <v>961</v>
      </c>
      <c r="L4" s="50" t="s">
        <v>961</v>
      </c>
      <c r="M4" s="50" t="s">
        <v>961</v>
      </c>
      <c r="N4" s="50" t="s">
        <v>961</v>
      </c>
      <c r="O4" s="50" t="s">
        <v>961</v>
      </c>
      <c r="P4" s="50" t="s">
        <v>961</v>
      </c>
      <c r="Q4" s="50" t="s">
        <v>961</v>
      </c>
      <c r="R4" s="50" t="s">
        <v>961</v>
      </c>
      <c r="S4" s="50" t="s">
        <v>961</v>
      </c>
      <c r="T4" s="50" t="s">
        <v>961</v>
      </c>
      <c r="U4" s="50" t="s">
        <v>961</v>
      </c>
      <c r="V4" s="50" t="s">
        <v>961</v>
      </c>
      <c r="W4" s="50" t="s">
        <v>961</v>
      </c>
      <c r="X4" s="50" t="s">
        <v>961</v>
      </c>
      <c r="Y4" s="50" t="s">
        <v>961</v>
      </c>
      <c r="Z4" s="50" t="s">
        <v>961</v>
      </c>
      <c r="AA4" s="50" t="s">
        <v>961</v>
      </c>
      <c r="AB4" s="50" t="s">
        <v>961</v>
      </c>
      <c r="AC4" s="50" t="s">
        <v>961</v>
      </c>
      <c r="AD4" s="50" t="s">
        <v>961</v>
      </c>
      <c r="AE4" s="50" t="s">
        <v>961</v>
      </c>
      <c r="AF4" s="50" t="s">
        <v>961</v>
      </c>
      <c r="AG4" s="50" t="s">
        <v>961</v>
      </c>
      <c r="AH4" s="50" t="s">
        <v>961</v>
      </c>
      <c r="AI4" s="50" t="s">
        <v>961</v>
      </c>
      <c r="AJ4" s="50" t="s">
        <v>961</v>
      </c>
      <c r="AK4" s="50" t="s">
        <v>961</v>
      </c>
      <c r="AL4" s="50" t="s">
        <v>961</v>
      </c>
      <c r="AM4" s="50" t="s">
        <v>961</v>
      </c>
      <c r="AN4" s="50" t="s">
        <v>961</v>
      </c>
    </row>
    <row r="5" spans="2:40" s="93" customFormat="1">
      <c r="B5" s="50" t="s">
        <v>911</v>
      </c>
      <c r="C5" s="50">
        <v>3</v>
      </c>
      <c r="D5" s="50" t="s">
        <v>1035</v>
      </c>
      <c r="E5" s="95">
        <v>45422</v>
      </c>
      <c r="F5" s="50">
        <v>1</v>
      </c>
      <c r="G5" s="98">
        <v>1</v>
      </c>
      <c r="H5" s="50" t="s">
        <v>970</v>
      </c>
      <c r="I5" s="50">
        <v>0</v>
      </c>
      <c r="J5" s="50">
        <v>0</v>
      </c>
      <c r="K5" s="50" t="s">
        <v>961</v>
      </c>
      <c r="L5" s="50" t="s">
        <v>961</v>
      </c>
      <c r="M5" s="50" t="s">
        <v>961</v>
      </c>
      <c r="N5" s="50" t="s">
        <v>961</v>
      </c>
      <c r="O5" s="50" t="s">
        <v>961</v>
      </c>
      <c r="P5" s="50" t="s">
        <v>961</v>
      </c>
      <c r="Q5" s="50" t="s">
        <v>961</v>
      </c>
      <c r="R5" s="50" t="s">
        <v>961</v>
      </c>
      <c r="S5" s="50" t="s">
        <v>961</v>
      </c>
      <c r="T5" s="50" t="s">
        <v>961</v>
      </c>
      <c r="U5" s="50" t="s">
        <v>961</v>
      </c>
      <c r="V5" s="50" t="s">
        <v>961</v>
      </c>
      <c r="W5" s="50" t="s">
        <v>961</v>
      </c>
      <c r="X5" s="50" t="s">
        <v>961</v>
      </c>
      <c r="Y5" s="50" t="s">
        <v>961</v>
      </c>
      <c r="Z5" s="50" t="s">
        <v>961</v>
      </c>
      <c r="AA5" s="50" t="s">
        <v>961</v>
      </c>
      <c r="AB5" s="50" t="s">
        <v>961</v>
      </c>
      <c r="AC5" s="50" t="s">
        <v>961</v>
      </c>
      <c r="AD5" s="50" t="s">
        <v>961</v>
      </c>
      <c r="AE5" s="50" t="s">
        <v>961</v>
      </c>
      <c r="AF5" s="50" t="s">
        <v>961</v>
      </c>
      <c r="AG5" s="50" t="s">
        <v>961</v>
      </c>
      <c r="AH5" s="50" t="s">
        <v>961</v>
      </c>
      <c r="AI5" s="50" t="s">
        <v>961</v>
      </c>
      <c r="AJ5" s="50" t="s">
        <v>961</v>
      </c>
      <c r="AK5" s="50" t="s">
        <v>961</v>
      </c>
      <c r="AL5" s="50" t="s">
        <v>961</v>
      </c>
      <c r="AM5" s="50">
        <v>0</v>
      </c>
      <c r="AN5" s="50" t="s">
        <v>961</v>
      </c>
    </row>
    <row r="6" spans="2:40" s="93" customFormat="1">
      <c r="B6" s="97" t="s">
        <v>913</v>
      </c>
      <c r="C6" s="50">
        <v>4</v>
      </c>
      <c r="D6" s="50" t="s">
        <v>964</v>
      </c>
      <c r="E6" s="95" t="s">
        <v>961</v>
      </c>
      <c r="F6" s="50">
        <v>1</v>
      </c>
      <c r="G6" s="95" t="s">
        <v>961</v>
      </c>
      <c r="H6" s="50" t="s">
        <v>970</v>
      </c>
      <c r="I6" s="50" t="s">
        <v>961</v>
      </c>
      <c r="J6" s="50" t="s">
        <v>961</v>
      </c>
      <c r="K6" s="50" t="s">
        <v>961</v>
      </c>
      <c r="L6" s="50" t="s">
        <v>961</v>
      </c>
      <c r="M6" s="50" t="s">
        <v>961</v>
      </c>
      <c r="N6" s="50" t="s">
        <v>961</v>
      </c>
      <c r="O6" s="50" t="s">
        <v>961</v>
      </c>
      <c r="P6" s="50" t="s">
        <v>961</v>
      </c>
      <c r="Q6" s="50" t="s">
        <v>961</v>
      </c>
      <c r="R6" s="50" t="s">
        <v>961</v>
      </c>
      <c r="S6" s="50" t="s">
        <v>961</v>
      </c>
      <c r="T6" s="50" t="s">
        <v>961</v>
      </c>
      <c r="U6" s="50" t="s">
        <v>961</v>
      </c>
      <c r="V6" s="50" t="s">
        <v>961</v>
      </c>
      <c r="W6" s="50" t="s">
        <v>961</v>
      </c>
      <c r="X6" s="50" t="s">
        <v>961</v>
      </c>
      <c r="Y6" s="50" t="s">
        <v>961</v>
      </c>
      <c r="Z6" s="50" t="s">
        <v>961</v>
      </c>
      <c r="AA6" s="50" t="s">
        <v>961</v>
      </c>
      <c r="AB6" s="50" t="s">
        <v>961</v>
      </c>
      <c r="AC6" s="50" t="s">
        <v>961</v>
      </c>
      <c r="AD6" s="50" t="s">
        <v>961</v>
      </c>
      <c r="AE6" s="50" t="s">
        <v>961</v>
      </c>
      <c r="AF6" s="50" t="s">
        <v>961</v>
      </c>
      <c r="AG6" s="50" t="s">
        <v>961</v>
      </c>
      <c r="AH6" s="50" t="s">
        <v>961</v>
      </c>
      <c r="AI6" s="50" t="s">
        <v>961</v>
      </c>
      <c r="AJ6" s="50" t="s">
        <v>961</v>
      </c>
      <c r="AK6" s="50" t="s">
        <v>961</v>
      </c>
      <c r="AL6" s="50" t="s">
        <v>961</v>
      </c>
      <c r="AM6" s="50" t="s">
        <v>961</v>
      </c>
      <c r="AN6" s="50" t="s">
        <v>961</v>
      </c>
    </row>
    <row r="7" spans="2:40" s="93" customFormat="1">
      <c r="B7" s="50" t="s">
        <v>915</v>
      </c>
      <c r="C7" s="50">
        <v>5</v>
      </c>
      <c r="D7" s="50" t="s">
        <v>964</v>
      </c>
      <c r="E7" s="95" t="s">
        <v>961</v>
      </c>
      <c r="F7" s="50">
        <v>1</v>
      </c>
      <c r="G7" s="95" t="s">
        <v>961</v>
      </c>
      <c r="H7" s="50" t="s">
        <v>970</v>
      </c>
      <c r="I7" s="50" t="s">
        <v>961</v>
      </c>
      <c r="J7" s="50" t="s">
        <v>961</v>
      </c>
      <c r="K7" s="50" t="s">
        <v>961</v>
      </c>
      <c r="L7" s="50" t="s">
        <v>961</v>
      </c>
      <c r="M7" s="50" t="s">
        <v>961</v>
      </c>
      <c r="N7" s="50" t="s">
        <v>961</v>
      </c>
      <c r="O7" s="50" t="s">
        <v>961</v>
      </c>
      <c r="P7" s="50" t="s">
        <v>961</v>
      </c>
      <c r="Q7" s="50" t="s">
        <v>961</v>
      </c>
      <c r="R7" s="50" t="s">
        <v>961</v>
      </c>
      <c r="S7" s="50" t="s">
        <v>961</v>
      </c>
      <c r="T7" s="50" t="s">
        <v>961</v>
      </c>
      <c r="U7" s="50" t="s">
        <v>961</v>
      </c>
      <c r="V7" s="50" t="s">
        <v>961</v>
      </c>
      <c r="W7" s="50" t="s">
        <v>961</v>
      </c>
      <c r="X7" s="50" t="s">
        <v>961</v>
      </c>
      <c r="Y7" s="50" t="s">
        <v>961</v>
      </c>
      <c r="Z7" s="50" t="s">
        <v>961</v>
      </c>
      <c r="AA7" s="50" t="s">
        <v>961</v>
      </c>
      <c r="AB7" s="50" t="s">
        <v>961</v>
      </c>
      <c r="AC7" s="50" t="s">
        <v>961</v>
      </c>
      <c r="AD7" s="50" t="s">
        <v>961</v>
      </c>
      <c r="AE7" s="50" t="s">
        <v>961</v>
      </c>
      <c r="AF7" s="50" t="s">
        <v>961</v>
      </c>
      <c r="AG7" s="50" t="s">
        <v>961</v>
      </c>
      <c r="AH7" s="50" t="s">
        <v>961</v>
      </c>
      <c r="AI7" s="50" t="s">
        <v>961</v>
      </c>
      <c r="AJ7" s="50" t="s">
        <v>961</v>
      </c>
      <c r="AK7" s="50" t="s">
        <v>961</v>
      </c>
      <c r="AL7" s="50" t="s">
        <v>961</v>
      </c>
      <c r="AM7" s="50" t="s">
        <v>961</v>
      </c>
      <c r="AN7" s="50" t="s">
        <v>961</v>
      </c>
    </row>
    <row r="8" spans="2:40" s="93" customFormat="1">
      <c r="B8" s="50" t="s">
        <v>916</v>
      </c>
      <c r="C8" s="50">
        <v>6</v>
      </c>
      <c r="D8" s="50" t="s">
        <v>1036</v>
      </c>
      <c r="E8" s="95">
        <v>45422</v>
      </c>
      <c r="F8" s="50">
        <v>1</v>
      </c>
      <c r="G8" s="50" cm="1">
        <f t="array" ref="G8">SUMPRODUCT(--(I8:AN8&gt;0))/COUNTA(I8:AN8)</f>
        <v>1</v>
      </c>
      <c r="H8" s="50" t="s">
        <v>970</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93" customFormat="1">
      <c r="B9" s="50" t="s">
        <v>919</v>
      </c>
      <c r="C9" s="50">
        <v>7</v>
      </c>
      <c r="D9" s="50" t="s">
        <v>1037</v>
      </c>
      <c r="E9" s="95">
        <v>45422</v>
      </c>
      <c r="F9" s="50">
        <v>1</v>
      </c>
      <c r="G9" s="50" t="e" cm="1">
        <f t="array" aca="1" ref="G9" ca="1">SUMPRODUCT(--(H9:AN9 &lt;= H28:AN28))/COUNTA(H28:AN28)</f>
        <v>#NAME?</v>
      </c>
      <c r="H9" s="50" t="s">
        <v>970</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93" customFormat="1">
      <c r="B10" s="97" t="s">
        <v>922</v>
      </c>
      <c r="C10" s="50">
        <v>8</v>
      </c>
      <c r="D10" s="50" t="s">
        <v>1038</v>
      </c>
      <c r="E10" s="95">
        <v>45422</v>
      </c>
      <c r="F10" s="50">
        <v>1</v>
      </c>
      <c r="G10" s="95" t="s">
        <v>961</v>
      </c>
      <c r="H10" s="50" t="s">
        <v>970</v>
      </c>
      <c r="I10" s="50">
        <v>31</v>
      </c>
      <c r="J10" s="50">
        <v>3.1000473009206903E+26</v>
      </c>
      <c r="K10" s="50" t="s">
        <v>1039</v>
      </c>
      <c r="L10" s="50">
        <v>90</v>
      </c>
      <c r="M10" s="50">
        <v>1</v>
      </c>
      <c r="N10" s="50">
        <v>31</v>
      </c>
      <c r="O10" s="50">
        <v>3.7234600100000003E+23</v>
      </c>
      <c r="P10" s="50">
        <v>31</v>
      </c>
      <c r="Q10" s="50">
        <v>310004730092</v>
      </c>
      <c r="R10" s="95" t="s">
        <v>969</v>
      </c>
      <c r="S10" s="95">
        <v>33584</v>
      </c>
      <c r="T10" s="95">
        <v>978</v>
      </c>
      <c r="U10" s="95">
        <v>0</v>
      </c>
      <c r="V10" s="95">
        <v>22860000</v>
      </c>
      <c r="W10" s="95">
        <v>22860000</v>
      </c>
      <c r="X10" s="50" t="s">
        <v>970</v>
      </c>
      <c r="Y10" s="95" t="s">
        <v>970</v>
      </c>
      <c r="Z10" s="95" t="s">
        <v>970</v>
      </c>
      <c r="AA10" s="95">
        <v>33588</v>
      </c>
      <c r="AB10" s="98" t="s">
        <v>969</v>
      </c>
      <c r="AC10" s="98" t="s">
        <v>970</v>
      </c>
      <c r="AD10" s="98" t="s">
        <v>970</v>
      </c>
      <c r="AE10" s="50" t="s">
        <v>1040</v>
      </c>
      <c r="AF10" s="50" t="s">
        <v>1041</v>
      </c>
      <c r="AG10" s="98">
        <v>1900000</v>
      </c>
      <c r="AH10" s="98">
        <v>1900000</v>
      </c>
      <c r="AI10" s="98" t="s">
        <v>970</v>
      </c>
      <c r="AJ10" s="98" t="s">
        <v>1039</v>
      </c>
      <c r="AK10" s="50" t="s">
        <v>972</v>
      </c>
      <c r="AL10" s="50" t="s">
        <v>1042</v>
      </c>
      <c r="AM10" s="95">
        <v>45422</v>
      </c>
      <c r="AN10" s="95" t="s">
        <v>1043</v>
      </c>
    </row>
    <row r="11" spans="2:40" s="93" customFormat="1">
      <c r="B11" s="50" t="s">
        <v>924</v>
      </c>
      <c r="C11" s="50">
        <v>9</v>
      </c>
      <c r="D11" s="50" t="s">
        <v>1044</v>
      </c>
      <c r="E11" s="95">
        <v>45422</v>
      </c>
      <c r="F11" s="50">
        <v>1</v>
      </c>
      <c r="G11" s="95" t="s">
        <v>961</v>
      </c>
      <c r="H11" s="50" t="s">
        <v>970</v>
      </c>
      <c r="I11" s="50">
        <v>31</v>
      </c>
      <c r="J11" s="50">
        <v>3.1000473009206903E+26</v>
      </c>
      <c r="K11" s="50">
        <v>31</v>
      </c>
      <c r="L11" s="50">
        <v>90</v>
      </c>
      <c r="M11" s="50">
        <v>1</v>
      </c>
      <c r="N11" s="50">
        <v>31</v>
      </c>
      <c r="O11" s="50">
        <v>3.7234600100000003E+23</v>
      </c>
      <c r="P11" s="50">
        <v>31</v>
      </c>
      <c r="Q11" s="50">
        <v>310004730092</v>
      </c>
      <c r="R11" s="50" t="s">
        <v>969</v>
      </c>
      <c r="S11" s="95">
        <v>33584</v>
      </c>
      <c r="T11" s="95">
        <v>978</v>
      </c>
      <c r="U11" s="95">
        <v>0</v>
      </c>
      <c r="V11" s="95" t="s">
        <v>1045</v>
      </c>
      <c r="W11" s="95" t="s">
        <v>1045</v>
      </c>
      <c r="X11" s="50" t="s">
        <v>1046</v>
      </c>
      <c r="Y11" s="95" t="s">
        <v>1046</v>
      </c>
      <c r="Z11" s="95" t="s">
        <v>1046</v>
      </c>
      <c r="AA11" s="95">
        <v>33588</v>
      </c>
      <c r="AB11" s="50" t="s">
        <v>969</v>
      </c>
      <c r="AC11" s="50" t="s">
        <v>1046</v>
      </c>
      <c r="AD11" s="50" t="s">
        <v>1046</v>
      </c>
      <c r="AE11" s="50" t="s">
        <v>1040</v>
      </c>
      <c r="AF11" s="50" t="s">
        <v>1041</v>
      </c>
      <c r="AG11" s="98">
        <v>19000000000</v>
      </c>
      <c r="AH11" s="98">
        <v>190000</v>
      </c>
      <c r="AI11" s="98" t="s">
        <v>1047</v>
      </c>
      <c r="AJ11" s="98" t="s">
        <v>1048</v>
      </c>
      <c r="AK11" s="50" t="s">
        <v>976</v>
      </c>
      <c r="AL11" s="50" t="s">
        <v>1042</v>
      </c>
      <c r="AM11" s="95">
        <v>45422</v>
      </c>
      <c r="AN11" s="95" t="s">
        <v>1049</v>
      </c>
    </row>
    <row r="12" spans="2:40" s="93" customFormat="1">
      <c r="B12" s="50" t="s">
        <v>926</v>
      </c>
      <c r="C12" s="50">
        <v>10</v>
      </c>
      <c r="D12" s="50" t="s">
        <v>1050</v>
      </c>
      <c r="E12" s="95">
        <v>45422</v>
      </c>
      <c r="F12" s="50">
        <v>1</v>
      </c>
      <c r="G12" s="95" t="s">
        <v>961</v>
      </c>
      <c r="H12" s="50" t="s">
        <v>970</v>
      </c>
      <c r="I12" s="50">
        <v>31</v>
      </c>
      <c r="J12" s="50">
        <v>5.4260000009409003E+29</v>
      </c>
      <c r="K12" s="99" t="s">
        <v>1039</v>
      </c>
      <c r="L12" s="50">
        <v>92</v>
      </c>
      <c r="M12" s="50" t="s">
        <v>1051</v>
      </c>
      <c r="N12" s="50">
        <v>31</v>
      </c>
      <c r="O12" s="50">
        <v>2.3850155708002E+29</v>
      </c>
      <c r="P12" s="50">
        <v>31</v>
      </c>
      <c r="Q12" s="50">
        <v>542600000094090</v>
      </c>
      <c r="R12" s="95">
        <v>45422</v>
      </c>
      <c r="S12" s="95">
        <v>45802</v>
      </c>
      <c r="T12" s="95">
        <v>978</v>
      </c>
      <c r="U12" s="95">
        <v>1</v>
      </c>
      <c r="V12" s="95">
        <v>6500000000000</v>
      </c>
      <c r="W12" s="95">
        <v>1000000000000</v>
      </c>
      <c r="X12" s="98">
        <v>1000000000000</v>
      </c>
      <c r="Y12" s="95">
        <v>320000000000</v>
      </c>
      <c r="Z12" s="95">
        <v>168000000000</v>
      </c>
      <c r="AA12" s="98">
        <v>45805</v>
      </c>
      <c r="AB12" s="98">
        <v>43962</v>
      </c>
      <c r="AC12" s="98">
        <v>149639370000</v>
      </c>
      <c r="AD12" s="98">
        <v>663500000000</v>
      </c>
      <c r="AE12" s="98" t="s">
        <v>1040</v>
      </c>
      <c r="AF12" s="98" t="s">
        <v>1041</v>
      </c>
      <c r="AG12" s="98">
        <v>1900000</v>
      </c>
      <c r="AH12" s="98">
        <v>1900000</v>
      </c>
      <c r="AI12" s="98">
        <v>32000000</v>
      </c>
      <c r="AJ12" s="98" t="s">
        <v>1039</v>
      </c>
      <c r="AK12" s="98" t="s">
        <v>972</v>
      </c>
      <c r="AL12" s="50" t="s">
        <v>981</v>
      </c>
      <c r="AM12" s="95">
        <v>45422</v>
      </c>
      <c r="AN12" s="95" t="s">
        <v>1043</v>
      </c>
    </row>
    <row r="13" spans="2:40" s="93" customFormat="1">
      <c r="B13" s="50" t="s">
        <v>928</v>
      </c>
      <c r="C13" s="50">
        <v>11</v>
      </c>
      <c r="D13" s="50" t="s">
        <v>1052</v>
      </c>
      <c r="E13" s="95">
        <v>45422</v>
      </c>
      <c r="F13" s="50">
        <v>1</v>
      </c>
      <c r="G13" s="95" t="s">
        <v>961</v>
      </c>
      <c r="H13" s="50" t="s">
        <v>970</v>
      </c>
      <c r="I13" s="50">
        <v>31</v>
      </c>
      <c r="J13" s="50">
        <v>5.4260000009409003E+29</v>
      </c>
      <c r="K13" s="50">
        <v>31</v>
      </c>
      <c r="L13" s="50">
        <v>92</v>
      </c>
      <c r="M13" s="50" t="s">
        <v>1051</v>
      </c>
      <c r="N13" s="50">
        <v>31</v>
      </c>
      <c r="O13" s="50">
        <v>2.3850155708002E+29</v>
      </c>
      <c r="P13" s="50">
        <v>31</v>
      </c>
      <c r="Q13" s="50">
        <v>542600000094090</v>
      </c>
      <c r="R13" s="95">
        <v>45422</v>
      </c>
      <c r="S13" s="95">
        <v>45802</v>
      </c>
      <c r="T13" s="95">
        <v>978</v>
      </c>
      <c r="U13" s="95">
        <v>1</v>
      </c>
      <c r="V13" s="95" t="s">
        <v>1053</v>
      </c>
      <c r="W13" s="95" t="s">
        <v>1054</v>
      </c>
      <c r="X13" s="50" t="s">
        <v>1054</v>
      </c>
      <c r="Y13" s="95" t="s">
        <v>1055</v>
      </c>
      <c r="Z13" s="95" t="s">
        <v>1056</v>
      </c>
      <c r="AA13" s="95">
        <v>45805</v>
      </c>
      <c r="AB13" s="95">
        <v>43962</v>
      </c>
      <c r="AC13" s="50" t="s">
        <v>1057</v>
      </c>
      <c r="AD13" s="98" t="s">
        <v>1058</v>
      </c>
      <c r="AE13" s="98" t="s">
        <v>1040</v>
      </c>
      <c r="AF13" s="98" t="s">
        <v>1041</v>
      </c>
      <c r="AG13" s="98">
        <v>19000000000</v>
      </c>
      <c r="AH13" s="98">
        <v>190000</v>
      </c>
      <c r="AI13" s="98">
        <v>3200000</v>
      </c>
      <c r="AJ13" s="98" t="s">
        <v>1059</v>
      </c>
      <c r="AK13" s="98" t="s">
        <v>976</v>
      </c>
      <c r="AL13" s="50" t="s">
        <v>981</v>
      </c>
      <c r="AM13" s="95">
        <v>45422</v>
      </c>
      <c r="AN13" s="95" t="s">
        <v>1060</v>
      </c>
    </row>
    <row r="14" spans="2:40" s="214" customFormat="1">
      <c r="B14" s="212" t="s">
        <v>930</v>
      </c>
      <c r="C14" s="212">
        <v>12</v>
      </c>
      <c r="D14" s="212" t="s">
        <v>1061</v>
      </c>
      <c r="E14" s="213">
        <v>45422</v>
      </c>
      <c r="F14" s="212">
        <v>1</v>
      </c>
      <c r="G14" s="212">
        <v>0.875</v>
      </c>
      <c r="H14" s="212" t="s">
        <v>970</v>
      </c>
      <c r="I14" s="212">
        <v>0</v>
      </c>
      <c r="J14" s="212">
        <v>0</v>
      </c>
      <c r="K14" s="212">
        <v>0</v>
      </c>
      <c r="L14" s="212">
        <v>0</v>
      </c>
      <c r="M14" s="212">
        <v>0</v>
      </c>
      <c r="N14" s="212">
        <v>0</v>
      </c>
      <c r="O14" s="212">
        <v>0</v>
      </c>
      <c r="P14" s="212">
        <v>0</v>
      </c>
      <c r="Q14" s="212">
        <v>0</v>
      </c>
      <c r="R14" s="212">
        <v>0</v>
      </c>
      <c r="S14" s="212">
        <v>0</v>
      </c>
      <c r="T14" s="212">
        <v>0</v>
      </c>
      <c r="U14" s="212">
        <v>0</v>
      </c>
      <c r="V14" s="212">
        <v>644</v>
      </c>
      <c r="W14" s="212">
        <v>0</v>
      </c>
      <c r="X14" s="212">
        <v>0</v>
      </c>
      <c r="Y14" s="212">
        <v>0</v>
      </c>
      <c r="Z14" s="212">
        <v>0</v>
      </c>
      <c r="AA14" s="212">
        <v>0</v>
      </c>
      <c r="AB14" s="212">
        <v>0</v>
      </c>
      <c r="AC14" s="212">
        <v>0</v>
      </c>
      <c r="AD14" s="212">
        <v>0</v>
      </c>
      <c r="AE14" s="212">
        <v>0</v>
      </c>
      <c r="AF14" s="212">
        <v>3528</v>
      </c>
      <c r="AG14" s="212">
        <v>3528</v>
      </c>
      <c r="AH14" s="212">
        <v>3528</v>
      </c>
      <c r="AI14" s="212">
        <v>0</v>
      </c>
      <c r="AJ14" s="212">
        <v>0</v>
      </c>
      <c r="AK14" s="212">
        <v>0</v>
      </c>
      <c r="AL14" s="212">
        <v>0</v>
      </c>
      <c r="AM14" s="212">
        <v>0</v>
      </c>
      <c r="AN14" s="212">
        <v>0</v>
      </c>
    </row>
    <row r="15" spans="2:40" s="93" customFormat="1">
      <c r="B15" s="50" t="s">
        <v>932</v>
      </c>
      <c r="C15" s="50">
        <v>13</v>
      </c>
      <c r="D15" s="50" t="s">
        <v>1062</v>
      </c>
      <c r="E15" s="95">
        <v>45422</v>
      </c>
      <c r="F15" s="50">
        <v>1</v>
      </c>
      <c r="G15" s="98">
        <v>1</v>
      </c>
      <c r="H15" s="50" t="s">
        <v>970</v>
      </c>
      <c r="I15" s="50" t="s">
        <v>961</v>
      </c>
      <c r="J15" s="50" t="s">
        <v>961</v>
      </c>
      <c r="K15" s="50" t="s">
        <v>961</v>
      </c>
      <c r="L15" s="50" t="s">
        <v>961</v>
      </c>
      <c r="M15" s="50" t="s">
        <v>961</v>
      </c>
      <c r="N15" s="50" t="s">
        <v>961</v>
      </c>
      <c r="O15" s="50" t="s">
        <v>961</v>
      </c>
      <c r="P15" s="50" t="s">
        <v>961</v>
      </c>
      <c r="Q15" s="50" t="s">
        <v>961</v>
      </c>
      <c r="R15" s="97">
        <v>0</v>
      </c>
      <c r="S15" s="97">
        <v>0</v>
      </c>
      <c r="T15" s="97" t="s">
        <v>961</v>
      </c>
      <c r="U15" s="97" t="s">
        <v>961</v>
      </c>
      <c r="V15" s="97" t="s">
        <v>961</v>
      </c>
      <c r="W15" s="97" t="s">
        <v>961</v>
      </c>
      <c r="X15" s="50" t="s">
        <v>961</v>
      </c>
      <c r="Y15" s="97" t="s">
        <v>961</v>
      </c>
      <c r="Z15" s="97" t="s">
        <v>961</v>
      </c>
      <c r="AA15" s="50">
        <v>0</v>
      </c>
      <c r="AB15" s="50">
        <v>0</v>
      </c>
      <c r="AC15" s="50" t="s">
        <v>961</v>
      </c>
      <c r="AD15" s="50" t="s">
        <v>961</v>
      </c>
      <c r="AE15" s="50" t="s">
        <v>961</v>
      </c>
      <c r="AF15" s="50" t="s">
        <v>961</v>
      </c>
      <c r="AG15" s="50" t="s">
        <v>961</v>
      </c>
      <c r="AH15" s="50" t="s">
        <v>961</v>
      </c>
      <c r="AI15" s="50" t="s">
        <v>961</v>
      </c>
      <c r="AJ15" s="50" t="s">
        <v>961</v>
      </c>
      <c r="AK15" s="50" t="s">
        <v>961</v>
      </c>
      <c r="AL15" s="50" t="s">
        <v>961</v>
      </c>
      <c r="AM15" s="50" t="s">
        <v>961</v>
      </c>
      <c r="AN15" s="50" t="s">
        <v>961</v>
      </c>
    </row>
    <row r="16" spans="2:40" s="93" customFormat="1">
      <c r="B16" s="50" t="s">
        <v>934</v>
      </c>
      <c r="C16" s="50">
        <v>14</v>
      </c>
      <c r="D16" s="50" t="s">
        <v>1063</v>
      </c>
      <c r="E16" s="95">
        <v>45422</v>
      </c>
      <c r="F16" s="50">
        <v>1</v>
      </c>
      <c r="G16" s="98">
        <v>1</v>
      </c>
      <c r="H16" s="50" t="s">
        <v>970</v>
      </c>
      <c r="I16" s="50">
        <v>0</v>
      </c>
      <c r="J16" s="50">
        <v>0</v>
      </c>
      <c r="K16" s="50">
        <v>0</v>
      </c>
      <c r="L16" s="50">
        <v>0</v>
      </c>
      <c r="M16" s="50">
        <v>0</v>
      </c>
      <c r="N16" s="50">
        <v>0</v>
      </c>
      <c r="O16" s="50">
        <v>0</v>
      </c>
      <c r="P16" s="50">
        <v>0</v>
      </c>
      <c r="Q16" s="50">
        <v>0</v>
      </c>
      <c r="R16" s="50" t="s">
        <v>961</v>
      </c>
      <c r="S16" s="50" t="s">
        <v>961</v>
      </c>
      <c r="T16" s="50">
        <v>0</v>
      </c>
      <c r="U16" s="50" t="s">
        <v>961</v>
      </c>
      <c r="V16" s="50" t="s">
        <v>961</v>
      </c>
      <c r="W16" s="50" t="s">
        <v>961</v>
      </c>
      <c r="X16" s="97" t="s">
        <v>961</v>
      </c>
      <c r="Y16" s="97" t="s">
        <v>961</v>
      </c>
      <c r="Z16" s="50" t="s">
        <v>961</v>
      </c>
      <c r="AA16" s="50" t="s">
        <v>961</v>
      </c>
      <c r="AB16" s="50" t="s">
        <v>961</v>
      </c>
      <c r="AC16" s="50" t="s">
        <v>961</v>
      </c>
      <c r="AD16" s="50" t="s">
        <v>961</v>
      </c>
      <c r="AE16" s="50">
        <v>0</v>
      </c>
      <c r="AF16" s="50">
        <v>0</v>
      </c>
      <c r="AG16" s="50" t="s">
        <v>961</v>
      </c>
      <c r="AH16" s="50" t="s">
        <v>961</v>
      </c>
      <c r="AI16" s="50" t="s">
        <v>961</v>
      </c>
      <c r="AJ16" s="50">
        <v>0</v>
      </c>
      <c r="AK16" s="50">
        <v>0</v>
      </c>
      <c r="AL16" s="50" t="s">
        <v>961</v>
      </c>
      <c r="AM16" s="50" t="s">
        <v>961</v>
      </c>
      <c r="AN16" s="50" t="s">
        <v>961</v>
      </c>
    </row>
    <row r="17" spans="2:47" s="93" customFormat="1">
      <c r="B17" s="50" t="s">
        <v>936</v>
      </c>
      <c r="C17" s="50">
        <v>15</v>
      </c>
      <c r="D17" s="50" t="s">
        <v>1064</v>
      </c>
      <c r="E17" s="95">
        <v>45422</v>
      </c>
      <c r="F17" s="50">
        <v>1</v>
      </c>
      <c r="G17" s="98">
        <v>1</v>
      </c>
      <c r="H17" s="50" t="s">
        <v>970</v>
      </c>
      <c r="I17" s="50" t="s">
        <v>961</v>
      </c>
      <c r="J17" s="50" t="s">
        <v>961</v>
      </c>
      <c r="K17" s="50" t="s">
        <v>961</v>
      </c>
      <c r="L17" s="50" t="s">
        <v>961</v>
      </c>
      <c r="M17" s="50" t="s">
        <v>961</v>
      </c>
      <c r="N17" s="50" t="s">
        <v>961</v>
      </c>
      <c r="O17" s="50" t="s">
        <v>961</v>
      </c>
      <c r="P17" s="50" t="s">
        <v>961</v>
      </c>
      <c r="Q17" s="50" t="s">
        <v>961</v>
      </c>
      <c r="R17" s="50" t="s">
        <v>961</v>
      </c>
      <c r="S17" s="50" t="s">
        <v>961</v>
      </c>
      <c r="T17" s="50" t="s">
        <v>961</v>
      </c>
      <c r="U17" s="50" t="s">
        <v>961</v>
      </c>
      <c r="V17" s="50" t="s">
        <v>961</v>
      </c>
      <c r="W17" s="50" t="s">
        <v>961</v>
      </c>
      <c r="X17" s="97" t="s">
        <v>961</v>
      </c>
      <c r="Y17" s="50" t="s">
        <v>961</v>
      </c>
      <c r="Z17" s="50" t="s">
        <v>961</v>
      </c>
      <c r="AA17" s="50" t="s">
        <v>961</v>
      </c>
      <c r="AB17" s="50" t="s">
        <v>961</v>
      </c>
      <c r="AC17" s="50" t="s">
        <v>961</v>
      </c>
      <c r="AD17" s="50" t="s">
        <v>961</v>
      </c>
      <c r="AE17" s="50" t="s">
        <v>961</v>
      </c>
      <c r="AF17" s="50" t="s">
        <v>961</v>
      </c>
      <c r="AG17" s="50" t="s">
        <v>961</v>
      </c>
      <c r="AH17" s="50" t="s">
        <v>961</v>
      </c>
      <c r="AI17" s="50" t="s">
        <v>961</v>
      </c>
      <c r="AJ17" s="50" t="s">
        <v>961</v>
      </c>
      <c r="AK17" s="50" t="s">
        <v>961</v>
      </c>
      <c r="AL17" s="50" t="s">
        <v>961</v>
      </c>
      <c r="AM17" s="50" t="s">
        <v>961</v>
      </c>
      <c r="AN17" s="50" t="s">
        <v>961</v>
      </c>
    </row>
    <row r="18" spans="2:47" s="93" customFormat="1">
      <c r="B18" s="50" t="s">
        <v>938</v>
      </c>
      <c r="C18" s="50">
        <v>16</v>
      </c>
      <c r="D18" s="50" t="s">
        <v>1064</v>
      </c>
      <c r="E18" s="95">
        <v>45422</v>
      </c>
      <c r="F18" s="50">
        <v>1</v>
      </c>
      <c r="G18" s="98">
        <v>1</v>
      </c>
      <c r="H18" s="50" t="s">
        <v>970</v>
      </c>
      <c r="I18" s="50" t="s">
        <v>961</v>
      </c>
      <c r="J18" s="50" t="s">
        <v>961</v>
      </c>
      <c r="K18" s="50" t="s">
        <v>961</v>
      </c>
      <c r="L18" s="50" t="s">
        <v>961</v>
      </c>
      <c r="M18" s="50" t="s">
        <v>961</v>
      </c>
      <c r="N18" s="50" t="s">
        <v>961</v>
      </c>
      <c r="O18" s="50" t="s">
        <v>961</v>
      </c>
      <c r="P18" s="50" t="s">
        <v>961</v>
      </c>
      <c r="Q18" s="50" t="s">
        <v>961</v>
      </c>
      <c r="R18" s="50" t="s">
        <v>961</v>
      </c>
      <c r="S18" s="50" t="s">
        <v>961</v>
      </c>
      <c r="T18" s="50" t="s">
        <v>961</v>
      </c>
      <c r="U18" s="50" t="s">
        <v>961</v>
      </c>
      <c r="V18" s="50" t="s">
        <v>961</v>
      </c>
      <c r="W18" s="50" t="s">
        <v>961</v>
      </c>
      <c r="X18" s="50" t="s">
        <v>961</v>
      </c>
      <c r="Y18" s="50" t="s">
        <v>961</v>
      </c>
      <c r="Z18" s="50" t="s">
        <v>961</v>
      </c>
      <c r="AA18" s="50" t="s">
        <v>961</v>
      </c>
      <c r="AB18" s="50" t="s">
        <v>961</v>
      </c>
      <c r="AC18" s="50" t="s">
        <v>961</v>
      </c>
      <c r="AD18" s="50" t="s">
        <v>961</v>
      </c>
      <c r="AE18" s="50" t="s">
        <v>961</v>
      </c>
      <c r="AF18" s="50" t="s">
        <v>961</v>
      </c>
      <c r="AG18" s="50" t="s">
        <v>961</v>
      </c>
      <c r="AH18" s="50" t="s">
        <v>961</v>
      </c>
      <c r="AI18" s="50" t="s">
        <v>961</v>
      </c>
      <c r="AJ18" s="50" t="s">
        <v>961</v>
      </c>
      <c r="AK18" s="50" t="s">
        <v>961</v>
      </c>
      <c r="AL18" s="50" t="s">
        <v>961</v>
      </c>
      <c r="AM18" s="50" t="s">
        <v>961</v>
      </c>
      <c r="AN18" s="50" t="s">
        <v>961</v>
      </c>
    </row>
    <row r="19" spans="2:47" s="93" customFormat="1">
      <c r="B19" s="50" t="s">
        <v>940</v>
      </c>
      <c r="C19" s="50">
        <v>17</v>
      </c>
      <c r="D19" s="50" t="s">
        <v>1065</v>
      </c>
      <c r="E19" s="95">
        <v>45422</v>
      </c>
      <c r="F19" s="50">
        <v>1</v>
      </c>
      <c r="G19" s="210">
        <v>0.91980700000000004</v>
      </c>
      <c r="H19" s="98">
        <v>283</v>
      </c>
      <c r="I19" s="50" t="s">
        <v>961</v>
      </c>
      <c r="J19" s="50" t="s">
        <v>961</v>
      </c>
      <c r="K19" s="50" t="s">
        <v>961</v>
      </c>
      <c r="L19" s="50" t="s">
        <v>961</v>
      </c>
      <c r="M19" s="50" t="s">
        <v>961</v>
      </c>
      <c r="N19" s="50" t="s">
        <v>961</v>
      </c>
      <c r="O19" s="50" t="s">
        <v>961</v>
      </c>
      <c r="P19" s="50" t="s">
        <v>961</v>
      </c>
      <c r="Q19" s="50" t="s">
        <v>961</v>
      </c>
      <c r="R19" s="50" t="s">
        <v>961</v>
      </c>
      <c r="S19" s="50" t="s">
        <v>961</v>
      </c>
      <c r="T19" s="50" t="s">
        <v>961</v>
      </c>
      <c r="U19" s="50" t="s">
        <v>961</v>
      </c>
      <c r="V19" s="50" t="s">
        <v>961</v>
      </c>
      <c r="W19" s="50" t="s">
        <v>961</v>
      </c>
      <c r="X19" s="50" t="s">
        <v>961</v>
      </c>
      <c r="Y19" s="50" t="s">
        <v>961</v>
      </c>
      <c r="Z19" s="50" t="s">
        <v>961</v>
      </c>
      <c r="AA19" s="50" t="s">
        <v>961</v>
      </c>
      <c r="AB19" s="50" t="s">
        <v>961</v>
      </c>
      <c r="AC19" s="50" t="s">
        <v>961</v>
      </c>
      <c r="AD19" s="50" t="s">
        <v>961</v>
      </c>
      <c r="AE19" s="50" t="s">
        <v>961</v>
      </c>
      <c r="AF19" s="50" t="s">
        <v>961</v>
      </c>
      <c r="AG19" s="50" t="s">
        <v>961</v>
      </c>
      <c r="AH19" s="50" t="s">
        <v>961</v>
      </c>
      <c r="AI19" s="50" t="s">
        <v>961</v>
      </c>
      <c r="AJ19" s="50" t="s">
        <v>961</v>
      </c>
      <c r="AK19" s="50" t="s">
        <v>961</v>
      </c>
      <c r="AL19" s="50" t="s">
        <v>961</v>
      </c>
      <c r="AM19" s="50" t="s">
        <v>961</v>
      </c>
      <c r="AN19" s="50" t="s">
        <v>961</v>
      </c>
    </row>
    <row r="20" spans="2:47" s="93" customFormat="1">
      <c r="B20" s="50" t="s">
        <v>942</v>
      </c>
      <c r="C20" s="50">
        <v>18</v>
      </c>
      <c r="D20" s="50" t="s">
        <v>1065</v>
      </c>
      <c r="E20" s="95">
        <v>45422</v>
      </c>
      <c r="F20" s="50">
        <v>1</v>
      </c>
      <c r="G20" s="209">
        <v>0.99997199999999997</v>
      </c>
      <c r="H20" s="98">
        <v>2</v>
      </c>
      <c r="I20" s="50" t="s">
        <v>961</v>
      </c>
      <c r="J20" s="50" t="s">
        <v>961</v>
      </c>
      <c r="K20" s="50" t="s">
        <v>961</v>
      </c>
      <c r="L20" s="50" t="s">
        <v>961</v>
      </c>
      <c r="M20" s="50" t="s">
        <v>961</v>
      </c>
      <c r="N20" s="50" t="s">
        <v>961</v>
      </c>
      <c r="O20" s="50" t="s">
        <v>961</v>
      </c>
      <c r="P20" s="50" t="s">
        <v>961</v>
      </c>
      <c r="Q20" s="50" t="s">
        <v>961</v>
      </c>
      <c r="R20" s="50" t="s">
        <v>961</v>
      </c>
      <c r="S20" s="50" t="s">
        <v>961</v>
      </c>
      <c r="T20" s="50" t="s">
        <v>961</v>
      </c>
      <c r="U20" s="50" t="s">
        <v>961</v>
      </c>
      <c r="V20" s="50" t="s">
        <v>961</v>
      </c>
      <c r="W20" s="50" t="s">
        <v>961</v>
      </c>
      <c r="X20" s="50" t="s">
        <v>961</v>
      </c>
      <c r="Y20" s="50" t="s">
        <v>961</v>
      </c>
      <c r="Z20" s="50" t="s">
        <v>961</v>
      </c>
      <c r="AA20" s="50" t="s">
        <v>961</v>
      </c>
      <c r="AB20" s="50" t="s">
        <v>961</v>
      </c>
      <c r="AC20" s="50" t="s">
        <v>961</v>
      </c>
      <c r="AD20" s="50" t="s">
        <v>961</v>
      </c>
      <c r="AE20" s="50" t="s">
        <v>961</v>
      </c>
      <c r="AF20" s="50" t="s">
        <v>961</v>
      </c>
      <c r="AG20" s="50" t="s">
        <v>961</v>
      </c>
      <c r="AH20" s="50" t="s">
        <v>961</v>
      </c>
      <c r="AI20" s="50" t="s">
        <v>961</v>
      </c>
      <c r="AJ20" s="50" t="s">
        <v>961</v>
      </c>
      <c r="AK20" s="50" t="s">
        <v>961</v>
      </c>
      <c r="AL20" s="50" t="s">
        <v>961</v>
      </c>
      <c r="AM20" s="50" t="s">
        <v>961</v>
      </c>
      <c r="AN20" s="50" t="s">
        <v>961</v>
      </c>
    </row>
    <row r="21" spans="2:47" s="93" customFormat="1">
      <c r="B21" s="50" t="s">
        <v>944</v>
      </c>
      <c r="C21" s="50">
        <v>19</v>
      </c>
      <c r="D21" s="50" t="s">
        <v>1066</v>
      </c>
      <c r="E21" s="95">
        <v>45422</v>
      </c>
      <c r="F21" s="50">
        <v>1</v>
      </c>
      <c r="G21" s="192" cm="1">
        <f t="array" aca="1" ref="G21" ca="1">SUMPRODUCT(--(ISNUMBER((SEARCH(I27:AN27,I21:AN21)))))/COUNTA(I21:AN21)</f>
        <v>0</v>
      </c>
      <c r="H21" s="50" t="s">
        <v>970</v>
      </c>
      <c r="I21" s="50" t="s">
        <v>995</v>
      </c>
      <c r="J21" s="50" t="s">
        <v>995</v>
      </c>
      <c r="K21" s="50" t="s">
        <v>995</v>
      </c>
      <c r="L21" s="50" t="s">
        <v>995</v>
      </c>
      <c r="M21" s="50" t="s">
        <v>995</v>
      </c>
      <c r="N21" s="50" t="s">
        <v>995</v>
      </c>
      <c r="O21" s="50" t="s">
        <v>995</v>
      </c>
      <c r="P21" s="50" t="s">
        <v>995</v>
      </c>
      <c r="Q21" s="50" t="s">
        <v>995</v>
      </c>
      <c r="R21" s="50" t="s">
        <v>995</v>
      </c>
      <c r="S21" s="50" t="s">
        <v>995</v>
      </c>
      <c r="T21" s="50" t="s">
        <v>995</v>
      </c>
      <c r="U21" s="50" t="s">
        <v>995</v>
      </c>
      <c r="V21" s="50" t="s">
        <v>996</v>
      </c>
      <c r="W21" s="50" t="s">
        <v>996</v>
      </c>
      <c r="X21" s="50" t="s">
        <v>996</v>
      </c>
      <c r="Y21" s="50" t="s">
        <v>996</v>
      </c>
      <c r="Z21" s="50" t="s">
        <v>996</v>
      </c>
      <c r="AA21" s="50" t="s">
        <v>995</v>
      </c>
      <c r="AB21" s="50" t="s">
        <v>995</v>
      </c>
      <c r="AC21" s="50" t="s">
        <v>996</v>
      </c>
      <c r="AD21" s="50" t="s">
        <v>996</v>
      </c>
      <c r="AE21" s="50" t="s">
        <v>995</v>
      </c>
      <c r="AF21" s="50" t="s">
        <v>995</v>
      </c>
      <c r="AG21" s="50" t="s">
        <v>996</v>
      </c>
      <c r="AH21" s="50" t="s">
        <v>996</v>
      </c>
      <c r="AI21" s="50" t="s">
        <v>996</v>
      </c>
      <c r="AJ21" s="50" t="s">
        <v>995</v>
      </c>
      <c r="AK21" s="50" t="s">
        <v>995</v>
      </c>
      <c r="AL21" s="50" t="s">
        <v>995</v>
      </c>
      <c r="AM21" s="50" t="s">
        <v>995</v>
      </c>
      <c r="AN21" s="50" t="s">
        <v>997</v>
      </c>
    </row>
    <row r="22" spans="2:47" s="93" customFormat="1">
      <c r="B22" s="97" t="s">
        <v>947</v>
      </c>
      <c r="C22" s="50">
        <v>20</v>
      </c>
      <c r="D22" s="50"/>
      <c r="E22" s="95"/>
      <c r="F22" s="95"/>
      <c r="G22" s="192" t="e" cm="1">
        <f t="array" aca="1" ref="G22" ca="1">SUM(IF(I2:AN2 = I26:AN26, 1, 0))/ COUNTA(I2:AN2)</f>
        <v>#NAME?</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7" s="93" customFormat="1">
      <c r="B23" s="50" t="s">
        <v>950</v>
      </c>
      <c r="C23" s="50">
        <v>21</v>
      </c>
      <c r="D23" s="50"/>
      <c r="E23" s="95"/>
      <c r="F23" s="95"/>
      <c r="G23" s="50" t="e" cm="1">
        <f t="array" aca="1" ref="G23" ca="1">SUM(IF(IF(G3:G22="null",1,G3:G22)=1,1,0))/COUNT(IF(G3:G22="null",1,0))</f>
        <v>#NAME?</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7">
      <c r="B24" s="50"/>
      <c r="C24" s="50"/>
      <c r="D24" s="50"/>
      <c r="E24" s="95"/>
      <c r="F24" s="95"/>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7">
      <c r="B25" s="140" t="s">
        <v>1067</v>
      </c>
      <c r="C25" s="142"/>
      <c r="D25" s="142"/>
      <c r="E25" s="142"/>
      <c r="F25" s="142"/>
      <c r="G25" s="142"/>
      <c r="H25" s="142"/>
    </row>
    <row r="26" spans="2:47">
      <c r="B26" s="133" t="s">
        <v>953</v>
      </c>
      <c r="C26" s="129" t="s">
        <v>954</v>
      </c>
      <c r="D26" s="129" t="s">
        <v>955</v>
      </c>
      <c r="E26" s="129" t="s">
        <v>956</v>
      </c>
      <c r="F26" s="129" t="s">
        <v>957</v>
      </c>
      <c r="G26" s="129" t="s">
        <v>958</v>
      </c>
      <c r="H26" s="129" t="s">
        <v>959</v>
      </c>
      <c r="I26" s="148" t="e" cm="1">
        <f t="array" aca="1" ref="I26:AU26" ca="1">TRANSPOSE(_xlfn.SORTBY(_xlfn._xlws.FILTER(Table3[NOME FÍSICO CAMPO],Table3[NOME FÍSICO TABELA]="bills_promissory_notes_contract"), _xlfn._xlws.FILTER(Table3[ORDEM], Table3[NOME FÍSICO TABELA]="bills_promissory_notes_contract"), 1))</f>
        <v>#NAME?</v>
      </c>
      <c r="J26" s="148" t="e">
        <f ca="1"/>
        <v>#NAME?</v>
      </c>
      <c r="K26" s="148" t="e">
        <f ca="1"/>
        <v>#NAME?</v>
      </c>
      <c r="L26" s="148" t="e">
        <f ca="1"/>
        <v>#NAME?</v>
      </c>
      <c r="M26" s="148" t="e">
        <f ca="1"/>
        <v>#NAME?</v>
      </c>
      <c r="N26" s="148" t="e">
        <f ca="1"/>
        <v>#NAME?</v>
      </c>
      <c r="O26" s="148" t="e">
        <f ca="1"/>
        <v>#NAME?</v>
      </c>
      <c r="P26" s="148" t="e">
        <f ca="1"/>
        <v>#NAME?</v>
      </c>
      <c r="Q26" s="148" t="e">
        <f ca="1"/>
        <v>#NAME?</v>
      </c>
      <c r="R26" s="148" t="e">
        <f ca="1"/>
        <v>#NAME?</v>
      </c>
      <c r="S26" s="148" t="e">
        <f ca="1"/>
        <v>#NAME?</v>
      </c>
      <c r="T26" s="148" t="e">
        <f ca="1"/>
        <v>#NAME?</v>
      </c>
      <c r="U26" s="148" t="e">
        <f ca="1"/>
        <v>#NAME?</v>
      </c>
      <c r="V26" s="148" t="e">
        <f ca="1"/>
        <v>#NAME?</v>
      </c>
      <c r="W26" s="148" t="e">
        <f ca="1"/>
        <v>#NAME?</v>
      </c>
      <c r="X26" s="148" t="e">
        <f ca="1"/>
        <v>#NAME?</v>
      </c>
      <c r="Y26" s="148" t="e">
        <f ca="1"/>
        <v>#NAME?</v>
      </c>
      <c r="Z26" s="148" t="e">
        <f ca="1"/>
        <v>#NAME?</v>
      </c>
      <c r="AA26" s="148" t="e">
        <f ca="1"/>
        <v>#NAME?</v>
      </c>
      <c r="AB26" s="148" t="e">
        <f ca="1"/>
        <v>#NAME?</v>
      </c>
      <c r="AC26" s="148" t="e">
        <f ca="1"/>
        <v>#NAME?</v>
      </c>
      <c r="AD26" s="148" t="e">
        <f ca="1"/>
        <v>#NAME?</v>
      </c>
      <c r="AE26" s="148" t="e">
        <f ca="1"/>
        <v>#NAME?</v>
      </c>
      <c r="AF26" s="148" t="e">
        <f ca="1"/>
        <v>#NAME?</v>
      </c>
      <c r="AG26" s="148" t="e">
        <f ca="1"/>
        <v>#NAME?</v>
      </c>
      <c r="AH26" s="148" t="e">
        <f ca="1"/>
        <v>#NAME?</v>
      </c>
      <c r="AI26" s="148" t="e">
        <f ca="1"/>
        <v>#NAME?</v>
      </c>
      <c r="AJ26" s="148" t="e">
        <f ca="1"/>
        <v>#NAME?</v>
      </c>
      <c r="AK26" s="148" t="e">
        <f ca="1"/>
        <v>#NAME?</v>
      </c>
      <c r="AL26" s="148" t="e">
        <f ca="1"/>
        <v>#NAME?</v>
      </c>
      <c r="AM26" s="148" t="e">
        <f ca="1"/>
        <v>#NAME?</v>
      </c>
      <c r="AN26" s="148" t="e">
        <f ca="1"/>
        <v>#NAME?</v>
      </c>
      <c r="AO26" t="e">
        <f ca="1"/>
        <v>#NAME?</v>
      </c>
      <c r="AP26" t="e">
        <f ca="1"/>
        <v>#NAME?</v>
      </c>
      <c r="AQ26" t="e">
        <f ca="1"/>
        <v>#NAME?</v>
      </c>
      <c r="AR26" t="e">
        <f ca="1"/>
        <v>#NAME?</v>
      </c>
      <c r="AS26" t="e">
        <f ca="1"/>
        <v>#NAME?</v>
      </c>
      <c r="AT26" t="e">
        <f ca="1"/>
        <v>#NAME?</v>
      </c>
      <c r="AU26" t="e">
        <f ca="1"/>
        <v>#NAME?</v>
      </c>
    </row>
    <row r="27" spans="2:47">
      <c r="B27" s="117" t="s">
        <v>998</v>
      </c>
      <c r="C27" s="113">
        <v>21</v>
      </c>
      <c r="D27" s="119" t="s">
        <v>999</v>
      </c>
      <c r="E27" s="118" t="s">
        <v>1000</v>
      </c>
      <c r="F27" s="118" t="s">
        <v>206</v>
      </c>
      <c r="G27" s="118" t="s">
        <v>206</v>
      </c>
      <c r="H27" s="118" t="s">
        <v>206</v>
      </c>
      <c r="I27" s="118" t="e" cm="1">
        <f t="array" aca="1" ref="I27:AU28" ca="1">TRANSPOSE(_xlfn.SORTBY(_xlfn._xlws.FILTER(IF(Table3[FORMATO]:Table3[COMP_ CAMPO]&lt;&gt;"",Table3[FORMATO]:Table3[COMP_ CAMPO],9999999),Table3[NOME FÍSICO TABELA]="bills_promissory_notes_contract"), _xlfn._xlws.FILTER(Table3[ORDEM], Table3[NOME FÍSICO TABELA]="bills_promissory_notes_contract"), 1))</f>
        <v>#NAME?</v>
      </c>
      <c r="J27" s="118" t="e">
        <f ca="1"/>
        <v>#NAME?</v>
      </c>
      <c r="K27" s="118" t="e">
        <f ca="1"/>
        <v>#NAME?</v>
      </c>
      <c r="L27" s="118" t="e">
        <f ca="1"/>
        <v>#NAME?</v>
      </c>
      <c r="M27" s="118" t="e">
        <f ca="1"/>
        <v>#NAME?</v>
      </c>
      <c r="N27" s="118" t="e">
        <f ca="1"/>
        <v>#NAME?</v>
      </c>
      <c r="O27" s="118" t="e">
        <f ca="1"/>
        <v>#NAME?</v>
      </c>
      <c r="P27" s="118" t="e">
        <f ca="1"/>
        <v>#NAME?</v>
      </c>
      <c r="Q27" s="118" t="e">
        <f ca="1"/>
        <v>#NAME?</v>
      </c>
      <c r="R27" s="118" t="e">
        <f ca="1"/>
        <v>#NAME?</v>
      </c>
      <c r="S27" s="118" t="e">
        <f ca="1"/>
        <v>#NAME?</v>
      </c>
      <c r="T27" s="118" t="e">
        <f ca="1"/>
        <v>#NAME?</v>
      </c>
      <c r="U27" s="118" t="e">
        <f ca="1"/>
        <v>#NAME?</v>
      </c>
      <c r="V27" s="118" t="e">
        <f ca="1"/>
        <v>#NAME?</v>
      </c>
      <c r="W27" s="118" t="e">
        <f ca="1"/>
        <v>#NAME?</v>
      </c>
      <c r="X27" s="118" t="e">
        <f ca="1"/>
        <v>#NAME?</v>
      </c>
      <c r="Y27" s="118" t="e">
        <f ca="1"/>
        <v>#NAME?</v>
      </c>
      <c r="Z27" s="118" t="e">
        <f ca="1"/>
        <v>#NAME?</v>
      </c>
      <c r="AA27" s="118" t="e">
        <f ca="1"/>
        <v>#NAME?</v>
      </c>
      <c r="AB27" s="118" t="e">
        <f ca="1"/>
        <v>#NAME?</v>
      </c>
      <c r="AC27" s="118" t="e">
        <f ca="1"/>
        <v>#NAME?</v>
      </c>
      <c r="AD27" s="118" t="e">
        <f ca="1"/>
        <v>#NAME?</v>
      </c>
      <c r="AE27" s="118" t="e">
        <f ca="1"/>
        <v>#NAME?</v>
      </c>
      <c r="AF27" s="118" t="e">
        <f ca="1"/>
        <v>#NAME?</v>
      </c>
      <c r="AG27" s="118" t="e">
        <f ca="1"/>
        <v>#NAME?</v>
      </c>
      <c r="AH27" s="118" t="e">
        <f ca="1"/>
        <v>#NAME?</v>
      </c>
      <c r="AI27" s="118" t="e">
        <f ca="1"/>
        <v>#NAME?</v>
      </c>
      <c r="AJ27" s="118" t="e">
        <f ca="1"/>
        <v>#NAME?</v>
      </c>
      <c r="AK27" s="118" t="e">
        <f ca="1"/>
        <v>#NAME?</v>
      </c>
      <c r="AL27" s="118" t="e">
        <f ca="1"/>
        <v>#NAME?</v>
      </c>
      <c r="AM27" s="118" t="e">
        <f ca="1"/>
        <v>#NAME?</v>
      </c>
      <c r="AN27" s="118" t="e">
        <f ca="1"/>
        <v>#NAME?</v>
      </c>
      <c r="AO27" t="e">
        <f ca="1"/>
        <v>#NAME?</v>
      </c>
      <c r="AP27" t="e">
        <f ca="1"/>
        <v>#NAME?</v>
      </c>
      <c r="AQ27" t="e">
        <f ca="1"/>
        <v>#NAME?</v>
      </c>
      <c r="AR27" t="e">
        <f ca="1"/>
        <v>#NAME?</v>
      </c>
      <c r="AS27" t="e">
        <f ca="1"/>
        <v>#NAME?</v>
      </c>
      <c r="AT27" t="e">
        <f ca="1"/>
        <v>#NAME?</v>
      </c>
      <c r="AU27" t="e">
        <f ca="1"/>
        <v>#NAME?</v>
      </c>
    </row>
    <row r="28" spans="2:47">
      <c r="B28" s="121" t="s">
        <v>1001</v>
      </c>
      <c r="C28" s="113">
        <v>7</v>
      </c>
      <c r="D28" s="114" t="s">
        <v>999</v>
      </c>
      <c r="E28" s="113" t="s">
        <v>1000</v>
      </c>
      <c r="F28" s="143" t="s">
        <v>206</v>
      </c>
      <c r="G28" s="143" t="s">
        <v>206</v>
      </c>
      <c r="H28" s="143" t="s">
        <v>206</v>
      </c>
      <c r="I28" s="143" t="e">
        <f ca="1"/>
        <v>#NAME?</v>
      </c>
      <c r="J28" s="143" t="e">
        <f ca="1"/>
        <v>#NAME?</v>
      </c>
      <c r="K28" s="143" t="e">
        <f ca="1"/>
        <v>#NAME?</v>
      </c>
      <c r="L28" s="143" t="e">
        <f ca="1"/>
        <v>#NAME?</v>
      </c>
      <c r="M28" s="143" t="e">
        <f ca="1"/>
        <v>#NAME?</v>
      </c>
      <c r="N28" s="143" t="e">
        <f ca="1"/>
        <v>#NAME?</v>
      </c>
      <c r="O28" s="143" t="e">
        <f ca="1"/>
        <v>#NAME?</v>
      </c>
      <c r="P28" s="143" t="e">
        <f ca="1"/>
        <v>#NAME?</v>
      </c>
      <c r="Q28" s="143" t="e">
        <f ca="1"/>
        <v>#NAME?</v>
      </c>
      <c r="R28" s="143" t="e">
        <f ca="1"/>
        <v>#NAME?</v>
      </c>
      <c r="S28" s="143" t="e">
        <f ca="1"/>
        <v>#NAME?</v>
      </c>
      <c r="T28" s="143" t="e">
        <f ca="1"/>
        <v>#NAME?</v>
      </c>
      <c r="U28" s="143" t="e">
        <f ca="1"/>
        <v>#NAME?</v>
      </c>
      <c r="V28" s="143" t="e">
        <f ca="1"/>
        <v>#NAME?</v>
      </c>
      <c r="W28" s="143" t="e">
        <f ca="1"/>
        <v>#NAME?</v>
      </c>
      <c r="X28" s="143" t="e">
        <f ca="1"/>
        <v>#NAME?</v>
      </c>
      <c r="Y28" s="143" t="e">
        <f ca="1"/>
        <v>#NAME?</v>
      </c>
      <c r="Z28" s="143" t="e">
        <f ca="1"/>
        <v>#NAME?</v>
      </c>
      <c r="AA28" s="143" t="e">
        <f ca="1"/>
        <v>#NAME?</v>
      </c>
      <c r="AB28" s="143" t="e">
        <f ca="1"/>
        <v>#NAME?</v>
      </c>
      <c r="AC28" s="143" t="e">
        <f ca="1"/>
        <v>#NAME?</v>
      </c>
      <c r="AD28" s="143" t="e">
        <f ca="1"/>
        <v>#NAME?</v>
      </c>
      <c r="AE28" s="143" t="e">
        <f ca="1"/>
        <v>#NAME?</v>
      </c>
      <c r="AF28" s="143" t="e">
        <f ca="1"/>
        <v>#NAME?</v>
      </c>
      <c r="AG28" s="143" t="e">
        <f ca="1"/>
        <v>#NAME?</v>
      </c>
      <c r="AH28" s="143" t="e">
        <f ca="1"/>
        <v>#NAME?</v>
      </c>
      <c r="AI28" s="143" t="e">
        <f ca="1"/>
        <v>#NAME?</v>
      </c>
      <c r="AJ28" s="143" t="e">
        <f ca="1"/>
        <v>#NAME?</v>
      </c>
      <c r="AK28" s="143" t="e">
        <f ca="1"/>
        <v>#NAME?</v>
      </c>
      <c r="AL28" s="143" t="e">
        <f ca="1"/>
        <v>#NAME?</v>
      </c>
      <c r="AM28" s="143" t="e">
        <f ca="1"/>
        <v>#NAME?</v>
      </c>
      <c r="AN28" s="143" t="e">
        <f ca="1"/>
        <v>#NAME?</v>
      </c>
      <c r="AO28" s="50" t="e">
        <f ca="1"/>
        <v>#NAME?</v>
      </c>
      <c r="AP28" t="e">
        <f ca="1"/>
        <v>#NAME?</v>
      </c>
      <c r="AQ28" t="e">
        <f ca="1"/>
        <v>#NAME?</v>
      </c>
      <c r="AR28" t="e">
        <f ca="1"/>
        <v>#NAME?</v>
      </c>
      <c r="AS28" t="e">
        <f ca="1"/>
        <v>#NAME?</v>
      </c>
      <c r="AT28" t="e">
        <f ca="1"/>
        <v>#NAME?</v>
      </c>
      <c r="AU28" t="e">
        <f ca="1"/>
        <v>#NAME?</v>
      </c>
    </row>
    <row r="29" spans="2:47">
      <c r="B29" s="50"/>
      <c r="C29" s="50"/>
      <c r="D29" s="96"/>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7">
      <c r="B30" s="140" t="s">
        <v>1002</v>
      </c>
    </row>
    <row r="31" spans="2:47">
      <c r="B31" s="134" t="s">
        <v>1003</v>
      </c>
      <c r="C31" s="134" t="s">
        <v>1004</v>
      </c>
      <c r="D31" s="135" t="s">
        <v>1005</v>
      </c>
      <c r="E31" s="134" t="s">
        <v>1006</v>
      </c>
      <c r="F31" s="134" t="s">
        <v>1007</v>
      </c>
    </row>
    <row r="32" spans="2:47" ht="29">
      <c r="B32" s="111" t="s">
        <v>1068</v>
      </c>
      <c r="C32" s="115" t="s">
        <v>404</v>
      </c>
      <c r="D32" s="53" t="s">
        <v>1069</v>
      </c>
      <c r="E32" s="146" t="s">
        <v>1070</v>
      </c>
      <c r="F32" s="136" t="s">
        <v>1014</v>
      </c>
    </row>
    <row r="33" spans="2:6" ht="29">
      <c r="B33" s="111" t="s">
        <v>1068</v>
      </c>
      <c r="C33" s="115" t="s">
        <v>414</v>
      </c>
      <c r="D33" s="53" t="s">
        <v>1071</v>
      </c>
      <c r="E33" s="146" t="s">
        <v>1070</v>
      </c>
      <c r="F33" s="136" t="s">
        <v>1014</v>
      </c>
    </row>
    <row r="34" spans="2:6" ht="29">
      <c r="B34" s="111" t="s">
        <v>1068</v>
      </c>
      <c r="C34" s="115" t="s">
        <v>424</v>
      </c>
      <c r="D34" s="53" t="s">
        <v>1071</v>
      </c>
      <c r="E34" s="146" t="s">
        <v>1070</v>
      </c>
      <c r="F34" s="136" t="s">
        <v>1014</v>
      </c>
    </row>
    <row r="35" spans="2:6" ht="72.5">
      <c r="B35" s="111" t="s">
        <v>1068</v>
      </c>
      <c r="C35" s="115" t="s">
        <v>1027</v>
      </c>
      <c r="D35" s="53" t="s">
        <v>1072</v>
      </c>
      <c r="E35" s="146" t="s">
        <v>1073</v>
      </c>
      <c r="F35" s="136" t="s">
        <v>1011</v>
      </c>
    </row>
    <row r="36" spans="2:6" ht="29">
      <c r="B36" s="111" t="s">
        <v>1018</v>
      </c>
      <c r="C36" s="115" t="s">
        <v>1019</v>
      </c>
      <c r="D36" s="53" t="s">
        <v>1074</v>
      </c>
      <c r="E36" s="146" t="s">
        <v>1075</v>
      </c>
      <c r="F36" s="136" t="s">
        <v>1014</v>
      </c>
    </row>
    <row r="37" spans="2:6" ht="29">
      <c r="B37" s="137" t="s">
        <v>1076</v>
      </c>
      <c r="C37" s="138" t="s">
        <v>1019</v>
      </c>
      <c r="D37" s="139" t="s">
        <v>1077</v>
      </c>
      <c r="E37" s="147" t="s">
        <v>1025</v>
      </c>
      <c r="F37" s="136" t="s">
        <v>1014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L51"/>
  <sheetViews>
    <sheetView showGridLines="0" topLeftCell="A21" workbookViewId="0">
      <selection activeCell="D46" sqref="D46"/>
    </sheetView>
  </sheetViews>
  <sheetFormatPr defaultRowHeight="14.5"/>
  <cols>
    <col min="2" max="2" width="30.7265625" bestFit="1" customWidth="1"/>
    <col min="3" max="3" width="32.7265625" bestFit="1" customWidth="1"/>
    <col min="4" max="4" width="98.816406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5.54296875" bestFit="1"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28.81640625" bestFit="1" customWidth="1"/>
    <col min="29" max="29" width="26.81640625" bestFit="1" customWidth="1"/>
    <col min="30" max="30" width="30.7265625" bestFit="1" customWidth="1"/>
    <col min="31" max="31" width="25.1796875" bestFit="1" customWidth="1"/>
    <col min="32" max="32" width="45.7265625" bestFit="1" customWidth="1"/>
    <col min="33" max="33" width="33.54296875" customWidth="1"/>
    <col min="34" max="34" width="38.26953125" bestFit="1" customWidth="1"/>
    <col min="35" max="35" width="75.453125" bestFit="1" customWidth="1"/>
    <col min="36" max="36" width="26.81640625" bestFit="1" customWidth="1"/>
  </cols>
  <sheetData>
    <row r="1" spans="2:36" ht="27.75" customHeight="1"/>
    <row r="2" spans="2:36">
      <c r="B2" s="76" t="s">
        <v>1078</v>
      </c>
      <c r="C2" s="76" t="s">
        <v>954</v>
      </c>
      <c r="D2" s="76" t="s">
        <v>955</v>
      </c>
      <c r="E2" s="76" t="s">
        <v>956</v>
      </c>
      <c r="F2" s="76" t="s">
        <v>957</v>
      </c>
      <c r="G2" s="76" t="s">
        <v>958</v>
      </c>
      <c r="H2" s="76" t="s">
        <v>959</v>
      </c>
      <c r="I2" s="76" t="s">
        <v>102</v>
      </c>
      <c r="J2" s="76" t="s">
        <v>112</v>
      </c>
      <c r="K2" s="76" t="s">
        <v>116</v>
      </c>
      <c r="L2" s="76" t="s">
        <v>121</v>
      </c>
      <c r="M2" s="76" t="s">
        <v>127</v>
      </c>
      <c r="N2" s="76" t="s">
        <v>132</v>
      </c>
      <c r="O2" s="76" t="s">
        <v>135</v>
      </c>
      <c r="P2" s="76" t="s">
        <v>138</v>
      </c>
      <c r="Q2" s="76" t="s">
        <v>144</v>
      </c>
      <c r="R2" s="76" t="s">
        <v>149</v>
      </c>
      <c r="S2" s="76" t="s">
        <v>524</v>
      </c>
      <c r="T2" s="76" t="s">
        <v>525</v>
      </c>
      <c r="U2" s="76" t="s">
        <v>526</v>
      </c>
      <c r="V2" s="76" t="s">
        <v>551</v>
      </c>
      <c r="W2" s="76" t="s">
        <v>552</v>
      </c>
      <c r="X2" s="76" t="s">
        <v>553</v>
      </c>
      <c r="Y2" s="76" t="s">
        <v>554</v>
      </c>
      <c r="Z2" s="76" t="s">
        <v>555</v>
      </c>
      <c r="AA2" s="76" t="s">
        <v>556</v>
      </c>
      <c r="AB2" s="76" t="s">
        <v>557</v>
      </c>
      <c r="AC2" s="76" t="s">
        <v>558</v>
      </c>
      <c r="AD2" s="76" t="s">
        <v>559</v>
      </c>
      <c r="AE2" s="76" t="s">
        <v>560</v>
      </c>
      <c r="AF2" s="76" t="s">
        <v>190</v>
      </c>
      <c r="AG2" s="76" t="s">
        <v>196</v>
      </c>
      <c r="AH2" s="76" t="s">
        <v>202</v>
      </c>
      <c r="AI2" s="76" t="s">
        <v>208</v>
      </c>
      <c r="AJ2" s="76" t="s">
        <v>213</v>
      </c>
    </row>
    <row r="3" spans="2:36">
      <c r="B3" s="50" t="s">
        <v>907</v>
      </c>
      <c r="C3" s="50">
        <v>1</v>
      </c>
      <c r="D3" s="50" t="s">
        <v>1079</v>
      </c>
      <c r="E3" s="95">
        <v>45457</v>
      </c>
      <c r="F3" s="50">
        <v>1</v>
      </c>
      <c r="G3" s="50">
        <v>1</v>
      </c>
      <c r="H3" s="190" t="s">
        <v>1080</v>
      </c>
      <c r="I3" s="50" t="s">
        <v>961</v>
      </c>
      <c r="J3" s="50" t="s">
        <v>961</v>
      </c>
      <c r="K3" s="50" t="s">
        <v>961</v>
      </c>
      <c r="L3" s="50" t="s">
        <v>961</v>
      </c>
      <c r="M3" s="50" t="s">
        <v>961</v>
      </c>
      <c r="N3" s="50" t="s">
        <v>961</v>
      </c>
      <c r="O3" s="50" t="s">
        <v>961</v>
      </c>
      <c r="P3" s="50" t="s">
        <v>961</v>
      </c>
      <c r="Q3" s="50" t="s">
        <v>961</v>
      </c>
      <c r="R3" s="50" t="s">
        <v>961</v>
      </c>
      <c r="S3" s="50" t="s">
        <v>961</v>
      </c>
      <c r="T3" s="50" t="s">
        <v>961</v>
      </c>
      <c r="U3" s="50" t="s">
        <v>961</v>
      </c>
      <c r="V3" s="50" t="s">
        <v>961</v>
      </c>
      <c r="W3" s="50" t="s">
        <v>961</v>
      </c>
      <c r="X3" s="50" t="s">
        <v>961</v>
      </c>
      <c r="Y3" s="50" t="s">
        <v>961</v>
      </c>
      <c r="Z3" s="50" t="s">
        <v>961</v>
      </c>
      <c r="AA3" s="50" t="s">
        <v>961</v>
      </c>
      <c r="AB3" s="50" t="s">
        <v>961</v>
      </c>
      <c r="AC3" s="50" t="s">
        <v>961</v>
      </c>
      <c r="AD3" s="50" t="s">
        <v>961</v>
      </c>
      <c r="AE3" s="50" t="s">
        <v>961</v>
      </c>
      <c r="AF3" s="50" t="s">
        <v>961</v>
      </c>
      <c r="AG3" s="50" t="s">
        <v>961</v>
      </c>
      <c r="AH3" s="50" t="s">
        <v>961</v>
      </c>
      <c r="AI3" s="50" t="s">
        <v>961</v>
      </c>
      <c r="AJ3" s="50" t="s">
        <v>961</v>
      </c>
    </row>
    <row r="4" spans="2:36">
      <c r="B4" s="50" t="s">
        <v>909</v>
      </c>
      <c r="C4" s="50">
        <v>2</v>
      </c>
      <c r="D4" s="50" t="s">
        <v>1081</v>
      </c>
      <c r="E4" s="95">
        <v>45457</v>
      </c>
      <c r="F4" s="50">
        <v>1</v>
      </c>
      <c r="G4" s="50">
        <v>1</v>
      </c>
      <c r="H4" s="50" t="s">
        <v>1046</v>
      </c>
      <c r="I4" s="50" t="s">
        <v>961</v>
      </c>
      <c r="J4" s="50" t="s">
        <v>961</v>
      </c>
      <c r="K4" s="50" t="s">
        <v>961</v>
      </c>
      <c r="L4" s="50" t="s">
        <v>961</v>
      </c>
      <c r="M4" s="50" t="s">
        <v>961</v>
      </c>
      <c r="N4" s="50" t="s">
        <v>961</v>
      </c>
      <c r="O4" s="50" t="s">
        <v>961</v>
      </c>
      <c r="P4" s="50" t="s">
        <v>961</v>
      </c>
      <c r="Q4" s="50" t="s">
        <v>961</v>
      </c>
      <c r="R4" s="50" t="s">
        <v>961</v>
      </c>
      <c r="S4" s="50" t="s">
        <v>961</v>
      </c>
      <c r="T4" s="50" t="s">
        <v>961</v>
      </c>
      <c r="U4" s="50" t="s">
        <v>961</v>
      </c>
      <c r="V4" s="50" t="s">
        <v>961</v>
      </c>
      <c r="W4" s="50" t="s">
        <v>961</v>
      </c>
      <c r="X4" s="50" t="s">
        <v>961</v>
      </c>
      <c r="Y4" s="50" t="s">
        <v>961</v>
      </c>
      <c r="Z4" s="50" t="s">
        <v>961</v>
      </c>
      <c r="AA4" s="50" t="s">
        <v>961</v>
      </c>
      <c r="AB4" s="50" t="s">
        <v>961</v>
      </c>
      <c r="AC4" s="50" t="s">
        <v>961</v>
      </c>
      <c r="AD4" s="50" t="s">
        <v>961</v>
      </c>
      <c r="AE4" s="50" t="s">
        <v>961</v>
      </c>
      <c r="AF4" s="50" t="s">
        <v>961</v>
      </c>
      <c r="AG4" s="50" t="s">
        <v>961</v>
      </c>
      <c r="AH4" s="50" t="s">
        <v>961</v>
      </c>
      <c r="AI4" s="50" t="s">
        <v>961</v>
      </c>
      <c r="AJ4" s="50" t="s">
        <v>961</v>
      </c>
    </row>
    <row r="5" spans="2:36">
      <c r="B5" s="50" t="s">
        <v>911</v>
      </c>
      <c r="C5" s="50">
        <v>3</v>
      </c>
      <c r="D5" s="50" t="s">
        <v>1082</v>
      </c>
      <c r="E5" s="95">
        <v>45457</v>
      </c>
      <c r="F5" s="50">
        <v>1</v>
      </c>
      <c r="G5" s="50">
        <v>1</v>
      </c>
      <c r="H5" s="50" t="s">
        <v>1046</v>
      </c>
      <c r="I5" s="50">
        <v>0</v>
      </c>
      <c r="J5" s="50">
        <v>0</v>
      </c>
      <c r="K5" s="50" t="s">
        <v>961</v>
      </c>
      <c r="L5" s="50" t="s">
        <v>961</v>
      </c>
      <c r="M5" s="50" t="s">
        <v>961</v>
      </c>
      <c r="N5" s="50" t="s">
        <v>961</v>
      </c>
      <c r="O5" s="50" t="s">
        <v>961</v>
      </c>
      <c r="P5" s="50" t="s">
        <v>961</v>
      </c>
      <c r="Q5" s="50" t="s">
        <v>961</v>
      </c>
      <c r="R5" s="50" t="s">
        <v>961</v>
      </c>
      <c r="S5" s="50" t="s">
        <v>961</v>
      </c>
      <c r="T5" s="50" t="s">
        <v>961</v>
      </c>
      <c r="U5" s="50" t="s">
        <v>961</v>
      </c>
      <c r="V5" s="50" t="s">
        <v>961</v>
      </c>
      <c r="W5" s="50" t="s">
        <v>961</v>
      </c>
      <c r="X5" s="50" t="s">
        <v>961</v>
      </c>
      <c r="Y5" s="50" t="s">
        <v>961</v>
      </c>
      <c r="Z5" s="50" t="s">
        <v>961</v>
      </c>
      <c r="AA5" s="50" t="s">
        <v>961</v>
      </c>
      <c r="AB5" s="50" t="s">
        <v>961</v>
      </c>
      <c r="AC5" s="50" t="s">
        <v>961</v>
      </c>
      <c r="AD5" s="50" t="s">
        <v>961</v>
      </c>
      <c r="AE5" s="50" t="s">
        <v>961</v>
      </c>
      <c r="AF5" s="50" t="s">
        <v>961</v>
      </c>
      <c r="AG5" s="50" t="s">
        <v>961</v>
      </c>
      <c r="AH5" s="50" t="s">
        <v>961</v>
      </c>
      <c r="AI5" s="50">
        <v>0</v>
      </c>
      <c r="AJ5" s="50" t="s">
        <v>961</v>
      </c>
    </row>
    <row r="6" spans="2:36">
      <c r="B6" s="97" t="s">
        <v>913</v>
      </c>
      <c r="C6" s="50">
        <v>4</v>
      </c>
      <c r="D6" s="50" t="s">
        <v>964</v>
      </c>
      <c r="E6" s="95" t="s">
        <v>961</v>
      </c>
      <c r="F6" s="50">
        <v>1</v>
      </c>
      <c r="G6" s="95" t="s">
        <v>961</v>
      </c>
      <c r="H6" s="50"/>
      <c r="I6" s="50" t="s">
        <v>961</v>
      </c>
      <c r="J6" s="50" t="s">
        <v>961</v>
      </c>
      <c r="K6" s="50" t="s">
        <v>961</v>
      </c>
      <c r="L6" s="50" t="s">
        <v>961</v>
      </c>
      <c r="M6" s="50" t="s">
        <v>961</v>
      </c>
      <c r="N6" s="50" t="s">
        <v>961</v>
      </c>
      <c r="O6" s="50" t="s">
        <v>961</v>
      </c>
      <c r="P6" s="187" t="s">
        <v>961</v>
      </c>
      <c r="Q6" s="187" t="s">
        <v>961</v>
      </c>
      <c r="R6" s="50" t="s">
        <v>961</v>
      </c>
      <c r="S6" s="98" t="s">
        <v>961</v>
      </c>
      <c r="T6" s="98" t="s">
        <v>961</v>
      </c>
      <c r="U6" s="50" t="s">
        <v>961</v>
      </c>
      <c r="V6" s="50" t="s">
        <v>961</v>
      </c>
      <c r="W6" s="50" t="s">
        <v>961</v>
      </c>
      <c r="X6" s="50" t="s">
        <v>961</v>
      </c>
      <c r="Y6" s="50" t="s">
        <v>961</v>
      </c>
      <c r="Z6" s="50" t="s">
        <v>961</v>
      </c>
      <c r="AA6" s="50" t="s">
        <v>961</v>
      </c>
      <c r="AB6" s="50" t="s">
        <v>961</v>
      </c>
      <c r="AC6" s="50" t="s">
        <v>961</v>
      </c>
      <c r="AD6" s="50" t="s">
        <v>961</v>
      </c>
      <c r="AE6" s="50" t="s">
        <v>961</v>
      </c>
      <c r="AF6" s="50" t="s">
        <v>961</v>
      </c>
      <c r="AG6" s="50" t="s">
        <v>961</v>
      </c>
      <c r="AH6" s="191" t="s">
        <v>961</v>
      </c>
      <c r="AI6" s="50" t="s">
        <v>961</v>
      </c>
      <c r="AJ6" s="50" t="s">
        <v>961</v>
      </c>
    </row>
    <row r="7" spans="2:36">
      <c r="B7" s="50" t="s">
        <v>915</v>
      </c>
      <c r="C7" s="50">
        <v>5</v>
      </c>
      <c r="D7" s="50" t="s">
        <v>964</v>
      </c>
      <c r="E7" s="95" t="s">
        <v>961</v>
      </c>
      <c r="F7" s="50">
        <v>1</v>
      </c>
      <c r="G7" s="95" t="s">
        <v>961</v>
      </c>
      <c r="H7" s="50"/>
      <c r="I7" s="50" t="s">
        <v>961</v>
      </c>
      <c r="J7" s="50" t="s">
        <v>961</v>
      </c>
      <c r="K7" s="50" t="s">
        <v>961</v>
      </c>
      <c r="L7" s="50" t="s">
        <v>961</v>
      </c>
      <c r="M7" s="50" t="s">
        <v>961</v>
      </c>
      <c r="N7" s="50" t="s">
        <v>961</v>
      </c>
      <c r="O7" s="50" t="s">
        <v>961</v>
      </c>
      <c r="P7" s="187" t="s">
        <v>961</v>
      </c>
      <c r="Q7" s="187" t="s">
        <v>961</v>
      </c>
      <c r="R7" s="50" t="s">
        <v>961</v>
      </c>
      <c r="S7" s="50" t="s">
        <v>961</v>
      </c>
      <c r="T7" s="50" t="s">
        <v>961</v>
      </c>
      <c r="U7" s="50" t="s">
        <v>961</v>
      </c>
      <c r="V7" s="50" t="s">
        <v>961</v>
      </c>
      <c r="W7" s="50" t="s">
        <v>961</v>
      </c>
      <c r="X7" s="50" t="s">
        <v>961</v>
      </c>
      <c r="Y7" s="50" t="s">
        <v>961</v>
      </c>
      <c r="Z7" s="50" t="s">
        <v>961</v>
      </c>
      <c r="AA7" s="50" t="s">
        <v>961</v>
      </c>
      <c r="AB7" s="50" t="s">
        <v>961</v>
      </c>
      <c r="AC7" s="50" t="s">
        <v>961</v>
      </c>
      <c r="AD7" s="50" t="s">
        <v>961</v>
      </c>
      <c r="AE7" s="50" t="s">
        <v>961</v>
      </c>
      <c r="AF7" s="50" t="s">
        <v>961</v>
      </c>
      <c r="AG7" s="50" t="s">
        <v>961</v>
      </c>
      <c r="AH7" s="191" t="s">
        <v>961</v>
      </c>
      <c r="AI7" s="50" t="s">
        <v>961</v>
      </c>
      <c r="AJ7" s="50" t="s">
        <v>961</v>
      </c>
    </row>
    <row r="8" spans="2:36">
      <c r="B8" s="50" t="s">
        <v>916</v>
      </c>
      <c r="C8" s="50">
        <v>6</v>
      </c>
      <c r="D8" s="50" t="s">
        <v>1083</v>
      </c>
      <c r="E8" s="95">
        <v>45457</v>
      </c>
      <c r="F8" s="50">
        <v>1</v>
      </c>
      <c r="G8" s="50" cm="1">
        <f t="array" ref="G8">SUMPRODUCT(--(I8:AJ8&gt;0))/COUNTA(I8:AJ8)</f>
        <v>1</v>
      </c>
      <c r="H8" s="50" t="s">
        <v>1046</v>
      </c>
      <c r="I8" s="50">
        <v>2</v>
      </c>
      <c r="J8" s="50">
        <v>30</v>
      </c>
      <c r="K8" s="50">
        <v>3</v>
      </c>
      <c r="L8" s="50">
        <v>3</v>
      </c>
      <c r="M8" s="50">
        <v>3</v>
      </c>
      <c r="N8" s="50">
        <v>2</v>
      </c>
      <c r="O8" s="50">
        <v>30</v>
      </c>
      <c r="P8" s="95">
        <v>10</v>
      </c>
      <c r="Q8" s="95">
        <v>10</v>
      </c>
      <c r="R8" s="50">
        <v>3</v>
      </c>
      <c r="S8" s="98">
        <v>8</v>
      </c>
      <c r="T8" s="50">
        <v>8</v>
      </c>
      <c r="U8" s="50">
        <v>8</v>
      </c>
      <c r="V8" s="50">
        <v>27</v>
      </c>
      <c r="W8" s="50">
        <v>24</v>
      </c>
      <c r="X8" s="50">
        <v>26</v>
      </c>
      <c r="Y8" s="50">
        <v>22</v>
      </c>
      <c r="Z8" s="50">
        <v>29</v>
      </c>
      <c r="AA8" s="50">
        <v>26</v>
      </c>
      <c r="AB8" s="50">
        <v>24</v>
      </c>
      <c r="AC8" s="50">
        <v>26</v>
      </c>
      <c r="AD8" s="50">
        <v>22</v>
      </c>
      <c r="AE8" s="50">
        <v>29</v>
      </c>
      <c r="AF8" s="50">
        <v>3</v>
      </c>
      <c r="AG8" s="50" t="s">
        <v>1084</v>
      </c>
      <c r="AH8" s="50">
        <v>2</v>
      </c>
      <c r="AI8" s="50">
        <v>10</v>
      </c>
      <c r="AJ8" s="50">
        <v>23</v>
      </c>
    </row>
    <row r="9" spans="2:36">
      <c r="B9" s="50" t="s">
        <v>919</v>
      </c>
      <c r="C9" s="50">
        <v>7</v>
      </c>
      <c r="D9" s="50" t="s">
        <v>1085</v>
      </c>
      <c r="E9" s="95">
        <v>45457</v>
      </c>
      <c r="F9" s="50">
        <v>1</v>
      </c>
      <c r="G9" s="50" t="e" cm="1">
        <f t="array" aca="1" ref="G9" ca="1">SUMPRODUCT(--(I9:AJ9&lt;=I29:AJ29))/COUNTA(I29:AJ29)</f>
        <v>#NAME?</v>
      </c>
      <c r="H9" s="50" t="s">
        <v>1046</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1084</v>
      </c>
      <c r="AH9" s="50">
        <v>2</v>
      </c>
      <c r="AI9" s="50">
        <v>10</v>
      </c>
      <c r="AJ9" s="50">
        <v>23</v>
      </c>
    </row>
    <row r="10" spans="2:36">
      <c r="B10" s="97" t="s">
        <v>922</v>
      </c>
      <c r="C10" s="50">
        <v>8</v>
      </c>
      <c r="D10" s="50" t="s">
        <v>1086</v>
      </c>
      <c r="E10" s="95">
        <v>45457</v>
      </c>
      <c r="F10" s="50">
        <v>1</v>
      </c>
      <c r="G10" s="95" t="s">
        <v>961</v>
      </c>
      <c r="H10" s="50" t="s">
        <v>1046</v>
      </c>
      <c r="I10" s="50">
        <v>31</v>
      </c>
      <c r="J10" s="50">
        <v>2.0734299999999999E+22</v>
      </c>
      <c r="K10" s="50" t="s">
        <v>1087</v>
      </c>
      <c r="L10" s="50">
        <v>20</v>
      </c>
      <c r="M10" s="50">
        <v>100</v>
      </c>
      <c r="N10" s="50">
        <v>31</v>
      </c>
      <c r="O10" s="95">
        <v>2.0734001E+22</v>
      </c>
      <c r="P10" s="95">
        <v>30288</v>
      </c>
      <c r="Q10" s="98" t="s">
        <v>969</v>
      </c>
      <c r="R10" s="50">
        <v>124</v>
      </c>
      <c r="S10" s="95" t="s">
        <v>1088</v>
      </c>
      <c r="T10" s="95" t="s">
        <v>970</v>
      </c>
      <c r="U10" s="98">
        <v>-998680190000</v>
      </c>
      <c r="V10" s="50" t="s">
        <v>551</v>
      </c>
      <c r="W10" s="98" t="s">
        <v>552</v>
      </c>
      <c r="X10" s="50" t="s">
        <v>553</v>
      </c>
      <c r="Y10" s="50" t="s">
        <v>554</v>
      </c>
      <c r="Z10" s="50" t="s">
        <v>555</v>
      </c>
      <c r="AA10" s="50" t="s">
        <v>556</v>
      </c>
      <c r="AB10" s="50" t="s">
        <v>557</v>
      </c>
      <c r="AC10" s="95" t="s">
        <v>558</v>
      </c>
      <c r="AD10" s="50" t="s">
        <v>559</v>
      </c>
      <c r="AE10" s="50" t="s">
        <v>560</v>
      </c>
      <c r="AF10" s="50" t="s">
        <v>971</v>
      </c>
      <c r="AG10" s="50" t="s">
        <v>1084</v>
      </c>
      <c r="AH10" s="95" t="s">
        <v>1089</v>
      </c>
      <c r="AI10" s="95">
        <v>45457</v>
      </c>
      <c r="AJ10" s="50" t="s">
        <v>1090</v>
      </c>
    </row>
    <row r="11" spans="2:36">
      <c r="B11" s="50" t="s">
        <v>924</v>
      </c>
      <c r="C11" s="50">
        <v>9</v>
      </c>
      <c r="D11" s="50" t="s">
        <v>1091</v>
      </c>
      <c r="E11" s="95">
        <v>45457</v>
      </c>
      <c r="F11" s="50">
        <v>1</v>
      </c>
      <c r="G11" s="95" t="s">
        <v>961</v>
      </c>
      <c r="H11" s="50" t="s">
        <v>1046</v>
      </c>
      <c r="I11" s="50">
        <v>31</v>
      </c>
      <c r="J11" s="50">
        <v>2.0734299999999999E+22</v>
      </c>
      <c r="K11" s="50" t="s">
        <v>1092</v>
      </c>
      <c r="L11" s="50">
        <v>20</v>
      </c>
      <c r="M11" s="50">
        <v>100</v>
      </c>
      <c r="N11" s="50">
        <v>31</v>
      </c>
      <c r="O11" s="95">
        <v>2.0734001E+22</v>
      </c>
      <c r="P11" s="95">
        <v>30288</v>
      </c>
      <c r="Q11" s="95" t="s">
        <v>969</v>
      </c>
      <c r="R11" s="50">
        <v>124</v>
      </c>
      <c r="S11" s="95" t="s">
        <v>1093</v>
      </c>
      <c r="T11" s="95" t="s">
        <v>1046</v>
      </c>
      <c r="U11" s="50" t="s">
        <v>1094</v>
      </c>
      <c r="V11" s="50" t="s">
        <v>551</v>
      </c>
      <c r="W11" s="50" t="s">
        <v>552</v>
      </c>
      <c r="X11" s="50" t="s">
        <v>553</v>
      </c>
      <c r="Y11" s="50" t="s">
        <v>554</v>
      </c>
      <c r="Z11" s="50" t="s">
        <v>555</v>
      </c>
      <c r="AA11" s="50" t="s">
        <v>556</v>
      </c>
      <c r="AB11" s="50" t="s">
        <v>557</v>
      </c>
      <c r="AC11" s="95" t="s">
        <v>558</v>
      </c>
      <c r="AD11" s="50" t="s">
        <v>559</v>
      </c>
      <c r="AE11" s="50" t="s">
        <v>560</v>
      </c>
      <c r="AF11" s="50">
        <v>0</v>
      </c>
      <c r="AG11" s="50" t="s">
        <v>196</v>
      </c>
      <c r="AH11" s="95" t="s">
        <v>1089</v>
      </c>
      <c r="AI11" s="95">
        <v>45457</v>
      </c>
      <c r="AJ11" s="50" t="s">
        <v>1095</v>
      </c>
    </row>
    <row r="12" spans="2:36">
      <c r="B12" s="50" t="s">
        <v>926</v>
      </c>
      <c r="C12" s="50">
        <v>10</v>
      </c>
      <c r="D12" s="50" t="s">
        <v>1096</v>
      </c>
      <c r="E12" s="95">
        <v>45457</v>
      </c>
      <c r="F12" s="50">
        <v>1</v>
      </c>
      <c r="G12" s="95" t="s">
        <v>961</v>
      </c>
      <c r="H12" s="50" t="s">
        <v>1046</v>
      </c>
      <c r="I12" s="50">
        <v>31</v>
      </c>
      <c r="J12" s="50">
        <v>2.3370179682002001E+29</v>
      </c>
      <c r="K12" s="50" t="s">
        <v>1087</v>
      </c>
      <c r="L12" s="50">
        <v>224</v>
      </c>
      <c r="M12" s="50" t="s">
        <v>1097</v>
      </c>
      <c r="N12" s="50">
        <v>31</v>
      </c>
      <c r="O12" s="187">
        <v>2.3950569509102E+29</v>
      </c>
      <c r="P12" s="187">
        <v>45457</v>
      </c>
      <c r="Q12" s="187" t="s">
        <v>969</v>
      </c>
      <c r="R12" s="50">
        <v>978</v>
      </c>
      <c r="S12" s="187">
        <v>100424890300000</v>
      </c>
      <c r="T12" s="187">
        <v>3415494900000</v>
      </c>
      <c r="U12" s="98">
        <v>100424890300000</v>
      </c>
      <c r="V12" s="98" t="s">
        <v>551</v>
      </c>
      <c r="W12" s="98" t="s">
        <v>552</v>
      </c>
      <c r="X12" s="98" t="s">
        <v>553</v>
      </c>
      <c r="Y12" s="98" t="s">
        <v>554</v>
      </c>
      <c r="Z12" s="50" t="s">
        <v>555</v>
      </c>
      <c r="AA12" s="50" t="s">
        <v>556</v>
      </c>
      <c r="AB12" s="50" t="s">
        <v>557</v>
      </c>
      <c r="AC12" s="187" t="s">
        <v>558</v>
      </c>
      <c r="AD12" s="50" t="s">
        <v>559</v>
      </c>
      <c r="AE12" s="50" t="s">
        <v>560</v>
      </c>
      <c r="AF12" s="50" t="s">
        <v>1098</v>
      </c>
      <c r="AG12" s="50" t="s">
        <v>1084</v>
      </c>
      <c r="AH12" s="187" t="s">
        <v>1089</v>
      </c>
      <c r="AI12" s="95">
        <v>45457</v>
      </c>
      <c r="AJ12" s="50" t="s">
        <v>1090</v>
      </c>
    </row>
    <row r="13" spans="2:36">
      <c r="B13" s="50" t="s">
        <v>928</v>
      </c>
      <c r="C13" s="50">
        <v>11</v>
      </c>
      <c r="D13" s="50" t="s">
        <v>1099</v>
      </c>
      <c r="E13" s="95">
        <v>45457</v>
      </c>
      <c r="F13" s="50">
        <v>1</v>
      </c>
      <c r="G13" s="95" t="s">
        <v>961</v>
      </c>
      <c r="H13" s="50" t="s">
        <v>1046</v>
      </c>
      <c r="I13" s="50">
        <v>31</v>
      </c>
      <c r="J13" s="50">
        <v>2.3370179682002001E+29</v>
      </c>
      <c r="K13" s="50" t="s">
        <v>1092</v>
      </c>
      <c r="L13" s="50">
        <v>224</v>
      </c>
      <c r="M13" s="50" t="s">
        <v>1097</v>
      </c>
      <c r="N13" s="50">
        <v>31</v>
      </c>
      <c r="O13" s="95">
        <v>2.3950569509102E+29</v>
      </c>
      <c r="P13" s="187">
        <v>45457</v>
      </c>
      <c r="Q13" s="187" t="s">
        <v>969</v>
      </c>
      <c r="R13" s="50">
        <v>978</v>
      </c>
      <c r="S13" s="95" t="s">
        <v>1100</v>
      </c>
      <c r="T13" s="95" t="s">
        <v>1101</v>
      </c>
      <c r="U13" s="50" t="s">
        <v>1100</v>
      </c>
      <c r="V13" s="50" t="s">
        <v>551</v>
      </c>
      <c r="W13" s="50" t="s">
        <v>552</v>
      </c>
      <c r="X13" s="50" t="s">
        <v>553</v>
      </c>
      <c r="Y13" s="50" t="s">
        <v>554</v>
      </c>
      <c r="Z13" s="50" t="s">
        <v>555</v>
      </c>
      <c r="AA13" s="50" t="s">
        <v>556</v>
      </c>
      <c r="AB13" s="50" t="s">
        <v>557</v>
      </c>
      <c r="AC13" s="95" t="s">
        <v>558</v>
      </c>
      <c r="AD13" s="50" t="s">
        <v>559</v>
      </c>
      <c r="AE13" s="50" t="s">
        <v>560</v>
      </c>
      <c r="AF13" s="50">
        <v>5</v>
      </c>
      <c r="AG13" s="50" t="s">
        <v>196</v>
      </c>
      <c r="AH13" s="95" t="s">
        <v>1089</v>
      </c>
      <c r="AI13" s="95">
        <v>45457</v>
      </c>
      <c r="AJ13" s="50" t="s">
        <v>1102</v>
      </c>
    </row>
    <row r="14" spans="2:36">
      <c r="B14" s="50" t="s">
        <v>930</v>
      </c>
      <c r="C14" s="50">
        <v>12</v>
      </c>
      <c r="D14" s="50" t="s">
        <v>1103</v>
      </c>
      <c r="E14" s="95">
        <v>45457</v>
      </c>
      <c r="F14" s="50">
        <v>1</v>
      </c>
      <c r="G14" s="50">
        <v>0.93</v>
      </c>
      <c r="H14" s="50" t="s">
        <v>1046</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932</v>
      </c>
      <c r="C15" s="50">
        <v>13</v>
      </c>
      <c r="D15" s="50" t="s">
        <v>1104</v>
      </c>
      <c r="E15" s="95">
        <v>45457</v>
      </c>
      <c r="F15" s="50">
        <v>1</v>
      </c>
      <c r="G15" s="50">
        <v>1</v>
      </c>
      <c r="H15" s="50" t="s">
        <v>1046</v>
      </c>
      <c r="I15" s="50" t="s">
        <v>961</v>
      </c>
      <c r="J15" s="50" t="s">
        <v>961</v>
      </c>
      <c r="K15" s="50" t="s">
        <v>961</v>
      </c>
      <c r="L15" s="50" t="s">
        <v>961</v>
      </c>
      <c r="M15" s="50" t="s">
        <v>961</v>
      </c>
      <c r="N15" s="50" t="s">
        <v>961</v>
      </c>
      <c r="O15" s="97" t="s">
        <v>961</v>
      </c>
      <c r="P15" s="97">
        <v>0</v>
      </c>
      <c r="Q15" s="97">
        <v>0</v>
      </c>
      <c r="R15" s="50" t="s">
        <v>961</v>
      </c>
      <c r="S15" s="50" t="s">
        <v>961</v>
      </c>
      <c r="T15" s="97" t="s">
        <v>961</v>
      </c>
      <c r="U15" s="50" t="s">
        <v>961</v>
      </c>
      <c r="V15" s="50" t="s">
        <v>961</v>
      </c>
      <c r="W15" s="50" t="s">
        <v>961</v>
      </c>
      <c r="X15" s="50" t="s">
        <v>961</v>
      </c>
      <c r="Y15" s="50" t="s">
        <v>961</v>
      </c>
      <c r="Z15" s="50" t="s">
        <v>961</v>
      </c>
      <c r="AA15" s="50" t="s">
        <v>961</v>
      </c>
      <c r="AB15" s="50" t="s">
        <v>961</v>
      </c>
      <c r="AC15" s="50" t="s">
        <v>961</v>
      </c>
      <c r="AD15" s="50" t="s">
        <v>961</v>
      </c>
      <c r="AE15" s="50" t="s">
        <v>961</v>
      </c>
      <c r="AF15" s="50" t="s">
        <v>961</v>
      </c>
      <c r="AG15" s="50" t="s">
        <v>961</v>
      </c>
      <c r="AH15" s="50" t="s">
        <v>961</v>
      </c>
      <c r="AI15" s="50" t="s">
        <v>961</v>
      </c>
      <c r="AJ15" s="50" t="s">
        <v>961</v>
      </c>
    </row>
    <row r="16" spans="2:36">
      <c r="B16" s="50" t="s">
        <v>934</v>
      </c>
      <c r="C16" s="50">
        <v>14</v>
      </c>
      <c r="D16" s="50" t="s">
        <v>1105</v>
      </c>
      <c r="E16" s="95">
        <v>45457</v>
      </c>
      <c r="F16" s="50">
        <v>1</v>
      </c>
      <c r="G16" s="50">
        <v>1</v>
      </c>
      <c r="H16" s="50" t="s">
        <v>1046</v>
      </c>
      <c r="I16" s="50" t="s">
        <v>961</v>
      </c>
      <c r="J16" s="50" t="s">
        <v>961</v>
      </c>
      <c r="K16" s="50" t="s">
        <v>961</v>
      </c>
      <c r="L16" s="50" t="s">
        <v>961</v>
      </c>
      <c r="M16" s="50" t="s">
        <v>961</v>
      </c>
      <c r="N16" s="50" t="s">
        <v>961</v>
      </c>
      <c r="O16" s="50" t="s">
        <v>961</v>
      </c>
      <c r="P16" s="50" t="s">
        <v>961</v>
      </c>
      <c r="Q16" s="50" t="s">
        <v>961</v>
      </c>
      <c r="R16" s="50">
        <v>0</v>
      </c>
      <c r="S16" s="97" t="s">
        <v>961</v>
      </c>
      <c r="T16" s="50" t="s">
        <v>961</v>
      </c>
      <c r="U16" s="50" t="s">
        <v>961</v>
      </c>
      <c r="V16" s="50">
        <v>0</v>
      </c>
      <c r="W16" s="50" t="s">
        <v>961</v>
      </c>
      <c r="X16" s="50" t="s">
        <v>961</v>
      </c>
      <c r="Y16" s="50" t="s">
        <v>961</v>
      </c>
      <c r="Z16" s="50" t="s">
        <v>961</v>
      </c>
      <c r="AA16" s="50">
        <v>0</v>
      </c>
      <c r="AB16" s="50" t="s">
        <v>961</v>
      </c>
      <c r="AC16" s="50" t="s">
        <v>961</v>
      </c>
      <c r="AD16" s="50" t="s">
        <v>961</v>
      </c>
      <c r="AE16" s="50" t="s">
        <v>961</v>
      </c>
      <c r="AF16" s="50">
        <v>0</v>
      </c>
      <c r="AG16" s="50">
        <v>0</v>
      </c>
      <c r="AH16" s="50">
        <v>0</v>
      </c>
      <c r="AI16" s="50" t="s">
        <v>961</v>
      </c>
      <c r="AJ16" s="50" t="s">
        <v>961</v>
      </c>
    </row>
    <row r="17" spans="2:38">
      <c r="B17" s="50" t="s">
        <v>936</v>
      </c>
      <c r="C17" s="50">
        <v>15</v>
      </c>
      <c r="D17" s="50" t="s">
        <v>1106</v>
      </c>
      <c r="E17" s="95">
        <v>45457</v>
      </c>
      <c r="F17" s="50">
        <v>1</v>
      </c>
      <c r="G17" s="50">
        <v>1</v>
      </c>
      <c r="H17" s="181" t="s">
        <v>1046</v>
      </c>
      <c r="I17" s="50" t="s">
        <v>961</v>
      </c>
      <c r="J17" s="50" t="s">
        <v>961</v>
      </c>
      <c r="K17" s="50" t="s">
        <v>961</v>
      </c>
      <c r="L17" s="50" t="s">
        <v>961</v>
      </c>
      <c r="M17" s="50" t="s">
        <v>961</v>
      </c>
      <c r="N17" s="50" t="s">
        <v>961</v>
      </c>
      <c r="O17" s="50" t="s">
        <v>961</v>
      </c>
      <c r="P17" s="50" t="s">
        <v>961</v>
      </c>
      <c r="Q17" s="50" t="s">
        <v>961</v>
      </c>
      <c r="R17" s="50" t="s">
        <v>961</v>
      </c>
      <c r="S17" s="50" t="s">
        <v>961</v>
      </c>
      <c r="T17" s="50" t="s">
        <v>961</v>
      </c>
      <c r="U17" s="50" t="s">
        <v>961</v>
      </c>
      <c r="V17" s="50" t="s">
        <v>961</v>
      </c>
      <c r="W17" s="50" t="s">
        <v>961</v>
      </c>
      <c r="X17" s="50" t="s">
        <v>961</v>
      </c>
      <c r="Y17" s="50" t="s">
        <v>961</v>
      </c>
      <c r="Z17" s="50" t="s">
        <v>961</v>
      </c>
      <c r="AA17" s="50" t="s">
        <v>961</v>
      </c>
      <c r="AB17" s="50" t="s">
        <v>961</v>
      </c>
      <c r="AC17" s="50" t="s">
        <v>961</v>
      </c>
      <c r="AD17" s="50" t="s">
        <v>961</v>
      </c>
      <c r="AE17" s="50" t="s">
        <v>961</v>
      </c>
      <c r="AF17" s="50" t="s">
        <v>961</v>
      </c>
      <c r="AG17" s="50" t="s">
        <v>961</v>
      </c>
      <c r="AH17" s="50" t="s">
        <v>961</v>
      </c>
      <c r="AI17" s="50" t="s">
        <v>961</v>
      </c>
      <c r="AJ17" s="50" t="s">
        <v>961</v>
      </c>
    </row>
    <row r="18" spans="2:38">
      <c r="B18" s="50" t="s">
        <v>938</v>
      </c>
      <c r="C18" s="50">
        <v>16</v>
      </c>
      <c r="D18" s="50" t="s">
        <v>1106</v>
      </c>
      <c r="E18" s="95">
        <v>45457</v>
      </c>
      <c r="F18" s="50">
        <v>1</v>
      </c>
      <c r="G18" s="50">
        <v>1</v>
      </c>
      <c r="H18" s="181" t="s">
        <v>1046</v>
      </c>
      <c r="I18" s="50" t="s">
        <v>961</v>
      </c>
      <c r="J18" s="50" t="s">
        <v>961</v>
      </c>
      <c r="K18" s="50" t="s">
        <v>961</v>
      </c>
      <c r="L18" s="50" t="s">
        <v>961</v>
      </c>
      <c r="M18" s="50" t="s">
        <v>961</v>
      </c>
      <c r="N18" s="50" t="s">
        <v>961</v>
      </c>
      <c r="O18" s="50" t="s">
        <v>961</v>
      </c>
      <c r="P18" s="50" t="s">
        <v>961</v>
      </c>
      <c r="Q18" s="50" t="s">
        <v>961</v>
      </c>
      <c r="R18" s="50" t="s">
        <v>961</v>
      </c>
      <c r="S18" s="50" t="s">
        <v>961</v>
      </c>
      <c r="T18" s="50" t="s">
        <v>961</v>
      </c>
      <c r="U18" s="50" t="s">
        <v>961</v>
      </c>
      <c r="V18" s="50" t="s">
        <v>961</v>
      </c>
      <c r="W18" s="50" t="s">
        <v>961</v>
      </c>
      <c r="X18" s="50" t="s">
        <v>961</v>
      </c>
      <c r="Y18" s="50" t="s">
        <v>961</v>
      </c>
      <c r="Z18" s="50" t="s">
        <v>961</v>
      </c>
      <c r="AA18" s="50" t="s">
        <v>961</v>
      </c>
      <c r="AB18" s="50" t="s">
        <v>961</v>
      </c>
      <c r="AC18" s="50" t="s">
        <v>961</v>
      </c>
      <c r="AD18" s="50" t="s">
        <v>961</v>
      </c>
      <c r="AE18" s="50" t="s">
        <v>961</v>
      </c>
      <c r="AF18" s="50" t="s">
        <v>961</v>
      </c>
      <c r="AG18" s="50" t="s">
        <v>961</v>
      </c>
      <c r="AH18" s="50" t="s">
        <v>961</v>
      </c>
      <c r="AI18" s="50" t="s">
        <v>961</v>
      </c>
      <c r="AJ18" s="50" t="s">
        <v>961</v>
      </c>
    </row>
    <row r="19" spans="2:38">
      <c r="B19" s="50" t="s">
        <v>940</v>
      </c>
      <c r="C19" s="50">
        <v>17</v>
      </c>
      <c r="D19" s="50" t="s">
        <v>1107</v>
      </c>
      <c r="E19" s="95">
        <v>45457</v>
      </c>
      <c r="F19" s="50">
        <v>1</v>
      </c>
      <c r="G19" s="50" t="s">
        <v>1108</v>
      </c>
      <c r="H19" s="50">
        <v>229642</v>
      </c>
      <c r="I19" s="50" t="s">
        <v>961</v>
      </c>
      <c r="J19" s="50" t="s">
        <v>961</v>
      </c>
      <c r="K19" s="50" t="s">
        <v>961</v>
      </c>
      <c r="L19" s="50" t="s">
        <v>961</v>
      </c>
      <c r="M19" s="50" t="s">
        <v>961</v>
      </c>
      <c r="N19" s="50" t="s">
        <v>961</v>
      </c>
      <c r="O19" s="50" t="s">
        <v>961</v>
      </c>
      <c r="P19" s="97" t="s">
        <v>961</v>
      </c>
      <c r="Q19" s="97" t="s">
        <v>961</v>
      </c>
      <c r="R19" s="50" t="s">
        <v>961</v>
      </c>
      <c r="S19" s="50" t="s">
        <v>961</v>
      </c>
      <c r="T19" s="50" t="s">
        <v>961</v>
      </c>
      <c r="U19" s="50" t="s">
        <v>961</v>
      </c>
      <c r="V19" s="50" t="s">
        <v>961</v>
      </c>
      <c r="W19" s="50" t="s">
        <v>961</v>
      </c>
      <c r="X19" s="50" t="s">
        <v>961</v>
      </c>
      <c r="Y19" s="50" t="s">
        <v>961</v>
      </c>
      <c r="Z19" s="50" t="s">
        <v>961</v>
      </c>
      <c r="AA19" s="50" t="s">
        <v>961</v>
      </c>
      <c r="AB19" s="50" t="s">
        <v>961</v>
      </c>
      <c r="AC19" s="50" t="s">
        <v>961</v>
      </c>
      <c r="AD19" s="50" t="s">
        <v>961</v>
      </c>
      <c r="AE19" s="50" t="s">
        <v>961</v>
      </c>
      <c r="AF19" s="50" t="s">
        <v>961</v>
      </c>
      <c r="AG19" s="50" t="s">
        <v>961</v>
      </c>
      <c r="AH19" s="50" t="s">
        <v>961</v>
      </c>
      <c r="AI19" s="50" t="s">
        <v>961</v>
      </c>
      <c r="AJ19" s="50" t="s">
        <v>961</v>
      </c>
    </row>
    <row r="20" spans="2:38">
      <c r="B20" s="50" t="s">
        <v>942</v>
      </c>
      <c r="C20" s="50">
        <v>18</v>
      </c>
      <c r="D20" s="50" t="s">
        <v>1107</v>
      </c>
      <c r="E20" s="95">
        <v>45457</v>
      </c>
      <c r="F20" s="50">
        <v>1</v>
      </c>
      <c r="G20" s="50" t="s">
        <v>1109</v>
      </c>
      <c r="H20" s="50">
        <v>1188</v>
      </c>
      <c r="I20" s="50" t="s">
        <v>961</v>
      </c>
      <c r="J20" s="50" t="s">
        <v>961</v>
      </c>
      <c r="K20" s="50" t="s">
        <v>961</v>
      </c>
      <c r="L20" s="50" t="s">
        <v>961</v>
      </c>
      <c r="M20" s="50" t="s">
        <v>961</v>
      </c>
      <c r="N20" s="50" t="s">
        <v>961</v>
      </c>
      <c r="O20" s="50" t="s">
        <v>961</v>
      </c>
      <c r="P20" s="50" t="s">
        <v>961</v>
      </c>
      <c r="Q20" s="50" t="s">
        <v>961</v>
      </c>
      <c r="R20" s="50" t="s">
        <v>961</v>
      </c>
      <c r="S20" s="50" t="s">
        <v>961</v>
      </c>
      <c r="T20" s="50" t="s">
        <v>961</v>
      </c>
      <c r="U20" s="50" t="s">
        <v>961</v>
      </c>
      <c r="V20" s="50" t="s">
        <v>961</v>
      </c>
      <c r="W20" s="50" t="s">
        <v>961</v>
      </c>
      <c r="X20" s="50" t="s">
        <v>961</v>
      </c>
      <c r="Y20" s="50" t="s">
        <v>961</v>
      </c>
      <c r="Z20" s="50" t="s">
        <v>961</v>
      </c>
      <c r="AA20" s="50" t="s">
        <v>961</v>
      </c>
      <c r="AB20" s="50" t="s">
        <v>961</v>
      </c>
      <c r="AC20" s="50" t="s">
        <v>961</v>
      </c>
      <c r="AD20" s="50" t="s">
        <v>961</v>
      </c>
      <c r="AE20" s="50" t="s">
        <v>961</v>
      </c>
      <c r="AF20" s="50" t="s">
        <v>961</v>
      </c>
      <c r="AG20" s="50" t="s">
        <v>961</v>
      </c>
      <c r="AH20" s="50" t="s">
        <v>961</v>
      </c>
      <c r="AI20" s="50" t="s">
        <v>961</v>
      </c>
      <c r="AJ20" s="50" t="s">
        <v>961</v>
      </c>
    </row>
    <row r="21" spans="2:38">
      <c r="B21" s="50" t="s">
        <v>944</v>
      </c>
      <c r="C21" s="50">
        <v>19</v>
      </c>
      <c r="D21" s="50" t="s">
        <v>1110</v>
      </c>
      <c r="E21" s="95">
        <v>45457</v>
      </c>
      <c r="F21" s="50">
        <v>1</v>
      </c>
      <c r="G21" s="50" cm="1">
        <f t="array" aca="1" ref="G21" ca="1">SUMPRODUCT(--(ISNUMBER((SEARCH(I28:AJ28,I21:AJ21)))))/COUNTA(I21:AJ21)</f>
        <v>0</v>
      </c>
      <c r="H21" s="50" t="s">
        <v>1046</v>
      </c>
      <c r="I21" s="50" t="s">
        <v>995</v>
      </c>
      <c r="J21" s="50" t="s">
        <v>995</v>
      </c>
      <c r="K21" s="50" t="s">
        <v>995</v>
      </c>
      <c r="L21" s="50" t="s">
        <v>995</v>
      </c>
      <c r="M21" s="50" t="s">
        <v>995</v>
      </c>
      <c r="N21" s="50" t="s">
        <v>995</v>
      </c>
      <c r="O21" s="50" t="s">
        <v>995</v>
      </c>
      <c r="P21" s="50" t="s">
        <v>995</v>
      </c>
      <c r="Q21" s="50" t="s">
        <v>995</v>
      </c>
      <c r="R21" s="50" t="s">
        <v>995</v>
      </c>
      <c r="S21" s="50" t="s">
        <v>996</v>
      </c>
      <c r="T21" s="50" t="s">
        <v>996</v>
      </c>
      <c r="U21" s="50" t="s">
        <v>996</v>
      </c>
      <c r="V21" s="50" t="s">
        <v>995</v>
      </c>
      <c r="W21" s="50" t="s">
        <v>995</v>
      </c>
      <c r="X21" s="50" t="s">
        <v>995</v>
      </c>
      <c r="Y21" s="50" t="s">
        <v>995</v>
      </c>
      <c r="Z21" s="50" t="s">
        <v>995</v>
      </c>
      <c r="AA21" s="50" t="s">
        <v>995</v>
      </c>
      <c r="AB21" s="50" t="s">
        <v>995</v>
      </c>
      <c r="AC21" s="50" t="s">
        <v>995</v>
      </c>
      <c r="AD21" s="50" t="s">
        <v>995</v>
      </c>
      <c r="AE21" s="50" t="s">
        <v>995</v>
      </c>
      <c r="AF21" s="50" t="s">
        <v>995</v>
      </c>
      <c r="AG21" s="50" t="s">
        <v>995</v>
      </c>
      <c r="AH21" s="50" t="s">
        <v>995</v>
      </c>
      <c r="AI21" s="50" t="s">
        <v>995</v>
      </c>
      <c r="AJ21" s="50" t="s">
        <v>997</v>
      </c>
    </row>
    <row r="22" spans="2:38">
      <c r="B22" s="97" t="s">
        <v>947</v>
      </c>
      <c r="C22" s="50">
        <v>20</v>
      </c>
      <c r="D22" s="50" t="s">
        <v>1107</v>
      </c>
      <c r="E22" s="95">
        <v>45457</v>
      </c>
      <c r="F22" s="50">
        <v>1</v>
      </c>
      <c r="G22" s="50" t="e" cm="1">
        <f t="array" aca="1" ref="G22" ca="1">SUM(IF(I2:AJ2 = I27:AJ27, 1, 0))/ COUNTA(I2:AJ2)</f>
        <v>#NAME?</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8">
      <c r="B23" s="50" t="s">
        <v>950</v>
      </c>
      <c r="C23" s="50">
        <v>21</v>
      </c>
      <c r="D23" s="50" t="s">
        <v>1110</v>
      </c>
      <c r="E23" s="95">
        <v>45457</v>
      </c>
      <c r="F23" s="50">
        <v>1</v>
      </c>
      <c r="G23" s="50" t="e" cm="1">
        <f t="array" aca="1" ref="G23" ca="1">SUM(IF(IF(G3:G18="null",1,G3:G18)=1,1,0))/COUNT(IF(G3:G18="null",1,1))</f>
        <v>#NAME?</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8">
      <c r="B26" s="127" t="s">
        <v>1067</v>
      </c>
    </row>
    <row r="27" spans="2:38">
      <c r="B27" s="133" t="s">
        <v>953</v>
      </c>
      <c r="C27" s="129" t="s">
        <v>954</v>
      </c>
      <c r="D27" s="129" t="s">
        <v>955</v>
      </c>
      <c r="E27" s="129" t="s">
        <v>956</v>
      </c>
      <c r="F27" s="129" t="s">
        <v>957</v>
      </c>
      <c r="G27" s="129" t="s">
        <v>958</v>
      </c>
      <c r="H27" s="129" t="s">
        <v>959</v>
      </c>
      <c r="I27" s="129" t="e" cm="1">
        <f t="array" aca="1" ref="I27:AL27" ca="1">TRANSPOSE(_xlfn.SORTBY(_xlfn._xlws.FILTER(Table3[NOME FÍSICO CAMPO],Table3[NOME FÍSICO TABELA]="incomesaving_account"), _xlfn._xlws.FILTER(Table3[ORDEM], Table3[NOME FÍSICO TABELA]="incomesaving_account"), 1))</f>
        <v>#NAME?</v>
      </c>
      <c r="J27" s="129" t="e">
        <f ca="1"/>
        <v>#NAME?</v>
      </c>
      <c r="K27" s="129" t="e">
        <f ca="1"/>
        <v>#NAME?</v>
      </c>
      <c r="L27" s="129" t="e">
        <f ca="1"/>
        <v>#NAME?</v>
      </c>
      <c r="M27" s="129" t="e">
        <f ca="1"/>
        <v>#NAME?</v>
      </c>
      <c r="N27" s="129" t="e">
        <f ca="1"/>
        <v>#NAME?</v>
      </c>
      <c r="O27" s="129" t="e">
        <f ca="1"/>
        <v>#NAME?</v>
      </c>
      <c r="P27" s="129" t="e">
        <f ca="1"/>
        <v>#NAME?</v>
      </c>
      <c r="Q27" s="129" t="e">
        <f ca="1"/>
        <v>#NAME?</v>
      </c>
      <c r="R27" s="129" t="e">
        <f ca="1"/>
        <v>#NAME?</v>
      </c>
      <c r="S27" s="129" t="e">
        <f ca="1"/>
        <v>#NAME?</v>
      </c>
      <c r="T27" s="129" t="e">
        <f ca="1"/>
        <v>#NAME?</v>
      </c>
      <c r="U27" s="129" t="e">
        <f ca="1"/>
        <v>#NAME?</v>
      </c>
      <c r="V27" s="129" t="e">
        <f ca="1"/>
        <v>#NAME?</v>
      </c>
      <c r="W27" s="129" t="e">
        <f ca="1"/>
        <v>#NAME?</v>
      </c>
      <c r="X27" s="129" t="e">
        <f ca="1"/>
        <v>#NAME?</v>
      </c>
      <c r="Y27" s="129" t="e">
        <f ca="1"/>
        <v>#NAME?</v>
      </c>
      <c r="Z27" s="129" t="e">
        <f ca="1"/>
        <v>#NAME?</v>
      </c>
      <c r="AA27" s="129" t="e">
        <f ca="1"/>
        <v>#NAME?</v>
      </c>
      <c r="AB27" s="129" t="e">
        <f ca="1"/>
        <v>#NAME?</v>
      </c>
      <c r="AC27" s="129" t="e">
        <f ca="1"/>
        <v>#NAME?</v>
      </c>
      <c r="AD27" s="129" t="e">
        <f ca="1"/>
        <v>#NAME?</v>
      </c>
      <c r="AE27" s="129" t="e">
        <f ca="1"/>
        <v>#NAME?</v>
      </c>
      <c r="AF27" s="129" t="e">
        <f ca="1"/>
        <v>#NAME?</v>
      </c>
      <c r="AG27" s="129" t="e">
        <f ca="1"/>
        <v>#NAME?</v>
      </c>
      <c r="AH27" s="129" t="e">
        <f ca="1"/>
        <v>#NAME?</v>
      </c>
      <c r="AI27" s="129" t="e">
        <f ca="1"/>
        <v>#NAME?</v>
      </c>
      <c r="AJ27" s="215" t="e">
        <f ca="1"/>
        <v>#NAME?</v>
      </c>
      <c r="AK27" t="e">
        <f ca="1"/>
        <v>#NAME?</v>
      </c>
      <c r="AL27" t="e">
        <f ca="1"/>
        <v>#NAME?</v>
      </c>
    </row>
    <row r="28" spans="2:38">
      <c r="B28" s="107" t="s">
        <v>998</v>
      </c>
      <c r="C28" s="110">
        <v>21</v>
      </c>
      <c r="D28" s="104" t="s">
        <v>999</v>
      </c>
      <c r="E28" s="103" t="s">
        <v>1000</v>
      </c>
      <c r="F28" s="103" t="s">
        <v>206</v>
      </c>
      <c r="G28" s="103" t="s">
        <v>206</v>
      </c>
      <c r="H28" s="103" t="s">
        <v>206</v>
      </c>
      <c r="I28" s="103" t="e" cm="1">
        <f t="array" aca="1" ref="I28:AL29" ca="1">TRANSPOSE(_xlfn.SORTBY(_xlfn._xlws.FILTER(IF(Table3[FORMATO]:Table3[COMP_ CAMPO]&lt;&gt;"",Table3[FORMATO]:Table3[COMP_ CAMPO],9999999),Table3[NOME FÍSICO TABELA]="incomesaving_account"), _xlfn._xlws.FILTER(Table3[ORDEM], Table3[NOME FÍSICO TABELA]="incomesaving_account"), 1))</f>
        <v>#NAME?</v>
      </c>
      <c r="J28" s="103" t="e">
        <f ca="1"/>
        <v>#NAME?</v>
      </c>
      <c r="K28" s="103" t="e">
        <f ca="1"/>
        <v>#NAME?</v>
      </c>
      <c r="L28" s="103" t="e">
        <f ca="1"/>
        <v>#NAME?</v>
      </c>
      <c r="M28" s="103" t="e">
        <f ca="1"/>
        <v>#NAME?</v>
      </c>
      <c r="N28" s="103" t="e">
        <f ca="1"/>
        <v>#NAME?</v>
      </c>
      <c r="O28" s="103" t="e">
        <f ca="1"/>
        <v>#NAME?</v>
      </c>
      <c r="P28" s="103" t="e">
        <f ca="1"/>
        <v>#NAME?</v>
      </c>
      <c r="Q28" s="103" t="e">
        <f ca="1"/>
        <v>#NAME?</v>
      </c>
      <c r="R28" s="103" t="e">
        <f ca="1"/>
        <v>#NAME?</v>
      </c>
      <c r="S28" s="103" t="e">
        <f ca="1"/>
        <v>#NAME?</v>
      </c>
      <c r="T28" s="103" t="e">
        <f ca="1"/>
        <v>#NAME?</v>
      </c>
      <c r="U28" s="103" t="e">
        <f ca="1"/>
        <v>#NAME?</v>
      </c>
      <c r="V28" s="103" t="e">
        <f ca="1"/>
        <v>#NAME?</v>
      </c>
      <c r="W28" s="103" t="e">
        <f ca="1"/>
        <v>#NAME?</v>
      </c>
      <c r="X28" s="103" t="e">
        <f ca="1"/>
        <v>#NAME?</v>
      </c>
      <c r="Y28" s="103" t="e">
        <f ca="1"/>
        <v>#NAME?</v>
      </c>
      <c r="Z28" s="103" t="e">
        <f ca="1"/>
        <v>#NAME?</v>
      </c>
      <c r="AA28" s="103" t="e">
        <f ca="1"/>
        <v>#NAME?</v>
      </c>
      <c r="AB28" s="103" t="e">
        <f ca="1"/>
        <v>#NAME?</v>
      </c>
      <c r="AC28" s="103" t="e">
        <f ca="1"/>
        <v>#NAME?</v>
      </c>
      <c r="AD28" s="109" t="e">
        <f ca="1"/>
        <v>#NAME?</v>
      </c>
      <c r="AE28" s="109" t="e">
        <f ca="1"/>
        <v>#NAME?</v>
      </c>
      <c r="AF28" s="109" t="e">
        <f ca="1"/>
        <v>#NAME?</v>
      </c>
      <c r="AG28" s="109" t="e">
        <f ca="1"/>
        <v>#NAME?</v>
      </c>
      <c r="AH28" s="109" t="e">
        <f ca="1"/>
        <v>#NAME?</v>
      </c>
      <c r="AI28" s="103" t="e">
        <f ca="1"/>
        <v>#NAME?</v>
      </c>
      <c r="AJ28" s="108" t="e">
        <f ca="1"/>
        <v>#NAME?</v>
      </c>
      <c r="AK28" t="e">
        <f ca="1"/>
        <v>#NAME?</v>
      </c>
      <c r="AL28" t="e">
        <f ca="1"/>
        <v>#NAME?</v>
      </c>
    </row>
    <row r="29" spans="2:38">
      <c r="B29" s="107" t="s">
        <v>1001</v>
      </c>
      <c r="C29" s="110">
        <v>7</v>
      </c>
      <c r="D29" s="104" t="s">
        <v>999</v>
      </c>
      <c r="E29" s="103" t="s">
        <v>1000</v>
      </c>
      <c r="F29" s="105" t="s">
        <v>206</v>
      </c>
      <c r="G29" s="105" t="s">
        <v>206</v>
      </c>
      <c r="H29" s="105" t="s">
        <v>206</v>
      </c>
      <c r="I29" s="151" t="e">
        <f ca="1"/>
        <v>#NAME?</v>
      </c>
      <c r="J29" s="151" t="e">
        <f ca="1"/>
        <v>#NAME?</v>
      </c>
      <c r="K29" s="151" t="e">
        <f ca="1"/>
        <v>#NAME?</v>
      </c>
      <c r="L29" s="151" t="e">
        <f ca="1"/>
        <v>#NAME?</v>
      </c>
      <c r="M29" s="151" t="e">
        <f ca="1"/>
        <v>#NAME?</v>
      </c>
      <c r="N29" s="151" t="e">
        <f ca="1"/>
        <v>#NAME?</v>
      </c>
      <c r="O29" s="151" t="e">
        <f ca="1"/>
        <v>#NAME?</v>
      </c>
      <c r="P29" s="151" t="e">
        <f ca="1"/>
        <v>#NAME?</v>
      </c>
      <c r="Q29" s="151" t="e">
        <f ca="1"/>
        <v>#NAME?</v>
      </c>
      <c r="R29" s="151" t="e">
        <f ca="1"/>
        <v>#NAME?</v>
      </c>
      <c r="S29" s="151" t="e">
        <f ca="1"/>
        <v>#NAME?</v>
      </c>
      <c r="T29" s="151" t="e">
        <f ca="1"/>
        <v>#NAME?</v>
      </c>
      <c r="U29" s="151" t="e">
        <f ca="1"/>
        <v>#NAME?</v>
      </c>
      <c r="V29" s="151" t="e">
        <f ca="1"/>
        <v>#NAME?</v>
      </c>
      <c r="W29" s="151" t="e">
        <f ca="1"/>
        <v>#NAME?</v>
      </c>
      <c r="X29" s="151" t="e">
        <f ca="1"/>
        <v>#NAME?</v>
      </c>
      <c r="Y29" s="151" t="e">
        <f ca="1"/>
        <v>#NAME?</v>
      </c>
      <c r="Z29" s="151" t="e">
        <f ca="1"/>
        <v>#NAME?</v>
      </c>
      <c r="AA29" s="151" t="e">
        <f ca="1"/>
        <v>#NAME?</v>
      </c>
      <c r="AB29" s="151" t="e">
        <f ca="1"/>
        <v>#NAME?</v>
      </c>
      <c r="AC29" s="151" t="e">
        <f ca="1"/>
        <v>#NAME?</v>
      </c>
      <c r="AD29" s="152" t="e">
        <f ca="1"/>
        <v>#NAME?</v>
      </c>
      <c r="AE29" s="152" t="e">
        <f ca="1"/>
        <v>#NAME?</v>
      </c>
      <c r="AF29" s="152" t="e">
        <f ca="1"/>
        <v>#NAME?</v>
      </c>
      <c r="AG29" s="152" t="e">
        <f ca="1"/>
        <v>#NAME?</v>
      </c>
      <c r="AH29" s="152" t="e">
        <f ca="1"/>
        <v>#NAME?</v>
      </c>
      <c r="AI29" s="151" t="e">
        <f ca="1"/>
        <v>#NAME?</v>
      </c>
      <c r="AJ29" s="108" t="e">
        <f ca="1"/>
        <v>#NAME?</v>
      </c>
      <c r="AK29" t="e">
        <f ca="1"/>
        <v>#NAME?</v>
      </c>
      <c r="AL29" t="e">
        <f ca="1"/>
        <v>#NAME?</v>
      </c>
    </row>
    <row r="31" spans="2:38">
      <c r="B31" s="140" t="s">
        <v>1002</v>
      </c>
    </row>
    <row r="32" spans="2:38">
      <c r="B32" s="134" t="s">
        <v>1003</v>
      </c>
      <c r="C32" s="134" t="s">
        <v>1004</v>
      </c>
      <c r="D32" s="135" t="s">
        <v>1005</v>
      </c>
      <c r="E32" s="134" t="s">
        <v>1006</v>
      </c>
      <c r="F32" s="134" t="s">
        <v>1007</v>
      </c>
    </row>
    <row r="33" spans="2:16" ht="29">
      <c r="B33" s="118" t="s">
        <v>1111</v>
      </c>
      <c r="C33" s="121" t="s">
        <v>551</v>
      </c>
      <c r="D33" s="53" t="s">
        <v>1112</v>
      </c>
      <c r="E33" s="153" t="s">
        <v>1113</v>
      </c>
      <c r="F33" s="136" t="s">
        <v>1014</v>
      </c>
    </row>
    <row r="34" spans="2:16" ht="29">
      <c r="B34" s="118" t="s">
        <v>1111</v>
      </c>
      <c r="C34" s="121" t="s">
        <v>552</v>
      </c>
      <c r="D34" s="53" t="s">
        <v>1112</v>
      </c>
      <c r="E34" s="153" t="s">
        <v>1113</v>
      </c>
      <c r="F34" s="136" t="s">
        <v>1014</v>
      </c>
    </row>
    <row r="35" spans="2:16" ht="29">
      <c r="B35" s="118" t="s">
        <v>1111</v>
      </c>
      <c r="C35" s="121" t="s">
        <v>553</v>
      </c>
      <c r="D35" s="53" t="s">
        <v>1112</v>
      </c>
      <c r="E35" s="153" t="s">
        <v>1113</v>
      </c>
      <c r="F35" s="136" t="s">
        <v>1014</v>
      </c>
    </row>
    <row r="36" spans="2:16" ht="29">
      <c r="B36" s="118" t="s">
        <v>1111</v>
      </c>
      <c r="C36" s="121" t="s">
        <v>555</v>
      </c>
      <c r="D36" s="53" t="s">
        <v>1112</v>
      </c>
      <c r="E36" s="153" t="s">
        <v>1113</v>
      </c>
      <c r="F36" s="136" t="s">
        <v>1014</v>
      </c>
    </row>
    <row r="37" spans="2:16" ht="29">
      <c r="B37" s="118" t="s">
        <v>1111</v>
      </c>
      <c r="C37" s="121" t="s">
        <v>556</v>
      </c>
      <c r="D37" s="53" t="s">
        <v>1112</v>
      </c>
      <c r="E37" s="153" t="s">
        <v>1113</v>
      </c>
      <c r="F37" s="136" t="s">
        <v>1014</v>
      </c>
    </row>
    <row r="38" spans="2:16" ht="29">
      <c r="B38" s="118" t="s">
        <v>1111</v>
      </c>
      <c r="C38" s="121" t="s">
        <v>557</v>
      </c>
      <c r="D38" s="53" t="s">
        <v>1112</v>
      </c>
      <c r="E38" s="153" t="s">
        <v>1113</v>
      </c>
      <c r="F38" s="136" t="s">
        <v>1014</v>
      </c>
    </row>
    <row r="39" spans="2:16" ht="29">
      <c r="B39" s="118" t="s">
        <v>1111</v>
      </c>
      <c r="C39" s="121" t="s">
        <v>558</v>
      </c>
      <c r="D39" s="53" t="s">
        <v>1112</v>
      </c>
      <c r="E39" s="153" t="s">
        <v>1113</v>
      </c>
      <c r="F39" s="136" t="s">
        <v>1014</v>
      </c>
    </row>
    <row r="40" spans="2:16" ht="29">
      <c r="B40" s="118" t="s">
        <v>1111</v>
      </c>
      <c r="C40" s="121" t="s">
        <v>560</v>
      </c>
      <c r="D40" s="53" t="s">
        <v>1112</v>
      </c>
      <c r="E40" s="153" t="s">
        <v>1113</v>
      </c>
      <c r="F40" s="136" t="s">
        <v>1014</v>
      </c>
    </row>
    <row r="41" spans="2:16" ht="29">
      <c r="B41" s="118" t="s">
        <v>1111</v>
      </c>
      <c r="C41" s="115" t="s">
        <v>196</v>
      </c>
      <c r="D41" s="53" t="s">
        <v>1114</v>
      </c>
      <c r="E41" s="153" t="s">
        <v>1113</v>
      </c>
      <c r="F41" s="136" t="s">
        <v>1014</v>
      </c>
      <c r="I41" s="158"/>
      <c r="J41" s="158"/>
      <c r="K41" s="158"/>
      <c r="L41" s="158"/>
      <c r="M41" s="158"/>
      <c r="N41" s="158"/>
      <c r="O41" s="158"/>
      <c r="P41" s="158"/>
    </row>
    <row r="42" spans="2:16" ht="29">
      <c r="B42" s="172" t="s">
        <v>1068</v>
      </c>
      <c r="C42" s="173" t="s">
        <v>135</v>
      </c>
      <c r="D42" s="174" t="s">
        <v>1115</v>
      </c>
      <c r="E42" s="175" t="s">
        <v>1116</v>
      </c>
      <c r="F42" s="176" t="s">
        <v>1017</v>
      </c>
      <c r="L42" s="158"/>
    </row>
    <row r="43" spans="2:16" ht="29">
      <c r="B43" s="111" t="s">
        <v>1018</v>
      </c>
      <c r="C43" s="115" t="s">
        <v>1019</v>
      </c>
      <c r="D43" s="53" t="s">
        <v>1117</v>
      </c>
      <c r="E43" s="155" t="s">
        <v>1118</v>
      </c>
      <c r="F43" s="136" t="s">
        <v>1014</v>
      </c>
      <c r="L43" s="158"/>
    </row>
    <row r="44" spans="2:16" ht="29">
      <c r="B44" s="111" t="s">
        <v>1076</v>
      </c>
      <c r="C44" s="121" t="s">
        <v>1019</v>
      </c>
      <c r="D44" s="53" t="s">
        <v>1119</v>
      </c>
      <c r="E44" s="155" t="s">
        <v>1120</v>
      </c>
      <c r="F44" s="136" t="s">
        <v>1017</v>
      </c>
      <c r="I44" s="158"/>
      <c r="J44" s="158"/>
      <c r="K44" s="158"/>
      <c r="L44" s="158"/>
    </row>
    <row r="45" spans="2:16" ht="29">
      <c r="B45" s="111" t="s">
        <v>1121</v>
      </c>
      <c r="C45" s="117" t="s">
        <v>553</v>
      </c>
      <c r="D45" s="53" t="s">
        <v>1122</v>
      </c>
      <c r="E45" s="153" t="s">
        <v>1113</v>
      </c>
      <c r="F45" s="136" t="s">
        <v>1014</v>
      </c>
      <c r="I45" s="158"/>
      <c r="J45" s="158"/>
      <c r="K45" s="158"/>
      <c r="L45" s="158"/>
    </row>
    <row r="46" spans="2:16" ht="29">
      <c r="B46" s="111" t="s">
        <v>1121</v>
      </c>
      <c r="C46" s="121" t="s">
        <v>554</v>
      </c>
      <c r="D46" s="53" t="s">
        <v>1122</v>
      </c>
      <c r="E46" s="153" t="s">
        <v>1113</v>
      </c>
      <c r="F46" s="136" t="s">
        <v>1014</v>
      </c>
      <c r="I46" s="158"/>
      <c r="J46" s="158"/>
      <c r="K46" s="158"/>
      <c r="L46" s="158"/>
    </row>
    <row r="47" spans="2:16" ht="29">
      <c r="B47" s="111" t="s">
        <v>1121</v>
      </c>
      <c r="C47" s="117" t="s">
        <v>555</v>
      </c>
      <c r="D47" s="53" t="s">
        <v>1122</v>
      </c>
      <c r="E47" s="153" t="s">
        <v>1113</v>
      </c>
      <c r="F47" s="136" t="s">
        <v>1014</v>
      </c>
      <c r="I47" s="158"/>
      <c r="J47" s="158"/>
      <c r="K47" s="158"/>
      <c r="L47" s="158"/>
    </row>
    <row r="48" spans="2:16" ht="29">
      <c r="B48" s="111" t="s">
        <v>1121</v>
      </c>
      <c r="C48" s="117" t="s">
        <v>558</v>
      </c>
      <c r="D48" s="53" t="s">
        <v>1122</v>
      </c>
      <c r="E48" s="153" t="s">
        <v>1113</v>
      </c>
      <c r="F48" s="136" t="s">
        <v>1014</v>
      </c>
      <c r="I48" s="158"/>
      <c r="J48" s="158"/>
      <c r="K48" s="158"/>
      <c r="L48" s="158"/>
    </row>
    <row r="49" spans="2:6" ht="29">
      <c r="B49" s="111" t="s">
        <v>1121</v>
      </c>
      <c r="C49" s="121" t="s">
        <v>559</v>
      </c>
      <c r="D49" s="53" t="s">
        <v>1122</v>
      </c>
      <c r="E49" s="153" t="s">
        <v>1113</v>
      </c>
      <c r="F49" s="136" t="s">
        <v>1014</v>
      </c>
    </row>
    <row r="50" spans="2:6" ht="29">
      <c r="B50" s="111" t="s">
        <v>1121</v>
      </c>
      <c r="C50" s="171" t="s">
        <v>560</v>
      </c>
      <c r="D50" s="53" t="s">
        <v>1122</v>
      </c>
      <c r="E50" s="153" t="s">
        <v>1113</v>
      </c>
      <c r="F50" s="136" t="s">
        <v>1014</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T53"/>
  <sheetViews>
    <sheetView showGridLines="0" topLeftCell="A23" workbookViewId="0">
      <selection activeCell="A9" sqref="A9"/>
    </sheetView>
  </sheetViews>
  <sheetFormatPr defaultRowHeight="14.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1.7265625" bestFit="1" customWidth="1"/>
    <col min="31" max="31" width="33.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row r="2" spans="2:40">
      <c r="B2" s="76" t="s">
        <v>1078</v>
      </c>
      <c r="C2" s="76" t="s">
        <v>954</v>
      </c>
      <c r="D2" s="76" t="s">
        <v>955</v>
      </c>
      <c r="E2" s="76" t="s">
        <v>956</v>
      </c>
      <c r="F2" s="76" t="s">
        <v>957</v>
      </c>
      <c r="G2" s="76" t="s">
        <v>958</v>
      </c>
      <c r="H2" s="76" t="s">
        <v>959</v>
      </c>
      <c r="I2" s="76" t="s">
        <v>102</v>
      </c>
      <c r="J2" s="76" t="s">
        <v>112</v>
      </c>
      <c r="K2" s="76" t="s">
        <v>116</v>
      </c>
      <c r="L2" s="76" t="s">
        <v>121</v>
      </c>
      <c r="M2" s="76" t="s">
        <v>127</v>
      </c>
      <c r="N2" s="76" t="s">
        <v>138</v>
      </c>
      <c r="O2" s="76" t="s">
        <v>144</v>
      </c>
      <c r="P2" s="76" t="s">
        <v>149</v>
      </c>
      <c r="Q2" s="76" t="s">
        <v>155</v>
      </c>
      <c r="R2" s="76" t="s">
        <v>524</v>
      </c>
      <c r="S2" s="76" t="s">
        <v>525</v>
      </c>
      <c r="T2" s="76" t="s">
        <v>526</v>
      </c>
      <c r="U2" s="76" t="s">
        <v>1123</v>
      </c>
      <c r="V2" s="76" t="s">
        <v>1124</v>
      </c>
      <c r="W2" s="76" t="s">
        <v>1125</v>
      </c>
      <c r="X2" s="76" t="s">
        <v>1126</v>
      </c>
      <c r="Y2" s="76" t="s">
        <v>1127</v>
      </c>
      <c r="Z2" s="76" t="s">
        <v>527</v>
      </c>
      <c r="AA2" s="76" t="s">
        <v>528</v>
      </c>
      <c r="AB2" s="76" t="s">
        <v>529</v>
      </c>
      <c r="AC2" s="76" t="s">
        <v>530</v>
      </c>
      <c r="AD2" s="76" t="s">
        <v>531</v>
      </c>
      <c r="AE2" s="76" t="s">
        <v>532</v>
      </c>
      <c r="AF2" s="76" t="s">
        <v>533</v>
      </c>
      <c r="AG2" s="76" t="s">
        <v>534</v>
      </c>
      <c r="AH2" s="76" t="s">
        <v>535</v>
      </c>
      <c r="AI2" s="76" t="s">
        <v>536</v>
      </c>
      <c r="AJ2" s="76" t="s">
        <v>190</v>
      </c>
      <c r="AK2" s="76" t="s">
        <v>196</v>
      </c>
      <c r="AL2" s="76" t="s">
        <v>202</v>
      </c>
      <c r="AM2" s="76" t="s">
        <v>208</v>
      </c>
      <c r="AN2" s="76" t="s">
        <v>213</v>
      </c>
    </row>
    <row r="3" spans="2:40">
      <c r="B3" s="50" t="s">
        <v>907</v>
      </c>
      <c r="C3" s="50">
        <v>1</v>
      </c>
      <c r="D3" s="95" t="s">
        <v>1128</v>
      </c>
      <c r="E3" s="95">
        <v>45448</v>
      </c>
      <c r="F3" s="50">
        <v>2</v>
      </c>
      <c r="G3" s="98">
        <v>1</v>
      </c>
      <c r="H3" s="181" t="s">
        <v>1129</v>
      </c>
      <c r="I3" s="50" t="s">
        <v>961</v>
      </c>
      <c r="J3" s="50" t="s">
        <v>961</v>
      </c>
      <c r="K3" s="50" t="s">
        <v>961</v>
      </c>
      <c r="L3" s="50" t="s">
        <v>961</v>
      </c>
      <c r="M3" s="50" t="s">
        <v>961</v>
      </c>
      <c r="N3" s="50" t="s">
        <v>961</v>
      </c>
      <c r="O3" s="50" t="s">
        <v>961</v>
      </c>
      <c r="P3" s="50" t="s">
        <v>961</v>
      </c>
      <c r="Q3" s="50" t="s">
        <v>961</v>
      </c>
      <c r="R3" s="50" t="s">
        <v>961</v>
      </c>
      <c r="S3" s="50" t="s">
        <v>961</v>
      </c>
      <c r="T3" s="50" t="s">
        <v>961</v>
      </c>
      <c r="U3" s="50" t="s">
        <v>961</v>
      </c>
      <c r="V3" s="50" t="s">
        <v>961</v>
      </c>
      <c r="W3" s="50" t="s">
        <v>961</v>
      </c>
      <c r="X3" s="50" t="s">
        <v>961</v>
      </c>
      <c r="Y3" s="50" t="s">
        <v>961</v>
      </c>
      <c r="Z3" s="50" t="s">
        <v>961</v>
      </c>
      <c r="AA3" s="50" t="s">
        <v>961</v>
      </c>
      <c r="AB3" s="50" t="s">
        <v>961</v>
      </c>
      <c r="AC3" s="50" t="s">
        <v>961</v>
      </c>
      <c r="AD3" s="50" t="s">
        <v>961</v>
      </c>
      <c r="AE3" s="50" t="s">
        <v>961</v>
      </c>
      <c r="AF3" s="50" t="s">
        <v>961</v>
      </c>
      <c r="AG3" s="50" t="s">
        <v>961</v>
      </c>
      <c r="AH3" s="50" t="s">
        <v>961</v>
      </c>
      <c r="AI3" s="50" t="s">
        <v>961</v>
      </c>
      <c r="AJ3" s="50" t="s">
        <v>961</v>
      </c>
      <c r="AK3" s="50" t="s">
        <v>961</v>
      </c>
      <c r="AL3" s="50" t="s">
        <v>961</v>
      </c>
      <c r="AM3" s="50" t="s">
        <v>961</v>
      </c>
      <c r="AN3" s="50" t="s">
        <v>961</v>
      </c>
    </row>
    <row r="4" spans="2:40">
      <c r="B4" s="50" t="s">
        <v>909</v>
      </c>
      <c r="C4" s="50">
        <v>2</v>
      </c>
      <c r="D4" s="95" t="s">
        <v>1130</v>
      </c>
      <c r="E4" s="95">
        <v>45448</v>
      </c>
      <c r="F4" s="50">
        <v>2</v>
      </c>
      <c r="G4" s="98">
        <v>1</v>
      </c>
      <c r="H4" s="50" t="s">
        <v>1046</v>
      </c>
      <c r="I4" s="50" t="s">
        <v>961</v>
      </c>
      <c r="J4" s="50" t="s">
        <v>961</v>
      </c>
      <c r="K4" s="50" t="s">
        <v>961</v>
      </c>
      <c r="L4" s="50" t="s">
        <v>961</v>
      </c>
      <c r="M4" s="50" t="s">
        <v>961</v>
      </c>
      <c r="N4" s="50" t="s">
        <v>961</v>
      </c>
      <c r="O4" s="50" t="s">
        <v>961</v>
      </c>
      <c r="P4" s="50" t="s">
        <v>961</v>
      </c>
      <c r="Q4" s="50" t="s">
        <v>961</v>
      </c>
      <c r="R4" s="50" t="s">
        <v>961</v>
      </c>
      <c r="S4" s="50" t="s">
        <v>961</v>
      </c>
      <c r="T4" s="50" t="s">
        <v>961</v>
      </c>
      <c r="U4" s="50" t="s">
        <v>961</v>
      </c>
      <c r="V4" s="50" t="s">
        <v>961</v>
      </c>
      <c r="W4" s="50" t="s">
        <v>961</v>
      </c>
      <c r="X4" s="50" t="s">
        <v>961</v>
      </c>
      <c r="Y4" s="50" t="s">
        <v>961</v>
      </c>
      <c r="Z4" s="50" t="s">
        <v>961</v>
      </c>
      <c r="AA4" s="50" t="s">
        <v>961</v>
      </c>
      <c r="AB4" s="50" t="s">
        <v>961</v>
      </c>
      <c r="AC4" s="50" t="s">
        <v>961</v>
      </c>
      <c r="AD4" s="50" t="s">
        <v>961</v>
      </c>
      <c r="AE4" s="50" t="s">
        <v>961</v>
      </c>
      <c r="AF4" s="50" t="s">
        <v>961</v>
      </c>
      <c r="AG4" s="50" t="s">
        <v>961</v>
      </c>
      <c r="AH4" s="50" t="s">
        <v>961</v>
      </c>
      <c r="AI4" s="50" t="s">
        <v>961</v>
      </c>
      <c r="AJ4" s="50" t="s">
        <v>961</v>
      </c>
      <c r="AK4" s="50" t="s">
        <v>961</v>
      </c>
      <c r="AL4" s="50" t="s">
        <v>961</v>
      </c>
      <c r="AM4" s="50" t="s">
        <v>961</v>
      </c>
      <c r="AN4" s="50" t="s">
        <v>961</v>
      </c>
    </row>
    <row r="5" spans="2:40">
      <c r="B5" s="50" t="s">
        <v>911</v>
      </c>
      <c r="C5" s="50">
        <v>3</v>
      </c>
      <c r="D5" s="95" t="s">
        <v>1131</v>
      </c>
      <c r="E5" s="95">
        <v>45448</v>
      </c>
      <c r="F5" s="50">
        <v>2</v>
      </c>
      <c r="G5" s="98">
        <v>1</v>
      </c>
      <c r="H5" s="50" t="s">
        <v>1046</v>
      </c>
      <c r="I5" s="50">
        <v>0</v>
      </c>
      <c r="J5" s="50">
        <v>0</v>
      </c>
      <c r="K5" s="50" t="s">
        <v>961</v>
      </c>
      <c r="L5" s="50" t="s">
        <v>961</v>
      </c>
      <c r="M5" s="50" t="s">
        <v>961</v>
      </c>
      <c r="N5" s="50" t="s">
        <v>961</v>
      </c>
      <c r="O5" s="50" t="s">
        <v>961</v>
      </c>
      <c r="P5" s="50" t="s">
        <v>961</v>
      </c>
      <c r="Q5" s="50" t="s">
        <v>961</v>
      </c>
      <c r="R5" s="50" t="s">
        <v>961</v>
      </c>
      <c r="S5" s="50" t="s">
        <v>961</v>
      </c>
      <c r="T5" s="50" t="s">
        <v>961</v>
      </c>
      <c r="U5" s="50" t="s">
        <v>961</v>
      </c>
      <c r="V5" s="50" t="s">
        <v>961</v>
      </c>
      <c r="W5" s="50" t="s">
        <v>961</v>
      </c>
      <c r="X5" s="50" t="s">
        <v>961</v>
      </c>
      <c r="Y5" s="50" t="s">
        <v>961</v>
      </c>
      <c r="Z5" s="50" t="s">
        <v>961</v>
      </c>
      <c r="AA5" s="50" t="s">
        <v>961</v>
      </c>
      <c r="AB5" s="50" t="s">
        <v>961</v>
      </c>
      <c r="AC5" s="50" t="s">
        <v>961</v>
      </c>
      <c r="AD5" s="50" t="s">
        <v>961</v>
      </c>
      <c r="AE5" s="50" t="s">
        <v>961</v>
      </c>
      <c r="AF5" s="50" t="s">
        <v>961</v>
      </c>
      <c r="AG5" s="50" t="s">
        <v>961</v>
      </c>
      <c r="AH5" s="50" t="s">
        <v>961</v>
      </c>
      <c r="AI5" s="50" t="s">
        <v>961</v>
      </c>
      <c r="AJ5" s="50" t="s">
        <v>961</v>
      </c>
      <c r="AK5" s="50" t="s">
        <v>961</v>
      </c>
      <c r="AL5" s="50" t="s">
        <v>961</v>
      </c>
      <c r="AM5" s="50">
        <v>0</v>
      </c>
      <c r="AN5" s="50" t="s">
        <v>961</v>
      </c>
    </row>
    <row r="6" spans="2:40">
      <c r="B6" s="97" t="s">
        <v>913</v>
      </c>
      <c r="C6" s="50">
        <v>4</v>
      </c>
      <c r="D6" s="50" t="s">
        <v>964</v>
      </c>
      <c r="E6" s="95" t="s">
        <v>961</v>
      </c>
      <c r="F6" s="50">
        <v>2</v>
      </c>
      <c r="G6" s="95" t="s">
        <v>961</v>
      </c>
      <c r="H6" s="50"/>
      <c r="I6" s="50" t="s">
        <v>961</v>
      </c>
      <c r="J6" s="50" t="s">
        <v>961</v>
      </c>
      <c r="K6" s="50" t="s">
        <v>961</v>
      </c>
      <c r="L6" s="50" t="s">
        <v>961</v>
      </c>
      <c r="M6" s="50" t="s">
        <v>961</v>
      </c>
      <c r="N6" s="50" t="s">
        <v>961</v>
      </c>
      <c r="O6" s="50" t="s">
        <v>961</v>
      </c>
      <c r="P6" s="50" t="s">
        <v>961</v>
      </c>
      <c r="Q6" s="50" t="s">
        <v>961</v>
      </c>
      <c r="R6" s="50" t="s">
        <v>961</v>
      </c>
      <c r="S6" s="98" t="s">
        <v>961</v>
      </c>
      <c r="T6" s="98" t="s">
        <v>961</v>
      </c>
      <c r="U6" s="50" t="s">
        <v>961</v>
      </c>
      <c r="V6" s="50" t="s">
        <v>961</v>
      </c>
      <c r="W6" s="50" t="s">
        <v>961</v>
      </c>
      <c r="X6" s="50" t="s">
        <v>961</v>
      </c>
      <c r="Y6" s="50" t="s">
        <v>961</v>
      </c>
      <c r="Z6" s="50" t="s">
        <v>961</v>
      </c>
      <c r="AA6" s="50" t="s">
        <v>961</v>
      </c>
      <c r="AB6" s="50" t="s">
        <v>961</v>
      </c>
      <c r="AC6" s="50" t="s">
        <v>961</v>
      </c>
      <c r="AD6" s="50" t="s">
        <v>961</v>
      </c>
      <c r="AE6" s="50" t="s">
        <v>961</v>
      </c>
      <c r="AF6" s="50" t="s">
        <v>961</v>
      </c>
      <c r="AG6" s="50" t="s">
        <v>961</v>
      </c>
      <c r="AH6" s="50" t="s">
        <v>961</v>
      </c>
      <c r="AI6" s="50" t="s">
        <v>961</v>
      </c>
      <c r="AJ6" s="50" t="s">
        <v>961</v>
      </c>
      <c r="AK6" s="50" t="s">
        <v>961</v>
      </c>
      <c r="AL6" s="50" t="s">
        <v>961</v>
      </c>
      <c r="AM6" s="50" t="s">
        <v>961</v>
      </c>
      <c r="AN6" s="50" t="s">
        <v>961</v>
      </c>
    </row>
    <row r="7" spans="2:40">
      <c r="B7" s="97" t="s">
        <v>915</v>
      </c>
      <c r="C7" s="50">
        <v>5</v>
      </c>
      <c r="D7" s="50" t="s">
        <v>964</v>
      </c>
      <c r="E7" s="95" t="s">
        <v>961</v>
      </c>
      <c r="F7" s="50">
        <v>2</v>
      </c>
      <c r="G7" s="95" t="s">
        <v>961</v>
      </c>
      <c r="H7" s="50"/>
      <c r="I7" s="50" t="s">
        <v>961</v>
      </c>
      <c r="J7" s="50" t="s">
        <v>961</v>
      </c>
      <c r="K7" s="50" t="s">
        <v>961</v>
      </c>
      <c r="L7" s="50" t="s">
        <v>961</v>
      </c>
      <c r="M7" s="50" t="s">
        <v>961</v>
      </c>
      <c r="N7" s="50" t="s">
        <v>961</v>
      </c>
      <c r="O7" s="50" t="s">
        <v>961</v>
      </c>
      <c r="P7" s="50" t="s">
        <v>961</v>
      </c>
      <c r="Q7" s="50" t="s">
        <v>961</v>
      </c>
      <c r="R7" s="50" t="s">
        <v>961</v>
      </c>
      <c r="S7" s="50" t="s">
        <v>961</v>
      </c>
      <c r="T7" s="50" t="s">
        <v>961</v>
      </c>
      <c r="U7" s="50" t="s">
        <v>961</v>
      </c>
      <c r="V7" s="50" t="s">
        <v>961</v>
      </c>
      <c r="W7" s="50" t="s">
        <v>961</v>
      </c>
      <c r="X7" s="50" t="s">
        <v>961</v>
      </c>
      <c r="Y7" s="50" t="s">
        <v>961</v>
      </c>
      <c r="Z7" s="50" t="s">
        <v>961</v>
      </c>
      <c r="AA7" s="50" t="s">
        <v>961</v>
      </c>
      <c r="AB7" s="50" t="s">
        <v>961</v>
      </c>
      <c r="AC7" s="50" t="s">
        <v>961</v>
      </c>
      <c r="AD7" s="50" t="s">
        <v>961</v>
      </c>
      <c r="AE7" s="50" t="s">
        <v>961</v>
      </c>
      <c r="AF7" s="50" t="s">
        <v>961</v>
      </c>
      <c r="AG7" s="50" t="s">
        <v>961</v>
      </c>
      <c r="AH7" s="50" t="s">
        <v>961</v>
      </c>
      <c r="AI7" s="50" t="s">
        <v>961</v>
      </c>
      <c r="AJ7" s="50" t="s">
        <v>961</v>
      </c>
      <c r="AK7" s="50" t="s">
        <v>961</v>
      </c>
      <c r="AL7" s="50" t="s">
        <v>961</v>
      </c>
      <c r="AM7" s="50" t="s">
        <v>961</v>
      </c>
      <c r="AN7" s="50" t="s">
        <v>961</v>
      </c>
    </row>
    <row r="8" spans="2:40">
      <c r="B8" s="97" t="s">
        <v>916</v>
      </c>
      <c r="C8" s="50">
        <v>6</v>
      </c>
      <c r="D8" s="95" t="s">
        <v>1132</v>
      </c>
      <c r="E8" s="95">
        <v>45448</v>
      </c>
      <c r="F8" s="50">
        <v>2</v>
      </c>
      <c r="G8" s="50" cm="1">
        <f t="array" ref="G8">SUMPRODUCT(--(I8:AN8&gt;0))/COUNTA(I8:AN8)</f>
        <v>1</v>
      </c>
      <c r="H8" s="50" t="s">
        <v>1046</v>
      </c>
      <c r="I8" s="50">
        <v>2</v>
      </c>
      <c r="J8" s="50">
        <v>30</v>
      </c>
      <c r="K8" s="50">
        <v>3</v>
      </c>
      <c r="L8" s="50">
        <v>3</v>
      </c>
      <c r="M8" s="50">
        <v>3</v>
      </c>
      <c r="N8" s="95">
        <v>10</v>
      </c>
      <c r="O8" s="95">
        <v>10</v>
      </c>
      <c r="P8" s="50">
        <v>3</v>
      </c>
      <c r="Q8" s="50">
        <v>1</v>
      </c>
      <c r="R8" s="98">
        <v>8</v>
      </c>
      <c r="S8" s="98">
        <v>8</v>
      </c>
      <c r="T8" s="98">
        <v>8</v>
      </c>
      <c r="U8" s="98">
        <v>8</v>
      </c>
      <c r="V8" s="98">
        <v>8</v>
      </c>
      <c r="W8" s="50">
        <v>8</v>
      </c>
      <c r="X8" s="98">
        <v>8</v>
      </c>
      <c r="Y8" s="98">
        <v>8</v>
      </c>
      <c r="Z8" s="50">
        <v>31</v>
      </c>
      <c r="AA8" s="50">
        <v>30</v>
      </c>
      <c r="AB8" s="50">
        <v>32</v>
      </c>
      <c r="AC8" s="50">
        <v>31</v>
      </c>
      <c r="AD8" s="50">
        <v>31</v>
      </c>
      <c r="AE8" s="50">
        <v>30</v>
      </c>
      <c r="AF8" s="50">
        <v>29</v>
      </c>
      <c r="AG8" s="50">
        <v>31</v>
      </c>
      <c r="AH8" s="50">
        <v>27</v>
      </c>
      <c r="AI8" s="50">
        <v>32</v>
      </c>
      <c r="AJ8" s="50">
        <v>3</v>
      </c>
      <c r="AK8" s="50">
        <v>3</v>
      </c>
      <c r="AL8" s="50">
        <v>2</v>
      </c>
      <c r="AM8" s="95">
        <v>10</v>
      </c>
      <c r="AN8" s="95">
        <v>23</v>
      </c>
    </row>
    <row r="9" spans="2:40">
      <c r="B9" s="50" t="s">
        <v>919</v>
      </c>
      <c r="C9" s="50">
        <v>7</v>
      </c>
      <c r="D9" s="95" t="s">
        <v>1133</v>
      </c>
      <c r="E9" s="95">
        <v>45448</v>
      </c>
      <c r="F9" s="50">
        <v>2</v>
      </c>
      <c r="G9" s="50" t="e" cm="1">
        <f t="array" aca="1" ref="G9" ca="1">SUMPRODUCT(--(I9:AN9 &lt;= I28:AN28))/COUNTA(I28:AN28)</f>
        <v>#NAME?</v>
      </c>
      <c r="H9" s="50" t="s">
        <v>1046</v>
      </c>
      <c r="I9" s="50">
        <v>2</v>
      </c>
      <c r="J9" s="50">
        <v>30</v>
      </c>
      <c r="K9" s="50">
        <v>3</v>
      </c>
      <c r="L9" s="50">
        <v>3</v>
      </c>
      <c r="M9" s="50">
        <v>3</v>
      </c>
      <c r="N9" s="95">
        <v>10</v>
      </c>
      <c r="O9" s="95">
        <v>10</v>
      </c>
      <c r="P9" s="50">
        <v>3</v>
      </c>
      <c r="Q9" s="50">
        <v>1</v>
      </c>
      <c r="R9" s="50">
        <v>18</v>
      </c>
      <c r="S9" s="50">
        <v>18</v>
      </c>
      <c r="T9" s="50">
        <v>20</v>
      </c>
      <c r="U9" s="50">
        <v>17</v>
      </c>
      <c r="V9" s="50">
        <v>17</v>
      </c>
      <c r="W9" s="50">
        <v>12</v>
      </c>
      <c r="X9" s="98">
        <v>19</v>
      </c>
      <c r="Y9" s="98">
        <v>13</v>
      </c>
      <c r="Z9" s="50">
        <v>31</v>
      </c>
      <c r="AA9" s="50">
        <v>30</v>
      </c>
      <c r="AB9" s="50">
        <v>32</v>
      </c>
      <c r="AC9" s="50">
        <v>31</v>
      </c>
      <c r="AD9" s="50">
        <v>31</v>
      </c>
      <c r="AE9" s="50">
        <v>30</v>
      </c>
      <c r="AF9" s="50">
        <v>29</v>
      </c>
      <c r="AG9" s="50">
        <v>31</v>
      </c>
      <c r="AH9" s="50">
        <v>27</v>
      </c>
      <c r="AI9" s="50">
        <v>32</v>
      </c>
      <c r="AJ9" s="50">
        <v>3</v>
      </c>
      <c r="AK9" s="50">
        <v>3</v>
      </c>
      <c r="AL9" s="50">
        <v>2</v>
      </c>
      <c r="AM9" s="95">
        <v>10</v>
      </c>
      <c r="AN9" s="95">
        <v>23</v>
      </c>
    </row>
    <row r="10" spans="2:40">
      <c r="B10" s="50" t="s">
        <v>922</v>
      </c>
      <c r="C10" s="50">
        <v>8</v>
      </c>
      <c r="D10" s="95" t="s">
        <v>1134</v>
      </c>
      <c r="E10" s="95">
        <v>45448</v>
      </c>
      <c r="F10" s="50">
        <v>2</v>
      </c>
      <c r="G10" s="95" t="s">
        <v>961</v>
      </c>
      <c r="H10" s="50" t="s">
        <v>1046</v>
      </c>
      <c r="I10" s="50">
        <v>31</v>
      </c>
      <c r="J10" s="50">
        <v>8.9040009999999996E+21</v>
      </c>
      <c r="K10" s="50" t="s">
        <v>1135</v>
      </c>
      <c r="L10" s="50">
        <v>20</v>
      </c>
      <c r="M10" s="95">
        <v>0</v>
      </c>
      <c r="N10" s="95">
        <v>25601</v>
      </c>
      <c r="O10" s="95">
        <v>2958465</v>
      </c>
      <c r="P10" s="50">
        <v>0</v>
      </c>
      <c r="Q10" s="98">
        <v>0</v>
      </c>
      <c r="R10" s="192">
        <v>-1208895086580000</v>
      </c>
      <c r="S10" s="192" t="s">
        <v>1136</v>
      </c>
      <c r="T10" s="98">
        <v>-1.0000000001641E+17</v>
      </c>
      <c r="U10" s="98" t="s">
        <v>970</v>
      </c>
      <c r="V10" s="98" t="s">
        <v>970</v>
      </c>
      <c r="W10" s="98" t="s">
        <v>970</v>
      </c>
      <c r="X10" s="98" t="s">
        <v>970</v>
      </c>
      <c r="Y10" s="98" t="s">
        <v>970</v>
      </c>
      <c r="Z10" s="98" t="s">
        <v>527</v>
      </c>
      <c r="AA10" s="50" t="s">
        <v>528</v>
      </c>
      <c r="AB10" s="50" t="s">
        <v>529</v>
      </c>
      <c r="AC10" s="95" t="s">
        <v>530</v>
      </c>
      <c r="AD10" s="50" t="s">
        <v>531</v>
      </c>
      <c r="AE10" s="50" t="s">
        <v>532</v>
      </c>
      <c r="AF10" s="50" t="s">
        <v>533</v>
      </c>
      <c r="AG10" s="50" t="s">
        <v>534</v>
      </c>
      <c r="AH10" s="95" t="s">
        <v>535</v>
      </c>
      <c r="AI10" s="50" t="s">
        <v>536</v>
      </c>
      <c r="AJ10" s="50" t="s">
        <v>971</v>
      </c>
      <c r="AK10" s="50" t="s">
        <v>972</v>
      </c>
      <c r="AL10" s="95" t="s">
        <v>1089</v>
      </c>
      <c r="AM10" s="95">
        <v>45448</v>
      </c>
      <c r="AN10" s="95" t="s">
        <v>1137</v>
      </c>
    </row>
    <row r="11" spans="2:40">
      <c r="B11" s="50" t="s">
        <v>924</v>
      </c>
      <c r="C11" s="50">
        <v>9</v>
      </c>
      <c r="D11" s="95" t="s">
        <v>1138</v>
      </c>
      <c r="E11" s="95">
        <v>45448</v>
      </c>
      <c r="F11" s="50">
        <v>2</v>
      </c>
      <c r="G11" s="95" t="s">
        <v>961</v>
      </c>
      <c r="H11" s="50" t="s">
        <v>1046</v>
      </c>
      <c r="I11" s="50">
        <v>31</v>
      </c>
      <c r="J11" s="50">
        <v>8.9040009999999996E+21</v>
      </c>
      <c r="K11" s="50" t="s">
        <v>1139</v>
      </c>
      <c r="L11" s="50">
        <v>20</v>
      </c>
      <c r="M11" s="95">
        <v>0</v>
      </c>
      <c r="N11" s="95">
        <v>25601</v>
      </c>
      <c r="O11" s="95">
        <v>2958465</v>
      </c>
      <c r="P11" s="50">
        <v>36</v>
      </c>
      <c r="Q11" s="50">
        <v>0</v>
      </c>
      <c r="R11" s="95" t="s">
        <v>1140</v>
      </c>
      <c r="S11" s="95" t="s">
        <v>1141</v>
      </c>
      <c r="T11" s="95" t="s">
        <v>1142</v>
      </c>
      <c r="U11" s="50" t="s">
        <v>1046</v>
      </c>
      <c r="V11" s="50" t="s">
        <v>1046</v>
      </c>
      <c r="W11" s="50" t="s">
        <v>1046</v>
      </c>
      <c r="X11" s="98" t="s">
        <v>1046</v>
      </c>
      <c r="Y11" s="98" t="s">
        <v>1046</v>
      </c>
      <c r="Z11" s="98" t="s">
        <v>527</v>
      </c>
      <c r="AA11" s="50" t="s">
        <v>528</v>
      </c>
      <c r="AB11" s="50" t="s">
        <v>529</v>
      </c>
      <c r="AC11" s="95" t="s">
        <v>530</v>
      </c>
      <c r="AD11" s="50" t="s">
        <v>531</v>
      </c>
      <c r="AE11" s="50" t="s">
        <v>532</v>
      </c>
      <c r="AF11" s="50" t="s">
        <v>533</v>
      </c>
      <c r="AG11" s="50" t="s">
        <v>534</v>
      </c>
      <c r="AH11" s="95" t="s">
        <v>535</v>
      </c>
      <c r="AI11" s="50" t="s">
        <v>536</v>
      </c>
      <c r="AJ11" s="50">
        <v>0</v>
      </c>
      <c r="AK11" s="50" t="s">
        <v>1143</v>
      </c>
      <c r="AL11" s="95" t="s">
        <v>1089</v>
      </c>
      <c r="AM11" s="95">
        <v>45448</v>
      </c>
      <c r="AN11" s="95" t="s">
        <v>1144</v>
      </c>
    </row>
    <row r="12" spans="2:40">
      <c r="B12" s="97" t="s">
        <v>926</v>
      </c>
      <c r="C12" s="50">
        <v>10</v>
      </c>
      <c r="D12" s="95" t="s">
        <v>1145</v>
      </c>
      <c r="E12" s="95">
        <v>45448</v>
      </c>
      <c r="F12" s="50">
        <v>2</v>
      </c>
      <c r="G12" s="95" t="s">
        <v>961</v>
      </c>
      <c r="H12" s="50" t="s">
        <v>1046</v>
      </c>
      <c r="I12" s="50">
        <v>31</v>
      </c>
      <c r="J12" s="50">
        <v>7.0060000328101998E+29</v>
      </c>
      <c r="K12" s="50" t="s">
        <v>1146</v>
      </c>
      <c r="L12" s="50">
        <v>931</v>
      </c>
      <c r="M12" s="95" t="s">
        <v>1147</v>
      </c>
      <c r="N12" s="95">
        <v>45448</v>
      </c>
      <c r="O12" s="95">
        <v>2958465</v>
      </c>
      <c r="P12" s="50">
        <v>985</v>
      </c>
      <c r="Q12" s="98">
        <v>1</v>
      </c>
      <c r="R12" s="98">
        <v>509360745520000</v>
      </c>
      <c r="S12" s="98">
        <v>9.999999999999E+16</v>
      </c>
      <c r="T12" s="98">
        <v>714240769230000</v>
      </c>
      <c r="U12" s="98">
        <v>1209000000000000</v>
      </c>
      <c r="V12" s="98">
        <v>1209000000000000</v>
      </c>
      <c r="W12" s="98">
        <v>82574000000</v>
      </c>
      <c r="X12" s="98">
        <v>1.0000000001641E+17</v>
      </c>
      <c r="Y12" s="98">
        <v>141710780000</v>
      </c>
      <c r="Z12" s="50" t="s">
        <v>527</v>
      </c>
      <c r="AA12" s="50" t="s">
        <v>528</v>
      </c>
      <c r="AB12" s="50" t="s">
        <v>529</v>
      </c>
      <c r="AC12" s="50" t="s">
        <v>530</v>
      </c>
      <c r="AD12" s="50" t="s">
        <v>531</v>
      </c>
      <c r="AE12" s="50" t="s">
        <v>532</v>
      </c>
      <c r="AF12" s="50" t="s">
        <v>533</v>
      </c>
      <c r="AG12" s="50" t="s">
        <v>534</v>
      </c>
      <c r="AH12" s="50" t="s">
        <v>535</v>
      </c>
      <c r="AI12" s="50" t="s">
        <v>536</v>
      </c>
      <c r="AJ12" s="50" t="s">
        <v>1148</v>
      </c>
      <c r="AK12" s="50" t="s">
        <v>1149</v>
      </c>
      <c r="AL12" s="95" t="s">
        <v>981</v>
      </c>
      <c r="AM12" s="95">
        <v>45448</v>
      </c>
      <c r="AN12" s="50" t="s">
        <v>1137</v>
      </c>
    </row>
    <row r="13" spans="2:40">
      <c r="B13" s="50" t="s">
        <v>928</v>
      </c>
      <c r="C13" s="50">
        <v>11</v>
      </c>
      <c r="D13" s="95" t="s">
        <v>1150</v>
      </c>
      <c r="E13" s="95">
        <v>45448</v>
      </c>
      <c r="F13" s="50">
        <v>2</v>
      </c>
      <c r="G13" s="95" t="s">
        <v>961</v>
      </c>
      <c r="H13" s="50" t="s">
        <v>1046</v>
      </c>
      <c r="I13" s="50">
        <v>31</v>
      </c>
      <c r="J13" s="50">
        <v>7.0060000328101998E+29</v>
      </c>
      <c r="K13" s="50" t="s">
        <v>1151</v>
      </c>
      <c r="L13" s="50">
        <v>931</v>
      </c>
      <c r="M13" s="95" t="s">
        <v>1147</v>
      </c>
      <c r="N13" s="95">
        <v>45448</v>
      </c>
      <c r="O13" s="95">
        <v>2958465</v>
      </c>
      <c r="P13" s="95">
        <v>985</v>
      </c>
      <c r="Q13" s="50">
        <v>1</v>
      </c>
      <c r="R13" s="50" t="s">
        <v>1152</v>
      </c>
      <c r="S13" s="95" t="s">
        <v>1153</v>
      </c>
      <c r="T13" s="95" t="s">
        <v>1154</v>
      </c>
      <c r="U13" s="50" t="s">
        <v>1155</v>
      </c>
      <c r="V13" s="50" t="s">
        <v>1155</v>
      </c>
      <c r="W13" s="50" t="s">
        <v>1156</v>
      </c>
      <c r="X13" s="50" t="s">
        <v>1157</v>
      </c>
      <c r="Y13" s="50" t="s">
        <v>1158</v>
      </c>
      <c r="Z13" s="50" t="s">
        <v>527</v>
      </c>
      <c r="AA13" s="50" t="s">
        <v>528</v>
      </c>
      <c r="AB13" s="50" t="s">
        <v>529</v>
      </c>
      <c r="AC13" s="95" t="s">
        <v>530</v>
      </c>
      <c r="AD13" s="50" t="s">
        <v>531</v>
      </c>
      <c r="AE13" s="50" t="s">
        <v>532</v>
      </c>
      <c r="AF13" s="50" t="s">
        <v>533</v>
      </c>
      <c r="AG13" s="50" t="s">
        <v>534</v>
      </c>
      <c r="AH13" s="95" t="s">
        <v>535</v>
      </c>
      <c r="AI13" s="50" t="s">
        <v>536</v>
      </c>
      <c r="AJ13" s="50">
        <v>8</v>
      </c>
      <c r="AK13" s="50" t="s">
        <v>1159</v>
      </c>
      <c r="AL13" s="95" t="s">
        <v>1089</v>
      </c>
      <c r="AM13" s="95">
        <v>45448</v>
      </c>
      <c r="AN13" s="95" t="s">
        <v>1160</v>
      </c>
    </row>
    <row r="14" spans="2:40">
      <c r="B14" s="50" t="s">
        <v>930</v>
      </c>
      <c r="C14" s="50">
        <v>12</v>
      </c>
      <c r="D14" s="95" t="s">
        <v>1161</v>
      </c>
      <c r="E14" s="95">
        <v>45448</v>
      </c>
      <c r="F14" s="50">
        <v>2</v>
      </c>
      <c r="G14" s="98" t="s">
        <v>1162</v>
      </c>
      <c r="H14" s="50" t="s">
        <v>1046</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932</v>
      </c>
      <c r="C15" s="50">
        <v>13</v>
      </c>
      <c r="D15" s="95" t="s">
        <v>1163</v>
      </c>
      <c r="E15" s="95">
        <v>45448</v>
      </c>
      <c r="F15" s="50">
        <v>2</v>
      </c>
      <c r="G15" s="98">
        <v>1</v>
      </c>
      <c r="H15" s="98" t="s">
        <v>1046</v>
      </c>
      <c r="I15" s="50" t="s">
        <v>961</v>
      </c>
      <c r="J15" s="50" t="s">
        <v>961</v>
      </c>
      <c r="K15" s="50" t="s">
        <v>961</v>
      </c>
      <c r="L15" s="50" t="s">
        <v>961</v>
      </c>
      <c r="M15" s="50" t="s">
        <v>961</v>
      </c>
      <c r="N15" s="97">
        <v>0</v>
      </c>
      <c r="O15" s="97">
        <v>0</v>
      </c>
      <c r="P15" s="97" t="s">
        <v>961</v>
      </c>
      <c r="Q15" s="97" t="s">
        <v>961</v>
      </c>
      <c r="R15" s="97" t="s">
        <v>961</v>
      </c>
      <c r="S15" s="50" t="s">
        <v>961</v>
      </c>
      <c r="T15" s="97" t="s">
        <v>961</v>
      </c>
      <c r="U15" s="50" t="s">
        <v>961</v>
      </c>
      <c r="V15" s="50" t="s">
        <v>961</v>
      </c>
      <c r="W15" s="50" t="s">
        <v>961</v>
      </c>
      <c r="X15" s="50" t="s">
        <v>961</v>
      </c>
      <c r="Y15" s="50" t="s">
        <v>961</v>
      </c>
      <c r="Z15" s="50" t="s">
        <v>961</v>
      </c>
      <c r="AA15" s="50" t="s">
        <v>961</v>
      </c>
      <c r="AB15" s="50" t="s">
        <v>961</v>
      </c>
      <c r="AC15" s="50" t="s">
        <v>961</v>
      </c>
      <c r="AD15" s="50" t="s">
        <v>961</v>
      </c>
      <c r="AE15" s="50" t="s">
        <v>961</v>
      </c>
      <c r="AF15" s="50" t="s">
        <v>961</v>
      </c>
      <c r="AG15" s="50" t="s">
        <v>961</v>
      </c>
      <c r="AH15" s="50" t="s">
        <v>961</v>
      </c>
      <c r="AI15" s="50" t="s">
        <v>961</v>
      </c>
      <c r="AJ15" s="50" t="s">
        <v>961</v>
      </c>
      <c r="AK15" s="50" t="s">
        <v>961</v>
      </c>
      <c r="AL15" s="50" t="s">
        <v>961</v>
      </c>
      <c r="AM15" s="50" t="s">
        <v>961</v>
      </c>
      <c r="AN15" s="50" t="s">
        <v>961</v>
      </c>
    </row>
    <row r="16" spans="2:40">
      <c r="B16" s="50" t="s">
        <v>934</v>
      </c>
      <c r="C16" s="50">
        <v>14</v>
      </c>
      <c r="D16" s="95" t="s">
        <v>1164</v>
      </c>
      <c r="E16" s="95">
        <v>45448</v>
      </c>
      <c r="F16" s="50">
        <v>2</v>
      </c>
      <c r="G16" s="98">
        <v>1</v>
      </c>
      <c r="H16" s="98" t="s">
        <v>1046</v>
      </c>
      <c r="I16" s="50">
        <v>0</v>
      </c>
      <c r="J16" s="50">
        <v>0</v>
      </c>
      <c r="K16" s="50">
        <v>0</v>
      </c>
      <c r="L16" s="50">
        <v>0</v>
      </c>
      <c r="M16" s="50">
        <v>0</v>
      </c>
      <c r="N16" s="97" t="s">
        <v>961</v>
      </c>
      <c r="O16" s="97" t="s">
        <v>961</v>
      </c>
      <c r="P16" s="50">
        <v>0</v>
      </c>
      <c r="Q16" s="50">
        <v>0</v>
      </c>
      <c r="R16" s="97" t="s">
        <v>961</v>
      </c>
      <c r="S16" s="97" t="s">
        <v>961</v>
      </c>
      <c r="T16" s="50" t="s">
        <v>961</v>
      </c>
      <c r="U16" s="50" t="s">
        <v>961</v>
      </c>
      <c r="V16" s="50" t="s">
        <v>961</v>
      </c>
      <c r="W16" s="50" t="s">
        <v>961</v>
      </c>
      <c r="X16" s="50" t="s">
        <v>961</v>
      </c>
      <c r="Y16" s="50" t="s">
        <v>961</v>
      </c>
      <c r="Z16" s="50" t="s">
        <v>961</v>
      </c>
      <c r="AA16" s="50" t="s">
        <v>961</v>
      </c>
      <c r="AB16" s="50" t="s">
        <v>961</v>
      </c>
      <c r="AC16" s="50" t="s">
        <v>961</v>
      </c>
      <c r="AD16" s="50" t="s">
        <v>961</v>
      </c>
      <c r="AE16" s="50" t="s">
        <v>961</v>
      </c>
      <c r="AF16" s="50" t="s">
        <v>961</v>
      </c>
      <c r="AG16" s="50" t="s">
        <v>961</v>
      </c>
      <c r="AH16" s="50" t="s">
        <v>961</v>
      </c>
      <c r="AI16" s="50" t="s">
        <v>961</v>
      </c>
      <c r="AJ16" s="50">
        <v>0</v>
      </c>
      <c r="AK16" s="50">
        <v>0</v>
      </c>
      <c r="AL16" s="50">
        <v>0</v>
      </c>
      <c r="AM16" s="50" t="s">
        <v>961</v>
      </c>
      <c r="AN16" s="50" t="s">
        <v>961</v>
      </c>
    </row>
    <row r="17" spans="2:46">
      <c r="B17" s="50" t="s">
        <v>936</v>
      </c>
      <c r="C17" s="50">
        <v>15</v>
      </c>
      <c r="D17" s="95" t="s">
        <v>1165</v>
      </c>
      <c r="E17" s="95">
        <v>45448</v>
      </c>
      <c r="F17" s="50">
        <v>2</v>
      </c>
      <c r="G17" s="98">
        <v>1</v>
      </c>
      <c r="H17" s="242" t="s">
        <v>1166</v>
      </c>
      <c r="I17" s="50" t="s">
        <v>961</v>
      </c>
      <c r="J17" s="50" t="s">
        <v>961</v>
      </c>
      <c r="K17" s="50" t="s">
        <v>961</v>
      </c>
      <c r="L17" s="50" t="s">
        <v>961</v>
      </c>
      <c r="M17" s="50" t="s">
        <v>961</v>
      </c>
      <c r="N17" s="50" t="s">
        <v>961</v>
      </c>
      <c r="O17" s="50" t="s">
        <v>961</v>
      </c>
      <c r="P17" s="50" t="s">
        <v>961</v>
      </c>
      <c r="Q17" s="97" t="s">
        <v>961</v>
      </c>
      <c r="R17" s="50" t="s">
        <v>961</v>
      </c>
      <c r="S17" s="50" t="s">
        <v>961</v>
      </c>
      <c r="T17" s="50" t="s">
        <v>961</v>
      </c>
      <c r="U17" s="50" t="s">
        <v>961</v>
      </c>
      <c r="V17" s="50" t="s">
        <v>961</v>
      </c>
      <c r="W17" s="50" t="s">
        <v>961</v>
      </c>
      <c r="X17" s="50" t="s">
        <v>961</v>
      </c>
      <c r="Y17" s="50" t="s">
        <v>961</v>
      </c>
      <c r="Z17" s="50" t="s">
        <v>961</v>
      </c>
      <c r="AA17" s="50" t="s">
        <v>961</v>
      </c>
      <c r="AB17" s="50" t="s">
        <v>961</v>
      </c>
      <c r="AC17" s="50" t="s">
        <v>961</v>
      </c>
      <c r="AD17" s="50" t="s">
        <v>961</v>
      </c>
      <c r="AE17" s="50" t="s">
        <v>961</v>
      </c>
      <c r="AF17" s="50" t="s">
        <v>961</v>
      </c>
      <c r="AG17" s="50" t="s">
        <v>961</v>
      </c>
      <c r="AH17" s="50" t="s">
        <v>961</v>
      </c>
      <c r="AI17" s="50" t="s">
        <v>961</v>
      </c>
      <c r="AJ17" s="50" t="s">
        <v>961</v>
      </c>
      <c r="AK17" s="50" t="s">
        <v>961</v>
      </c>
      <c r="AL17" s="50" t="s">
        <v>961</v>
      </c>
      <c r="AM17" s="50" t="s">
        <v>961</v>
      </c>
      <c r="AN17" s="50" t="s">
        <v>961</v>
      </c>
    </row>
    <row r="18" spans="2:46">
      <c r="B18" s="50" t="s">
        <v>938</v>
      </c>
      <c r="C18" s="50">
        <v>16</v>
      </c>
      <c r="D18" s="95" t="s">
        <v>1165</v>
      </c>
      <c r="E18" s="95">
        <v>45448</v>
      </c>
      <c r="F18" s="50">
        <v>2</v>
      </c>
      <c r="G18" s="98">
        <v>1</v>
      </c>
      <c r="H18" s="192" t="s">
        <v>1046</v>
      </c>
      <c r="I18" s="50" t="s">
        <v>961</v>
      </c>
      <c r="J18" s="50" t="s">
        <v>961</v>
      </c>
      <c r="K18" s="50" t="s">
        <v>961</v>
      </c>
      <c r="L18" s="50" t="s">
        <v>961</v>
      </c>
      <c r="M18" s="50" t="s">
        <v>961</v>
      </c>
      <c r="N18" s="50" t="s">
        <v>961</v>
      </c>
      <c r="O18" s="50" t="s">
        <v>961</v>
      </c>
      <c r="P18" s="50" t="s">
        <v>961</v>
      </c>
      <c r="Q18" s="50" t="s">
        <v>961</v>
      </c>
      <c r="R18" s="50" t="s">
        <v>961</v>
      </c>
      <c r="S18" s="50" t="s">
        <v>961</v>
      </c>
      <c r="T18" s="50" t="s">
        <v>961</v>
      </c>
      <c r="U18" s="50" t="s">
        <v>961</v>
      </c>
      <c r="V18" s="50" t="s">
        <v>961</v>
      </c>
      <c r="W18" s="50" t="s">
        <v>961</v>
      </c>
      <c r="X18" s="50" t="s">
        <v>961</v>
      </c>
      <c r="Y18" s="50" t="s">
        <v>961</v>
      </c>
      <c r="Z18" s="50" t="s">
        <v>961</v>
      </c>
      <c r="AA18" s="50" t="s">
        <v>961</v>
      </c>
      <c r="AB18" s="50" t="s">
        <v>961</v>
      </c>
      <c r="AC18" s="50" t="s">
        <v>961</v>
      </c>
      <c r="AD18" s="50" t="s">
        <v>961</v>
      </c>
      <c r="AE18" s="50" t="s">
        <v>961</v>
      </c>
      <c r="AF18" s="50" t="s">
        <v>961</v>
      </c>
      <c r="AG18" s="50" t="s">
        <v>961</v>
      </c>
      <c r="AH18" s="50" t="s">
        <v>961</v>
      </c>
      <c r="AI18" s="50" t="s">
        <v>961</v>
      </c>
      <c r="AJ18" s="50" t="s">
        <v>961</v>
      </c>
      <c r="AK18" s="50" t="s">
        <v>961</v>
      </c>
      <c r="AL18" s="50" t="s">
        <v>961</v>
      </c>
      <c r="AM18" s="50" t="s">
        <v>961</v>
      </c>
      <c r="AN18" s="50" t="s">
        <v>961</v>
      </c>
    </row>
    <row r="19" spans="2:46">
      <c r="B19" s="50" t="s">
        <v>940</v>
      </c>
      <c r="C19" s="50">
        <v>17</v>
      </c>
      <c r="D19" s="95" t="s">
        <v>1167</v>
      </c>
      <c r="E19" s="95">
        <v>45448</v>
      </c>
      <c r="F19" s="50">
        <v>2</v>
      </c>
      <c r="G19" s="50" t="s">
        <v>1168</v>
      </c>
      <c r="H19" s="190" t="s">
        <v>1169</v>
      </c>
      <c r="I19" s="50" t="s">
        <v>961</v>
      </c>
      <c r="J19" s="50" t="s">
        <v>961</v>
      </c>
      <c r="K19" s="50" t="s">
        <v>961</v>
      </c>
      <c r="L19" s="50" t="s">
        <v>961</v>
      </c>
      <c r="M19" s="50" t="s">
        <v>961</v>
      </c>
      <c r="N19" s="50" t="s">
        <v>961</v>
      </c>
      <c r="O19" s="50" t="s">
        <v>961</v>
      </c>
      <c r="P19" s="97" t="s">
        <v>961</v>
      </c>
      <c r="Q19" s="97" t="s">
        <v>961</v>
      </c>
      <c r="R19" s="50" t="s">
        <v>961</v>
      </c>
      <c r="S19" s="50" t="s">
        <v>961</v>
      </c>
      <c r="T19" s="50" t="s">
        <v>961</v>
      </c>
      <c r="U19" s="50" t="s">
        <v>961</v>
      </c>
      <c r="V19" s="50" t="s">
        <v>961</v>
      </c>
      <c r="W19" s="50" t="s">
        <v>961</v>
      </c>
      <c r="X19" s="50" t="s">
        <v>961</v>
      </c>
      <c r="Y19" s="50" t="s">
        <v>961</v>
      </c>
      <c r="Z19" s="50" t="s">
        <v>961</v>
      </c>
      <c r="AA19" s="50" t="s">
        <v>961</v>
      </c>
      <c r="AB19" s="50" t="s">
        <v>961</v>
      </c>
      <c r="AC19" s="50" t="s">
        <v>961</v>
      </c>
      <c r="AD19" s="50" t="s">
        <v>961</v>
      </c>
      <c r="AE19" s="50" t="s">
        <v>961</v>
      </c>
      <c r="AF19" s="50" t="s">
        <v>961</v>
      </c>
      <c r="AG19" s="50" t="s">
        <v>961</v>
      </c>
      <c r="AH19" s="50" t="s">
        <v>961</v>
      </c>
      <c r="AI19" s="50" t="s">
        <v>961</v>
      </c>
      <c r="AJ19" s="50" t="s">
        <v>961</v>
      </c>
      <c r="AK19" s="50" t="s">
        <v>961</v>
      </c>
      <c r="AL19" s="50" t="s">
        <v>961</v>
      </c>
      <c r="AM19" s="50" t="s">
        <v>961</v>
      </c>
      <c r="AN19" s="50" t="s">
        <v>961</v>
      </c>
    </row>
    <row r="20" spans="2:46">
      <c r="B20" s="50" t="s">
        <v>942</v>
      </c>
      <c r="C20" s="50">
        <v>18</v>
      </c>
      <c r="D20" s="95" t="s">
        <v>1167</v>
      </c>
      <c r="E20" s="95">
        <v>45448</v>
      </c>
      <c r="F20" s="50">
        <v>2</v>
      </c>
      <c r="G20" s="50" t="s">
        <v>1170</v>
      </c>
      <c r="H20" s="190" t="s">
        <v>1171</v>
      </c>
      <c r="I20" s="50" t="s">
        <v>961</v>
      </c>
      <c r="J20" s="50" t="s">
        <v>961</v>
      </c>
      <c r="K20" s="50" t="s">
        <v>961</v>
      </c>
      <c r="L20" s="50" t="s">
        <v>961</v>
      </c>
      <c r="M20" s="50" t="s">
        <v>961</v>
      </c>
      <c r="N20" s="50" t="s">
        <v>961</v>
      </c>
      <c r="O20" s="50" t="s">
        <v>961</v>
      </c>
      <c r="P20" s="50" t="s">
        <v>961</v>
      </c>
      <c r="Q20" s="50" t="s">
        <v>961</v>
      </c>
      <c r="R20" s="50" t="s">
        <v>961</v>
      </c>
      <c r="S20" s="50" t="s">
        <v>961</v>
      </c>
      <c r="T20" s="50" t="s">
        <v>961</v>
      </c>
      <c r="U20" s="50" t="s">
        <v>961</v>
      </c>
      <c r="V20" s="50" t="s">
        <v>961</v>
      </c>
      <c r="W20" s="50" t="s">
        <v>961</v>
      </c>
      <c r="X20" s="50" t="s">
        <v>961</v>
      </c>
      <c r="Y20" s="50" t="s">
        <v>961</v>
      </c>
      <c r="Z20" s="50" t="s">
        <v>961</v>
      </c>
      <c r="AA20" s="50" t="s">
        <v>961</v>
      </c>
      <c r="AB20" s="50" t="s">
        <v>961</v>
      </c>
      <c r="AC20" s="50" t="s">
        <v>961</v>
      </c>
      <c r="AD20" s="50" t="s">
        <v>961</v>
      </c>
      <c r="AE20" s="50" t="s">
        <v>961</v>
      </c>
      <c r="AF20" s="50" t="s">
        <v>961</v>
      </c>
      <c r="AG20" s="50" t="s">
        <v>961</v>
      </c>
      <c r="AH20" s="50" t="s">
        <v>961</v>
      </c>
      <c r="AI20" s="50" t="s">
        <v>961</v>
      </c>
      <c r="AJ20" s="50" t="s">
        <v>961</v>
      </c>
      <c r="AK20" s="50" t="s">
        <v>961</v>
      </c>
      <c r="AL20" s="50" t="s">
        <v>961</v>
      </c>
      <c r="AM20" s="50" t="s">
        <v>961</v>
      </c>
      <c r="AN20" s="50" t="s">
        <v>961</v>
      </c>
    </row>
    <row r="21" spans="2:46">
      <c r="B21" s="50" t="s">
        <v>944</v>
      </c>
      <c r="C21" s="50">
        <v>19</v>
      </c>
      <c r="D21" s="95" t="s">
        <v>1172</v>
      </c>
      <c r="E21" s="95">
        <v>45448</v>
      </c>
      <c r="F21" s="50">
        <v>2</v>
      </c>
      <c r="G21" s="195" cm="1">
        <f t="array" aca="1" ref="G21" ca="1">SUMPRODUCT(--(ISNUMBER((SEARCH(I27:AN27,I21:AN21)))))/COUNTA(I21:AN21)</f>
        <v>0</v>
      </c>
      <c r="H21" s="50" t="s">
        <v>1046</v>
      </c>
      <c r="I21" s="50" t="s">
        <v>995</v>
      </c>
      <c r="J21" s="50" t="s">
        <v>995</v>
      </c>
      <c r="K21" s="50" t="s">
        <v>995</v>
      </c>
      <c r="L21" s="50" t="s">
        <v>995</v>
      </c>
      <c r="M21" s="50" t="s">
        <v>995</v>
      </c>
      <c r="N21" s="50" t="s">
        <v>995</v>
      </c>
      <c r="O21" s="50" t="s">
        <v>995</v>
      </c>
      <c r="P21" s="50" t="s">
        <v>995</v>
      </c>
      <c r="Q21" s="50" t="s">
        <v>995</v>
      </c>
      <c r="R21" s="50" t="s">
        <v>996</v>
      </c>
      <c r="S21" s="50" t="s">
        <v>996</v>
      </c>
      <c r="T21" s="50" t="s">
        <v>996</v>
      </c>
      <c r="U21" s="50" t="s">
        <v>996</v>
      </c>
      <c r="V21" s="50" t="s">
        <v>996</v>
      </c>
      <c r="W21" s="50" t="s">
        <v>996</v>
      </c>
      <c r="X21" s="50" t="s">
        <v>996</v>
      </c>
      <c r="Y21" s="50" t="s">
        <v>996</v>
      </c>
      <c r="Z21" s="50" t="s">
        <v>995</v>
      </c>
      <c r="AA21" s="50" t="s">
        <v>995</v>
      </c>
      <c r="AB21" s="50" t="s">
        <v>995</v>
      </c>
      <c r="AC21" s="50" t="s">
        <v>995</v>
      </c>
      <c r="AD21" s="50" t="s">
        <v>995</v>
      </c>
      <c r="AE21" s="50" t="s">
        <v>995</v>
      </c>
      <c r="AF21" s="50" t="s">
        <v>995</v>
      </c>
      <c r="AG21" s="50" t="s">
        <v>995</v>
      </c>
      <c r="AH21" s="50" t="s">
        <v>995</v>
      </c>
      <c r="AI21" s="50" t="s">
        <v>995</v>
      </c>
      <c r="AJ21" s="50" t="s">
        <v>995</v>
      </c>
      <c r="AK21" s="50" t="s">
        <v>995</v>
      </c>
      <c r="AL21" s="50" t="s">
        <v>995</v>
      </c>
      <c r="AM21" s="50" t="s">
        <v>995</v>
      </c>
      <c r="AN21" s="50" t="s">
        <v>997</v>
      </c>
    </row>
    <row r="22" spans="2:46">
      <c r="B22" s="50" t="s">
        <v>947</v>
      </c>
      <c r="C22" s="50">
        <v>20</v>
      </c>
      <c r="D22" s="95" t="s">
        <v>1172</v>
      </c>
      <c r="E22" s="95">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6">
      <c r="B23" s="50" t="s">
        <v>950</v>
      </c>
      <c r="C23" s="50">
        <v>21</v>
      </c>
      <c r="D23" s="95" t="s">
        <v>1172</v>
      </c>
      <c r="E23" s="95">
        <v>45448</v>
      </c>
      <c r="F23" s="50">
        <v>2</v>
      </c>
      <c r="G23" s="50" t="e" cm="1">
        <f t="array" aca="1" ref="G23" ca="1">SUM(IF(IF(G3:G22="null",1,G3:G22)=1,1,0))/COUNT(IF(G3:G22="null",1,0))</f>
        <v>#NAME?</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6">
      <c r="AO24" s="205"/>
    </row>
    <row r="25" spans="2:46">
      <c r="B25" s="127" t="s">
        <v>1067</v>
      </c>
      <c r="AO25" s="206"/>
    </row>
    <row r="26" spans="2:46">
      <c r="B26" s="133" t="s">
        <v>953</v>
      </c>
      <c r="C26" s="129" t="s">
        <v>954</v>
      </c>
      <c r="D26" s="129" t="s">
        <v>955</v>
      </c>
      <c r="E26" s="129" t="s">
        <v>956</v>
      </c>
      <c r="F26" s="129" t="s">
        <v>957</v>
      </c>
      <c r="G26" s="129" t="s">
        <v>958</v>
      </c>
      <c r="H26" s="129" t="s">
        <v>959</v>
      </c>
      <c r="I26" s="204" t="s">
        <v>102</v>
      </c>
      <c r="J26" s="204" t="s">
        <v>112</v>
      </c>
      <c r="K26" s="204" t="s">
        <v>116</v>
      </c>
      <c r="L26" s="204" t="s">
        <v>121</v>
      </c>
      <c r="M26" s="204" t="s">
        <v>127</v>
      </c>
      <c r="N26" s="204" t="s">
        <v>138</v>
      </c>
      <c r="O26" s="204" t="s">
        <v>144</v>
      </c>
      <c r="P26" s="204" t="s">
        <v>149</v>
      </c>
      <c r="Q26" s="204" t="s">
        <v>155</v>
      </c>
      <c r="R26" s="204" t="s">
        <v>524</v>
      </c>
      <c r="S26" s="204" t="s">
        <v>525</v>
      </c>
      <c r="T26" s="204" t="s">
        <v>526</v>
      </c>
      <c r="U26" s="204" t="s">
        <v>1123</v>
      </c>
      <c r="V26" s="204" t="s">
        <v>1124</v>
      </c>
      <c r="W26" s="204" t="s">
        <v>1125</v>
      </c>
      <c r="X26" s="204" t="s">
        <v>1126</v>
      </c>
      <c r="Y26" s="204" t="s">
        <v>1127</v>
      </c>
      <c r="Z26" s="204" t="s">
        <v>527</v>
      </c>
      <c r="AA26" s="204" t="s">
        <v>528</v>
      </c>
      <c r="AB26" s="204" t="s">
        <v>529</v>
      </c>
      <c r="AC26" s="204" t="s">
        <v>530</v>
      </c>
      <c r="AD26" s="204" t="s">
        <v>531</v>
      </c>
      <c r="AE26" s="204" t="s">
        <v>532</v>
      </c>
      <c r="AF26" s="204" t="s">
        <v>533</v>
      </c>
      <c r="AG26" s="204" t="s">
        <v>534</v>
      </c>
      <c r="AH26" s="204" t="s">
        <v>535</v>
      </c>
      <c r="AI26" s="204" t="s">
        <v>536</v>
      </c>
      <c r="AJ26" s="204" t="s">
        <v>190</v>
      </c>
      <c r="AK26" s="204" t="s">
        <v>196</v>
      </c>
      <c r="AL26" s="204" t="s">
        <v>202</v>
      </c>
      <c r="AM26" s="204" t="s">
        <v>208</v>
      </c>
      <c r="AN26" s="204" t="s">
        <v>213</v>
      </c>
      <c r="AO26" s="207"/>
    </row>
    <row r="27" spans="2:46">
      <c r="B27" s="107" t="s">
        <v>998</v>
      </c>
      <c r="C27" s="110">
        <v>21</v>
      </c>
      <c r="D27" s="104" t="s">
        <v>999</v>
      </c>
      <c r="E27" s="103" t="s">
        <v>1000</v>
      </c>
      <c r="F27" s="103" t="s">
        <v>206</v>
      </c>
      <c r="G27" s="103" t="s">
        <v>206</v>
      </c>
      <c r="H27" s="103" t="s">
        <v>206</v>
      </c>
      <c r="I27" s="103" t="e" cm="1">
        <f t="array" aca="1" ref="I27:AT28" ca="1">TRANSPOSE(_xlfn.SORTBY(_xlfn._xlws.FILTER(IF(Table3[FORMATO]:Table3[COMP_ CAMPO]&lt;&gt;"",Table3[FORMATO]:Table3[COMP_ CAMPO],9999999),Table3[NOME FÍSICO TABELA]="current_account"), _xlfn._xlws.FILTER(Table3[ORDEM], Table3[NOME FÍSICO TABELA]="current_account"), 1))</f>
        <v>#NAME?</v>
      </c>
      <c r="J27" s="103" t="e">
        <f ca="1"/>
        <v>#NAME?</v>
      </c>
      <c r="K27" s="103" t="e">
        <f ca="1"/>
        <v>#NAME?</v>
      </c>
      <c r="L27" s="103" t="e">
        <f ca="1"/>
        <v>#NAME?</v>
      </c>
      <c r="M27" s="103" t="e">
        <f ca="1"/>
        <v>#NAME?</v>
      </c>
      <c r="N27" s="103" t="e">
        <f ca="1"/>
        <v>#NAME?</v>
      </c>
      <c r="O27" s="103" t="e">
        <f ca="1"/>
        <v>#NAME?</v>
      </c>
      <c r="P27" s="103" t="e">
        <f ca="1"/>
        <v>#NAME?</v>
      </c>
      <c r="Q27" s="103" t="e">
        <f ca="1"/>
        <v>#NAME?</v>
      </c>
      <c r="R27" s="103" t="e">
        <f ca="1"/>
        <v>#NAME?</v>
      </c>
      <c r="S27" s="103" t="e">
        <f ca="1"/>
        <v>#NAME?</v>
      </c>
      <c r="T27" s="103" t="e">
        <f ca="1"/>
        <v>#NAME?</v>
      </c>
      <c r="U27" s="103" t="e">
        <f ca="1"/>
        <v>#NAME?</v>
      </c>
      <c r="V27" s="103" t="e">
        <f ca="1"/>
        <v>#NAME?</v>
      </c>
      <c r="W27" s="103" t="e">
        <f ca="1"/>
        <v>#NAME?</v>
      </c>
      <c r="X27" s="103" t="e">
        <f ca="1"/>
        <v>#NAME?</v>
      </c>
      <c r="Y27" s="103" t="e">
        <f ca="1"/>
        <v>#NAME?</v>
      </c>
      <c r="Z27" s="103" t="e">
        <f ca="1"/>
        <v>#NAME?</v>
      </c>
      <c r="AA27" s="103" t="e">
        <f ca="1"/>
        <v>#NAME?</v>
      </c>
      <c r="AB27" s="103" t="e">
        <f ca="1"/>
        <v>#NAME?</v>
      </c>
      <c r="AC27" s="103" t="e">
        <f ca="1"/>
        <v>#NAME?</v>
      </c>
      <c r="AD27" s="103" t="e">
        <f ca="1"/>
        <v>#NAME?</v>
      </c>
      <c r="AE27" s="103" t="e">
        <f ca="1"/>
        <v>#NAME?</v>
      </c>
      <c r="AF27" s="103" t="e">
        <f ca="1"/>
        <v>#NAME?</v>
      </c>
      <c r="AG27" s="103" t="e">
        <f ca="1"/>
        <v>#NAME?</v>
      </c>
      <c r="AH27" s="103" t="e">
        <f ca="1"/>
        <v>#NAME?</v>
      </c>
      <c r="AI27" s="103" t="e">
        <f ca="1"/>
        <v>#NAME?</v>
      </c>
      <c r="AJ27" s="103" t="e">
        <f ca="1"/>
        <v>#NAME?</v>
      </c>
      <c r="AK27" s="103" t="e">
        <f ca="1"/>
        <v>#NAME?</v>
      </c>
      <c r="AL27" s="103" t="e">
        <f ca="1"/>
        <v>#NAME?</v>
      </c>
      <c r="AM27" s="103" t="e">
        <f ca="1"/>
        <v>#NAME?</v>
      </c>
      <c r="AN27" s="103" t="e">
        <f ca="1"/>
        <v>#NAME?</v>
      </c>
      <c r="AO27" t="e">
        <f ca="1"/>
        <v>#NAME?</v>
      </c>
      <c r="AP27" t="e">
        <f ca="1"/>
        <v>#NAME?</v>
      </c>
      <c r="AQ27" t="e">
        <f ca="1"/>
        <v>#NAME?</v>
      </c>
      <c r="AR27" t="e">
        <f ca="1"/>
        <v>#NAME?</v>
      </c>
      <c r="AS27" t="e">
        <f ca="1"/>
        <v>#NAME?</v>
      </c>
      <c r="AT27" t="e">
        <f ca="1"/>
        <v>#NAME?</v>
      </c>
    </row>
    <row r="28" spans="2:46">
      <c r="B28" s="107" t="s">
        <v>1001</v>
      </c>
      <c r="C28" s="110">
        <v>7</v>
      </c>
      <c r="D28" s="104" t="s">
        <v>999</v>
      </c>
      <c r="E28" s="103" t="s">
        <v>1000</v>
      </c>
      <c r="F28" s="105" t="s">
        <v>206</v>
      </c>
      <c r="G28" s="105" t="s">
        <v>206</v>
      </c>
      <c r="H28" s="105" t="s">
        <v>206</v>
      </c>
      <c r="I28" s="151" t="e">
        <f ca="1"/>
        <v>#NAME?</v>
      </c>
      <c r="J28" s="151" t="e">
        <f ca="1"/>
        <v>#NAME?</v>
      </c>
      <c r="K28" s="151" t="e">
        <f ca="1"/>
        <v>#NAME?</v>
      </c>
      <c r="L28" s="151" t="e">
        <f ca="1"/>
        <v>#NAME?</v>
      </c>
      <c r="M28" s="151" t="e">
        <f ca="1"/>
        <v>#NAME?</v>
      </c>
      <c r="N28" s="151" t="e">
        <f ca="1"/>
        <v>#NAME?</v>
      </c>
      <c r="O28" s="151" t="e">
        <f ca="1"/>
        <v>#NAME?</v>
      </c>
      <c r="P28" s="151" t="e">
        <f ca="1"/>
        <v>#NAME?</v>
      </c>
      <c r="Q28" s="151" t="e">
        <f ca="1"/>
        <v>#NAME?</v>
      </c>
      <c r="R28" s="151" t="e">
        <f ca="1"/>
        <v>#NAME?</v>
      </c>
      <c r="S28" s="151" t="e">
        <f ca="1"/>
        <v>#NAME?</v>
      </c>
      <c r="T28" s="151" t="e">
        <f ca="1"/>
        <v>#NAME?</v>
      </c>
      <c r="U28" s="151" t="e">
        <f ca="1"/>
        <v>#NAME?</v>
      </c>
      <c r="V28" s="151" t="e">
        <f ca="1"/>
        <v>#NAME?</v>
      </c>
      <c r="W28" s="151" t="e">
        <f ca="1"/>
        <v>#NAME?</v>
      </c>
      <c r="X28" s="151" t="e">
        <f ca="1"/>
        <v>#NAME?</v>
      </c>
      <c r="Y28" s="151" t="e">
        <f ca="1"/>
        <v>#NAME?</v>
      </c>
      <c r="Z28" s="151" t="e">
        <f ca="1"/>
        <v>#NAME?</v>
      </c>
      <c r="AA28" s="151" t="e">
        <f ca="1"/>
        <v>#NAME?</v>
      </c>
      <c r="AB28" s="151" t="e">
        <f ca="1"/>
        <v>#NAME?</v>
      </c>
      <c r="AC28" s="151" t="e">
        <f ca="1"/>
        <v>#NAME?</v>
      </c>
      <c r="AD28" s="151" t="e">
        <f ca="1"/>
        <v>#NAME?</v>
      </c>
      <c r="AE28" s="110" t="e">
        <f ca="1"/>
        <v>#NAME?</v>
      </c>
      <c r="AF28" s="110" t="e">
        <f ca="1"/>
        <v>#NAME?</v>
      </c>
      <c r="AG28" s="110" t="e">
        <f ca="1"/>
        <v>#NAME?</v>
      </c>
      <c r="AH28" s="110" t="e">
        <f ca="1"/>
        <v>#NAME?</v>
      </c>
      <c r="AI28" s="110" t="e">
        <f ca="1"/>
        <v>#NAME?</v>
      </c>
      <c r="AJ28" s="110" t="e">
        <f ca="1"/>
        <v>#NAME?</v>
      </c>
      <c r="AK28" s="110" t="e">
        <f ca="1"/>
        <v>#NAME?</v>
      </c>
      <c r="AL28" s="110" t="e">
        <f ca="1"/>
        <v>#NAME?</v>
      </c>
      <c r="AM28" s="110" t="e">
        <f ca="1"/>
        <v>#NAME?</v>
      </c>
      <c r="AN28" s="110" t="e">
        <f ca="1"/>
        <v>#NAME?</v>
      </c>
      <c r="AO28" t="e">
        <f ca="1"/>
        <v>#NAME?</v>
      </c>
      <c r="AP28" t="e">
        <f ca="1"/>
        <v>#NAME?</v>
      </c>
      <c r="AQ28" t="e">
        <f ca="1"/>
        <v>#NAME?</v>
      </c>
      <c r="AR28" t="e">
        <f ca="1"/>
        <v>#NAME?</v>
      </c>
      <c r="AS28" t="e">
        <f ca="1"/>
        <v>#NAME?</v>
      </c>
      <c r="AT28" t="e">
        <f ca="1"/>
        <v>#NAME?</v>
      </c>
    </row>
    <row r="30" spans="2:46">
      <c r="B30" s="140" t="s">
        <v>1002</v>
      </c>
    </row>
    <row r="31" spans="2:46">
      <c r="B31" s="134" t="s">
        <v>1003</v>
      </c>
      <c r="C31" s="134" t="s">
        <v>1004</v>
      </c>
      <c r="D31" s="135" t="s">
        <v>1005</v>
      </c>
      <c r="E31" s="134" t="s">
        <v>1006</v>
      </c>
      <c r="F31" s="134" t="s">
        <v>1007</v>
      </c>
    </row>
    <row r="32" spans="2:46" ht="43.5">
      <c r="B32" s="111" t="s">
        <v>1008</v>
      </c>
      <c r="C32" s="115" t="s">
        <v>183</v>
      </c>
      <c r="D32" s="53" t="s">
        <v>1173</v>
      </c>
      <c r="E32" s="153" t="s">
        <v>1174</v>
      </c>
      <c r="F32" s="136" t="s">
        <v>1014</v>
      </c>
    </row>
    <row r="33" spans="2:16" ht="29">
      <c r="B33" s="111" t="s">
        <v>1175</v>
      </c>
      <c r="C33" s="115" t="s">
        <v>1176</v>
      </c>
      <c r="D33" s="53" t="s">
        <v>1177</v>
      </c>
      <c r="E33" s="153" t="s">
        <v>1178</v>
      </c>
      <c r="F33" s="136" t="s">
        <v>1017</v>
      </c>
    </row>
    <row r="34" spans="2:16" ht="87">
      <c r="B34" s="111" t="s">
        <v>1018</v>
      </c>
      <c r="C34" s="115" t="s">
        <v>1019</v>
      </c>
      <c r="D34" s="53" t="s">
        <v>1179</v>
      </c>
      <c r="E34" s="153" t="s">
        <v>1180</v>
      </c>
      <c r="F34" s="136" t="s">
        <v>1181</v>
      </c>
    </row>
    <row r="35" spans="2:16" ht="58">
      <c r="B35" s="111" t="s">
        <v>1076</v>
      </c>
      <c r="C35" s="115" t="s">
        <v>1019</v>
      </c>
      <c r="D35" s="53" t="s">
        <v>1182</v>
      </c>
      <c r="E35" s="153" t="s">
        <v>1183</v>
      </c>
      <c r="F35" s="136" t="s">
        <v>1184</v>
      </c>
    </row>
    <row r="36" spans="2:16" ht="29">
      <c r="B36" s="111" t="s">
        <v>1111</v>
      </c>
      <c r="C36" s="115" t="s">
        <v>529</v>
      </c>
      <c r="D36" s="53" t="s">
        <v>1185</v>
      </c>
      <c r="E36" s="153" t="s">
        <v>1186</v>
      </c>
      <c r="F36" s="136" t="s">
        <v>1014</v>
      </c>
    </row>
    <row r="37" spans="2:16" ht="29">
      <c r="B37" s="111" t="s">
        <v>1111</v>
      </c>
      <c r="C37" s="115" t="s">
        <v>530</v>
      </c>
      <c r="D37" s="53" t="s">
        <v>1185</v>
      </c>
      <c r="E37" s="153" t="s">
        <v>1186</v>
      </c>
      <c r="F37" s="136" t="s">
        <v>1014</v>
      </c>
    </row>
    <row r="38" spans="2:16" ht="29">
      <c r="B38" s="111" t="s">
        <v>1111</v>
      </c>
      <c r="C38" s="115" t="s">
        <v>531</v>
      </c>
      <c r="D38" s="53" t="s">
        <v>1185</v>
      </c>
      <c r="E38" s="153" t="s">
        <v>1186</v>
      </c>
      <c r="F38" s="136" t="s">
        <v>1014</v>
      </c>
      <c r="I38" s="158"/>
      <c r="J38" s="158"/>
      <c r="K38" s="158"/>
      <c r="L38" s="158"/>
      <c r="M38" s="158"/>
      <c r="N38" s="158"/>
      <c r="O38" s="158"/>
      <c r="P38" s="158"/>
    </row>
    <row r="39" spans="2:16" ht="29">
      <c r="B39" s="111" t="s">
        <v>1111</v>
      </c>
      <c r="C39" s="115" t="s">
        <v>534</v>
      </c>
      <c r="D39" s="53" t="s">
        <v>1185</v>
      </c>
      <c r="E39" s="153" t="s">
        <v>1186</v>
      </c>
      <c r="F39" s="136" t="s">
        <v>1014</v>
      </c>
      <c r="I39" s="158"/>
      <c r="J39" s="158"/>
      <c r="K39" s="158"/>
      <c r="L39" s="158"/>
      <c r="M39" s="158"/>
      <c r="N39" s="158"/>
      <c r="O39" s="158"/>
      <c r="P39" s="158"/>
    </row>
    <row r="40" spans="2:16" ht="29">
      <c r="B40" s="111" t="s">
        <v>1111</v>
      </c>
      <c r="C40" s="115" t="s">
        <v>535</v>
      </c>
      <c r="D40" s="53" t="s">
        <v>1185</v>
      </c>
      <c r="E40" s="153" t="s">
        <v>1186</v>
      </c>
      <c r="F40" s="136" t="s">
        <v>1014</v>
      </c>
    </row>
    <row r="41" spans="2:16" ht="29">
      <c r="B41" s="111" t="s">
        <v>1111</v>
      </c>
      <c r="C41" s="115" t="s">
        <v>536</v>
      </c>
      <c r="D41" s="53" t="s">
        <v>1185</v>
      </c>
      <c r="E41" s="153" t="s">
        <v>1186</v>
      </c>
      <c r="F41" s="136" t="s">
        <v>1014</v>
      </c>
    </row>
    <row r="52" spans="7:7">
      <c r="G52" s="194"/>
    </row>
    <row r="53" spans="7:7">
      <c r="G53" s="19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S53"/>
  <sheetViews>
    <sheetView showGridLines="0" topLeftCell="A41" workbookViewId="0">
      <selection activeCell="D51" sqref="D51"/>
    </sheetView>
  </sheetViews>
  <sheetFormatPr defaultRowHeight="14.5"/>
  <cols>
    <col min="2" max="2" width="43" customWidth="1"/>
    <col min="3" max="3" width="31.26953125" bestFit="1" customWidth="1"/>
    <col min="4" max="4" width="66.81640625" customWidth="1"/>
    <col min="5" max="5" width="30.453125" bestFit="1" customWidth="1"/>
    <col min="6" max="6" width="23.7265625" customWidth="1"/>
    <col min="7" max="7" width="16.45312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9" width="30.7265625" bestFit="1" customWidth="1"/>
    <col min="20" max="20" width="28" bestFit="1" customWidth="1"/>
    <col min="21" max="25" width="30.7265625" bestFit="1" customWidth="1"/>
    <col min="26" max="26" width="30.7265625" customWidth="1"/>
    <col min="27" max="28" width="30.7265625" bestFit="1" customWidth="1"/>
    <col min="29" max="29" width="25" bestFit="1" customWidth="1"/>
    <col min="30" max="31" width="30.7265625" bestFit="1" customWidth="1"/>
    <col min="32" max="32" width="44.81640625" customWidth="1"/>
    <col min="33" max="42" width="30.7265625" bestFit="1" customWidth="1"/>
    <col min="43" max="43" width="27.81640625" bestFit="1" customWidth="1"/>
    <col min="44" max="44" width="30.7265625" bestFit="1" customWidth="1"/>
    <col min="45" max="45" width="22.54296875" bestFit="1" customWidth="1"/>
  </cols>
  <sheetData>
    <row r="1" spans="2:45" ht="31.5" customHeight="1"/>
    <row r="2" spans="2:45">
      <c r="B2" s="76" t="s">
        <v>953</v>
      </c>
      <c r="C2" s="76" t="s">
        <v>954</v>
      </c>
      <c r="D2" s="76" t="s">
        <v>955</v>
      </c>
      <c r="E2" s="76" t="s">
        <v>956</v>
      </c>
      <c r="F2" s="76" t="s">
        <v>957</v>
      </c>
      <c r="G2" s="76" t="s">
        <v>958</v>
      </c>
      <c r="H2" s="76" t="s">
        <v>959</v>
      </c>
      <c r="I2" s="50" t="s">
        <v>102</v>
      </c>
      <c r="J2" s="76" t="s">
        <v>112</v>
      </c>
      <c r="K2" s="76" t="s">
        <v>116</v>
      </c>
      <c r="L2" s="76" t="s">
        <v>121</v>
      </c>
      <c r="M2" s="76" t="s">
        <v>127</v>
      </c>
      <c r="N2" s="76" t="s">
        <v>132</v>
      </c>
      <c r="O2" s="76" t="s">
        <v>135</v>
      </c>
      <c r="P2" s="76" t="s">
        <v>277</v>
      </c>
      <c r="Q2" s="76" t="s">
        <v>282</v>
      </c>
      <c r="R2" s="76" t="s">
        <v>138</v>
      </c>
      <c r="S2" s="76" t="s">
        <v>144</v>
      </c>
      <c r="T2" s="76" t="s">
        <v>149</v>
      </c>
      <c r="U2" s="76" t="s">
        <v>155</v>
      </c>
      <c r="V2" s="76" t="s">
        <v>169</v>
      </c>
      <c r="W2" s="76" t="s">
        <v>508</v>
      </c>
      <c r="X2" s="76" t="s">
        <v>319</v>
      </c>
      <c r="Y2" s="76" t="s">
        <v>175</v>
      </c>
      <c r="Z2" s="76" t="s">
        <v>183</v>
      </c>
      <c r="AA2" s="76" t="s">
        <v>362</v>
      </c>
      <c r="AB2" s="76" t="s">
        <v>226</v>
      </c>
      <c r="AC2" s="76" t="s">
        <v>375</v>
      </c>
      <c r="AD2" s="76" t="s">
        <v>383</v>
      </c>
      <c r="AE2" s="76" t="s">
        <v>1187</v>
      </c>
      <c r="AF2" s="76" t="s">
        <v>542</v>
      </c>
      <c r="AG2" s="76" t="s">
        <v>1188</v>
      </c>
      <c r="AH2" s="76" t="s">
        <v>1189</v>
      </c>
      <c r="AI2" s="76" t="s">
        <v>544</v>
      </c>
      <c r="AJ2" s="76" t="s">
        <v>561</v>
      </c>
      <c r="AK2" s="76" t="s">
        <v>404</v>
      </c>
      <c r="AL2" s="76" t="s">
        <v>414</v>
      </c>
      <c r="AM2" s="76" t="s">
        <v>424</v>
      </c>
      <c r="AN2" s="76" t="s">
        <v>432</v>
      </c>
      <c r="AO2" s="76" t="s">
        <v>190</v>
      </c>
      <c r="AP2" s="76" t="s">
        <v>196</v>
      </c>
      <c r="AQ2" s="76" t="s">
        <v>202</v>
      </c>
      <c r="AR2" s="76" t="s">
        <v>208</v>
      </c>
      <c r="AS2" s="76" t="s">
        <v>213</v>
      </c>
    </row>
    <row r="3" spans="2:45">
      <c r="B3" s="50" t="s">
        <v>907</v>
      </c>
      <c r="C3" s="50">
        <v>1</v>
      </c>
      <c r="D3" s="50" t="s">
        <v>1190</v>
      </c>
      <c r="E3" s="95">
        <v>45433</v>
      </c>
      <c r="F3" s="50">
        <v>1</v>
      </c>
      <c r="G3" s="50">
        <v>1</v>
      </c>
      <c r="H3" s="190" t="s">
        <v>1191</v>
      </c>
      <c r="I3" s="50" t="s">
        <v>961</v>
      </c>
      <c r="J3" s="50" t="s">
        <v>961</v>
      </c>
      <c r="K3" s="50" t="s">
        <v>961</v>
      </c>
      <c r="L3" s="50" t="s">
        <v>961</v>
      </c>
      <c r="M3" s="50" t="s">
        <v>961</v>
      </c>
      <c r="N3" s="50" t="s">
        <v>961</v>
      </c>
      <c r="O3" s="50" t="s">
        <v>961</v>
      </c>
      <c r="P3" s="50" t="s">
        <v>961</v>
      </c>
      <c r="Q3" s="50" t="s">
        <v>961</v>
      </c>
      <c r="R3" s="50" t="s">
        <v>961</v>
      </c>
      <c r="S3" s="50" t="s">
        <v>961</v>
      </c>
      <c r="T3" s="50" t="s">
        <v>961</v>
      </c>
      <c r="U3" s="50" t="s">
        <v>961</v>
      </c>
      <c r="V3" s="50" t="s">
        <v>961</v>
      </c>
      <c r="W3" s="50" t="s">
        <v>961</v>
      </c>
      <c r="X3" s="50" t="s">
        <v>961</v>
      </c>
      <c r="Y3" s="50" t="s">
        <v>961</v>
      </c>
      <c r="Z3" s="50" t="s">
        <v>961</v>
      </c>
      <c r="AA3" s="50" t="s">
        <v>961</v>
      </c>
      <c r="AB3" s="50" t="s">
        <v>961</v>
      </c>
      <c r="AC3" s="50" t="s">
        <v>961</v>
      </c>
      <c r="AD3" s="186" t="s">
        <v>961</v>
      </c>
      <c r="AE3" s="186" t="s">
        <v>961</v>
      </c>
      <c r="AF3" s="50" t="s">
        <v>961</v>
      </c>
      <c r="AG3" s="50" t="s">
        <v>961</v>
      </c>
      <c r="AH3" s="50" t="s">
        <v>961</v>
      </c>
      <c r="AI3" s="50" t="s">
        <v>961</v>
      </c>
      <c r="AJ3" s="50" t="s">
        <v>961</v>
      </c>
      <c r="AK3" s="50" t="s">
        <v>961</v>
      </c>
      <c r="AL3" s="50" t="s">
        <v>961</v>
      </c>
      <c r="AM3" s="50" t="s">
        <v>961</v>
      </c>
      <c r="AN3" s="50" t="s">
        <v>961</v>
      </c>
      <c r="AO3" s="50" t="s">
        <v>961</v>
      </c>
      <c r="AP3" s="50" t="s">
        <v>961</v>
      </c>
      <c r="AQ3" s="50" t="s">
        <v>961</v>
      </c>
      <c r="AR3" s="50" t="s">
        <v>961</v>
      </c>
      <c r="AS3" s="50" t="s">
        <v>961</v>
      </c>
    </row>
    <row r="4" spans="2:45">
      <c r="B4" s="50" t="s">
        <v>909</v>
      </c>
      <c r="C4" s="50">
        <v>2</v>
      </c>
      <c r="D4" s="50" t="s">
        <v>1192</v>
      </c>
      <c r="E4" s="95">
        <v>45433</v>
      </c>
      <c r="F4" s="50">
        <v>1</v>
      </c>
      <c r="G4" s="50">
        <v>1</v>
      </c>
      <c r="H4" s="50" t="s">
        <v>1046</v>
      </c>
      <c r="I4" s="50" t="s">
        <v>961</v>
      </c>
      <c r="J4" s="50" t="s">
        <v>961</v>
      </c>
      <c r="K4" s="50" t="s">
        <v>961</v>
      </c>
      <c r="L4" s="50" t="s">
        <v>961</v>
      </c>
      <c r="M4" s="50" t="s">
        <v>961</v>
      </c>
      <c r="N4" s="50" t="s">
        <v>961</v>
      </c>
      <c r="O4" s="50" t="s">
        <v>961</v>
      </c>
      <c r="P4" s="50" t="s">
        <v>961</v>
      </c>
      <c r="Q4" s="50" t="s">
        <v>961</v>
      </c>
      <c r="R4" s="50" t="s">
        <v>961</v>
      </c>
      <c r="S4" s="50" t="s">
        <v>961</v>
      </c>
      <c r="T4" s="50" t="s">
        <v>961</v>
      </c>
      <c r="U4" s="50" t="s">
        <v>961</v>
      </c>
      <c r="V4" s="50" t="s">
        <v>961</v>
      </c>
      <c r="W4" s="50" t="s">
        <v>961</v>
      </c>
      <c r="X4" s="50" t="s">
        <v>961</v>
      </c>
      <c r="Y4" s="50" t="s">
        <v>961</v>
      </c>
      <c r="Z4" s="50" t="s">
        <v>961</v>
      </c>
      <c r="AA4" s="50" t="s">
        <v>961</v>
      </c>
      <c r="AB4" s="50" t="s">
        <v>961</v>
      </c>
      <c r="AC4" s="50" t="s">
        <v>961</v>
      </c>
      <c r="AD4" s="186" t="s">
        <v>961</v>
      </c>
      <c r="AE4" s="186" t="s">
        <v>961</v>
      </c>
      <c r="AF4" s="50" t="s">
        <v>961</v>
      </c>
      <c r="AG4" s="50" t="s">
        <v>961</v>
      </c>
      <c r="AH4" s="50" t="s">
        <v>961</v>
      </c>
      <c r="AI4" s="50" t="s">
        <v>961</v>
      </c>
      <c r="AJ4" s="50" t="s">
        <v>961</v>
      </c>
      <c r="AK4" s="50" t="s">
        <v>961</v>
      </c>
      <c r="AL4" s="50" t="s">
        <v>961</v>
      </c>
      <c r="AM4" s="50" t="s">
        <v>961</v>
      </c>
      <c r="AN4" s="50" t="s">
        <v>961</v>
      </c>
      <c r="AO4" s="50" t="s">
        <v>961</v>
      </c>
      <c r="AP4" s="50" t="s">
        <v>961</v>
      </c>
      <c r="AQ4" s="50" t="s">
        <v>961</v>
      </c>
      <c r="AR4" s="50" t="s">
        <v>961</v>
      </c>
      <c r="AS4" s="50" t="s">
        <v>961</v>
      </c>
    </row>
    <row r="5" spans="2:45">
      <c r="B5" s="50" t="s">
        <v>911</v>
      </c>
      <c r="C5" s="50">
        <v>3</v>
      </c>
      <c r="D5" s="50" t="s">
        <v>1193</v>
      </c>
      <c r="E5" s="95">
        <v>45433</v>
      </c>
      <c r="F5" s="50">
        <v>1</v>
      </c>
      <c r="G5" s="50">
        <v>1</v>
      </c>
      <c r="H5" s="50" t="s">
        <v>1046</v>
      </c>
      <c r="I5" s="50">
        <v>0</v>
      </c>
      <c r="J5" s="50">
        <v>0</v>
      </c>
      <c r="K5" s="50" t="s">
        <v>961</v>
      </c>
      <c r="L5" s="50" t="s">
        <v>961</v>
      </c>
      <c r="M5" s="50" t="s">
        <v>961</v>
      </c>
      <c r="N5" s="50" t="s">
        <v>961</v>
      </c>
      <c r="O5" s="50" t="s">
        <v>961</v>
      </c>
      <c r="P5" s="50" t="s">
        <v>961</v>
      </c>
      <c r="Q5" s="50" t="s">
        <v>961</v>
      </c>
      <c r="R5" s="50" t="s">
        <v>961</v>
      </c>
      <c r="S5" s="50" t="s">
        <v>961</v>
      </c>
      <c r="T5" s="50" t="s">
        <v>961</v>
      </c>
      <c r="U5" s="50" t="s">
        <v>961</v>
      </c>
      <c r="V5" s="50" t="s">
        <v>961</v>
      </c>
      <c r="W5" s="50" t="s">
        <v>961</v>
      </c>
      <c r="X5" s="50" t="s">
        <v>961</v>
      </c>
      <c r="Y5" s="50" t="s">
        <v>961</v>
      </c>
      <c r="Z5" s="50" t="s">
        <v>961</v>
      </c>
      <c r="AA5" s="50" t="s">
        <v>961</v>
      </c>
      <c r="AB5" s="50" t="s">
        <v>961</v>
      </c>
      <c r="AC5" s="50" t="s">
        <v>961</v>
      </c>
      <c r="AD5" s="186" t="s">
        <v>961</v>
      </c>
      <c r="AE5" s="186" t="s">
        <v>961</v>
      </c>
      <c r="AF5" s="50" t="s">
        <v>961</v>
      </c>
      <c r="AG5" s="50" t="s">
        <v>961</v>
      </c>
      <c r="AH5" s="50" t="s">
        <v>961</v>
      </c>
      <c r="AI5" s="50" t="s">
        <v>961</v>
      </c>
      <c r="AJ5" s="50" t="s">
        <v>961</v>
      </c>
      <c r="AK5" s="50" t="s">
        <v>961</v>
      </c>
      <c r="AL5" s="50" t="s">
        <v>961</v>
      </c>
      <c r="AM5" s="50" t="s">
        <v>961</v>
      </c>
      <c r="AN5" s="50" t="s">
        <v>961</v>
      </c>
      <c r="AO5" s="50" t="s">
        <v>961</v>
      </c>
      <c r="AP5" s="50" t="s">
        <v>961</v>
      </c>
      <c r="AQ5" s="50" t="s">
        <v>961</v>
      </c>
      <c r="AR5" s="50">
        <v>0</v>
      </c>
      <c r="AS5" s="50" t="s">
        <v>961</v>
      </c>
    </row>
    <row r="6" spans="2:45">
      <c r="B6" s="97" t="s">
        <v>913</v>
      </c>
      <c r="C6" s="50">
        <v>4</v>
      </c>
      <c r="D6" s="50" t="s">
        <v>964</v>
      </c>
      <c r="E6" s="95" t="s">
        <v>961</v>
      </c>
      <c r="F6" s="50">
        <v>1</v>
      </c>
      <c r="G6" s="95" t="s">
        <v>961</v>
      </c>
      <c r="H6" s="50"/>
      <c r="I6" s="50" t="s">
        <v>961</v>
      </c>
      <c r="J6" s="50" t="s">
        <v>961</v>
      </c>
      <c r="K6" s="50" t="s">
        <v>961</v>
      </c>
      <c r="L6" s="50" t="s">
        <v>961</v>
      </c>
      <c r="M6" s="50" t="s">
        <v>961</v>
      </c>
      <c r="N6" s="50" t="s">
        <v>961</v>
      </c>
      <c r="O6" s="50" t="s">
        <v>961</v>
      </c>
      <c r="P6" s="50" t="s">
        <v>961</v>
      </c>
      <c r="Q6" s="50" t="s">
        <v>961</v>
      </c>
      <c r="R6" s="50" t="s">
        <v>961</v>
      </c>
      <c r="S6" s="50" t="s">
        <v>961</v>
      </c>
      <c r="T6" s="50" t="s">
        <v>961</v>
      </c>
      <c r="U6" s="50" t="s">
        <v>961</v>
      </c>
      <c r="V6" s="50" t="s">
        <v>961</v>
      </c>
      <c r="W6" s="50" t="s">
        <v>961</v>
      </c>
      <c r="X6" s="50" t="s">
        <v>961</v>
      </c>
      <c r="Y6" s="50" t="s">
        <v>961</v>
      </c>
      <c r="Z6" s="50" t="s">
        <v>961</v>
      </c>
      <c r="AA6" s="50" t="s">
        <v>961</v>
      </c>
      <c r="AB6" s="50" t="s">
        <v>961</v>
      </c>
      <c r="AC6" s="50" t="s">
        <v>961</v>
      </c>
      <c r="AD6" s="186" t="s">
        <v>961</v>
      </c>
      <c r="AE6" s="186" t="s">
        <v>961</v>
      </c>
      <c r="AF6" s="50" t="s">
        <v>961</v>
      </c>
      <c r="AG6" s="50" t="s">
        <v>961</v>
      </c>
      <c r="AH6" s="50" t="s">
        <v>961</v>
      </c>
      <c r="AI6" s="50" t="s">
        <v>961</v>
      </c>
      <c r="AJ6" s="50" t="s">
        <v>961</v>
      </c>
      <c r="AK6" s="50" t="s">
        <v>961</v>
      </c>
      <c r="AL6" s="50" t="s">
        <v>961</v>
      </c>
      <c r="AM6" s="50" t="s">
        <v>961</v>
      </c>
      <c r="AN6" s="50" t="s">
        <v>961</v>
      </c>
      <c r="AO6" s="50" t="s">
        <v>961</v>
      </c>
      <c r="AP6" s="50" t="s">
        <v>961</v>
      </c>
      <c r="AQ6" s="50" t="s">
        <v>961</v>
      </c>
      <c r="AR6" s="50" t="s">
        <v>961</v>
      </c>
      <c r="AS6" s="50" t="s">
        <v>961</v>
      </c>
    </row>
    <row r="7" spans="2:45">
      <c r="B7" s="50" t="s">
        <v>915</v>
      </c>
      <c r="C7" s="50">
        <v>5</v>
      </c>
      <c r="D7" s="50" t="s">
        <v>964</v>
      </c>
      <c r="E7" s="95" t="s">
        <v>961</v>
      </c>
      <c r="F7" s="50">
        <v>1</v>
      </c>
      <c r="G7" s="95" t="s">
        <v>961</v>
      </c>
      <c r="H7" s="50"/>
      <c r="I7" s="50" t="s">
        <v>961</v>
      </c>
      <c r="J7" s="50" t="s">
        <v>961</v>
      </c>
      <c r="K7" s="50" t="s">
        <v>961</v>
      </c>
      <c r="L7" s="50" t="s">
        <v>961</v>
      </c>
      <c r="M7" s="50" t="s">
        <v>961</v>
      </c>
      <c r="N7" s="50" t="s">
        <v>961</v>
      </c>
      <c r="O7" s="50" t="s">
        <v>961</v>
      </c>
      <c r="P7" s="50" t="s">
        <v>961</v>
      </c>
      <c r="Q7" s="50" t="s">
        <v>961</v>
      </c>
      <c r="R7" s="50" t="s">
        <v>961</v>
      </c>
      <c r="S7" s="50" t="s">
        <v>961</v>
      </c>
      <c r="T7" s="50" t="s">
        <v>961</v>
      </c>
      <c r="U7" s="50" t="s">
        <v>961</v>
      </c>
      <c r="V7" s="50" t="s">
        <v>961</v>
      </c>
      <c r="W7" s="50" t="s">
        <v>961</v>
      </c>
      <c r="X7" s="50" t="s">
        <v>961</v>
      </c>
      <c r="Y7" s="50" t="s">
        <v>961</v>
      </c>
      <c r="Z7" s="50" t="s">
        <v>961</v>
      </c>
      <c r="AA7" s="50" t="s">
        <v>961</v>
      </c>
      <c r="AB7" s="50" t="s">
        <v>961</v>
      </c>
      <c r="AC7" s="50" t="s">
        <v>961</v>
      </c>
      <c r="AD7" s="186" t="s">
        <v>961</v>
      </c>
      <c r="AE7" s="186" t="s">
        <v>961</v>
      </c>
      <c r="AF7" s="50" t="s">
        <v>961</v>
      </c>
      <c r="AG7" s="50" t="s">
        <v>961</v>
      </c>
      <c r="AH7" s="50" t="s">
        <v>961</v>
      </c>
      <c r="AI7" s="50" t="s">
        <v>961</v>
      </c>
      <c r="AJ7" s="50" t="s">
        <v>961</v>
      </c>
      <c r="AK7" s="50" t="s">
        <v>961</v>
      </c>
      <c r="AL7" s="50" t="s">
        <v>961</v>
      </c>
      <c r="AM7" s="50" t="s">
        <v>961</v>
      </c>
      <c r="AN7" s="50" t="s">
        <v>961</v>
      </c>
      <c r="AO7" s="50" t="s">
        <v>961</v>
      </c>
      <c r="AP7" s="50" t="s">
        <v>961</v>
      </c>
      <c r="AQ7" s="50" t="s">
        <v>961</v>
      </c>
      <c r="AR7" s="50" t="s">
        <v>961</v>
      </c>
      <c r="AS7" s="50" t="s">
        <v>961</v>
      </c>
    </row>
    <row r="8" spans="2:45">
      <c r="B8" s="50" t="s">
        <v>916</v>
      </c>
      <c r="C8" s="50">
        <v>6</v>
      </c>
      <c r="D8" s="50" t="s">
        <v>1194</v>
      </c>
      <c r="E8" s="95">
        <v>45433</v>
      </c>
      <c r="F8" s="50">
        <v>1</v>
      </c>
      <c r="G8" s="50" cm="1">
        <f t="array" ref="G8">SUMPRODUCT(--(I8:AS8&gt;0))/COUNTA(I8:AS8)</f>
        <v>0.97297297297297303</v>
      </c>
      <c r="H8" s="50" t="s">
        <v>1046</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86">
        <v>8</v>
      </c>
      <c r="AE8" s="186">
        <v>1</v>
      </c>
      <c r="AF8" s="50">
        <v>4</v>
      </c>
      <c r="AG8" s="50">
        <v>4</v>
      </c>
      <c r="AH8" s="98">
        <v>0</v>
      </c>
      <c r="AI8" s="50">
        <v>8</v>
      </c>
      <c r="AJ8" s="98">
        <v>3</v>
      </c>
      <c r="AK8" s="50">
        <v>3</v>
      </c>
      <c r="AL8" s="50">
        <v>8</v>
      </c>
      <c r="AM8" s="98">
        <v>8</v>
      </c>
      <c r="AN8" s="50">
        <v>8</v>
      </c>
      <c r="AO8" s="50">
        <v>3</v>
      </c>
      <c r="AP8" s="50">
        <v>3</v>
      </c>
      <c r="AQ8" s="50">
        <v>2</v>
      </c>
      <c r="AR8" s="50">
        <v>10</v>
      </c>
      <c r="AS8" s="50">
        <v>23</v>
      </c>
    </row>
    <row r="9" spans="2:45">
      <c r="B9" s="50" t="s">
        <v>919</v>
      </c>
      <c r="C9" s="50">
        <v>7</v>
      </c>
      <c r="D9" s="50" t="s">
        <v>1195</v>
      </c>
      <c r="E9" s="95">
        <v>45433</v>
      </c>
      <c r="F9" s="50">
        <v>1</v>
      </c>
      <c r="G9" s="50" t="e" cm="1">
        <f t="array" aca="1" ref="G9" ca="1">SUMPRODUCT(--(H9:AS9 &lt;= H27:AS27))/COUNTA(H27:AS27)</f>
        <v>#NAME?</v>
      </c>
      <c r="H9" s="50" t="s">
        <v>1046</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86">
        <v>13</v>
      </c>
      <c r="AE9" s="186">
        <v>4</v>
      </c>
      <c r="AF9" s="50">
        <v>10</v>
      </c>
      <c r="AG9" s="50">
        <v>10</v>
      </c>
      <c r="AH9" s="50">
        <v>18</v>
      </c>
      <c r="AI9" s="50">
        <v>15</v>
      </c>
      <c r="AJ9" s="50">
        <v>4</v>
      </c>
      <c r="AK9" s="50">
        <v>4</v>
      </c>
      <c r="AL9" s="50">
        <v>9</v>
      </c>
      <c r="AM9" s="98">
        <v>8</v>
      </c>
      <c r="AN9" s="50">
        <v>9</v>
      </c>
      <c r="AO9" s="50">
        <v>3</v>
      </c>
      <c r="AP9" s="50">
        <v>3</v>
      </c>
      <c r="AQ9" s="50">
        <v>2</v>
      </c>
      <c r="AR9" s="50">
        <v>10</v>
      </c>
      <c r="AS9" s="50">
        <v>23</v>
      </c>
    </row>
    <row r="10" spans="2:45">
      <c r="B10" s="97" t="s">
        <v>922</v>
      </c>
      <c r="C10" s="50">
        <v>8</v>
      </c>
      <c r="D10" s="50" t="s">
        <v>1196</v>
      </c>
      <c r="E10" s="95">
        <v>45433</v>
      </c>
      <c r="F10" s="50">
        <v>1</v>
      </c>
      <c r="G10" s="95" t="s">
        <v>961</v>
      </c>
      <c r="H10" s="50" t="s">
        <v>1046</v>
      </c>
      <c r="I10" s="50">
        <v>31</v>
      </c>
      <c r="J10" s="50">
        <v>5.0000028006999999E+25</v>
      </c>
      <c r="K10" s="50" t="s">
        <v>1197</v>
      </c>
      <c r="L10" s="50">
        <v>7</v>
      </c>
      <c r="M10" s="50">
        <v>101</v>
      </c>
      <c r="N10" s="50">
        <v>31</v>
      </c>
      <c r="O10" s="50">
        <v>2.2822000999999998E+22</v>
      </c>
      <c r="P10" s="50">
        <v>31</v>
      </c>
      <c r="Q10" s="50">
        <v>50000028007</v>
      </c>
      <c r="R10" s="95">
        <v>35300</v>
      </c>
      <c r="S10" s="95">
        <v>42025</v>
      </c>
      <c r="T10" s="50">
        <v>124</v>
      </c>
      <c r="U10" s="95">
        <v>0</v>
      </c>
      <c r="V10" s="95" t="s">
        <v>970</v>
      </c>
      <c r="W10" s="98" t="s">
        <v>970</v>
      </c>
      <c r="X10" s="50" t="s">
        <v>970</v>
      </c>
      <c r="Y10" s="95" t="s">
        <v>970</v>
      </c>
      <c r="Z10" s="95" t="s">
        <v>970</v>
      </c>
      <c r="AA10" s="50" t="e">
        <v>#N/A</v>
      </c>
      <c r="AB10" s="98" t="e">
        <v>#N/A</v>
      </c>
      <c r="AC10" s="50" t="s">
        <v>970</v>
      </c>
      <c r="AD10" s="200" t="s">
        <v>970</v>
      </c>
      <c r="AE10" s="186" t="e">
        <v>#N/A</v>
      </c>
      <c r="AF10" s="98" t="e">
        <v>#N/A</v>
      </c>
      <c r="AG10" s="98" t="e">
        <v>#N/A</v>
      </c>
      <c r="AH10" s="98"/>
      <c r="AI10" s="50" t="s">
        <v>970</v>
      </c>
      <c r="AJ10" s="98" t="e">
        <v>#N/A</v>
      </c>
      <c r="AK10" s="50" t="e">
        <v>#N/A</v>
      </c>
      <c r="AL10" s="98">
        <v>-2250000</v>
      </c>
      <c r="AM10" s="98" t="s">
        <v>970</v>
      </c>
      <c r="AN10" s="98" t="s">
        <v>970</v>
      </c>
      <c r="AO10" s="50" t="s">
        <v>971</v>
      </c>
      <c r="AP10" s="50" t="s">
        <v>972</v>
      </c>
      <c r="AQ10" s="95" t="s">
        <v>1089</v>
      </c>
      <c r="AR10" s="95">
        <v>45433</v>
      </c>
      <c r="AS10" s="95" t="s">
        <v>1198</v>
      </c>
    </row>
    <row r="11" spans="2:45">
      <c r="B11" s="50" t="s">
        <v>924</v>
      </c>
      <c r="C11" s="50">
        <v>9</v>
      </c>
      <c r="D11" s="50" t="s">
        <v>1199</v>
      </c>
      <c r="E11" s="95">
        <v>45433</v>
      </c>
      <c r="F11" s="50">
        <v>1</v>
      </c>
      <c r="G11" s="95" t="s">
        <v>961</v>
      </c>
      <c r="H11" s="50" t="s">
        <v>1046</v>
      </c>
      <c r="I11" s="50">
        <v>31</v>
      </c>
      <c r="J11" s="50">
        <v>5.0000028006999999E+25</v>
      </c>
      <c r="K11" s="50"/>
      <c r="L11" s="50">
        <v>7</v>
      </c>
      <c r="M11" s="50">
        <v>101</v>
      </c>
      <c r="N11" s="50"/>
      <c r="O11" s="50" t="e">
        <v>#N/A</v>
      </c>
      <c r="P11" s="50"/>
      <c r="Q11" s="50" t="e">
        <v>#N/A</v>
      </c>
      <c r="R11" s="95">
        <v>35300</v>
      </c>
      <c r="S11" s="95">
        <v>42025</v>
      </c>
      <c r="T11" s="50">
        <v>124</v>
      </c>
      <c r="U11" s="95">
        <v>0</v>
      </c>
      <c r="V11" s="95" t="s">
        <v>1046</v>
      </c>
      <c r="W11" s="50" t="s">
        <v>1046</v>
      </c>
      <c r="X11" s="50" t="s">
        <v>1046</v>
      </c>
      <c r="Y11" s="95" t="s">
        <v>1046</v>
      </c>
      <c r="Z11" s="95" t="s">
        <v>1046</v>
      </c>
      <c r="AA11" s="50" t="e">
        <v>#N/A</v>
      </c>
      <c r="AB11" s="50" t="e">
        <v>#N/A</v>
      </c>
      <c r="AC11" s="50" t="s">
        <v>1046</v>
      </c>
      <c r="AD11" s="186" t="s">
        <v>1046</v>
      </c>
      <c r="AE11" s="186" t="e">
        <v>#N/A</v>
      </c>
      <c r="AF11" s="50" t="e">
        <v>#N/A</v>
      </c>
      <c r="AG11" s="50" t="e">
        <v>#N/A</v>
      </c>
      <c r="AH11" s="50"/>
      <c r="AI11" s="50" t="s">
        <v>1046</v>
      </c>
      <c r="AJ11" s="50" t="e">
        <v>#N/A</v>
      </c>
      <c r="AK11" s="50" t="e">
        <v>#N/A</v>
      </c>
      <c r="AL11" s="98">
        <v>-22500000</v>
      </c>
      <c r="AM11" s="98">
        <v>0</v>
      </c>
      <c r="AN11" s="98">
        <v>0</v>
      </c>
      <c r="AO11" s="50">
        <v>0</v>
      </c>
      <c r="AP11" s="50" t="s">
        <v>1200</v>
      </c>
      <c r="AQ11" s="95" t="s">
        <v>1089</v>
      </c>
      <c r="AR11" s="95">
        <v>45433</v>
      </c>
      <c r="AS11" s="95" t="s">
        <v>1201</v>
      </c>
    </row>
    <row r="12" spans="2:45">
      <c r="B12" s="50" t="s">
        <v>926</v>
      </c>
      <c r="C12" s="50">
        <v>10</v>
      </c>
      <c r="D12" s="50" t="s">
        <v>1202</v>
      </c>
      <c r="E12" s="95">
        <v>45433</v>
      </c>
      <c r="F12" s="50">
        <v>1</v>
      </c>
      <c r="G12" s="95" t="s">
        <v>961</v>
      </c>
      <c r="H12" s="50" t="s">
        <v>1046</v>
      </c>
      <c r="I12" s="50">
        <v>31</v>
      </c>
      <c r="J12" s="50">
        <v>6.0750007000001898E+29</v>
      </c>
      <c r="K12" s="50" t="s">
        <v>1197</v>
      </c>
      <c r="L12" s="50">
        <v>29</v>
      </c>
      <c r="M12" s="50" t="s">
        <v>1203</v>
      </c>
      <c r="N12" s="50">
        <v>31</v>
      </c>
      <c r="O12" s="50">
        <v>2.3930258433501999E+29</v>
      </c>
      <c r="P12" s="50">
        <v>31</v>
      </c>
      <c r="Q12" s="50">
        <v>607500070000019</v>
      </c>
      <c r="R12" s="95">
        <v>45441</v>
      </c>
      <c r="S12" s="95">
        <v>2958465</v>
      </c>
      <c r="T12" s="50" t="s">
        <v>979</v>
      </c>
      <c r="U12" s="95">
        <v>1</v>
      </c>
      <c r="V12" s="95">
        <v>70000000000000</v>
      </c>
      <c r="W12" s="98">
        <v>9500000000000</v>
      </c>
      <c r="X12" s="50" t="s">
        <v>970</v>
      </c>
      <c r="Y12" s="95">
        <v>94818240000</v>
      </c>
      <c r="Z12" s="95">
        <v>328950890000</v>
      </c>
      <c r="AA12" s="95">
        <v>45787</v>
      </c>
      <c r="AB12" s="98">
        <v>2958465</v>
      </c>
      <c r="AC12" s="98">
        <v>403478750000</v>
      </c>
      <c r="AD12" s="201">
        <v>691581370000</v>
      </c>
      <c r="AE12" s="186">
        <v>0</v>
      </c>
      <c r="AF12" s="98">
        <v>2958465</v>
      </c>
      <c r="AG12" s="192">
        <v>2958465</v>
      </c>
      <c r="AH12" s="98" t="s">
        <v>1204</v>
      </c>
      <c r="AI12" s="98">
        <v>19152000000000</v>
      </c>
      <c r="AJ12" s="98" t="s">
        <v>1040</v>
      </c>
      <c r="AK12" s="50" t="s">
        <v>1205</v>
      </c>
      <c r="AL12" s="98">
        <v>5294660</v>
      </c>
      <c r="AM12" s="98">
        <v>9500000</v>
      </c>
      <c r="AN12" s="98">
        <v>10522000</v>
      </c>
      <c r="AO12" s="50" t="s">
        <v>1206</v>
      </c>
      <c r="AP12" s="50" t="s">
        <v>972</v>
      </c>
      <c r="AQ12" s="95" t="s">
        <v>981</v>
      </c>
      <c r="AR12" s="95">
        <v>45448</v>
      </c>
      <c r="AS12" s="95" t="s">
        <v>1198</v>
      </c>
    </row>
    <row r="13" spans="2:45">
      <c r="B13" s="50" t="s">
        <v>928</v>
      </c>
      <c r="C13" s="50">
        <v>11</v>
      </c>
      <c r="D13" s="50" t="s">
        <v>1207</v>
      </c>
      <c r="E13" s="95">
        <v>45433</v>
      </c>
      <c r="F13" s="50">
        <v>1</v>
      </c>
      <c r="G13" s="95" t="s">
        <v>961</v>
      </c>
      <c r="H13" s="50" t="s">
        <v>1046</v>
      </c>
      <c r="I13" s="50">
        <v>31</v>
      </c>
      <c r="J13" s="50">
        <v>6.0750007000001898E+29</v>
      </c>
      <c r="K13" s="50">
        <v>31</v>
      </c>
      <c r="L13" s="50">
        <v>29</v>
      </c>
      <c r="M13" s="50" t="s">
        <v>1203</v>
      </c>
      <c r="N13" s="50" t="e">
        <v>#N/A</v>
      </c>
      <c r="O13" s="50">
        <v>2.3930258433501999E+29</v>
      </c>
      <c r="P13" s="50" t="e">
        <v>#N/A</v>
      </c>
      <c r="Q13" s="50">
        <v>607500070000019</v>
      </c>
      <c r="R13" s="95">
        <v>45441</v>
      </c>
      <c r="S13" s="95">
        <v>2958465</v>
      </c>
      <c r="T13" s="50" t="s">
        <v>979</v>
      </c>
      <c r="U13" s="95">
        <v>1</v>
      </c>
      <c r="V13" s="95" t="s">
        <v>1208</v>
      </c>
      <c r="W13" s="50" t="s">
        <v>1209</v>
      </c>
      <c r="X13" s="50" t="s">
        <v>319</v>
      </c>
      <c r="Y13" s="95" t="s">
        <v>1210</v>
      </c>
      <c r="Z13" s="95" t="s">
        <v>1211</v>
      </c>
      <c r="AA13" s="95">
        <v>45787</v>
      </c>
      <c r="AB13" s="95">
        <v>2958465</v>
      </c>
      <c r="AC13" s="50" t="s">
        <v>1212</v>
      </c>
      <c r="AD13" s="186" t="s">
        <v>1213</v>
      </c>
      <c r="AE13" s="186">
        <v>0</v>
      </c>
      <c r="AF13" s="95">
        <v>2958465</v>
      </c>
      <c r="AG13" s="95">
        <v>2958465</v>
      </c>
      <c r="AH13" s="50" t="s">
        <v>1204</v>
      </c>
      <c r="AI13" s="50" t="s">
        <v>1214</v>
      </c>
      <c r="AJ13" s="50" t="s">
        <v>1040</v>
      </c>
      <c r="AK13" s="50" t="s">
        <v>1205</v>
      </c>
      <c r="AL13" s="98">
        <v>52946600</v>
      </c>
      <c r="AM13" s="98">
        <v>95000000</v>
      </c>
      <c r="AN13" s="98">
        <v>105220000</v>
      </c>
      <c r="AO13" s="50" t="s">
        <v>1215</v>
      </c>
      <c r="AP13" s="50" t="s">
        <v>1159</v>
      </c>
      <c r="AQ13" s="95" t="s">
        <v>981</v>
      </c>
      <c r="AR13" s="95">
        <v>45448</v>
      </c>
      <c r="AS13" s="95" t="s">
        <v>1216</v>
      </c>
    </row>
    <row r="14" spans="2:45">
      <c r="B14" s="50" t="s">
        <v>930</v>
      </c>
      <c r="C14" s="50">
        <v>12</v>
      </c>
      <c r="D14" s="50" t="s">
        <v>1217</v>
      </c>
      <c r="E14" s="95">
        <v>45433</v>
      </c>
      <c r="F14" s="50">
        <v>1</v>
      </c>
      <c r="G14" s="50">
        <v>0.46</v>
      </c>
      <c r="H14" s="50" t="s">
        <v>1046</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86">
        <v>0</v>
      </c>
      <c r="AE14" s="18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932</v>
      </c>
      <c r="C15" s="50">
        <v>13</v>
      </c>
      <c r="D15" s="50" t="s">
        <v>1218</v>
      </c>
      <c r="E15" s="95">
        <v>45433</v>
      </c>
      <c r="F15" s="50">
        <v>1</v>
      </c>
      <c r="G15" s="50">
        <v>1</v>
      </c>
      <c r="H15" s="50" t="s">
        <v>1046</v>
      </c>
      <c r="I15" s="50" t="s">
        <v>961</v>
      </c>
      <c r="J15" s="50" t="s">
        <v>961</v>
      </c>
      <c r="K15" s="50" t="s">
        <v>961</v>
      </c>
      <c r="L15" s="50" t="s">
        <v>961</v>
      </c>
      <c r="M15" s="50" t="s">
        <v>961</v>
      </c>
      <c r="N15" s="50" t="s">
        <v>961</v>
      </c>
      <c r="O15" s="50" t="s">
        <v>961</v>
      </c>
      <c r="P15" s="50" t="s">
        <v>961</v>
      </c>
      <c r="Q15" s="50" t="s">
        <v>961</v>
      </c>
      <c r="R15" s="97">
        <v>0</v>
      </c>
      <c r="S15" s="97">
        <v>0</v>
      </c>
      <c r="T15" s="50" t="s">
        <v>961</v>
      </c>
      <c r="U15" s="97" t="s">
        <v>961</v>
      </c>
      <c r="V15" s="97" t="s">
        <v>961</v>
      </c>
      <c r="W15" s="50" t="s">
        <v>961</v>
      </c>
      <c r="X15" s="50" t="s">
        <v>961</v>
      </c>
      <c r="Y15" s="97" t="s">
        <v>961</v>
      </c>
      <c r="Z15" s="97" t="s">
        <v>961</v>
      </c>
      <c r="AA15" s="50">
        <v>0</v>
      </c>
      <c r="AB15" s="50">
        <v>0</v>
      </c>
      <c r="AC15" s="50" t="s">
        <v>961</v>
      </c>
      <c r="AD15" s="202" t="s">
        <v>961</v>
      </c>
      <c r="AE15" s="186" t="s">
        <v>961</v>
      </c>
      <c r="AF15" s="50">
        <v>0</v>
      </c>
      <c r="AG15" s="50">
        <v>0</v>
      </c>
      <c r="AH15" s="50" t="s">
        <v>961</v>
      </c>
      <c r="AI15" s="50" t="s">
        <v>961</v>
      </c>
      <c r="AJ15" s="50" t="s">
        <v>961</v>
      </c>
      <c r="AK15" s="50" t="s">
        <v>961</v>
      </c>
      <c r="AL15" s="50" t="s">
        <v>961</v>
      </c>
      <c r="AM15" s="50" t="s">
        <v>961</v>
      </c>
      <c r="AN15" s="50" t="s">
        <v>961</v>
      </c>
      <c r="AO15" s="50" t="s">
        <v>961</v>
      </c>
      <c r="AP15" s="50" t="s">
        <v>961</v>
      </c>
      <c r="AQ15" s="50" t="s">
        <v>961</v>
      </c>
      <c r="AR15" s="50" t="s">
        <v>961</v>
      </c>
      <c r="AS15" s="50" t="s">
        <v>961</v>
      </c>
    </row>
    <row r="16" spans="2:45">
      <c r="B16" s="50" t="s">
        <v>934</v>
      </c>
      <c r="C16" s="50">
        <v>14</v>
      </c>
      <c r="D16" s="50" t="s">
        <v>1219</v>
      </c>
      <c r="E16" s="95">
        <v>45433</v>
      </c>
      <c r="F16" s="50">
        <v>1</v>
      </c>
      <c r="G16" s="50">
        <v>1</v>
      </c>
      <c r="H16" s="50" t="s">
        <v>1046</v>
      </c>
      <c r="I16" s="50">
        <v>0</v>
      </c>
      <c r="J16" s="50">
        <v>0</v>
      </c>
      <c r="K16" s="50">
        <v>0</v>
      </c>
      <c r="L16" s="50">
        <v>0</v>
      </c>
      <c r="M16" s="50">
        <v>0</v>
      </c>
      <c r="N16" s="50">
        <v>0</v>
      </c>
      <c r="O16" s="50">
        <v>0</v>
      </c>
      <c r="P16" s="50">
        <v>0</v>
      </c>
      <c r="Q16" s="50">
        <v>0</v>
      </c>
      <c r="R16" s="50" t="s">
        <v>961</v>
      </c>
      <c r="S16" s="50" t="s">
        <v>961</v>
      </c>
      <c r="T16" s="50">
        <v>0</v>
      </c>
      <c r="U16" s="50" t="s">
        <v>961</v>
      </c>
      <c r="V16" s="50" t="s">
        <v>961</v>
      </c>
      <c r="W16" s="50" t="s">
        <v>961</v>
      </c>
      <c r="X16" s="97" t="s">
        <v>961</v>
      </c>
      <c r="Y16" s="50" t="s">
        <v>961</v>
      </c>
      <c r="Z16" s="50" t="s">
        <v>961</v>
      </c>
      <c r="AA16" s="50" t="s">
        <v>961</v>
      </c>
      <c r="AB16" s="50" t="s">
        <v>961</v>
      </c>
      <c r="AC16" s="97" t="s">
        <v>961</v>
      </c>
      <c r="AD16" s="186" t="s">
        <v>961</v>
      </c>
      <c r="AE16" s="186" t="s">
        <v>961</v>
      </c>
      <c r="AF16" s="50" t="s">
        <v>961</v>
      </c>
      <c r="AG16" s="50" t="s">
        <v>961</v>
      </c>
      <c r="AH16" s="50" t="s">
        <v>961</v>
      </c>
      <c r="AI16" s="50" t="s">
        <v>961</v>
      </c>
      <c r="AJ16" s="50">
        <v>0</v>
      </c>
      <c r="AK16" s="50" t="s">
        <v>961</v>
      </c>
      <c r="AL16" s="50" t="s">
        <v>961</v>
      </c>
      <c r="AM16" s="50" t="s">
        <v>961</v>
      </c>
      <c r="AN16" s="50" t="s">
        <v>961</v>
      </c>
      <c r="AO16" s="97">
        <v>0</v>
      </c>
      <c r="AP16" s="50">
        <v>0</v>
      </c>
      <c r="AQ16" s="50">
        <v>0</v>
      </c>
      <c r="AR16" s="50" t="s">
        <v>961</v>
      </c>
      <c r="AS16" s="50" t="s">
        <v>961</v>
      </c>
    </row>
    <row r="17" spans="2:45">
      <c r="B17" s="50" t="s">
        <v>936</v>
      </c>
      <c r="C17" s="50">
        <v>15</v>
      </c>
      <c r="D17" s="50" t="s">
        <v>1220</v>
      </c>
      <c r="E17" s="95">
        <v>45433</v>
      </c>
      <c r="F17" s="50">
        <v>1</v>
      </c>
      <c r="G17" s="50">
        <v>1</v>
      </c>
      <c r="H17" s="190" t="s">
        <v>1046</v>
      </c>
      <c r="I17" s="50" t="s">
        <v>961</v>
      </c>
      <c r="J17" s="50" t="s">
        <v>961</v>
      </c>
      <c r="K17" s="50" t="s">
        <v>961</v>
      </c>
      <c r="L17" s="50" t="s">
        <v>961</v>
      </c>
      <c r="M17" s="50" t="s">
        <v>961</v>
      </c>
      <c r="N17" s="50" t="s">
        <v>961</v>
      </c>
      <c r="O17" s="50" t="s">
        <v>961</v>
      </c>
      <c r="P17" s="50" t="s">
        <v>961</v>
      </c>
      <c r="Q17" s="50" t="s">
        <v>961</v>
      </c>
      <c r="R17" s="50" t="s">
        <v>961</v>
      </c>
      <c r="S17" s="50" t="s">
        <v>961</v>
      </c>
      <c r="T17" s="50" t="s">
        <v>961</v>
      </c>
      <c r="U17" s="50" t="s">
        <v>961</v>
      </c>
      <c r="V17" s="50" t="s">
        <v>961</v>
      </c>
      <c r="W17" s="50" t="s">
        <v>961</v>
      </c>
      <c r="X17" s="97" t="s">
        <v>961</v>
      </c>
      <c r="Y17" s="50" t="s">
        <v>961</v>
      </c>
      <c r="Z17" s="50" t="s">
        <v>961</v>
      </c>
      <c r="AA17" s="50" t="s">
        <v>961</v>
      </c>
      <c r="AB17" s="50" t="s">
        <v>961</v>
      </c>
      <c r="AC17" s="97" t="s">
        <v>961</v>
      </c>
      <c r="AD17" s="186" t="s">
        <v>961</v>
      </c>
      <c r="AE17" s="186" t="s">
        <v>961</v>
      </c>
      <c r="AF17" s="50" t="s">
        <v>961</v>
      </c>
      <c r="AG17" s="50" t="s">
        <v>961</v>
      </c>
      <c r="AH17" s="50" t="s">
        <v>961</v>
      </c>
      <c r="AI17" s="50" t="s">
        <v>961</v>
      </c>
      <c r="AJ17" s="50" t="s">
        <v>961</v>
      </c>
      <c r="AK17" s="50" t="s">
        <v>961</v>
      </c>
      <c r="AL17" s="50" t="s">
        <v>961</v>
      </c>
      <c r="AM17" s="50" t="s">
        <v>961</v>
      </c>
      <c r="AN17" s="50" t="s">
        <v>961</v>
      </c>
      <c r="AO17" s="97" t="s">
        <v>961</v>
      </c>
      <c r="AP17" s="50" t="s">
        <v>961</v>
      </c>
      <c r="AQ17" s="50" t="s">
        <v>961</v>
      </c>
      <c r="AR17" s="50" t="s">
        <v>961</v>
      </c>
      <c r="AS17" s="50" t="s">
        <v>961</v>
      </c>
    </row>
    <row r="18" spans="2:45">
      <c r="B18" s="50" t="s">
        <v>938</v>
      </c>
      <c r="C18" s="50">
        <v>16</v>
      </c>
      <c r="D18" s="50" t="s">
        <v>1220</v>
      </c>
      <c r="E18" s="95">
        <v>45433</v>
      </c>
      <c r="F18" s="50">
        <v>1</v>
      </c>
      <c r="G18" s="50">
        <v>1</v>
      </c>
      <c r="H18" s="50" t="s">
        <v>1046</v>
      </c>
      <c r="I18" s="50" t="s">
        <v>961</v>
      </c>
      <c r="J18" s="50" t="s">
        <v>961</v>
      </c>
      <c r="K18" s="50" t="s">
        <v>961</v>
      </c>
      <c r="L18" s="50" t="s">
        <v>961</v>
      </c>
      <c r="M18" s="50" t="s">
        <v>961</v>
      </c>
      <c r="N18" s="50" t="s">
        <v>961</v>
      </c>
      <c r="O18" s="50" t="s">
        <v>961</v>
      </c>
      <c r="P18" s="50" t="s">
        <v>961</v>
      </c>
      <c r="Q18" s="50" t="s">
        <v>961</v>
      </c>
      <c r="R18" s="50" t="s">
        <v>961</v>
      </c>
      <c r="S18" s="50" t="s">
        <v>961</v>
      </c>
      <c r="T18" s="50" t="s">
        <v>961</v>
      </c>
      <c r="U18" s="50" t="s">
        <v>961</v>
      </c>
      <c r="V18" s="50" t="s">
        <v>961</v>
      </c>
      <c r="W18" s="50" t="s">
        <v>961</v>
      </c>
      <c r="X18" s="50" t="s">
        <v>961</v>
      </c>
      <c r="Y18" s="50" t="s">
        <v>961</v>
      </c>
      <c r="Z18" s="50" t="s">
        <v>961</v>
      </c>
      <c r="AA18" s="50" t="s">
        <v>961</v>
      </c>
      <c r="AB18" s="50" t="s">
        <v>961</v>
      </c>
      <c r="AC18" s="50" t="s">
        <v>961</v>
      </c>
      <c r="AD18" s="186" t="s">
        <v>961</v>
      </c>
      <c r="AE18" s="186" t="s">
        <v>961</v>
      </c>
      <c r="AF18" s="50" t="s">
        <v>961</v>
      </c>
      <c r="AG18" s="50" t="s">
        <v>961</v>
      </c>
      <c r="AH18" s="50" t="s">
        <v>961</v>
      </c>
      <c r="AI18" s="50" t="s">
        <v>961</v>
      </c>
      <c r="AJ18" s="50" t="s">
        <v>961</v>
      </c>
      <c r="AK18" s="50" t="s">
        <v>961</v>
      </c>
      <c r="AL18" s="50" t="s">
        <v>961</v>
      </c>
      <c r="AM18" s="50" t="s">
        <v>961</v>
      </c>
      <c r="AN18" s="50" t="s">
        <v>961</v>
      </c>
      <c r="AO18" s="50" t="s">
        <v>961</v>
      </c>
      <c r="AP18" s="50" t="s">
        <v>961</v>
      </c>
      <c r="AQ18" s="50" t="s">
        <v>961</v>
      </c>
      <c r="AR18" s="50" t="s">
        <v>961</v>
      </c>
      <c r="AS18" s="50" t="s">
        <v>961</v>
      </c>
    </row>
    <row r="19" spans="2:45">
      <c r="B19" s="50" t="s">
        <v>940</v>
      </c>
      <c r="C19" s="50">
        <v>17</v>
      </c>
      <c r="D19" s="50" t="s">
        <v>1221</v>
      </c>
      <c r="E19" s="95">
        <v>45433</v>
      </c>
      <c r="F19" s="50">
        <v>1</v>
      </c>
      <c r="G19" s="50">
        <v>0.98</v>
      </c>
      <c r="H19" s="190" t="s">
        <v>1222</v>
      </c>
      <c r="I19" s="50" t="s">
        <v>961</v>
      </c>
      <c r="J19" s="50" t="s">
        <v>961</v>
      </c>
      <c r="K19" s="50" t="s">
        <v>961</v>
      </c>
      <c r="L19" s="50" t="s">
        <v>961</v>
      </c>
      <c r="M19" s="50" t="s">
        <v>961</v>
      </c>
      <c r="N19" s="50" t="s">
        <v>961</v>
      </c>
      <c r="O19" s="50" t="s">
        <v>961</v>
      </c>
      <c r="P19" s="50" t="s">
        <v>961</v>
      </c>
      <c r="Q19" s="50" t="s">
        <v>961</v>
      </c>
      <c r="R19" s="50" t="s">
        <v>961</v>
      </c>
      <c r="S19" s="50" t="s">
        <v>961</v>
      </c>
      <c r="T19" s="50" t="s">
        <v>961</v>
      </c>
      <c r="U19" s="50" t="s">
        <v>961</v>
      </c>
      <c r="V19" s="50" t="s">
        <v>961</v>
      </c>
      <c r="W19" s="50" t="s">
        <v>961</v>
      </c>
      <c r="X19" s="50" t="s">
        <v>961</v>
      </c>
      <c r="Y19" s="50" t="s">
        <v>961</v>
      </c>
      <c r="Z19" s="50" t="s">
        <v>961</v>
      </c>
      <c r="AA19" s="50" t="s">
        <v>961</v>
      </c>
      <c r="AB19" s="50" t="s">
        <v>961</v>
      </c>
      <c r="AC19" s="50" t="s">
        <v>961</v>
      </c>
      <c r="AD19" s="186" t="s">
        <v>961</v>
      </c>
      <c r="AE19" s="186" t="s">
        <v>961</v>
      </c>
      <c r="AF19" s="50" t="s">
        <v>961</v>
      </c>
      <c r="AG19" s="50" t="s">
        <v>961</v>
      </c>
      <c r="AH19" s="50" t="s">
        <v>961</v>
      </c>
      <c r="AI19" s="50" t="s">
        <v>961</v>
      </c>
      <c r="AJ19" s="50" t="s">
        <v>961</v>
      </c>
      <c r="AK19" s="50" t="s">
        <v>961</v>
      </c>
      <c r="AL19" s="50" t="s">
        <v>961</v>
      </c>
      <c r="AM19" s="50" t="s">
        <v>961</v>
      </c>
      <c r="AN19" s="50" t="s">
        <v>961</v>
      </c>
      <c r="AO19" s="50" t="s">
        <v>961</v>
      </c>
      <c r="AP19" s="50" t="s">
        <v>961</v>
      </c>
      <c r="AQ19" s="50" t="s">
        <v>961</v>
      </c>
      <c r="AR19" s="50" t="s">
        <v>961</v>
      </c>
      <c r="AS19" s="50" t="s">
        <v>961</v>
      </c>
    </row>
    <row r="20" spans="2:45">
      <c r="B20" s="50" t="s">
        <v>942</v>
      </c>
      <c r="C20" s="50">
        <v>18</v>
      </c>
      <c r="D20" s="50" t="s">
        <v>1221</v>
      </c>
      <c r="E20" s="95">
        <v>45433</v>
      </c>
      <c r="F20" s="50">
        <v>1</v>
      </c>
      <c r="G20" s="50">
        <v>1</v>
      </c>
      <c r="H20" s="50" t="s">
        <v>1046</v>
      </c>
      <c r="I20" s="50" t="s">
        <v>961</v>
      </c>
      <c r="J20" s="50" t="s">
        <v>961</v>
      </c>
      <c r="K20" s="50" t="s">
        <v>961</v>
      </c>
      <c r="L20" s="50" t="s">
        <v>961</v>
      </c>
      <c r="M20" s="50" t="s">
        <v>961</v>
      </c>
      <c r="N20" s="50" t="s">
        <v>961</v>
      </c>
      <c r="O20" s="50" t="s">
        <v>961</v>
      </c>
      <c r="P20" s="50" t="s">
        <v>961</v>
      </c>
      <c r="Q20" s="50" t="s">
        <v>961</v>
      </c>
      <c r="R20" s="50" t="s">
        <v>961</v>
      </c>
      <c r="S20" s="50" t="s">
        <v>961</v>
      </c>
      <c r="T20" s="50" t="s">
        <v>961</v>
      </c>
      <c r="U20" s="50" t="s">
        <v>961</v>
      </c>
      <c r="V20" s="50" t="s">
        <v>961</v>
      </c>
      <c r="W20" s="50" t="s">
        <v>961</v>
      </c>
      <c r="X20" s="50" t="s">
        <v>961</v>
      </c>
      <c r="Y20" s="50" t="s">
        <v>961</v>
      </c>
      <c r="Z20" s="50" t="s">
        <v>961</v>
      </c>
      <c r="AA20" s="50" t="s">
        <v>961</v>
      </c>
      <c r="AB20" s="50" t="s">
        <v>961</v>
      </c>
      <c r="AC20" s="50" t="s">
        <v>961</v>
      </c>
      <c r="AD20" s="186" t="s">
        <v>961</v>
      </c>
      <c r="AE20" s="186" t="s">
        <v>961</v>
      </c>
      <c r="AF20" s="50" t="s">
        <v>961</v>
      </c>
      <c r="AG20" s="50" t="s">
        <v>961</v>
      </c>
      <c r="AH20" s="50" t="s">
        <v>961</v>
      </c>
      <c r="AI20" s="50" t="s">
        <v>961</v>
      </c>
      <c r="AJ20" s="50" t="s">
        <v>961</v>
      </c>
      <c r="AK20" s="50" t="s">
        <v>961</v>
      </c>
      <c r="AL20" s="50" t="s">
        <v>961</v>
      </c>
      <c r="AM20" s="50" t="s">
        <v>961</v>
      </c>
      <c r="AN20" s="50" t="s">
        <v>961</v>
      </c>
      <c r="AO20" s="50" t="s">
        <v>961</v>
      </c>
      <c r="AP20" s="50" t="s">
        <v>961</v>
      </c>
      <c r="AQ20" s="50" t="s">
        <v>961</v>
      </c>
      <c r="AR20" s="50" t="s">
        <v>961</v>
      </c>
      <c r="AS20" s="50" t="s">
        <v>961</v>
      </c>
    </row>
    <row r="21" spans="2:45">
      <c r="B21" s="50" t="s">
        <v>944</v>
      </c>
      <c r="C21" s="50">
        <v>19</v>
      </c>
      <c r="D21" s="50" t="s">
        <v>1223</v>
      </c>
      <c r="E21" s="95">
        <v>45433</v>
      </c>
      <c r="F21" s="50">
        <v>1</v>
      </c>
      <c r="G21" s="50" cm="1">
        <f t="array" aca="1" ref="G21" ca="1">SUMPRODUCT(--(ISNUMBER((SEARCH(I27:AS27,I21:AS21)))))/COUNTA(I21:AS21)</f>
        <v>0.97297297297297303</v>
      </c>
      <c r="H21" s="50" t="s">
        <v>1046</v>
      </c>
      <c r="I21" s="50" t="s">
        <v>995</v>
      </c>
      <c r="J21" s="50" t="s">
        <v>995</v>
      </c>
      <c r="K21" s="50" t="s">
        <v>995</v>
      </c>
      <c r="L21" s="50" t="s">
        <v>995</v>
      </c>
      <c r="M21" s="50" t="s">
        <v>995</v>
      </c>
      <c r="N21" s="50" t="s">
        <v>995</v>
      </c>
      <c r="O21" s="50" t="s">
        <v>995</v>
      </c>
      <c r="P21" s="50" t="s">
        <v>995</v>
      </c>
      <c r="Q21" s="50" t="s">
        <v>995</v>
      </c>
      <c r="R21" s="50" t="s">
        <v>995</v>
      </c>
      <c r="S21" s="50" t="s">
        <v>995</v>
      </c>
      <c r="T21" s="50" t="s">
        <v>995</v>
      </c>
      <c r="U21" s="50" t="s">
        <v>995</v>
      </c>
      <c r="V21" s="50" t="s">
        <v>996</v>
      </c>
      <c r="W21" s="50" t="s">
        <v>996</v>
      </c>
      <c r="X21" s="50" t="s">
        <v>996</v>
      </c>
      <c r="Y21" s="50" t="s">
        <v>996</v>
      </c>
      <c r="Z21" s="50" t="s">
        <v>996</v>
      </c>
      <c r="AA21" s="50" t="s">
        <v>995</v>
      </c>
      <c r="AB21" s="50" t="s">
        <v>995</v>
      </c>
      <c r="AC21" s="50" t="s">
        <v>996</v>
      </c>
      <c r="AD21" s="186" t="s">
        <v>996</v>
      </c>
      <c r="AE21" s="186" t="s">
        <v>995</v>
      </c>
      <c r="AF21" s="50" t="s">
        <v>995</v>
      </c>
      <c r="AG21" s="50" t="s">
        <v>995</v>
      </c>
      <c r="AH21" s="50" t="s">
        <v>995</v>
      </c>
      <c r="AI21" s="50" t="s">
        <v>996</v>
      </c>
      <c r="AJ21" s="50" t="s">
        <v>995</v>
      </c>
      <c r="AK21" s="50" t="s">
        <v>995</v>
      </c>
      <c r="AL21" s="50" t="s">
        <v>996</v>
      </c>
      <c r="AM21" s="50" t="s">
        <v>996</v>
      </c>
      <c r="AN21" s="50" t="s">
        <v>996</v>
      </c>
      <c r="AO21" s="50" t="s">
        <v>995</v>
      </c>
      <c r="AP21" s="50" t="s">
        <v>995</v>
      </c>
      <c r="AQ21" s="50" t="s">
        <v>995</v>
      </c>
      <c r="AR21" s="50" t="s">
        <v>995</v>
      </c>
      <c r="AS21" s="50" t="s">
        <v>997</v>
      </c>
    </row>
    <row r="22" spans="2:45">
      <c r="B22" s="97" t="s">
        <v>947</v>
      </c>
      <c r="C22" s="50">
        <v>20</v>
      </c>
      <c r="D22" s="50" t="s">
        <v>1224</v>
      </c>
      <c r="E22" s="95">
        <v>45433</v>
      </c>
      <c r="F22" s="50">
        <v>1</v>
      </c>
      <c r="G22" s="50" t="e" cm="1">
        <f t="array" aca="1" ref="G22" ca="1">SUM(IF(I2:AS2 = I26:AS26, 1, 0))/ COUNTA(I2:AS2)</f>
        <v>#NAME?</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950</v>
      </c>
      <c r="C23" s="50">
        <v>21</v>
      </c>
      <c r="D23" s="50" t="s">
        <v>1224</v>
      </c>
      <c r="E23" s="95">
        <v>45433</v>
      </c>
      <c r="F23" s="50">
        <v>1</v>
      </c>
      <c r="G23" s="50" t="e" cm="1">
        <f t="array" aca="1" ref="G23" ca="1">SUM(IF(IF(G3:G22="null",1,G3:G22)=1,1,0))/COUNT(IF(G3:G22="null",1,1))</f>
        <v>#NAME?</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40" t="s">
        <v>1067</v>
      </c>
    </row>
    <row r="26" spans="2:45">
      <c r="B26" s="133" t="s">
        <v>953</v>
      </c>
      <c r="C26" s="129" t="s">
        <v>954</v>
      </c>
      <c r="D26" s="129" t="s">
        <v>955</v>
      </c>
      <c r="E26" s="129" t="s">
        <v>956</v>
      </c>
      <c r="F26" s="129" t="s">
        <v>957</v>
      </c>
      <c r="G26" s="129" t="s">
        <v>958</v>
      </c>
      <c r="H26" s="129" t="s">
        <v>959</v>
      </c>
      <c r="I26" s="124" t="e" cm="1">
        <f t="array" aca="1" ref="I26" ca="1">TRANSPOSE(_xlfn.SORTBY(_xlfn._xlws.FILTER(Table3[NOME FÍSICO CAMPO],Table3[NOME FÍSICO TABELA]="confirming_contract"), _xlfn._xlws.FILTER(Table3[ORDEM], Table3[NOME FÍSICO TABELA]="confirming_contract"), 1))</f>
        <v>#NAME?</v>
      </c>
      <c r="J26" s="124"/>
      <c r="K26" s="124"/>
      <c r="L26" s="124"/>
      <c r="M26" s="124"/>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row>
    <row r="27" spans="2:45">
      <c r="B27" s="102" t="s">
        <v>998</v>
      </c>
      <c r="C27" s="151">
        <v>21</v>
      </c>
      <c r="D27" s="106" t="s">
        <v>999</v>
      </c>
      <c r="E27" s="105" t="s">
        <v>1000</v>
      </c>
      <c r="F27" s="105" t="s">
        <v>206</v>
      </c>
      <c r="G27" s="105" t="s">
        <v>206</v>
      </c>
      <c r="H27" s="105" t="s">
        <v>206</v>
      </c>
      <c r="I27" s="103" t="e" cm="1">
        <f t="array" aca="1" ref="I27" ca="1">TRANSPOSE(_xlfn.SORTBY(_xlfn._xlws.FILTER(IF(Table3[FORMATO]:Table3[COMP_ CAMPO]&lt;&gt;"",Table3[FORMATO]:Table3[COMP_ CAMPO],9999999),Table3[NOME FÍSICO TABELA]="confirming_contract"), _xlfn._xlws.FILTER(Table3[ORDEM], Table3[NOME FÍSICO TABELA]="confirming_contract"), 1))</f>
        <v>#NAME?</v>
      </c>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row>
    <row r="28" spans="2:45">
      <c r="B28" s="102" t="s">
        <v>1001</v>
      </c>
      <c r="C28" s="151">
        <v>7</v>
      </c>
      <c r="D28" s="106" t="s">
        <v>999</v>
      </c>
      <c r="E28" s="105" t="s">
        <v>1000</v>
      </c>
      <c r="F28" s="105" t="s">
        <v>206</v>
      </c>
      <c r="G28" s="105" t="s">
        <v>206</v>
      </c>
      <c r="H28" s="105" t="s">
        <v>206</v>
      </c>
      <c r="I28" s="151"/>
      <c r="J28" s="151"/>
      <c r="K28" s="151"/>
      <c r="L28" s="151"/>
      <c r="M28" s="151"/>
      <c r="N28" s="151"/>
      <c r="O28" s="151"/>
      <c r="P28" s="151"/>
      <c r="Q28" s="151"/>
      <c r="R28" s="151"/>
      <c r="S28" s="151"/>
      <c r="T28" s="151"/>
      <c r="U28" s="151"/>
      <c r="V28" s="151"/>
      <c r="W28" s="151"/>
      <c r="X28" s="151"/>
      <c r="Y28" s="151"/>
      <c r="Z28" s="151"/>
      <c r="AA28" s="151"/>
      <c r="AB28" s="151"/>
      <c r="AC28" s="151"/>
      <c r="AD28" s="151"/>
      <c r="AE28" s="151"/>
      <c r="AF28" s="151"/>
      <c r="AG28" s="151"/>
      <c r="AH28" s="151"/>
      <c r="AI28" s="151"/>
      <c r="AJ28" s="151"/>
      <c r="AK28" s="151"/>
      <c r="AL28" s="151"/>
      <c r="AM28" s="151"/>
      <c r="AN28" s="151"/>
      <c r="AO28" s="151"/>
      <c r="AP28" s="151"/>
      <c r="AQ28" s="151"/>
      <c r="AR28" s="151"/>
      <c r="AS28" s="151"/>
    </row>
    <row r="30" spans="2:45">
      <c r="B30" s="140" t="s">
        <v>1002</v>
      </c>
    </row>
    <row r="31" spans="2:45">
      <c r="B31" s="134" t="s">
        <v>1003</v>
      </c>
      <c r="C31" s="134" t="s">
        <v>1004</v>
      </c>
      <c r="D31" s="135" t="s">
        <v>1005</v>
      </c>
      <c r="E31" s="134" t="s">
        <v>1006</v>
      </c>
      <c r="F31" s="134" t="s">
        <v>1007</v>
      </c>
    </row>
    <row r="32" spans="2:45" ht="29">
      <c r="B32" s="257" t="s">
        <v>1068</v>
      </c>
      <c r="C32" s="258" t="s">
        <v>132</v>
      </c>
      <c r="D32" s="259" t="s">
        <v>1225</v>
      </c>
      <c r="E32" s="260" t="s">
        <v>1226</v>
      </c>
      <c r="F32" s="154" t="s">
        <v>1014</v>
      </c>
    </row>
    <row r="33" spans="2:6" ht="29">
      <c r="B33" s="257" t="s">
        <v>1068</v>
      </c>
      <c r="C33" s="258" t="s">
        <v>135</v>
      </c>
      <c r="D33" s="259" t="s">
        <v>1225</v>
      </c>
      <c r="E33" s="260" t="s">
        <v>1226</v>
      </c>
      <c r="F33" s="154" t="s">
        <v>1014</v>
      </c>
    </row>
    <row r="34" spans="2:6" ht="101.5">
      <c r="B34" s="257" t="s">
        <v>1068</v>
      </c>
      <c r="C34" s="258" t="s">
        <v>277</v>
      </c>
      <c r="D34" s="259" t="s">
        <v>1227</v>
      </c>
      <c r="E34" s="260" t="s">
        <v>1228</v>
      </c>
      <c r="F34" s="154" t="s">
        <v>1014</v>
      </c>
    </row>
    <row r="35" spans="2:6" ht="101.5">
      <c r="B35" s="257" t="s">
        <v>1068</v>
      </c>
      <c r="C35" s="258" t="s">
        <v>282</v>
      </c>
      <c r="D35" s="259" t="s">
        <v>1227</v>
      </c>
      <c r="E35" s="260" t="s">
        <v>1228</v>
      </c>
      <c r="F35" s="154" t="s">
        <v>1014</v>
      </c>
    </row>
    <row r="36" spans="2:6" ht="101.5">
      <c r="B36" s="257" t="s">
        <v>1068</v>
      </c>
      <c r="C36" s="258" t="s">
        <v>169</v>
      </c>
      <c r="D36" s="259" t="s">
        <v>1227</v>
      </c>
      <c r="E36" s="260" t="s">
        <v>1228</v>
      </c>
      <c r="F36" s="154" t="s">
        <v>1014</v>
      </c>
    </row>
    <row r="37" spans="2:6" ht="101.5">
      <c r="B37" s="257" t="s">
        <v>1068</v>
      </c>
      <c r="C37" s="258" t="s">
        <v>362</v>
      </c>
      <c r="D37" s="259" t="s">
        <v>1227</v>
      </c>
      <c r="E37" s="260" t="s">
        <v>1228</v>
      </c>
      <c r="F37" s="154" t="s">
        <v>1014</v>
      </c>
    </row>
    <row r="38" spans="2:6" ht="101.5">
      <c r="B38" s="257" t="s">
        <v>1068</v>
      </c>
      <c r="C38" s="258" t="s">
        <v>226</v>
      </c>
      <c r="D38" s="259" t="s">
        <v>1227</v>
      </c>
      <c r="E38" s="260" t="s">
        <v>1228</v>
      </c>
      <c r="F38" s="154" t="s">
        <v>1014</v>
      </c>
    </row>
    <row r="39" spans="2:6" ht="101.5">
      <c r="B39" s="257" t="s">
        <v>1068</v>
      </c>
      <c r="C39" s="258" t="s">
        <v>375</v>
      </c>
      <c r="D39" s="259" t="s">
        <v>1227</v>
      </c>
      <c r="E39" s="260" t="s">
        <v>1228</v>
      </c>
      <c r="F39" s="154" t="s">
        <v>1014</v>
      </c>
    </row>
    <row r="40" spans="2:6" ht="101.5">
      <c r="B40" s="257" t="s">
        <v>1068</v>
      </c>
      <c r="C40" s="258" t="s">
        <v>1229</v>
      </c>
      <c r="D40" s="259" t="s">
        <v>1227</v>
      </c>
      <c r="E40" s="260" t="s">
        <v>1228</v>
      </c>
      <c r="F40" s="154" t="s">
        <v>1014</v>
      </c>
    </row>
    <row r="41" spans="2:6" ht="101.5">
      <c r="B41" s="257" t="s">
        <v>1068</v>
      </c>
      <c r="C41" s="258" t="s">
        <v>1230</v>
      </c>
      <c r="D41" s="259" t="s">
        <v>1227</v>
      </c>
      <c r="E41" s="260" t="s">
        <v>1228</v>
      </c>
      <c r="F41" s="154" t="s">
        <v>1014</v>
      </c>
    </row>
    <row r="42" spans="2:6" ht="101.5">
      <c r="B42" s="257" t="s">
        <v>1068</v>
      </c>
      <c r="C42" s="258" t="s">
        <v>1231</v>
      </c>
      <c r="D42" s="259" t="s">
        <v>1227</v>
      </c>
      <c r="E42" s="260" t="s">
        <v>1228</v>
      </c>
      <c r="F42" s="154" t="s">
        <v>1014</v>
      </c>
    </row>
    <row r="43" spans="2:6" ht="101.5">
      <c r="B43" s="257" t="s">
        <v>1068</v>
      </c>
      <c r="C43" s="258" t="s">
        <v>1232</v>
      </c>
      <c r="D43" s="259" t="s">
        <v>1227</v>
      </c>
      <c r="E43" s="260" t="s">
        <v>1228</v>
      </c>
      <c r="F43" s="154" t="s">
        <v>1014</v>
      </c>
    </row>
    <row r="44" spans="2:6" ht="101.5">
      <c r="B44" s="257" t="s">
        <v>1068</v>
      </c>
      <c r="C44" s="258" t="s">
        <v>1233</v>
      </c>
      <c r="D44" s="259" t="s">
        <v>1227</v>
      </c>
      <c r="E44" s="260" t="s">
        <v>1228</v>
      </c>
      <c r="F44" s="154" t="s">
        <v>1014</v>
      </c>
    </row>
    <row r="45" spans="2:6" ht="101.5">
      <c r="B45" s="257" t="s">
        <v>1068</v>
      </c>
      <c r="C45" s="258" t="s">
        <v>1234</v>
      </c>
      <c r="D45" s="259" t="s">
        <v>1227</v>
      </c>
      <c r="E45" s="260" t="s">
        <v>1228</v>
      </c>
      <c r="F45" s="154" t="s">
        <v>1014</v>
      </c>
    </row>
    <row r="46" spans="2:6" ht="101.5">
      <c r="B46" s="257" t="s">
        <v>1068</v>
      </c>
      <c r="C46" s="258" t="s">
        <v>404</v>
      </c>
      <c r="D46" s="259" t="s">
        <v>1227</v>
      </c>
      <c r="E46" s="260" t="s">
        <v>1228</v>
      </c>
      <c r="F46" s="154" t="s">
        <v>1014</v>
      </c>
    </row>
    <row r="47" spans="2:6" ht="101.5">
      <c r="B47" s="257" t="s">
        <v>1068</v>
      </c>
      <c r="C47" s="258" t="s">
        <v>424</v>
      </c>
      <c r="D47" s="259" t="s">
        <v>1227</v>
      </c>
      <c r="E47" s="260" t="s">
        <v>1228</v>
      </c>
      <c r="F47" s="154" t="s">
        <v>1014</v>
      </c>
    </row>
    <row r="48" spans="2:6" ht="29">
      <c r="B48" s="257" t="s">
        <v>1068</v>
      </c>
      <c r="C48" s="258" t="s">
        <v>508</v>
      </c>
      <c r="D48" s="259" t="s">
        <v>1235</v>
      </c>
      <c r="E48" s="260" t="s">
        <v>1236</v>
      </c>
      <c r="F48" s="154" t="s">
        <v>1014</v>
      </c>
    </row>
    <row r="49" spans="2:6" ht="43.5">
      <c r="B49" s="257" t="s">
        <v>1068</v>
      </c>
      <c r="C49" s="258" t="s">
        <v>319</v>
      </c>
      <c r="D49" s="261" t="s">
        <v>1237</v>
      </c>
      <c r="E49" s="262" t="s">
        <v>1238</v>
      </c>
      <c r="F49" s="154" t="s">
        <v>1014</v>
      </c>
    </row>
    <row r="50" spans="2:6" ht="145">
      <c r="B50" s="257" t="s">
        <v>1068</v>
      </c>
      <c r="C50" s="263" t="s">
        <v>414</v>
      </c>
      <c r="D50" s="264" t="s">
        <v>1239</v>
      </c>
      <c r="E50" s="265" t="s">
        <v>1240</v>
      </c>
      <c r="F50" s="154" t="s">
        <v>1014</v>
      </c>
    </row>
    <row r="51" spans="2:6" ht="145">
      <c r="B51" s="177" t="s">
        <v>1008</v>
      </c>
      <c r="C51" s="199" t="s">
        <v>432</v>
      </c>
      <c r="D51" s="57" t="s">
        <v>1239</v>
      </c>
      <c r="E51" s="198" t="s">
        <v>1240</v>
      </c>
      <c r="F51" s="197" t="s">
        <v>1014</v>
      </c>
    </row>
    <row r="52" spans="2:6" ht="58">
      <c r="B52" s="177" t="s">
        <v>1018</v>
      </c>
      <c r="C52" s="178" t="s">
        <v>1241</v>
      </c>
      <c r="D52" s="57" t="s">
        <v>1242</v>
      </c>
      <c r="E52" s="196" t="s">
        <v>1243</v>
      </c>
      <c r="F52" s="197" t="s">
        <v>1017</v>
      </c>
    </row>
    <row r="53" spans="2:6" ht="58">
      <c r="B53" s="177" t="s">
        <v>1244</v>
      </c>
      <c r="C53" s="178" t="s">
        <v>1189</v>
      </c>
      <c r="D53" s="57" t="s">
        <v>1245</v>
      </c>
      <c r="E53" s="196" t="s">
        <v>1246</v>
      </c>
      <c r="F53" s="197" t="s">
        <v>1014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E34"/>
  <sheetViews>
    <sheetView showGridLines="0" topLeftCell="B1" workbookViewId="0">
      <selection activeCell="G12" sqref="G12"/>
    </sheetView>
  </sheetViews>
  <sheetFormatPr defaultRowHeight="14.5"/>
  <cols>
    <col min="2" max="2" width="69.81640625" bestFit="1" customWidth="1"/>
    <col min="3" max="3" width="41.1796875" customWidth="1"/>
    <col min="4" max="4" width="64.26953125" customWidth="1"/>
    <col min="5" max="6" width="30.453125" bestFit="1" customWidth="1"/>
    <col min="7" max="7" width="15" bestFit="1" customWidth="1"/>
    <col min="8" max="8" width="16.453125" bestFit="1" customWidth="1"/>
    <col min="9" max="9" width="18.453125" bestFit="1" customWidth="1"/>
    <col min="10" max="13" width="30.7265625" bestFit="1" customWidth="1"/>
    <col min="14" max="14" width="27.7265625" bestFit="1" customWidth="1"/>
    <col min="15" max="21" width="30.7265625" bestFit="1" customWidth="1"/>
    <col min="22" max="22" width="33" customWidth="1"/>
    <col min="23" max="23" width="37.81640625" customWidth="1"/>
    <col min="24" max="26" width="30.7265625" bestFit="1" customWidth="1"/>
    <col min="27" max="27" width="42.54296875" customWidth="1"/>
    <col min="28" max="32" width="30.7265625" bestFit="1" customWidth="1"/>
  </cols>
  <sheetData>
    <row r="1" spans="2:29" ht="30.75" customHeight="1"/>
    <row r="2" spans="2:29">
      <c r="B2" s="76" t="s">
        <v>953</v>
      </c>
      <c r="C2" s="76" t="s">
        <v>954</v>
      </c>
      <c r="D2" s="76" t="s">
        <v>955</v>
      </c>
      <c r="E2" s="76" t="s">
        <v>956</v>
      </c>
      <c r="F2" s="76" t="s">
        <v>957</v>
      </c>
      <c r="G2" s="76" t="s">
        <v>958</v>
      </c>
      <c r="H2" s="76" t="s">
        <v>959</v>
      </c>
      <c r="I2" s="76" t="s">
        <v>102</v>
      </c>
      <c r="J2" s="76" t="s">
        <v>112</v>
      </c>
      <c r="K2" s="76" t="s">
        <v>219</v>
      </c>
      <c r="L2" s="76" t="s">
        <v>116</v>
      </c>
      <c r="M2" s="76" t="s">
        <v>121</v>
      </c>
      <c r="N2" s="76" t="s">
        <v>127</v>
      </c>
      <c r="O2" s="76" t="s">
        <v>220</v>
      </c>
      <c r="P2" s="76" t="s">
        <v>132</v>
      </c>
      <c r="Q2" s="76" t="s">
        <v>135</v>
      </c>
      <c r="R2" s="76" t="s">
        <v>138</v>
      </c>
      <c r="S2" s="76" t="s">
        <v>144</v>
      </c>
      <c r="T2" s="76" t="s">
        <v>149</v>
      </c>
      <c r="U2" s="76" t="s">
        <v>1247</v>
      </c>
      <c r="V2" s="76" t="s">
        <v>1248</v>
      </c>
      <c r="W2" s="76" t="s">
        <v>230</v>
      </c>
      <c r="X2" s="76" t="s">
        <v>231</v>
      </c>
      <c r="Y2" s="76" t="s">
        <v>190</v>
      </c>
      <c r="Z2" s="76" t="s">
        <v>196</v>
      </c>
      <c r="AA2" s="76" t="s">
        <v>202</v>
      </c>
      <c r="AB2" s="76" t="s">
        <v>208</v>
      </c>
      <c r="AC2" s="76" t="s">
        <v>213</v>
      </c>
    </row>
    <row r="3" spans="2:29">
      <c r="B3" s="50" t="s">
        <v>907</v>
      </c>
      <c r="C3" s="50">
        <v>1</v>
      </c>
      <c r="D3" s="50" t="s">
        <v>1249</v>
      </c>
      <c r="E3" s="95">
        <v>45441</v>
      </c>
      <c r="F3" s="50">
        <v>1</v>
      </c>
      <c r="G3" s="98">
        <v>1</v>
      </c>
      <c r="H3" s="98">
        <v>5903000000</v>
      </c>
      <c r="I3" s="50" t="s">
        <v>961</v>
      </c>
      <c r="J3" s="50" t="s">
        <v>961</v>
      </c>
      <c r="K3" s="50" t="s">
        <v>961</v>
      </c>
      <c r="L3" s="50" t="s">
        <v>961</v>
      </c>
      <c r="M3" s="50" t="s">
        <v>961</v>
      </c>
      <c r="N3" s="50" t="s">
        <v>961</v>
      </c>
      <c r="O3" s="50" t="s">
        <v>961</v>
      </c>
      <c r="P3" s="50" t="s">
        <v>961</v>
      </c>
      <c r="Q3" s="50" t="s">
        <v>961</v>
      </c>
      <c r="R3" s="50" t="s">
        <v>961</v>
      </c>
      <c r="S3" s="50" t="s">
        <v>961</v>
      </c>
      <c r="T3" s="50" t="s">
        <v>961</v>
      </c>
      <c r="U3" s="50" t="s">
        <v>961</v>
      </c>
      <c r="V3" s="50" t="s">
        <v>961</v>
      </c>
      <c r="W3" s="50" t="s">
        <v>961</v>
      </c>
      <c r="X3" s="50" t="s">
        <v>961</v>
      </c>
      <c r="Y3" s="50" t="s">
        <v>961</v>
      </c>
      <c r="Z3" s="50" t="s">
        <v>961</v>
      </c>
      <c r="AA3" s="50" t="s">
        <v>961</v>
      </c>
      <c r="AB3" s="50" t="s">
        <v>961</v>
      </c>
      <c r="AC3" s="50" t="s">
        <v>961</v>
      </c>
    </row>
    <row r="4" spans="2:29">
      <c r="B4" s="50" t="s">
        <v>909</v>
      </c>
      <c r="C4" s="50">
        <v>2</v>
      </c>
      <c r="D4" s="50" t="s">
        <v>1250</v>
      </c>
      <c r="E4" s="95">
        <v>45441</v>
      </c>
      <c r="F4" s="50">
        <v>1</v>
      </c>
      <c r="G4" s="98">
        <v>1</v>
      </c>
      <c r="H4" s="50" t="s">
        <v>970</v>
      </c>
      <c r="I4" s="50" t="s">
        <v>961</v>
      </c>
      <c r="J4" s="50" t="s">
        <v>961</v>
      </c>
      <c r="K4" s="50" t="s">
        <v>961</v>
      </c>
      <c r="L4" s="50" t="s">
        <v>961</v>
      </c>
      <c r="M4" s="50" t="s">
        <v>961</v>
      </c>
      <c r="N4" s="50" t="s">
        <v>961</v>
      </c>
      <c r="O4" s="50" t="s">
        <v>961</v>
      </c>
      <c r="P4" s="50" t="s">
        <v>961</v>
      </c>
      <c r="Q4" s="50" t="s">
        <v>961</v>
      </c>
      <c r="R4" s="50" t="s">
        <v>961</v>
      </c>
      <c r="S4" s="50" t="s">
        <v>961</v>
      </c>
      <c r="T4" s="50" t="s">
        <v>961</v>
      </c>
      <c r="U4" s="50" t="s">
        <v>961</v>
      </c>
      <c r="V4" s="50" t="s">
        <v>961</v>
      </c>
      <c r="W4" s="50" t="s">
        <v>961</v>
      </c>
      <c r="X4" s="50" t="s">
        <v>961</v>
      </c>
      <c r="Y4" s="50" t="s">
        <v>961</v>
      </c>
      <c r="Z4" s="50" t="s">
        <v>961</v>
      </c>
      <c r="AA4" s="50" t="s">
        <v>961</v>
      </c>
      <c r="AB4" s="50" t="s">
        <v>961</v>
      </c>
      <c r="AC4" s="50" t="s">
        <v>961</v>
      </c>
    </row>
    <row r="5" spans="2:29">
      <c r="B5" s="50" t="s">
        <v>911</v>
      </c>
      <c r="C5" s="50">
        <v>3</v>
      </c>
      <c r="D5" s="50" t="s">
        <v>1251</v>
      </c>
      <c r="E5" s="95">
        <v>45441</v>
      </c>
      <c r="F5" s="50">
        <v>1</v>
      </c>
      <c r="G5" s="98">
        <v>1</v>
      </c>
      <c r="H5" s="50" t="s">
        <v>970</v>
      </c>
      <c r="I5" s="50">
        <v>0</v>
      </c>
      <c r="J5" s="50">
        <v>0</v>
      </c>
      <c r="K5" s="50" t="s">
        <v>961</v>
      </c>
      <c r="L5" s="50" t="s">
        <v>961</v>
      </c>
      <c r="M5" s="50" t="s">
        <v>961</v>
      </c>
      <c r="N5" s="50" t="s">
        <v>961</v>
      </c>
      <c r="O5" s="50" t="s">
        <v>961</v>
      </c>
      <c r="P5" s="50" t="s">
        <v>961</v>
      </c>
      <c r="Q5" s="50" t="s">
        <v>961</v>
      </c>
      <c r="R5" s="50" t="s">
        <v>961</v>
      </c>
      <c r="S5" s="50" t="s">
        <v>961</v>
      </c>
      <c r="T5" s="50" t="s">
        <v>961</v>
      </c>
      <c r="U5" s="50" t="s">
        <v>961</v>
      </c>
      <c r="V5" s="50" t="s">
        <v>961</v>
      </c>
      <c r="W5" s="50" t="s">
        <v>961</v>
      </c>
      <c r="X5" s="50" t="s">
        <v>961</v>
      </c>
      <c r="Y5" s="50" t="s">
        <v>961</v>
      </c>
      <c r="Z5" s="50" t="s">
        <v>961</v>
      </c>
      <c r="AA5" s="50" t="s">
        <v>961</v>
      </c>
      <c r="AB5" s="50">
        <v>0</v>
      </c>
      <c r="AC5" s="50" t="s">
        <v>961</v>
      </c>
    </row>
    <row r="6" spans="2:29">
      <c r="B6" s="97" t="s">
        <v>916</v>
      </c>
      <c r="C6" s="50">
        <v>6</v>
      </c>
      <c r="D6" s="50" t="s">
        <v>1252</v>
      </c>
      <c r="E6" s="95">
        <v>45441</v>
      </c>
      <c r="F6" s="50">
        <v>1</v>
      </c>
      <c r="G6" s="50" cm="1">
        <f t="array" ref="G6">SUMPRODUCT(--(I6:AC6&gt;0))/COUNTA(I6:AC6)</f>
        <v>1</v>
      </c>
      <c r="H6" s="50" t="s">
        <v>970</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919</v>
      </c>
      <c r="C7" s="50">
        <v>7</v>
      </c>
      <c r="D7" s="50" t="s">
        <v>1253</v>
      </c>
      <c r="E7" s="95">
        <v>45441</v>
      </c>
      <c r="F7" s="50">
        <v>1</v>
      </c>
      <c r="G7" s="50" t="e" cm="1">
        <f t="array" aca="1" ref="G7" ca="1">SUMPRODUCT(--(I7:AC7&lt;=I25:AC25))/COUNTA(I25:AC25)</f>
        <v>#NAME?</v>
      </c>
      <c r="H7" s="50" t="s">
        <v>970</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922</v>
      </c>
      <c r="C8" s="50">
        <v>8</v>
      </c>
      <c r="D8" s="50" t="s">
        <v>1254</v>
      </c>
      <c r="E8" s="95">
        <v>45441</v>
      </c>
      <c r="F8" s="50">
        <v>1</v>
      </c>
      <c r="G8" s="50" t="s">
        <v>961</v>
      </c>
      <c r="H8" s="50" t="s">
        <v>970</v>
      </c>
      <c r="I8" s="50">
        <v>31</v>
      </c>
      <c r="J8" s="50">
        <v>7.0000079999999997E+21</v>
      </c>
      <c r="K8" s="50">
        <v>1</v>
      </c>
      <c r="L8" s="50" t="s">
        <v>1039</v>
      </c>
      <c r="M8" s="50">
        <v>0</v>
      </c>
      <c r="N8" s="50">
        <v>20</v>
      </c>
      <c r="O8" s="50">
        <v>1329</v>
      </c>
      <c r="P8" s="50">
        <v>31</v>
      </c>
      <c r="Q8" s="50">
        <v>3.2487001E+22</v>
      </c>
      <c r="R8" s="95">
        <v>21205</v>
      </c>
      <c r="S8" s="95">
        <v>1</v>
      </c>
      <c r="T8" s="50">
        <v>0</v>
      </c>
      <c r="U8" s="95">
        <v>1</v>
      </c>
      <c r="V8" s="98">
        <v>25</v>
      </c>
      <c r="W8" s="50">
        <v>40967</v>
      </c>
      <c r="X8" s="50">
        <v>0</v>
      </c>
      <c r="Y8" s="50" t="s">
        <v>1039</v>
      </c>
      <c r="Z8" s="50" t="s">
        <v>972</v>
      </c>
      <c r="AA8" s="50" t="s">
        <v>1255</v>
      </c>
      <c r="AB8" s="95">
        <v>45441</v>
      </c>
      <c r="AC8" s="50" t="s">
        <v>1256</v>
      </c>
    </row>
    <row r="9" spans="2:29">
      <c r="B9" s="50" t="s">
        <v>924</v>
      </c>
      <c r="C9" s="50">
        <v>9</v>
      </c>
      <c r="D9" s="50" t="s">
        <v>1257</v>
      </c>
      <c r="E9" s="95">
        <v>45441</v>
      </c>
      <c r="F9" s="50">
        <v>1</v>
      </c>
      <c r="G9" s="50" t="s">
        <v>961</v>
      </c>
      <c r="H9" s="50" t="s">
        <v>970</v>
      </c>
      <c r="I9" s="50">
        <v>31</v>
      </c>
      <c r="J9" s="50">
        <v>7.0000079999999997E+21</v>
      </c>
      <c r="K9" s="50">
        <v>1</v>
      </c>
      <c r="L9" s="50"/>
      <c r="M9" s="50">
        <v>0</v>
      </c>
      <c r="N9" s="50">
        <v>20</v>
      </c>
      <c r="O9" s="50">
        <v>1329</v>
      </c>
      <c r="P9" s="50"/>
      <c r="Q9" s="50">
        <v>3.2487001E+22</v>
      </c>
      <c r="R9" s="96">
        <v>21205</v>
      </c>
      <c r="S9" s="96">
        <v>1</v>
      </c>
      <c r="T9" s="50">
        <v>0</v>
      </c>
      <c r="U9" s="96">
        <v>1</v>
      </c>
      <c r="V9" s="98">
        <v>24500000</v>
      </c>
      <c r="W9" s="96">
        <v>40967</v>
      </c>
      <c r="X9" s="99" t="s">
        <v>970</v>
      </c>
      <c r="Y9" s="50">
        <v>5</v>
      </c>
      <c r="Z9" s="50" t="s">
        <v>976</v>
      </c>
      <c r="AA9" s="50" t="s">
        <v>1255</v>
      </c>
      <c r="AB9" s="95">
        <v>45441</v>
      </c>
      <c r="AC9" s="50" t="s">
        <v>1258</v>
      </c>
    </row>
    <row r="10" spans="2:29">
      <c r="B10" s="97" t="s">
        <v>926</v>
      </c>
      <c r="C10" s="50">
        <v>10</v>
      </c>
      <c r="D10" s="50" t="s">
        <v>1259</v>
      </c>
      <c r="E10" s="95">
        <v>45441</v>
      </c>
      <c r="F10" s="50">
        <v>1</v>
      </c>
      <c r="G10" s="50" t="s">
        <v>961</v>
      </c>
      <c r="H10" s="50" t="s">
        <v>970</v>
      </c>
      <c r="I10" s="50">
        <v>31</v>
      </c>
      <c r="J10" s="50">
        <v>8.0013669999999995E+24</v>
      </c>
      <c r="K10" s="50" t="s">
        <v>1260</v>
      </c>
      <c r="L10" s="50" t="s">
        <v>1039</v>
      </c>
      <c r="M10" s="50">
        <v>0</v>
      </c>
      <c r="N10" s="50">
        <v>20</v>
      </c>
      <c r="O10" s="50">
        <v>814</v>
      </c>
      <c r="P10" s="50">
        <v>31</v>
      </c>
      <c r="Q10" s="50">
        <v>2.3950315126102001E+29</v>
      </c>
      <c r="R10" s="95">
        <v>45441</v>
      </c>
      <c r="S10" s="95">
        <v>1</v>
      </c>
      <c r="T10" s="95">
        <v>978</v>
      </c>
      <c r="U10" s="95">
        <v>45441</v>
      </c>
      <c r="V10" s="98">
        <v>260</v>
      </c>
      <c r="W10" s="95">
        <v>45441</v>
      </c>
      <c r="X10" s="98">
        <v>250</v>
      </c>
      <c r="Y10" s="50" t="s">
        <v>1039</v>
      </c>
      <c r="Z10" s="50" t="s">
        <v>972</v>
      </c>
      <c r="AA10" s="50" t="s">
        <v>1255</v>
      </c>
      <c r="AB10" s="95">
        <v>45441</v>
      </c>
      <c r="AC10" s="95" t="s">
        <v>1256</v>
      </c>
    </row>
    <row r="11" spans="2:29">
      <c r="B11" s="50" t="s">
        <v>928</v>
      </c>
      <c r="C11" s="50">
        <v>11</v>
      </c>
      <c r="D11" s="50" t="s">
        <v>1261</v>
      </c>
      <c r="E11" s="95">
        <v>45441</v>
      </c>
      <c r="F11" s="50">
        <v>1</v>
      </c>
      <c r="G11" s="50" t="s">
        <v>961</v>
      </c>
      <c r="H11" s="50" t="s">
        <v>970</v>
      </c>
      <c r="I11" s="50">
        <v>31</v>
      </c>
      <c r="J11" s="50">
        <v>8.0013669999999995E+24</v>
      </c>
      <c r="K11" s="50" t="s">
        <v>1260</v>
      </c>
      <c r="L11" s="50"/>
      <c r="M11" s="50">
        <v>0</v>
      </c>
      <c r="N11" s="50">
        <v>20</v>
      </c>
      <c r="O11" s="50">
        <v>814</v>
      </c>
      <c r="P11" s="50"/>
      <c r="Q11" s="50">
        <v>2.3950315126102001E+29</v>
      </c>
      <c r="R11" s="96">
        <v>45441</v>
      </c>
      <c r="S11" s="96">
        <v>1</v>
      </c>
      <c r="T11" s="96">
        <v>978</v>
      </c>
      <c r="U11" s="96">
        <v>45441</v>
      </c>
      <c r="V11" s="98">
        <v>260000000</v>
      </c>
      <c r="W11" s="96">
        <v>45441</v>
      </c>
      <c r="X11" s="99">
        <v>250000000</v>
      </c>
      <c r="Y11" s="99">
        <v>6</v>
      </c>
      <c r="Z11" s="50" t="s">
        <v>976</v>
      </c>
      <c r="AA11" s="50" t="s">
        <v>1255</v>
      </c>
      <c r="AB11" s="95">
        <v>45441</v>
      </c>
      <c r="AC11" s="95" t="s">
        <v>1262</v>
      </c>
    </row>
    <row r="12" spans="2:29">
      <c r="B12" s="50" t="s">
        <v>930</v>
      </c>
      <c r="C12" s="50">
        <v>12</v>
      </c>
      <c r="D12" s="50" t="s">
        <v>1263</v>
      </c>
      <c r="E12" s="95">
        <v>45441</v>
      </c>
      <c r="F12" s="50">
        <v>1</v>
      </c>
      <c r="G12" s="50">
        <v>0.71428599999999998</v>
      </c>
      <c r="H12" s="50" t="s">
        <v>970</v>
      </c>
      <c r="I12" s="50">
        <v>0</v>
      </c>
      <c r="J12" s="50">
        <v>0</v>
      </c>
      <c r="K12" s="50">
        <v>0</v>
      </c>
      <c r="L12" s="50">
        <v>0</v>
      </c>
      <c r="M12" s="50">
        <v>1070</v>
      </c>
      <c r="N12" s="50">
        <v>1070</v>
      </c>
      <c r="O12" s="50">
        <v>0</v>
      </c>
      <c r="P12" s="50">
        <v>0</v>
      </c>
      <c r="Q12" s="50">
        <v>0</v>
      </c>
      <c r="R12" s="50">
        <v>0</v>
      </c>
      <c r="S12" s="50">
        <v>0</v>
      </c>
      <c r="T12" s="50">
        <v>0</v>
      </c>
      <c r="U12" s="50">
        <v>125</v>
      </c>
      <c r="V12" s="50">
        <v>125</v>
      </c>
      <c r="W12" s="98">
        <v>126</v>
      </c>
      <c r="X12" s="50">
        <v>126</v>
      </c>
      <c r="Y12" s="50">
        <v>0</v>
      </c>
      <c r="Z12" s="50">
        <v>0</v>
      </c>
      <c r="AA12" s="50">
        <v>0</v>
      </c>
      <c r="AB12" s="50">
        <v>0</v>
      </c>
      <c r="AC12" s="50">
        <v>0</v>
      </c>
    </row>
    <row r="13" spans="2:29">
      <c r="B13" s="50" t="s">
        <v>932</v>
      </c>
      <c r="C13" s="50">
        <v>13</v>
      </c>
      <c r="D13" s="50" t="s">
        <v>1264</v>
      </c>
      <c r="E13" s="95">
        <v>45441</v>
      </c>
      <c r="F13" s="50">
        <v>1</v>
      </c>
      <c r="G13" s="98">
        <v>1</v>
      </c>
      <c r="H13" s="50" t="s">
        <v>970</v>
      </c>
      <c r="I13" s="50" t="s">
        <v>961</v>
      </c>
      <c r="J13" s="50" t="s">
        <v>961</v>
      </c>
      <c r="K13" s="50" t="s">
        <v>961</v>
      </c>
      <c r="L13" s="50" t="s">
        <v>961</v>
      </c>
      <c r="M13" s="50" t="s">
        <v>961</v>
      </c>
      <c r="N13" s="50" t="s">
        <v>961</v>
      </c>
      <c r="O13" s="50" t="s">
        <v>961</v>
      </c>
      <c r="P13" s="50" t="s">
        <v>961</v>
      </c>
      <c r="Q13" s="50" t="s">
        <v>961</v>
      </c>
      <c r="R13" s="96">
        <v>0</v>
      </c>
      <c r="S13" s="96">
        <v>0</v>
      </c>
      <c r="T13" s="96" t="s">
        <v>961</v>
      </c>
      <c r="U13" s="96">
        <v>0</v>
      </c>
      <c r="V13" s="96" t="s">
        <v>961</v>
      </c>
      <c r="W13" s="98">
        <v>0</v>
      </c>
      <c r="X13" s="96" t="s">
        <v>961</v>
      </c>
      <c r="Y13" s="98" t="s">
        <v>961</v>
      </c>
      <c r="Z13" s="50" t="s">
        <v>961</v>
      </c>
      <c r="AA13" s="50" t="s">
        <v>961</v>
      </c>
      <c r="AB13" s="95" t="s">
        <v>961</v>
      </c>
      <c r="AC13" s="95" t="s">
        <v>961</v>
      </c>
    </row>
    <row r="14" spans="2:29">
      <c r="B14" s="50" t="s">
        <v>934</v>
      </c>
      <c r="C14" s="50">
        <v>14</v>
      </c>
      <c r="D14" s="50" t="s">
        <v>1265</v>
      </c>
      <c r="E14" s="95">
        <v>45441</v>
      </c>
      <c r="F14" s="50">
        <v>1</v>
      </c>
      <c r="G14" s="98">
        <v>1</v>
      </c>
      <c r="H14" s="50" t="s">
        <v>970</v>
      </c>
      <c r="I14" s="50">
        <v>0</v>
      </c>
      <c r="J14" s="50">
        <v>0</v>
      </c>
      <c r="K14" s="50">
        <v>0</v>
      </c>
      <c r="L14" s="50">
        <v>0</v>
      </c>
      <c r="M14" s="50">
        <v>0</v>
      </c>
      <c r="N14" s="50">
        <v>0</v>
      </c>
      <c r="O14" s="50">
        <v>0</v>
      </c>
      <c r="P14" s="50">
        <v>0</v>
      </c>
      <c r="Q14" s="50">
        <v>0</v>
      </c>
      <c r="R14" s="50" t="s">
        <v>961</v>
      </c>
      <c r="S14" s="50" t="s">
        <v>961</v>
      </c>
      <c r="T14" s="50">
        <v>0</v>
      </c>
      <c r="U14" s="50" t="s">
        <v>961</v>
      </c>
      <c r="V14" s="50" t="s">
        <v>961</v>
      </c>
      <c r="W14" s="50" t="s">
        <v>961</v>
      </c>
      <c r="X14" s="50" t="s">
        <v>961</v>
      </c>
      <c r="Y14" s="50">
        <v>0</v>
      </c>
      <c r="Z14" s="50">
        <v>0</v>
      </c>
      <c r="AA14" s="50">
        <v>0</v>
      </c>
      <c r="AB14" s="50" t="s">
        <v>961</v>
      </c>
      <c r="AC14" s="50" t="s">
        <v>961</v>
      </c>
    </row>
    <row r="15" spans="2:29">
      <c r="B15" s="50" t="s">
        <v>936</v>
      </c>
      <c r="C15" s="50">
        <v>15</v>
      </c>
      <c r="D15" s="50" t="s">
        <v>1266</v>
      </c>
      <c r="E15" s="95">
        <v>45441</v>
      </c>
      <c r="F15" s="50">
        <v>1</v>
      </c>
      <c r="G15" s="98">
        <v>1</v>
      </c>
      <c r="H15" s="189" t="s">
        <v>970</v>
      </c>
      <c r="I15" s="50" t="s">
        <v>961</v>
      </c>
      <c r="J15" s="50" t="s">
        <v>961</v>
      </c>
      <c r="K15" s="50" t="s">
        <v>961</v>
      </c>
      <c r="L15" s="50" t="s">
        <v>961</v>
      </c>
      <c r="M15" s="50" t="s">
        <v>961</v>
      </c>
      <c r="N15" s="50" t="s">
        <v>961</v>
      </c>
      <c r="O15" s="50" t="s">
        <v>961</v>
      </c>
      <c r="P15" s="50" t="s">
        <v>961</v>
      </c>
      <c r="Q15" s="50" t="s">
        <v>961</v>
      </c>
      <c r="R15" s="97" t="s">
        <v>961</v>
      </c>
      <c r="S15" s="97" t="s">
        <v>961</v>
      </c>
      <c r="T15" s="97" t="s">
        <v>961</v>
      </c>
      <c r="U15" s="97" t="s">
        <v>961</v>
      </c>
      <c r="V15" s="97" t="s">
        <v>961</v>
      </c>
      <c r="W15" s="97" t="s">
        <v>961</v>
      </c>
      <c r="X15" s="97" t="s">
        <v>961</v>
      </c>
      <c r="Y15" s="50" t="s">
        <v>961</v>
      </c>
      <c r="Z15" s="50" t="s">
        <v>961</v>
      </c>
      <c r="AA15" s="50" t="s">
        <v>961</v>
      </c>
      <c r="AB15" s="50" t="s">
        <v>961</v>
      </c>
      <c r="AC15" s="50" t="s">
        <v>961</v>
      </c>
    </row>
    <row r="16" spans="2:29">
      <c r="B16" s="50" t="s">
        <v>938</v>
      </c>
      <c r="C16" s="50">
        <v>16</v>
      </c>
      <c r="D16" s="50" t="s">
        <v>1266</v>
      </c>
      <c r="E16" s="95">
        <v>45441</v>
      </c>
      <c r="F16" s="50">
        <v>1</v>
      </c>
      <c r="G16" s="98">
        <v>1</v>
      </c>
      <c r="H16" s="189" t="s">
        <v>970</v>
      </c>
      <c r="I16" s="50" t="s">
        <v>961</v>
      </c>
      <c r="J16" s="50" t="s">
        <v>961</v>
      </c>
      <c r="K16" s="50" t="s">
        <v>961</v>
      </c>
      <c r="L16" s="50" t="s">
        <v>961</v>
      </c>
      <c r="M16" s="50" t="s">
        <v>961</v>
      </c>
      <c r="N16" s="50" t="s">
        <v>961</v>
      </c>
      <c r="O16" s="50" t="s">
        <v>961</v>
      </c>
      <c r="P16" s="50" t="s">
        <v>961</v>
      </c>
      <c r="Q16" s="50" t="s">
        <v>961</v>
      </c>
      <c r="R16" s="50" t="s">
        <v>961</v>
      </c>
      <c r="S16" s="50" t="s">
        <v>961</v>
      </c>
      <c r="T16" s="50" t="s">
        <v>961</v>
      </c>
      <c r="U16" s="50" t="s">
        <v>961</v>
      </c>
      <c r="V16" s="50" t="s">
        <v>961</v>
      </c>
      <c r="W16" s="50" t="s">
        <v>961</v>
      </c>
      <c r="X16" s="50" t="s">
        <v>961</v>
      </c>
      <c r="Y16" s="50" t="s">
        <v>961</v>
      </c>
      <c r="Z16" s="50" t="s">
        <v>961</v>
      </c>
      <c r="AA16" s="50" t="s">
        <v>961</v>
      </c>
      <c r="AB16" s="50" t="s">
        <v>961</v>
      </c>
      <c r="AC16" s="50" t="s">
        <v>961</v>
      </c>
    </row>
    <row r="17" spans="2:31">
      <c r="B17" s="50" t="s">
        <v>944</v>
      </c>
      <c r="C17" s="50">
        <v>19</v>
      </c>
      <c r="D17" s="50" t="s">
        <v>1267</v>
      </c>
      <c r="E17" s="95">
        <v>45441</v>
      </c>
      <c r="F17" s="50">
        <v>1</v>
      </c>
      <c r="G17" s="50" cm="1">
        <f t="array" ref="G17" ca="1">SUMPRODUCT(--(ISNUMBER((SEARCH(I23:AC23,I17:AC17)))))/COUNTA(I17:AC17)</f>
        <v>0</v>
      </c>
      <c r="H17" s="98" t="s">
        <v>970</v>
      </c>
      <c r="I17" s="50" t="s">
        <v>995</v>
      </c>
      <c r="J17" s="50" t="s">
        <v>995</v>
      </c>
      <c r="K17" s="50" t="s">
        <v>995</v>
      </c>
      <c r="L17" s="50" t="s">
        <v>995</v>
      </c>
      <c r="M17" s="50" t="s">
        <v>995</v>
      </c>
      <c r="N17" s="50" t="s">
        <v>995</v>
      </c>
      <c r="O17" s="50" t="s">
        <v>995</v>
      </c>
      <c r="P17" s="50" t="s">
        <v>995</v>
      </c>
      <c r="Q17" s="50" t="s">
        <v>995</v>
      </c>
      <c r="R17" s="50" t="s">
        <v>995</v>
      </c>
      <c r="S17" s="50" t="s">
        <v>995</v>
      </c>
      <c r="T17" s="50" t="s">
        <v>995</v>
      </c>
      <c r="U17" s="50" t="s">
        <v>995</v>
      </c>
      <c r="V17" s="50" t="s">
        <v>1268</v>
      </c>
      <c r="W17" s="50" t="s">
        <v>995</v>
      </c>
      <c r="X17" s="50" t="s">
        <v>1268</v>
      </c>
      <c r="Y17" s="50" t="s">
        <v>995</v>
      </c>
      <c r="Z17" s="50" t="s">
        <v>995</v>
      </c>
      <c r="AA17" s="50" t="s">
        <v>995</v>
      </c>
      <c r="AB17" s="50" t="s">
        <v>995</v>
      </c>
      <c r="AC17" s="50" t="s">
        <v>997</v>
      </c>
    </row>
    <row r="18" spans="2:31">
      <c r="B18" s="50" t="s">
        <v>947</v>
      </c>
      <c r="C18" s="50">
        <v>20</v>
      </c>
      <c r="D18" s="50"/>
      <c r="E18" s="95"/>
      <c r="F18" s="50"/>
      <c r="G18" s="50" t="e" cm="1">
        <f t="array" aca="1" ref="G18" ca="1">SUM(IF(I2:AC2 = I23:AC23, 1, 0))/ COUNTA(I2:AC2)</f>
        <v>#NAME?</v>
      </c>
      <c r="H18" s="98"/>
      <c r="I18" s="50"/>
      <c r="J18" s="50"/>
      <c r="K18" s="50"/>
      <c r="L18" s="50"/>
      <c r="M18" s="50"/>
      <c r="N18" s="50"/>
      <c r="O18" s="50"/>
      <c r="P18" s="50"/>
      <c r="Q18" s="50"/>
      <c r="R18" s="50"/>
      <c r="S18" s="50"/>
      <c r="T18" s="50"/>
      <c r="U18" s="50"/>
      <c r="V18" s="50"/>
      <c r="W18" s="50"/>
      <c r="X18" s="50"/>
      <c r="Y18" s="50"/>
      <c r="Z18" s="50"/>
      <c r="AA18" s="50"/>
      <c r="AB18" s="50"/>
      <c r="AC18" s="50"/>
    </row>
    <row r="19" spans="2:31">
      <c r="B19" s="50" t="s">
        <v>950</v>
      </c>
      <c r="C19" s="50">
        <v>21</v>
      </c>
      <c r="D19" s="50"/>
      <c r="E19" s="95"/>
      <c r="F19" s="50"/>
      <c r="G19" s="50" t="e" cm="1">
        <f t="array" aca="1" ref="G19" ca="1">SUM(IF(IF(G3:G18="null",1,G3:G18)=1,1,0))/COUNT(IF(G3:G18="null",1,1))</f>
        <v>#NAME?</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95"/>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40" t="s">
        <v>1067</v>
      </c>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c r="AA22" s="132"/>
      <c r="AB22" s="132"/>
      <c r="AC22" s="132"/>
      <c r="AD22" s="142"/>
      <c r="AE22" s="142"/>
    </row>
    <row r="23" spans="2:31">
      <c r="B23" s="149" t="s">
        <v>953</v>
      </c>
      <c r="C23" s="131" t="s">
        <v>954</v>
      </c>
      <c r="D23" s="131" t="s">
        <v>955</v>
      </c>
      <c r="E23" s="131" t="s">
        <v>956</v>
      </c>
      <c r="F23" s="131" t="s">
        <v>957</v>
      </c>
      <c r="G23" s="131" t="s">
        <v>958</v>
      </c>
      <c r="H23" s="131" t="s">
        <v>959</v>
      </c>
      <c r="I23" s="131" t="e" cm="1">
        <f t="array" aca="1" ref="I23:AC23" ca="1">TRANSPOSE(_xlfn.SORTBY(_xlfn._xlws.FILTER(Table3[NOME FÍSICO CAMPO],Table3[NOME FÍSICO TABELA]="bank_vault"), _xlfn._xlws.FILTER(Table3[ORDEM], Table3[NOME FÍSICO TABELA]="bank_vault"), 1))</f>
        <v>#NAME?</v>
      </c>
      <c r="J23" s="131" t="e">
        <f ca="1"/>
        <v>#NAME?</v>
      </c>
      <c r="K23" s="131" t="e">
        <f ca="1"/>
        <v>#NAME?</v>
      </c>
      <c r="L23" s="131" t="e">
        <f ca="1"/>
        <v>#NAME?</v>
      </c>
      <c r="M23" s="131" t="e">
        <f ca="1"/>
        <v>#NAME?</v>
      </c>
      <c r="N23" s="131" t="e">
        <f ca="1"/>
        <v>#NAME?</v>
      </c>
      <c r="O23" s="131" t="e">
        <f ca="1"/>
        <v>#NAME?</v>
      </c>
      <c r="P23" s="131" t="e">
        <f ca="1"/>
        <v>#NAME?</v>
      </c>
      <c r="Q23" s="131" t="e">
        <f ca="1"/>
        <v>#NAME?</v>
      </c>
      <c r="R23" s="131" t="e">
        <f ca="1"/>
        <v>#NAME?</v>
      </c>
      <c r="S23" s="131" t="e">
        <f ca="1"/>
        <v>#NAME?</v>
      </c>
      <c r="T23" s="131" t="e">
        <f ca="1"/>
        <v>#NAME?</v>
      </c>
      <c r="U23" s="131" t="e">
        <f ca="1"/>
        <v>#NAME?</v>
      </c>
      <c r="V23" s="131" t="e">
        <f ca="1"/>
        <v>#NAME?</v>
      </c>
      <c r="W23" s="131" t="e">
        <f ca="1"/>
        <v>#NAME?</v>
      </c>
      <c r="X23" s="131" t="e">
        <f ca="1"/>
        <v>#NAME?</v>
      </c>
      <c r="Y23" s="131" t="e">
        <f ca="1"/>
        <v>#NAME?</v>
      </c>
      <c r="Z23" s="131" t="e">
        <f ca="1"/>
        <v>#NAME?</v>
      </c>
      <c r="AA23" s="131" t="e">
        <f ca="1"/>
        <v>#NAME?</v>
      </c>
      <c r="AB23" s="131" t="e">
        <f ca="1"/>
        <v>#NAME?</v>
      </c>
      <c r="AC23" s="131" t="e">
        <f ca="1"/>
        <v>#NAME?</v>
      </c>
      <c r="AD23" s="205"/>
      <c r="AE23" s="216"/>
    </row>
    <row r="24" spans="2:31">
      <c r="B24" s="115" t="s">
        <v>998</v>
      </c>
      <c r="C24" s="143">
        <v>21</v>
      </c>
      <c r="D24" s="112" t="s">
        <v>999</v>
      </c>
      <c r="E24" s="111" t="s">
        <v>1000</v>
      </c>
      <c r="F24" s="111" t="s">
        <v>206</v>
      </c>
      <c r="G24" s="111" t="s">
        <v>206</v>
      </c>
      <c r="H24" s="111" t="s">
        <v>206</v>
      </c>
      <c r="I24" s="111" t="e" cm="1">
        <f t="array" aca="1" ref="I24:AC25" ca="1">TRANSPOSE(_xlfn.SORTBY(_xlfn._xlws.FILTER(IF(Table3[FORMATO]:Table3[COMP_ CAMPO]&lt;&gt;"",Table3[FORMATO]:Table3[COMP_ CAMPO],9999999),Table3[NOME FÍSICO TABELA]="bank_vault"), _xlfn._xlws.FILTER(Table3[ORDEM], Table3[NOME FÍSICO TABELA]="bank_vault"), 1))</f>
        <v>#NAME?</v>
      </c>
      <c r="J24" s="111" t="e">
        <f ca="1"/>
        <v>#NAME?</v>
      </c>
      <c r="K24" s="111" t="e">
        <f ca="1"/>
        <v>#NAME?</v>
      </c>
      <c r="L24" s="111" t="e">
        <f ca="1"/>
        <v>#NAME?</v>
      </c>
      <c r="M24" s="111" t="e">
        <f ca="1"/>
        <v>#NAME?</v>
      </c>
      <c r="N24" s="111" t="e">
        <f ca="1"/>
        <v>#NAME?</v>
      </c>
      <c r="O24" s="111" t="e">
        <f ca="1"/>
        <v>#NAME?</v>
      </c>
      <c r="P24" s="111" t="e">
        <f ca="1"/>
        <v>#NAME?</v>
      </c>
      <c r="Q24" s="111" t="e">
        <f ca="1"/>
        <v>#NAME?</v>
      </c>
      <c r="R24" s="111" t="e">
        <f ca="1"/>
        <v>#NAME?</v>
      </c>
      <c r="S24" s="111" t="e">
        <f ca="1"/>
        <v>#NAME?</v>
      </c>
      <c r="T24" s="111" t="e">
        <f ca="1"/>
        <v>#NAME?</v>
      </c>
      <c r="U24" s="111" t="e">
        <f ca="1"/>
        <v>#NAME?</v>
      </c>
      <c r="V24" s="111" t="e">
        <f ca="1"/>
        <v>#NAME?</v>
      </c>
      <c r="W24" s="111" t="e">
        <f ca="1"/>
        <v>#NAME?</v>
      </c>
      <c r="X24" s="111" t="e">
        <f ca="1"/>
        <v>#NAME?</v>
      </c>
      <c r="Y24" s="111" t="e">
        <f ca="1"/>
        <v>#NAME?</v>
      </c>
      <c r="Z24" s="111" t="e">
        <f ca="1"/>
        <v>#NAME?</v>
      </c>
      <c r="AA24" s="111" t="e">
        <f ca="1"/>
        <v>#NAME?</v>
      </c>
      <c r="AB24" s="111" t="e">
        <f ca="1"/>
        <v>#NAME?</v>
      </c>
      <c r="AC24" s="111" t="e">
        <f ca="1"/>
        <v>#NAME?</v>
      </c>
      <c r="AD24" s="171"/>
      <c r="AE24" s="217"/>
    </row>
    <row r="25" spans="2:31">
      <c r="B25" s="117" t="s">
        <v>1001</v>
      </c>
      <c r="C25" s="113">
        <v>7</v>
      </c>
      <c r="D25" s="119" t="s">
        <v>999</v>
      </c>
      <c r="E25" s="118" t="s">
        <v>1000</v>
      </c>
      <c r="F25" s="118" t="s">
        <v>206</v>
      </c>
      <c r="G25" s="118" t="s">
        <v>206</v>
      </c>
      <c r="H25" s="118" t="s">
        <v>206</v>
      </c>
      <c r="I25" s="113" t="e">
        <f ca="1"/>
        <v>#NAME?</v>
      </c>
      <c r="J25" s="113" t="e">
        <f ca="1"/>
        <v>#NAME?</v>
      </c>
      <c r="K25" s="113" t="e">
        <f ca="1"/>
        <v>#NAME?</v>
      </c>
      <c r="L25" s="113" t="e">
        <f ca="1"/>
        <v>#NAME?</v>
      </c>
      <c r="M25" s="113" t="e">
        <f ca="1"/>
        <v>#NAME?</v>
      </c>
      <c r="N25" s="113" t="e">
        <f ca="1"/>
        <v>#NAME?</v>
      </c>
      <c r="O25" s="113" t="e">
        <f ca="1"/>
        <v>#NAME?</v>
      </c>
      <c r="P25" s="113" t="e">
        <f ca="1"/>
        <v>#NAME?</v>
      </c>
      <c r="Q25" s="113" t="e">
        <f ca="1"/>
        <v>#NAME?</v>
      </c>
      <c r="R25" s="113" t="e">
        <f ca="1"/>
        <v>#NAME?</v>
      </c>
      <c r="S25" s="113" t="e">
        <f ca="1"/>
        <v>#NAME?</v>
      </c>
      <c r="T25" s="113" t="e">
        <f ca="1"/>
        <v>#NAME?</v>
      </c>
      <c r="U25" s="113" t="e">
        <f ca="1"/>
        <v>#NAME?</v>
      </c>
      <c r="V25" s="113" t="e">
        <f ca="1"/>
        <v>#NAME?</v>
      </c>
      <c r="W25" s="113" t="e">
        <f ca="1"/>
        <v>#NAME?</v>
      </c>
      <c r="X25" s="113" t="e">
        <f ca="1"/>
        <v>#NAME?</v>
      </c>
      <c r="Y25" s="113" t="e">
        <f ca="1"/>
        <v>#NAME?</v>
      </c>
      <c r="Z25" s="113" t="e">
        <f ca="1"/>
        <v>#NAME?</v>
      </c>
      <c r="AA25" s="113" t="e">
        <f ca="1"/>
        <v>#NAME?</v>
      </c>
      <c r="AB25" s="113" t="e">
        <f ca="1"/>
        <v>#NAME?</v>
      </c>
      <c r="AC25" s="113" t="e">
        <f ca="1"/>
        <v>#NAME?</v>
      </c>
      <c r="AD25" s="218"/>
      <c r="AE25" s="50"/>
    </row>
    <row r="27" spans="2:31">
      <c r="B27" s="140" t="s">
        <v>1002</v>
      </c>
    </row>
    <row r="28" spans="2:31">
      <c r="B28" s="134" t="s">
        <v>1003</v>
      </c>
      <c r="C28" s="134" t="s">
        <v>1004</v>
      </c>
      <c r="D28" s="135" t="s">
        <v>1005</v>
      </c>
      <c r="E28" s="134" t="s">
        <v>1006</v>
      </c>
      <c r="F28" s="134" t="s">
        <v>1007</v>
      </c>
    </row>
    <row r="29" spans="2:31" ht="43.5">
      <c r="B29" s="111" t="s">
        <v>1068</v>
      </c>
      <c r="C29" s="115" t="s">
        <v>231</v>
      </c>
      <c r="D29" s="53" t="s">
        <v>1269</v>
      </c>
      <c r="E29" s="136" t="s">
        <v>1270</v>
      </c>
      <c r="F29" s="136" t="s">
        <v>1014</v>
      </c>
    </row>
    <row r="30" spans="2:31" ht="43.5">
      <c r="B30" s="111" t="s">
        <v>1068</v>
      </c>
      <c r="C30" s="115" t="s">
        <v>230</v>
      </c>
      <c r="D30" s="53" t="s">
        <v>1269</v>
      </c>
      <c r="E30" s="136" t="s">
        <v>1270</v>
      </c>
      <c r="F30" s="136"/>
    </row>
    <row r="31" spans="2:31" ht="43.5">
      <c r="B31" s="111" t="s">
        <v>1068</v>
      </c>
      <c r="C31" s="115" t="s">
        <v>1247</v>
      </c>
      <c r="D31" s="53" t="s">
        <v>1271</v>
      </c>
      <c r="E31" s="136" t="s">
        <v>1272</v>
      </c>
      <c r="F31" s="136"/>
    </row>
    <row r="32" spans="2:31" ht="43.5">
      <c r="B32" s="111" t="s">
        <v>1068</v>
      </c>
      <c r="C32" s="115" t="s">
        <v>1273</v>
      </c>
      <c r="D32" s="53" t="s">
        <v>1271</v>
      </c>
      <c r="E32" s="136" t="s">
        <v>1272</v>
      </c>
      <c r="F32" s="136" t="s">
        <v>1014</v>
      </c>
    </row>
    <row r="33" spans="2:6" ht="29">
      <c r="B33" s="137" t="s">
        <v>1068</v>
      </c>
      <c r="C33" s="138" t="s">
        <v>121</v>
      </c>
      <c r="D33" s="139" t="s">
        <v>1274</v>
      </c>
      <c r="E33" s="188" t="s">
        <v>1275</v>
      </c>
      <c r="F33" s="136" t="s">
        <v>1014</v>
      </c>
    </row>
    <row r="34" spans="2:6" ht="29">
      <c r="B34" s="137" t="s">
        <v>1068</v>
      </c>
      <c r="C34" s="138" t="s">
        <v>127</v>
      </c>
      <c r="D34" s="139" t="s">
        <v>1274</v>
      </c>
      <c r="E34" s="188" t="s">
        <v>1275</v>
      </c>
      <c r="F34" s="136" t="s">
        <v>1014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W30"/>
  <sheetViews>
    <sheetView showGridLines="0" workbookViewId="0">
      <selection activeCell="H6" sqref="H6:H7"/>
    </sheetView>
  </sheetViews>
  <sheetFormatPr defaultRowHeight="14.5"/>
  <cols>
    <col min="2" max="2" width="30.7265625" bestFit="1" customWidth="1"/>
    <col min="3" max="3" width="35.54296875" customWidth="1"/>
    <col min="4" max="4" width="43.7265625" customWidth="1"/>
    <col min="5" max="5" width="30.453125" bestFit="1" customWidth="1"/>
    <col min="6" max="6" width="23.54296875" customWidth="1"/>
    <col min="7" max="7" width="23.1796875" customWidth="1"/>
    <col min="8" max="8" width="16.453125" bestFit="1" customWidth="1"/>
    <col min="9" max="9" width="18.453125" bestFit="1" customWidth="1"/>
    <col min="10" max="10" width="31.1796875" bestFit="1" customWidth="1"/>
    <col min="11"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8.5" customHeight="1"/>
    <row r="2" spans="2:23">
      <c r="B2" s="76" t="s">
        <v>953</v>
      </c>
      <c r="C2" s="76" t="s">
        <v>954</v>
      </c>
      <c r="D2" s="76" t="s">
        <v>955</v>
      </c>
      <c r="E2" s="76" t="s">
        <v>956</v>
      </c>
      <c r="F2" s="76" t="s">
        <v>957</v>
      </c>
      <c r="G2" s="76" t="s">
        <v>958</v>
      </c>
      <c r="H2" s="76" t="s">
        <v>959</v>
      </c>
      <c r="I2" s="76" t="s">
        <v>102</v>
      </c>
      <c r="J2" s="76" t="s">
        <v>282</v>
      </c>
      <c r="K2" s="76" t="s">
        <v>116</v>
      </c>
      <c r="L2" s="76" t="s">
        <v>121</v>
      </c>
      <c r="M2" s="76" t="s">
        <v>127</v>
      </c>
      <c r="N2" s="76" t="s">
        <v>132</v>
      </c>
      <c r="O2" s="76" t="s">
        <v>135</v>
      </c>
      <c r="P2" s="76" t="s">
        <v>138</v>
      </c>
      <c r="Q2" s="76" t="s">
        <v>144</v>
      </c>
      <c r="R2" s="76" t="s">
        <v>149</v>
      </c>
      <c r="S2" s="76" t="s">
        <v>319</v>
      </c>
      <c r="T2" s="76" t="s">
        <v>480</v>
      </c>
      <c r="U2" s="76" t="s">
        <v>487</v>
      </c>
      <c r="V2" s="76" t="s">
        <v>208</v>
      </c>
      <c r="W2" s="76" t="s">
        <v>213</v>
      </c>
    </row>
    <row r="3" spans="2:23">
      <c r="B3" s="50" t="s">
        <v>907</v>
      </c>
      <c r="C3" s="50">
        <v>1</v>
      </c>
      <c r="D3" s="50" t="s">
        <v>1276</v>
      </c>
      <c r="E3" s="95">
        <v>45439</v>
      </c>
      <c r="F3" s="50">
        <v>1</v>
      </c>
      <c r="G3" s="192">
        <v>1</v>
      </c>
      <c r="H3" s="190" t="s">
        <v>1277</v>
      </c>
      <c r="I3" s="50" t="s">
        <v>961</v>
      </c>
      <c r="J3" s="50" t="s">
        <v>961</v>
      </c>
      <c r="K3" s="50" t="s">
        <v>961</v>
      </c>
      <c r="L3" s="50" t="s">
        <v>961</v>
      </c>
      <c r="M3" s="50" t="s">
        <v>961</v>
      </c>
      <c r="N3" s="50" t="s">
        <v>961</v>
      </c>
      <c r="O3" s="50" t="s">
        <v>961</v>
      </c>
      <c r="P3" s="50" t="s">
        <v>961</v>
      </c>
      <c r="Q3" s="50" t="s">
        <v>961</v>
      </c>
      <c r="R3" s="50" t="s">
        <v>961</v>
      </c>
      <c r="S3" s="50" t="s">
        <v>961</v>
      </c>
      <c r="T3" s="50" t="s">
        <v>961</v>
      </c>
      <c r="U3" s="50" t="s">
        <v>961</v>
      </c>
      <c r="V3" s="50" t="s">
        <v>961</v>
      </c>
      <c r="W3" s="50" t="s">
        <v>961</v>
      </c>
    </row>
    <row r="4" spans="2:23">
      <c r="B4" s="50" t="s">
        <v>909</v>
      </c>
      <c r="C4" s="50">
        <v>2</v>
      </c>
      <c r="D4" s="50" t="s">
        <v>1278</v>
      </c>
      <c r="E4" s="95">
        <v>45439</v>
      </c>
      <c r="F4" s="50">
        <v>1</v>
      </c>
      <c r="G4" s="192">
        <v>1</v>
      </c>
      <c r="H4" s="50">
        <v>0</v>
      </c>
      <c r="I4" s="50" t="s">
        <v>961</v>
      </c>
      <c r="J4" s="50" t="s">
        <v>961</v>
      </c>
      <c r="K4" s="50" t="s">
        <v>961</v>
      </c>
      <c r="L4" s="50" t="s">
        <v>961</v>
      </c>
      <c r="M4" s="50" t="s">
        <v>961</v>
      </c>
      <c r="N4" s="50" t="s">
        <v>961</v>
      </c>
      <c r="O4" s="50" t="s">
        <v>961</v>
      </c>
      <c r="P4" s="50" t="s">
        <v>961</v>
      </c>
      <c r="Q4" s="50" t="s">
        <v>961</v>
      </c>
      <c r="R4" s="50" t="s">
        <v>961</v>
      </c>
      <c r="S4" s="50" t="s">
        <v>961</v>
      </c>
      <c r="T4" s="50" t="s">
        <v>961</v>
      </c>
      <c r="U4" s="50" t="s">
        <v>961</v>
      </c>
      <c r="V4" s="50" t="s">
        <v>961</v>
      </c>
      <c r="W4" s="50" t="s">
        <v>961</v>
      </c>
    </row>
    <row r="5" spans="2:23">
      <c r="B5" s="50" t="s">
        <v>911</v>
      </c>
      <c r="C5" s="50">
        <v>3</v>
      </c>
      <c r="D5" s="50" t="s">
        <v>1279</v>
      </c>
      <c r="E5" s="95">
        <v>45439</v>
      </c>
      <c r="F5" s="50">
        <v>1</v>
      </c>
      <c r="G5" s="192">
        <v>1</v>
      </c>
      <c r="H5" s="50">
        <v>0</v>
      </c>
      <c r="I5" s="50">
        <v>0</v>
      </c>
      <c r="J5" s="50">
        <v>0</v>
      </c>
      <c r="K5" s="50" t="s">
        <v>961</v>
      </c>
      <c r="L5" s="50" t="s">
        <v>961</v>
      </c>
      <c r="M5" s="50" t="s">
        <v>961</v>
      </c>
      <c r="N5" s="50" t="s">
        <v>961</v>
      </c>
      <c r="O5" s="50" t="s">
        <v>961</v>
      </c>
      <c r="P5" s="50" t="s">
        <v>961</v>
      </c>
      <c r="Q5" s="50" t="s">
        <v>961</v>
      </c>
      <c r="R5" s="50" t="s">
        <v>961</v>
      </c>
      <c r="S5" s="50" t="s">
        <v>961</v>
      </c>
      <c r="T5" s="50" t="s">
        <v>961</v>
      </c>
      <c r="U5" s="50" t="s">
        <v>961</v>
      </c>
      <c r="V5" s="50">
        <v>0</v>
      </c>
      <c r="W5" s="50" t="s">
        <v>961</v>
      </c>
    </row>
    <row r="6" spans="2:23">
      <c r="B6" s="97" t="s">
        <v>913</v>
      </c>
      <c r="C6" s="50">
        <v>4</v>
      </c>
      <c r="D6" s="50" t="s">
        <v>1279</v>
      </c>
      <c r="E6" s="95" t="s">
        <v>961</v>
      </c>
      <c r="F6" s="50">
        <v>1</v>
      </c>
      <c r="G6" s="192" t="s">
        <v>961</v>
      </c>
      <c r="H6" s="50">
        <v>0</v>
      </c>
      <c r="I6" s="50" t="s">
        <v>961</v>
      </c>
      <c r="J6" s="50" t="s">
        <v>961</v>
      </c>
      <c r="K6" s="50" t="s">
        <v>961</v>
      </c>
      <c r="L6" s="50" t="s">
        <v>961</v>
      </c>
      <c r="M6" s="50" t="s">
        <v>961</v>
      </c>
      <c r="N6" s="50" t="s">
        <v>961</v>
      </c>
      <c r="O6" s="50" t="s">
        <v>961</v>
      </c>
      <c r="P6" s="50" t="s">
        <v>961</v>
      </c>
      <c r="Q6" s="50" t="s">
        <v>961</v>
      </c>
      <c r="R6" s="50" t="s">
        <v>961</v>
      </c>
      <c r="S6" s="50" t="s">
        <v>961</v>
      </c>
      <c r="T6" s="50" t="s">
        <v>961</v>
      </c>
      <c r="U6" s="50" t="s">
        <v>961</v>
      </c>
      <c r="V6" s="50" t="s">
        <v>961</v>
      </c>
      <c r="W6" s="50" t="s">
        <v>961</v>
      </c>
    </row>
    <row r="7" spans="2:23">
      <c r="B7" s="50" t="s">
        <v>915</v>
      </c>
      <c r="C7" s="50">
        <v>5</v>
      </c>
      <c r="D7" s="50" t="s">
        <v>1279</v>
      </c>
      <c r="E7" s="95" t="s">
        <v>961</v>
      </c>
      <c r="F7" s="50">
        <v>1</v>
      </c>
      <c r="G7" s="192" t="s">
        <v>961</v>
      </c>
      <c r="H7" s="50">
        <v>0</v>
      </c>
      <c r="I7" s="50" t="s">
        <v>961</v>
      </c>
      <c r="J7" s="50" t="s">
        <v>961</v>
      </c>
      <c r="K7" s="50" t="s">
        <v>961</v>
      </c>
      <c r="L7" s="50" t="s">
        <v>961</v>
      </c>
      <c r="M7" s="50" t="s">
        <v>961</v>
      </c>
      <c r="N7" s="50" t="s">
        <v>961</v>
      </c>
      <c r="O7" s="50" t="s">
        <v>961</v>
      </c>
      <c r="P7" s="50" t="s">
        <v>961</v>
      </c>
      <c r="Q7" s="50" t="s">
        <v>961</v>
      </c>
      <c r="R7" s="50" t="s">
        <v>961</v>
      </c>
      <c r="S7" s="50" t="s">
        <v>961</v>
      </c>
      <c r="T7" s="50" t="s">
        <v>961</v>
      </c>
      <c r="U7" s="50" t="s">
        <v>961</v>
      </c>
      <c r="V7" s="50" t="s">
        <v>961</v>
      </c>
      <c r="W7" s="50" t="s">
        <v>961</v>
      </c>
    </row>
    <row r="8" spans="2:23">
      <c r="B8" s="97" t="s">
        <v>916</v>
      </c>
      <c r="C8" s="50">
        <v>6</v>
      </c>
      <c r="D8" s="50" t="s">
        <v>1280</v>
      </c>
      <c r="E8" s="95">
        <v>45439</v>
      </c>
      <c r="F8" s="50">
        <v>1</v>
      </c>
      <c r="G8" s="19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919</v>
      </c>
      <c r="C9" s="50">
        <v>7</v>
      </c>
      <c r="D9" s="50" t="s">
        <v>1281</v>
      </c>
      <c r="E9" s="95">
        <v>45439</v>
      </c>
      <c r="F9" s="50">
        <v>1</v>
      </c>
      <c r="G9" s="192" t="e" cm="1">
        <f t="array" aca="1" ref="G9" ca="1">SUMPRODUCT(--(I9:W9&lt;=I26:W26))/COUNTA(I26:W26)</f>
        <v>#NAME?</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922</v>
      </c>
      <c r="C10" s="50">
        <v>8</v>
      </c>
      <c r="D10" s="50" t="s">
        <v>1282</v>
      </c>
      <c r="E10" s="95">
        <v>45439</v>
      </c>
      <c r="F10" s="50">
        <v>1</v>
      </c>
      <c r="G10" s="192" t="s">
        <v>961</v>
      </c>
      <c r="H10" s="50">
        <v>0</v>
      </c>
      <c r="I10" s="50">
        <v>31</v>
      </c>
      <c r="J10" s="184">
        <v>300001496092</v>
      </c>
      <c r="K10" s="50" t="s">
        <v>1039</v>
      </c>
      <c r="L10" s="50">
        <v>90</v>
      </c>
      <c r="M10" s="50">
        <v>1</v>
      </c>
      <c r="N10" s="50">
        <v>31</v>
      </c>
      <c r="O10" s="50">
        <v>2.0461000999999998E+22</v>
      </c>
      <c r="P10" s="95" t="s">
        <v>969</v>
      </c>
      <c r="Q10" s="95">
        <v>2958465</v>
      </c>
      <c r="R10" s="50">
        <v>978</v>
      </c>
      <c r="S10" s="98">
        <v>-25991130000</v>
      </c>
      <c r="T10" s="50" t="s">
        <v>1039</v>
      </c>
      <c r="U10" s="50" t="s">
        <v>972</v>
      </c>
      <c r="V10" s="95">
        <v>45439</v>
      </c>
      <c r="W10" s="50" t="s">
        <v>1283</v>
      </c>
    </row>
    <row r="11" spans="2:23">
      <c r="B11" s="50" t="s">
        <v>924</v>
      </c>
      <c r="C11" s="50">
        <v>9</v>
      </c>
      <c r="D11" s="50" t="s">
        <v>1284</v>
      </c>
      <c r="E11" s="95">
        <v>45439</v>
      </c>
      <c r="F11" s="50">
        <v>1</v>
      </c>
      <c r="G11" s="192" t="s">
        <v>961</v>
      </c>
      <c r="H11" s="50">
        <v>0</v>
      </c>
      <c r="I11" s="50">
        <v>31</v>
      </c>
      <c r="J11" s="184">
        <v>300001496092</v>
      </c>
      <c r="K11" s="50"/>
      <c r="L11" s="50">
        <v>90</v>
      </c>
      <c r="M11" s="50">
        <v>1</v>
      </c>
      <c r="N11" s="50"/>
      <c r="O11" s="50">
        <v>2.0461000999999998E+22</v>
      </c>
      <c r="P11" s="50" t="s">
        <v>969</v>
      </c>
      <c r="Q11" s="95">
        <v>2958465</v>
      </c>
      <c r="R11" s="50">
        <v>978</v>
      </c>
      <c r="S11" s="98" t="s">
        <v>1285</v>
      </c>
      <c r="T11" s="50">
        <v>0</v>
      </c>
      <c r="U11" s="50" t="s">
        <v>976</v>
      </c>
      <c r="V11" s="95">
        <v>45439</v>
      </c>
      <c r="W11" s="50" t="s">
        <v>1286</v>
      </c>
    </row>
    <row r="12" spans="2:23">
      <c r="B12" s="97" t="s">
        <v>926</v>
      </c>
      <c r="C12" s="50">
        <v>10</v>
      </c>
      <c r="D12" s="50" t="s">
        <v>1287</v>
      </c>
      <c r="E12" s="95">
        <v>45439</v>
      </c>
      <c r="F12" s="50">
        <v>1</v>
      </c>
      <c r="G12" s="192" t="s">
        <v>961</v>
      </c>
      <c r="H12" s="50">
        <v>0</v>
      </c>
      <c r="I12" s="50">
        <v>31</v>
      </c>
      <c r="J12" s="184">
        <v>689000000023092</v>
      </c>
      <c r="K12" s="50" t="s">
        <v>1039</v>
      </c>
      <c r="L12" s="50">
        <v>92</v>
      </c>
      <c r="M12" s="50" t="s">
        <v>1051</v>
      </c>
      <c r="N12" s="50">
        <v>31</v>
      </c>
      <c r="O12" s="50">
        <v>2.3970029463101999E+29</v>
      </c>
      <c r="P12" s="95">
        <v>45439</v>
      </c>
      <c r="Q12" s="95">
        <v>2958465</v>
      </c>
      <c r="R12" s="50">
        <v>978</v>
      </c>
      <c r="S12" s="98">
        <v>5423613370000</v>
      </c>
      <c r="T12" s="50" t="s">
        <v>1039</v>
      </c>
      <c r="U12" s="50" t="s">
        <v>972</v>
      </c>
      <c r="V12" s="95">
        <v>45439</v>
      </c>
      <c r="W12" s="50" t="s">
        <v>1283</v>
      </c>
    </row>
    <row r="13" spans="2:23">
      <c r="B13" s="50" t="s">
        <v>928</v>
      </c>
      <c r="C13" s="50">
        <v>11</v>
      </c>
      <c r="D13" s="50" t="s">
        <v>1288</v>
      </c>
      <c r="E13" s="95">
        <v>45439</v>
      </c>
      <c r="F13" s="50">
        <v>1</v>
      </c>
      <c r="G13" s="192" t="s">
        <v>961</v>
      </c>
      <c r="H13" s="50">
        <v>0</v>
      </c>
      <c r="I13" s="50">
        <v>31</v>
      </c>
      <c r="J13" s="184">
        <v>689000000023092</v>
      </c>
      <c r="K13" s="50"/>
      <c r="L13" s="50">
        <v>92</v>
      </c>
      <c r="M13" s="50" t="s">
        <v>1051</v>
      </c>
      <c r="N13" s="50"/>
      <c r="O13" s="50">
        <v>2.3970029463101999E+29</v>
      </c>
      <c r="P13" s="95">
        <v>45439</v>
      </c>
      <c r="Q13" s="95">
        <v>2958465</v>
      </c>
      <c r="R13" s="50">
        <v>978</v>
      </c>
      <c r="S13" s="98" t="s">
        <v>1289</v>
      </c>
      <c r="T13" s="50">
        <v>0</v>
      </c>
      <c r="U13" s="50" t="s">
        <v>976</v>
      </c>
      <c r="V13" s="95">
        <v>45439</v>
      </c>
      <c r="W13" s="50" t="s">
        <v>1290</v>
      </c>
    </row>
    <row r="14" spans="2:23">
      <c r="B14" s="50" t="s">
        <v>930</v>
      </c>
      <c r="C14" s="50">
        <v>12</v>
      </c>
      <c r="D14" s="50" t="s">
        <v>1291</v>
      </c>
      <c r="E14" s="95">
        <v>45439</v>
      </c>
      <c r="F14" s="50">
        <v>1</v>
      </c>
      <c r="G14" s="19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932</v>
      </c>
      <c r="C15" s="50">
        <v>13</v>
      </c>
      <c r="D15" s="50" t="s">
        <v>1292</v>
      </c>
      <c r="E15" s="95">
        <v>45439</v>
      </c>
      <c r="F15" s="50">
        <v>1</v>
      </c>
      <c r="G15" s="192">
        <v>1</v>
      </c>
      <c r="H15" s="50">
        <v>0</v>
      </c>
      <c r="I15" s="50" t="s">
        <v>961</v>
      </c>
      <c r="J15" s="50" t="s">
        <v>961</v>
      </c>
      <c r="K15" s="50" t="s">
        <v>961</v>
      </c>
      <c r="L15" s="50" t="s">
        <v>961</v>
      </c>
      <c r="M15" s="50" t="s">
        <v>961</v>
      </c>
      <c r="N15" s="50" t="s">
        <v>961</v>
      </c>
      <c r="O15" s="50" t="s">
        <v>961</v>
      </c>
      <c r="P15" s="50">
        <v>0</v>
      </c>
      <c r="Q15" s="50">
        <v>0</v>
      </c>
      <c r="R15" s="50" t="s">
        <v>961</v>
      </c>
      <c r="S15" s="50" t="s">
        <v>961</v>
      </c>
      <c r="T15" s="50" t="s">
        <v>961</v>
      </c>
      <c r="U15" s="50" t="s">
        <v>961</v>
      </c>
      <c r="V15" s="50" t="s">
        <v>961</v>
      </c>
      <c r="W15" s="50" t="s">
        <v>961</v>
      </c>
    </row>
    <row r="16" spans="2:23">
      <c r="B16" s="50" t="s">
        <v>934</v>
      </c>
      <c r="C16" s="50">
        <v>14</v>
      </c>
      <c r="D16" s="50" t="s">
        <v>1293</v>
      </c>
      <c r="E16" s="95">
        <v>45439</v>
      </c>
      <c r="F16" s="50">
        <v>1</v>
      </c>
      <c r="G16" s="192">
        <v>1</v>
      </c>
      <c r="H16" s="50">
        <v>0</v>
      </c>
      <c r="I16" s="50">
        <v>0</v>
      </c>
      <c r="J16" s="50">
        <v>0</v>
      </c>
      <c r="K16" s="50">
        <v>0</v>
      </c>
      <c r="L16" s="50">
        <v>0</v>
      </c>
      <c r="M16" s="50">
        <v>0</v>
      </c>
      <c r="N16" s="50">
        <v>0</v>
      </c>
      <c r="O16" s="50">
        <v>0</v>
      </c>
      <c r="P16" s="50" t="s">
        <v>961</v>
      </c>
      <c r="Q16" s="50" t="s">
        <v>961</v>
      </c>
      <c r="R16" s="50">
        <v>0</v>
      </c>
      <c r="S16" s="50" t="s">
        <v>961</v>
      </c>
      <c r="T16" s="50">
        <v>0</v>
      </c>
      <c r="U16" s="50">
        <v>0</v>
      </c>
      <c r="V16" s="50" t="s">
        <v>961</v>
      </c>
      <c r="W16" s="50" t="s">
        <v>961</v>
      </c>
    </row>
    <row r="17" spans="2:23">
      <c r="B17" s="50" t="s">
        <v>936</v>
      </c>
      <c r="C17" s="50">
        <v>15</v>
      </c>
      <c r="D17" s="50" t="s">
        <v>1294</v>
      </c>
      <c r="E17" s="95">
        <v>45439</v>
      </c>
      <c r="F17" s="50">
        <v>1</v>
      </c>
      <c r="G17" s="192">
        <v>1</v>
      </c>
      <c r="H17" s="50">
        <v>0</v>
      </c>
      <c r="I17" s="50" t="s">
        <v>961</v>
      </c>
      <c r="J17" s="50" t="s">
        <v>961</v>
      </c>
      <c r="K17" s="50" t="s">
        <v>961</v>
      </c>
      <c r="L17" s="50" t="s">
        <v>961</v>
      </c>
      <c r="M17" s="50" t="s">
        <v>961</v>
      </c>
      <c r="N17" s="50" t="s">
        <v>961</v>
      </c>
      <c r="O17" s="50" t="s">
        <v>961</v>
      </c>
      <c r="P17" s="50" t="s">
        <v>961</v>
      </c>
      <c r="Q17" s="50" t="s">
        <v>961</v>
      </c>
      <c r="R17" s="50" t="s">
        <v>961</v>
      </c>
      <c r="S17" s="50" t="s">
        <v>961</v>
      </c>
      <c r="T17" s="50" t="s">
        <v>961</v>
      </c>
      <c r="U17" s="50" t="s">
        <v>961</v>
      </c>
      <c r="V17" s="50" t="s">
        <v>961</v>
      </c>
      <c r="W17" s="50" t="s">
        <v>961</v>
      </c>
    </row>
    <row r="18" spans="2:23">
      <c r="B18" s="50" t="s">
        <v>938</v>
      </c>
      <c r="C18" s="50">
        <v>16</v>
      </c>
      <c r="D18" s="50" t="s">
        <v>1294</v>
      </c>
      <c r="E18" s="95">
        <v>45439</v>
      </c>
      <c r="F18" s="50">
        <v>1</v>
      </c>
      <c r="G18" s="192">
        <v>1</v>
      </c>
      <c r="H18" s="50">
        <v>0</v>
      </c>
      <c r="I18" s="50" t="s">
        <v>961</v>
      </c>
      <c r="J18" s="50" t="s">
        <v>961</v>
      </c>
      <c r="K18" s="50" t="s">
        <v>961</v>
      </c>
      <c r="L18" s="50" t="s">
        <v>961</v>
      </c>
      <c r="M18" s="50" t="s">
        <v>961</v>
      </c>
      <c r="N18" s="50" t="s">
        <v>961</v>
      </c>
      <c r="O18" s="50" t="s">
        <v>961</v>
      </c>
      <c r="P18" s="50" t="s">
        <v>961</v>
      </c>
      <c r="Q18" s="50" t="s">
        <v>961</v>
      </c>
      <c r="R18" s="50" t="s">
        <v>961</v>
      </c>
      <c r="S18" s="50" t="s">
        <v>961</v>
      </c>
      <c r="T18" s="50" t="s">
        <v>961</v>
      </c>
      <c r="U18" s="50" t="s">
        <v>961</v>
      </c>
      <c r="V18" s="50" t="s">
        <v>961</v>
      </c>
      <c r="W18" s="50" t="s">
        <v>961</v>
      </c>
    </row>
    <row r="19" spans="2:23">
      <c r="B19" s="50" t="s">
        <v>944</v>
      </c>
      <c r="C19" s="50">
        <v>19</v>
      </c>
      <c r="D19" s="50" t="s">
        <v>1295</v>
      </c>
      <c r="E19" s="95">
        <v>45439</v>
      </c>
      <c r="F19" s="50">
        <v>1</v>
      </c>
      <c r="G19" s="192" cm="1">
        <f t="array" aca="1" ref="G19" ca="1">SUMPRODUCT(--(ISNUMBER((SEARCH(I25:W25,I19:W19)))))/COUNTA(I19:W19)</f>
        <v>0</v>
      </c>
      <c r="H19" s="50">
        <v>0</v>
      </c>
      <c r="I19" s="50" t="s">
        <v>995</v>
      </c>
      <c r="J19" s="50" t="s">
        <v>995</v>
      </c>
      <c r="K19" s="50" t="s">
        <v>995</v>
      </c>
      <c r="L19" s="50" t="s">
        <v>995</v>
      </c>
      <c r="M19" s="50" t="s">
        <v>995</v>
      </c>
      <c r="N19" s="50" t="s">
        <v>995</v>
      </c>
      <c r="O19" s="50" t="s">
        <v>995</v>
      </c>
      <c r="P19" s="50" t="s">
        <v>995</v>
      </c>
      <c r="Q19" s="50" t="s">
        <v>995</v>
      </c>
      <c r="R19" s="50" t="s">
        <v>995</v>
      </c>
      <c r="S19" s="50" t="s">
        <v>996</v>
      </c>
      <c r="T19" s="50" t="s">
        <v>995</v>
      </c>
      <c r="U19" s="50" t="s">
        <v>995</v>
      </c>
      <c r="V19" s="50" t="s">
        <v>995</v>
      </c>
      <c r="W19" s="50" t="s">
        <v>997</v>
      </c>
    </row>
    <row r="20" spans="2:23">
      <c r="B20" s="50" t="s">
        <v>947</v>
      </c>
      <c r="C20" s="50">
        <v>20</v>
      </c>
      <c r="D20" s="50" t="s">
        <v>1296</v>
      </c>
      <c r="E20" s="95">
        <v>45439</v>
      </c>
      <c r="F20" s="50">
        <v>1</v>
      </c>
      <c r="G20" s="192" t="e" cm="1">
        <f t="array" aca="1" ref="G20" ca="1">SUM(IF(I2:S2 = I24:S24, 1, 0))/ COUNTA(I2:S2)</f>
        <v>#NAME?</v>
      </c>
      <c r="H20" s="50" t="s">
        <v>961</v>
      </c>
      <c r="I20" s="50" t="s">
        <v>961</v>
      </c>
      <c r="J20" s="50" t="s">
        <v>961</v>
      </c>
      <c r="K20" s="50" t="s">
        <v>961</v>
      </c>
      <c r="L20" s="50" t="s">
        <v>961</v>
      </c>
      <c r="M20" s="50" t="s">
        <v>961</v>
      </c>
      <c r="N20" s="50" t="s">
        <v>961</v>
      </c>
      <c r="O20" s="50" t="s">
        <v>961</v>
      </c>
      <c r="P20" s="50" t="s">
        <v>961</v>
      </c>
      <c r="Q20" s="50" t="s">
        <v>961</v>
      </c>
      <c r="R20" s="50" t="s">
        <v>961</v>
      </c>
      <c r="S20" s="50" t="s">
        <v>961</v>
      </c>
      <c r="T20" s="50" t="s">
        <v>961</v>
      </c>
      <c r="U20" s="50" t="s">
        <v>961</v>
      </c>
      <c r="V20" s="50" t="s">
        <v>961</v>
      </c>
      <c r="W20" s="50" t="s">
        <v>961</v>
      </c>
    </row>
    <row r="21" spans="2:23">
      <c r="B21" s="50" t="s">
        <v>950</v>
      </c>
      <c r="C21" s="50">
        <v>21</v>
      </c>
      <c r="D21" s="50" t="s">
        <v>1296</v>
      </c>
      <c r="E21" s="95">
        <v>45439</v>
      </c>
      <c r="F21" s="50">
        <v>1</v>
      </c>
      <c r="G21" s="192" t="e" cm="1">
        <f t="array" aca="1" ref="G21" ca="1">SUM(IF(IF(G3:G20="null",1,G3:G20)=1,1,0))/COUNT(IF(G3:G20="null",1,1))</f>
        <v>#NAME?</v>
      </c>
      <c r="H21" s="50" t="s">
        <v>961</v>
      </c>
      <c r="I21" s="50" t="s">
        <v>961</v>
      </c>
      <c r="J21" s="50" t="s">
        <v>961</v>
      </c>
      <c r="K21" s="50" t="s">
        <v>961</v>
      </c>
      <c r="L21" s="50" t="s">
        <v>961</v>
      </c>
      <c r="M21" s="50" t="s">
        <v>961</v>
      </c>
      <c r="N21" s="50" t="s">
        <v>961</v>
      </c>
      <c r="O21" s="50" t="s">
        <v>961</v>
      </c>
      <c r="P21" s="50" t="s">
        <v>961</v>
      </c>
      <c r="Q21" s="50" t="s">
        <v>961</v>
      </c>
      <c r="R21" s="50" t="s">
        <v>961</v>
      </c>
      <c r="S21" s="50" t="s">
        <v>961</v>
      </c>
      <c r="T21" s="50" t="s">
        <v>961</v>
      </c>
      <c r="U21" s="50" t="s">
        <v>961</v>
      </c>
      <c r="V21" s="50" t="s">
        <v>961</v>
      </c>
      <c r="W21" s="50" t="s">
        <v>961</v>
      </c>
    </row>
    <row r="22" spans="2:23">
      <c r="B22" s="50"/>
      <c r="C22" s="50"/>
      <c r="D22" s="50"/>
      <c r="E22" s="95"/>
      <c r="F22" s="50"/>
      <c r="G22" s="50"/>
      <c r="H22" s="50"/>
      <c r="I22" s="50"/>
      <c r="J22" s="50"/>
      <c r="K22" s="50"/>
      <c r="L22" s="50"/>
      <c r="M22" s="50"/>
      <c r="N22" s="50"/>
      <c r="O22" s="50"/>
      <c r="P22" s="50"/>
      <c r="Q22" s="50"/>
      <c r="R22" s="50"/>
      <c r="S22" s="50"/>
      <c r="T22" s="50"/>
      <c r="U22" s="50"/>
      <c r="V22" s="50"/>
      <c r="W22" s="50"/>
    </row>
    <row r="23" spans="2:23">
      <c r="B23" s="141" t="s">
        <v>1067</v>
      </c>
      <c r="C23" s="142"/>
      <c r="D23" s="142"/>
      <c r="E23" s="142"/>
      <c r="F23" s="142"/>
      <c r="G23" s="142"/>
      <c r="H23" s="142"/>
    </row>
    <row r="24" spans="2:23">
      <c r="B24" s="128" t="s">
        <v>953</v>
      </c>
      <c r="C24" s="129" t="s">
        <v>954</v>
      </c>
      <c r="D24" s="129" t="s">
        <v>955</v>
      </c>
      <c r="E24" s="129" t="s">
        <v>956</v>
      </c>
      <c r="F24" s="129" t="s">
        <v>957</v>
      </c>
      <c r="G24" s="129" t="s">
        <v>958</v>
      </c>
      <c r="H24" s="129" t="s">
        <v>959</v>
      </c>
      <c r="I24" s="124" t="e" cm="1">
        <f t="array" aca="1" ref="I24:W24" ca="1">TRANSPOSE(_xlfn.SORTBY(_xlfn._xlws.FILTER(Table3[NOME FÍSICO CAMPO],Table3[NOME FÍSICO TABELA]="bills_promissory_notes_process"), _xlfn._xlws.FILTER(Table3[ORDEM], Table3[NOME FÍSICO TABELA]="bills_promissory_notes_process"), 1))</f>
        <v>#NAME?</v>
      </c>
      <c r="J24" s="124" t="e">
        <f ca="1"/>
        <v>#NAME?</v>
      </c>
      <c r="K24" s="124" t="e">
        <f ca="1"/>
        <v>#NAME?</v>
      </c>
      <c r="L24" s="124" t="e">
        <f ca="1"/>
        <v>#NAME?</v>
      </c>
      <c r="M24" s="124" t="e">
        <f ca="1"/>
        <v>#NAME?</v>
      </c>
      <c r="N24" s="124" t="e">
        <f ca="1"/>
        <v>#NAME?</v>
      </c>
      <c r="O24" s="124" t="e">
        <f ca="1"/>
        <v>#NAME?</v>
      </c>
      <c r="P24" s="124" t="e">
        <f ca="1"/>
        <v>#NAME?</v>
      </c>
      <c r="Q24" s="124" t="e">
        <f ca="1"/>
        <v>#NAME?</v>
      </c>
      <c r="R24" s="124" t="e">
        <f ca="1"/>
        <v>#NAME?</v>
      </c>
      <c r="S24" s="124" t="e">
        <f ca="1"/>
        <v>#NAME?</v>
      </c>
      <c r="T24" s="124" t="e">
        <f ca="1"/>
        <v>#NAME?</v>
      </c>
      <c r="U24" s="124" t="e">
        <f ca="1"/>
        <v>#NAME?</v>
      </c>
      <c r="V24" s="124" t="e">
        <f ca="1"/>
        <v>#NAME?</v>
      </c>
      <c r="W24" s="125" t="e">
        <f ca="1"/>
        <v>#NAME?</v>
      </c>
    </row>
    <row r="25" spans="2:23">
      <c r="B25" s="107" t="s">
        <v>998</v>
      </c>
      <c r="C25" s="110">
        <v>21</v>
      </c>
      <c r="D25" s="104" t="s">
        <v>999</v>
      </c>
      <c r="E25" s="103" t="s">
        <v>1000</v>
      </c>
      <c r="F25" s="103" t="s">
        <v>206</v>
      </c>
      <c r="G25" s="103" t="s">
        <v>206</v>
      </c>
      <c r="H25" s="103" t="s">
        <v>206</v>
      </c>
      <c r="I25" s="103" t="e"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#NAME?</v>
      </c>
      <c r="J25" s="103" t="e">
        <f ca="1"/>
        <v>#NAME?</v>
      </c>
      <c r="K25" s="103" t="e">
        <f ca="1"/>
        <v>#NAME?</v>
      </c>
      <c r="L25" s="103" t="e">
        <f ca="1"/>
        <v>#NAME?</v>
      </c>
      <c r="M25" s="103" t="e">
        <f ca="1"/>
        <v>#NAME?</v>
      </c>
      <c r="N25" s="103" t="e">
        <f ca="1"/>
        <v>#NAME?</v>
      </c>
      <c r="O25" s="103" t="e">
        <f ca="1"/>
        <v>#NAME?</v>
      </c>
      <c r="P25" s="103" t="e">
        <f ca="1"/>
        <v>#NAME?</v>
      </c>
      <c r="Q25" s="103" t="e">
        <f ca="1"/>
        <v>#NAME?</v>
      </c>
      <c r="R25" s="103" t="e">
        <f ca="1"/>
        <v>#NAME?</v>
      </c>
      <c r="S25" s="103" t="e">
        <f ca="1"/>
        <v>#NAME?</v>
      </c>
      <c r="T25" s="103" t="e">
        <f ca="1"/>
        <v>#NAME?</v>
      </c>
      <c r="U25" s="103" t="e">
        <f ca="1"/>
        <v>#NAME?</v>
      </c>
      <c r="V25" s="103" t="e">
        <f ca="1"/>
        <v>#NAME?</v>
      </c>
      <c r="W25" s="109" t="e">
        <f ca="1"/>
        <v>#NAME?</v>
      </c>
    </row>
    <row r="26" spans="2:23">
      <c r="B26" s="107" t="s">
        <v>1001</v>
      </c>
      <c r="C26" s="110">
        <v>7</v>
      </c>
      <c r="D26" s="104" t="s">
        <v>999</v>
      </c>
      <c r="E26" s="103" t="s">
        <v>1000</v>
      </c>
      <c r="F26" s="105" t="s">
        <v>206</v>
      </c>
      <c r="G26" s="105" t="s">
        <v>206</v>
      </c>
      <c r="H26" s="105" t="s">
        <v>206</v>
      </c>
      <c r="I26" s="151" t="e">
        <f ca="1"/>
        <v>#NAME?</v>
      </c>
      <c r="J26" s="151" t="e">
        <f ca="1"/>
        <v>#NAME?</v>
      </c>
      <c r="K26" s="151" t="e">
        <f ca="1"/>
        <v>#NAME?</v>
      </c>
      <c r="L26" s="151" t="e">
        <f ca="1"/>
        <v>#NAME?</v>
      </c>
      <c r="M26" s="151" t="e">
        <f ca="1"/>
        <v>#NAME?</v>
      </c>
      <c r="N26" s="151" t="e">
        <f ca="1"/>
        <v>#NAME?</v>
      </c>
      <c r="O26" s="151" t="e">
        <f ca="1"/>
        <v>#NAME?</v>
      </c>
      <c r="P26" s="151" t="e">
        <f ca="1"/>
        <v>#NAME?</v>
      </c>
      <c r="Q26" s="151" t="e">
        <f ca="1"/>
        <v>#NAME?</v>
      </c>
      <c r="R26" s="151" t="e">
        <f ca="1"/>
        <v>#NAME?</v>
      </c>
      <c r="S26" s="151" t="e">
        <f ca="1"/>
        <v>#NAME?</v>
      </c>
      <c r="T26" s="151" t="e">
        <f ca="1"/>
        <v>#NAME?</v>
      </c>
      <c r="U26" s="151" t="e">
        <f ca="1"/>
        <v>#NAME?</v>
      </c>
      <c r="V26" s="151" t="e">
        <f ca="1"/>
        <v>#NAME?</v>
      </c>
      <c r="W26" s="152" t="e">
        <f ca="1"/>
        <v>#NAME?</v>
      </c>
    </row>
    <row r="28" spans="2:23">
      <c r="B28" s="140" t="s">
        <v>1002</v>
      </c>
    </row>
    <row r="29" spans="2:23">
      <c r="B29" s="134" t="s">
        <v>1003</v>
      </c>
      <c r="C29" s="134" t="s">
        <v>1004</v>
      </c>
      <c r="D29" s="135" t="s">
        <v>1005</v>
      </c>
      <c r="E29" s="134" t="s">
        <v>1006</v>
      </c>
      <c r="F29" s="134" t="s">
        <v>1007</v>
      </c>
    </row>
    <row r="30" spans="2:23">
      <c r="B30" s="118"/>
      <c r="C30" s="117"/>
      <c r="D30" s="123"/>
      <c r="E30" s="146"/>
      <c r="F30" s="136"/>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W30"/>
  <sheetViews>
    <sheetView showGridLines="0" workbookViewId="0">
      <selection activeCell="A14" sqref="A14"/>
    </sheetView>
  </sheetViews>
  <sheetFormatPr defaultRowHeight="14.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6.25" customHeight="1"/>
    <row r="2" spans="2:23">
      <c r="B2" s="76" t="s">
        <v>953</v>
      </c>
      <c r="C2" s="76" t="s">
        <v>954</v>
      </c>
      <c r="D2" s="76" t="s">
        <v>955</v>
      </c>
      <c r="E2" s="76" t="s">
        <v>956</v>
      </c>
      <c r="F2" s="76" t="s">
        <v>957</v>
      </c>
      <c r="G2" s="76" t="s">
        <v>958</v>
      </c>
      <c r="H2" s="76" t="s">
        <v>959</v>
      </c>
      <c r="I2" s="76" t="s">
        <v>102</v>
      </c>
      <c r="J2" s="76" t="s">
        <v>282</v>
      </c>
      <c r="K2" s="76" t="s">
        <v>116</v>
      </c>
      <c r="L2" s="76" t="s">
        <v>121</v>
      </c>
      <c r="M2" s="76" t="s">
        <v>127</v>
      </c>
      <c r="N2" s="76" t="s">
        <v>132</v>
      </c>
      <c r="O2" s="76" t="s">
        <v>135</v>
      </c>
      <c r="P2" s="76" t="s">
        <v>138</v>
      </c>
      <c r="Q2" s="76" t="s">
        <v>144</v>
      </c>
      <c r="R2" s="76" t="s">
        <v>149</v>
      </c>
      <c r="S2" s="76" t="s">
        <v>169</v>
      </c>
      <c r="T2" s="76" t="s">
        <v>480</v>
      </c>
      <c r="U2" s="76" t="s">
        <v>487</v>
      </c>
      <c r="V2" s="76" t="s">
        <v>208</v>
      </c>
      <c r="W2" s="76" t="s">
        <v>213</v>
      </c>
    </row>
    <row r="3" spans="2:23">
      <c r="B3" s="50" t="s">
        <v>907</v>
      </c>
      <c r="C3" s="50">
        <v>1</v>
      </c>
      <c r="D3" s="50" t="s">
        <v>1297</v>
      </c>
      <c r="E3" s="95">
        <v>45433</v>
      </c>
      <c r="F3" s="50">
        <v>2</v>
      </c>
      <c r="G3" s="192">
        <v>1</v>
      </c>
      <c r="H3" s="50">
        <v>15076</v>
      </c>
      <c r="I3" s="50" t="s">
        <v>961</v>
      </c>
      <c r="J3" s="50" t="s">
        <v>961</v>
      </c>
      <c r="K3" s="50" t="s">
        <v>961</v>
      </c>
      <c r="L3" s="50" t="s">
        <v>961</v>
      </c>
      <c r="M3" s="50" t="s">
        <v>961</v>
      </c>
      <c r="N3" s="50" t="s">
        <v>961</v>
      </c>
      <c r="O3" s="50" t="s">
        <v>961</v>
      </c>
      <c r="P3" s="50" t="s">
        <v>961</v>
      </c>
      <c r="Q3" s="50" t="s">
        <v>961</v>
      </c>
      <c r="R3" s="50" t="s">
        <v>961</v>
      </c>
      <c r="S3" s="50" t="s">
        <v>961</v>
      </c>
      <c r="T3" s="50" t="s">
        <v>961</v>
      </c>
      <c r="U3" s="50" t="s">
        <v>961</v>
      </c>
      <c r="V3" s="50" t="s">
        <v>961</v>
      </c>
      <c r="W3" s="50" t="s">
        <v>961</v>
      </c>
    </row>
    <row r="4" spans="2:23">
      <c r="B4" s="50" t="s">
        <v>909</v>
      </c>
      <c r="C4" s="50">
        <v>2</v>
      </c>
      <c r="D4" s="50" t="s">
        <v>1298</v>
      </c>
      <c r="E4" s="95">
        <v>45433</v>
      </c>
      <c r="F4" s="50">
        <v>2</v>
      </c>
      <c r="G4" s="192">
        <v>1</v>
      </c>
      <c r="H4" s="50">
        <v>0</v>
      </c>
      <c r="I4" s="50" t="s">
        <v>961</v>
      </c>
      <c r="J4" s="50" t="s">
        <v>961</v>
      </c>
      <c r="K4" s="50" t="s">
        <v>961</v>
      </c>
      <c r="L4" s="50" t="s">
        <v>961</v>
      </c>
      <c r="M4" s="50" t="s">
        <v>961</v>
      </c>
      <c r="N4" s="50" t="s">
        <v>961</v>
      </c>
      <c r="O4" s="50" t="s">
        <v>961</v>
      </c>
      <c r="P4" s="50" t="s">
        <v>961</v>
      </c>
      <c r="Q4" s="50" t="s">
        <v>961</v>
      </c>
      <c r="R4" s="50" t="s">
        <v>961</v>
      </c>
      <c r="S4" s="50" t="s">
        <v>961</v>
      </c>
      <c r="T4" s="50" t="s">
        <v>961</v>
      </c>
      <c r="U4" s="50" t="s">
        <v>961</v>
      </c>
      <c r="V4" s="50" t="s">
        <v>961</v>
      </c>
      <c r="W4" s="50" t="s">
        <v>961</v>
      </c>
    </row>
    <row r="5" spans="2:23">
      <c r="B5" s="50" t="s">
        <v>911</v>
      </c>
      <c r="C5" s="50">
        <v>3</v>
      </c>
      <c r="D5" s="50" t="s">
        <v>1299</v>
      </c>
      <c r="E5" s="95">
        <v>45433</v>
      </c>
      <c r="F5" s="50">
        <v>2</v>
      </c>
      <c r="G5" s="192">
        <v>1</v>
      </c>
      <c r="H5" s="50">
        <v>0</v>
      </c>
      <c r="I5" s="50">
        <v>0</v>
      </c>
      <c r="J5" s="50">
        <v>0</v>
      </c>
      <c r="K5" s="50" t="s">
        <v>961</v>
      </c>
      <c r="L5" s="50" t="s">
        <v>961</v>
      </c>
      <c r="M5" s="50" t="s">
        <v>961</v>
      </c>
      <c r="N5" s="50" t="s">
        <v>961</v>
      </c>
      <c r="O5" s="50" t="s">
        <v>961</v>
      </c>
      <c r="P5" s="50" t="s">
        <v>961</v>
      </c>
      <c r="Q5" s="50" t="s">
        <v>961</v>
      </c>
      <c r="R5" s="50" t="s">
        <v>961</v>
      </c>
      <c r="S5" s="50" t="s">
        <v>961</v>
      </c>
      <c r="T5" s="50" t="s">
        <v>961</v>
      </c>
      <c r="U5" s="50" t="s">
        <v>961</v>
      </c>
      <c r="V5" s="50">
        <v>0</v>
      </c>
      <c r="W5" s="50" t="s">
        <v>961</v>
      </c>
    </row>
    <row r="6" spans="2:23">
      <c r="B6" s="97" t="s">
        <v>913</v>
      </c>
      <c r="C6" s="50">
        <v>4</v>
      </c>
      <c r="D6" s="50" t="s">
        <v>964</v>
      </c>
      <c r="E6" s="95" t="s">
        <v>961</v>
      </c>
      <c r="F6" s="50">
        <v>2</v>
      </c>
      <c r="G6" s="50" t="s">
        <v>961</v>
      </c>
      <c r="H6" s="50" t="s">
        <v>961</v>
      </c>
      <c r="I6" s="50" t="s">
        <v>961</v>
      </c>
      <c r="J6" s="50" t="s">
        <v>961</v>
      </c>
      <c r="K6" s="50" t="s">
        <v>961</v>
      </c>
      <c r="L6" s="50" t="s">
        <v>961</v>
      </c>
      <c r="M6" s="50" t="s">
        <v>961</v>
      </c>
      <c r="N6" s="50" t="s">
        <v>961</v>
      </c>
      <c r="O6" s="50" t="s">
        <v>961</v>
      </c>
      <c r="P6" s="50" t="s">
        <v>961</v>
      </c>
      <c r="Q6" s="50" t="s">
        <v>961</v>
      </c>
      <c r="R6" s="50" t="s">
        <v>961</v>
      </c>
      <c r="S6" s="50" t="s">
        <v>961</v>
      </c>
      <c r="T6" s="50" t="s">
        <v>961</v>
      </c>
      <c r="U6" s="50" t="s">
        <v>961</v>
      </c>
      <c r="V6" s="50" t="s">
        <v>961</v>
      </c>
      <c r="W6" s="50" t="s">
        <v>961</v>
      </c>
    </row>
    <row r="7" spans="2:23">
      <c r="B7" s="50" t="s">
        <v>915</v>
      </c>
      <c r="C7" s="50">
        <v>5</v>
      </c>
      <c r="D7" s="50" t="s">
        <v>964</v>
      </c>
      <c r="E7" s="95" t="s">
        <v>961</v>
      </c>
      <c r="F7" s="50">
        <v>2</v>
      </c>
      <c r="G7" s="50" t="s">
        <v>961</v>
      </c>
      <c r="H7" s="50" t="s">
        <v>961</v>
      </c>
      <c r="I7" s="50" t="s">
        <v>961</v>
      </c>
      <c r="J7" s="50" t="s">
        <v>961</v>
      </c>
      <c r="K7" s="50" t="s">
        <v>961</v>
      </c>
      <c r="L7" s="50" t="s">
        <v>961</v>
      </c>
      <c r="M7" s="50" t="s">
        <v>961</v>
      </c>
      <c r="N7" s="50" t="s">
        <v>961</v>
      </c>
      <c r="O7" s="50" t="s">
        <v>961</v>
      </c>
      <c r="P7" s="50" t="s">
        <v>961</v>
      </c>
      <c r="Q7" s="50" t="s">
        <v>961</v>
      </c>
      <c r="R7" s="50" t="s">
        <v>961</v>
      </c>
      <c r="S7" s="50" t="s">
        <v>961</v>
      </c>
      <c r="T7" s="50" t="s">
        <v>961</v>
      </c>
      <c r="U7" s="50" t="s">
        <v>961</v>
      </c>
      <c r="V7" s="50" t="s">
        <v>961</v>
      </c>
      <c r="W7" s="50" t="s">
        <v>961</v>
      </c>
    </row>
    <row r="8" spans="2:23">
      <c r="B8" s="97" t="s">
        <v>916</v>
      </c>
      <c r="C8" s="50">
        <v>6</v>
      </c>
      <c r="D8" s="50" t="s">
        <v>1300</v>
      </c>
      <c r="E8" s="95">
        <v>45433</v>
      </c>
      <c r="F8" s="50">
        <v>2</v>
      </c>
      <c r="G8" s="19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919</v>
      </c>
      <c r="C9" s="50">
        <v>7</v>
      </c>
      <c r="D9" s="50" t="s">
        <v>1301</v>
      </c>
      <c r="E9" s="95">
        <v>45433</v>
      </c>
      <c r="F9" s="50">
        <v>2</v>
      </c>
      <c r="G9" s="192" t="e" cm="1">
        <f t="array" ref="G9">SUMPRODUCT(--(I9:W9&lt;=I26:W26))/COUNTA(I26:W26)</f>
        <v>#DIV/0!</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922</v>
      </c>
      <c r="C10" s="50">
        <v>8</v>
      </c>
      <c r="D10" s="50" t="s">
        <v>1302</v>
      </c>
      <c r="E10" s="95">
        <v>45433</v>
      </c>
      <c r="F10" s="50">
        <v>2</v>
      </c>
      <c r="G10" s="50" t="s">
        <v>961</v>
      </c>
      <c r="H10" s="50">
        <v>0</v>
      </c>
      <c r="I10" s="50">
        <v>31</v>
      </c>
      <c r="J10" s="50">
        <v>50000028007</v>
      </c>
      <c r="K10" s="50" t="s">
        <v>1197</v>
      </c>
      <c r="L10" s="50">
        <v>7</v>
      </c>
      <c r="M10" s="50">
        <v>101</v>
      </c>
      <c r="N10" s="50">
        <v>31</v>
      </c>
      <c r="O10" s="50">
        <v>2.2822000999999998E+22</v>
      </c>
      <c r="P10" s="95">
        <v>35300</v>
      </c>
      <c r="Q10" s="95">
        <v>2958465</v>
      </c>
      <c r="R10" s="50">
        <v>124</v>
      </c>
      <c r="S10" s="98" t="s">
        <v>970</v>
      </c>
      <c r="T10" s="50" t="s">
        <v>971</v>
      </c>
      <c r="U10" s="50" t="s">
        <v>972</v>
      </c>
      <c r="V10" s="95">
        <v>45433</v>
      </c>
      <c r="W10" s="50" t="s">
        <v>1303</v>
      </c>
    </row>
    <row r="11" spans="2:23">
      <c r="B11" s="50" t="s">
        <v>924</v>
      </c>
      <c r="C11" s="50">
        <v>9</v>
      </c>
      <c r="D11" s="50" t="s">
        <v>1304</v>
      </c>
      <c r="E11" s="95">
        <v>45433</v>
      </c>
      <c r="F11" s="50">
        <v>2</v>
      </c>
      <c r="G11" s="50" t="s">
        <v>961</v>
      </c>
      <c r="H11" s="50">
        <v>0</v>
      </c>
      <c r="I11" s="50">
        <v>31</v>
      </c>
      <c r="J11" s="50">
        <v>50000028007</v>
      </c>
      <c r="K11" s="50"/>
      <c r="L11" s="50">
        <v>7</v>
      </c>
      <c r="M11" s="50">
        <v>101</v>
      </c>
      <c r="N11" s="50"/>
      <c r="O11" s="50">
        <v>2.2822000999999998E+22</v>
      </c>
      <c r="P11" s="95">
        <v>35300</v>
      </c>
      <c r="Q11" s="95">
        <v>2958465</v>
      </c>
      <c r="R11" s="50">
        <v>124</v>
      </c>
      <c r="S11" s="50" t="s">
        <v>1046</v>
      </c>
      <c r="T11" s="50">
        <v>0</v>
      </c>
      <c r="U11" s="50" t="s">
        <v>1200</v>
      </c>
      <c r="V11" s="95">
        <v>45433</v>
      </c>
      <c r="W11" s="50" t="s">
        <v>1305</v>
      </c>
    </row>
    <row r="12" spans="2:23">
      <c r="B12" s="97" t="s">
        <v>926</v>
      </c>
      <c r="C12" s="50">
        <v>10</v>
      </c>
      <c r="D12" s="50" t="s">
        <v>1306</v>
      </c>
      <c r="E12" s="95">
        <v>45433</v>
      </c>
      <c r="F12" s="50">
        <v>2</v>
      </c>
      <c r="G12" s="50" t="s">
        <v>961</v>
      </c>
      <c r="H12" s="50">
        <v>0</v>
      </c>
      <c r="I12" s="50">
        <v>31</v>
      </c>
      <c r="J12" s="184">
        <v>607500070000019</v>
      </c>
      <c r="K12" s="50" t="s">
        <v>1197</v>
      </c>
      <c r="L12" s="50">
        <v>7</v>
      </c>
      <c r="M12" s="50" t="s">
        <v>1203</v>
      </c>
      <c r="N12" s="50">
        <v>31</v>
      </c>
      <c r="O12" s="50">
        <v>2.3930258433501999E+29</v>
      </c>
      <c r="P12" s="95">
        <v>45429</v>
      </c>
      <c r="Q12" s="95">
        <v>2958465</v>
      </c>
      <c r="R12" s="50">
        <v>978</v>
      </c>
      <c r="S12" s="157" t="s">
        <v>1307</v>
      </c>
      <c r="T12" s="50" t="s">
        <v>971</v>
      </c>
      <c r="U12" s="50" t="s">
        <v>1308</v>
      </c>
      <c r="V12" s="95">
        <v>45433</v>
      </c>
      <c r="W12" s="50" t="s">
        <v>1303</v>
      </c>
    </row>
    <row r="13" spans="2:23">
      <c r="B13" s="50" t="s">
        <v>928</v>
      </c>
      <c r="C13" s="50">
        <v>11</v>
      </c>
      <c r="D13" s="50" t="s">
        <v>1309</v>
      </c>
      <c r="E13" s="95">
        <v>45433</v>
      </c>
      <c r="F13" s="50">
        <v>2</v>
      </c>
      <c r="G13" s="50" t="s">
        <v>961</v>
      </c>
      <c r="H13" s="50">
        <v>0</v>
      </c>
      <c r="I13" s="50">
        <v>31</v>
      </c>
      <c r="J13" s="184">
        <v>607500070000019</v>
      </c>
      <c r="K13" s="50"/>
      <c r="L13" s="50">
        <v>7</v>
      </c>
      <c r="M13" s="50" t="s">
        <v>1203</v>
      </c>
      <c r="N13" s="50"/>
      <c r="O13" s="50">
        <v>2.3930258433501999E+29</v>
      </c>
      <c r="P13" s="95">
        <v>45429</v>
      </c>
      <c r="Q13" s="95">
        <v>2958465</v>
      </c>
      <c r="R13" s="50">
        <v>978</v>
      </c>
      <c r="S13" s="50" t="s">
        <v>1208</v>
      </c>
      <c r="T13" s="50">
        <v>0</v>
      </c>
      <c r="U13" s="50" t="s">
        <v>976</v>
      </c>
      <c r="V13" s="95">
        <v>45433</v>
      </c>
      <c r="W13" s="50" t="s">
        <v>1310</v>
      </c>
    </row>
    <row r="14" spans="2:23">
      <c r="B14" s="50" t="s">
        <v>930</v>
      </c>
      <c r="C14" s="50">
        <v>12</v>
      </c>
      <c r="D14" s="50" t="s">
        <v>1311</v>
      </c>
      <c r="E14" s="95">
        <v>45433</v>
      </c>
      <c r="F14" s="50">
        <v>2</v>
      </c>
      <c r="G14" s="19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932</v>
      </c>
      <c r="C15" s="50">
        <v>13</v>
      </c>
      <c r="D15" s="50" t="s">
        <v>1312</v>
      </c>
      <c r="E15" s="95">
        <v>45433</v>
      </c>
      <c r="F15" s="50">
        <v>2</v>
      </c>
      <c r="G15" s="192">
        <v>1</v>
      </c>
      <c r="H15" s="50">
        <v>0</v>
      </c>
      <c r="I15" s="50" t="s">
        <v>961</v>
      </c>
      <c r="J15" s="50" t="s">
        <v>961</v>
      </c>
      <c r="K15" s="50" t="s">
        <v>961</v>
      </c>
      <c r="L15" s="50" t="s">
        <v>961</v>
      </c>
      <c r="M15" s="50" t="s">
        <v>961</v>
      </c>
      <c r="N15" s="50" t="s">
        <v>961</v>
      </c>
      <c r="O15" s="50" t="s">
        <v>961</v>
      </c>
      <c r="P15" s="50">
        <v>0</v>
      </c>
      <c r="Q15" s="50">
        <v>0</v>
      </c>
      <c r="R15" s="50" t="s">
        <v>961</v>
      </c>
      <c r="S15" s="50" t="s">
        <v>961</v>
      </c>
      <c r="T15" s="50" t="s">
        <v>961</v>
      </c>
      <c r="U15" s="50" t="s">
        <v>961</v>
      </c>
      <c r="V15" s="50" t="s">
        <v>961</v>
      </c>
      <c r="W15" s="50" t="s">
        <v>961</v>
      </c>
    </row>
    <row r="16" spans="2:23">
      <c r="B16" s="50" t="s">
        <v>934</v>
      </c>
      <c r="C16" s="50">
        <v>14</v>
      </c>
      <c r="D16" s="50" t="s">
        <v>1313</v>
      </c>
      <c r="E16" s="95">
        <v>45433</v>
      </c>
      <c r="F16" s="50">
        <v>2</v>
      </c>
      <c r="G16" s="192">
        <v>1</v>
      </c>
      <c r="H16" s="50">
        <v>0</v>
      </c>
      <c r="I16" s="50">
        <v>0</v>
      </c>
      <c r="J16" s="50">
        <v>0</v>
      </c>
      <c r="K16" s="50">
        <v>0</v>
      </c>
      <c r="L16" s="50">
        <v>0</v>
      </c>
      <c r="M16" s="50">
        <v>0</v>
      </c>
      <c r="N16" s="50">
        <v>0</v>
      </c>
      <c r="O16" s="50">
        <v>0</v>
      </c>
      <c r="P16" s="50" t="s">
        <v>961</v>
      </c>
      <c r="Q16" s="50" t="s">
        <v>961</v>
      </c>
      <c r="R16" s="50">
        <v>0</v>
      </c>
      <c r="S16" s="50" t="s">
        <v>961</v>
      </c>
      <c r="T16" s="50">
        <v>0</v>
      </c>
      <c r="U16" s="50">
        <v>0</v>
      </c>
      <c r="V16" s="50" t="s">
        <v>961</v>
      </c>
      <c r="W16" s="50" t="s">
        <v>961</v>
      </c>
    </row>
    <row r="17" spans="2:23">
      <c r="B17" s="50" t="s">
        <v>936</v>
      </c>
      <c r="C17" s="50">
        <v>15</v>
      </c>
      <c r="D17" s="50" t="s">
        <v>1314</v>
      </c>
      <c r="E17" s="95">
        <v>45433</v>
      </c>
      <c r="F17" s="50">
        <v>2</v>
      </c>
      <c r="G17" s="192">
        <v>1</v>
      </c>
      <c r="H17" s="50">
        <v>0</v>
      </c>
      <c r="I17" s="50" t="s">
        <v>961</v>
      </c>
      <c r="J17" s="50" t="s">
        <v>961</v>
      </c>
      <c r="K17" s="50" t="s">
        <v>961</v>
      </c>
      <c r="L17" s="50" t="s">
        <v>961</v>
      </c>
      <c r="M17" s="50" t="s">
        <v>961</v>
      </c>
      <c r="N17" s="50" t="s">
        <v>961</v>
      </c>
      <c r="O17" s="50" t="s">
        <v>961</v>
      </c>
      <c r="P17" s="50" t="s">
        <v>961</v>
      </c>
      <c r="Q17" s="50" t="s">
        <v>961</v>
      </c>
      <c r="R17" s="50" t="s">
        <v>961</v>
      </c>
      <c r="S17" s="50" t="s">
        <v>961</v>
      </c>
      <c r="T17" s="50" t="s">
        <v>961</v>
      </c>
      <c r="U17" s="50" t="s">
        <v>961</v>
      </c>
      <c r="V17" s="50" t="s">
        <v>961</v>
      </c>
      <c r="W17" s="50" t="s">
        <v>961</v>
      </c>
    </row>
    <row r="18" spans="2:23">
      <c r="B18" s="50" t="s">
        <v>938</v>
      </c>
      <c r="C18" s="50">
        <v>16</v>
      </c>
      <c r="D18" s="50" t="s">
        <v>1314</v>
      </c>
      <c r="E18" s="95">
        <v>45433</v>
      </c>
      <c r="F18" s="50">
        <v>2</v>
      </c>
      <c r="G18" s="192">
        <v>1</v>
      </c>
      <c r="H18" s="50">
        <v>0</v>
      </c>
      <c r="I18" s="50" t="s">
        <v>961</v>
      </c>
      <c r="J18" s="50" t="s">
        <v>961</v>
      </c>
      <c r="K18" s="50" t="s">
        <v>961</v>
      </c>
      <c r="L18" s="50" t="s">
        <v>961</v>
      </c>
      <c r="M18" s="50" t="s">
        <v>961</v>
      </c>
      <c r="N18" s="50" t="s">
        <v>961</v>
      </c>
      <c r="O18" s="50" t="s">
        <v>961</v>
      </c>
      <c r="P18" s="50" t="s">
        <v>961</v>
      </c>
      <c r="Q18" s="50" t="s">
        <v>961</v>
      </c>
      <c r="R18" s="50" t="s">
        <v>961</v>
      </c>
      <c r="S18" s="50" t="s">
        <v>961</v>
      </c>
      <c r="T18" s="50" t="s">
        <v>961</v>
      </c>
      <c r="U18" s="50" t="s">
        <v>961</v>
      </c>
      <c r="V18" s="50" t="s">
        <v>961</v>
      </c>
      <c r="W18" s="50" t="s">
        <v>961</v>
      </c>
    </row>
    <row r="19" spans="2:23">
      <c r="B19" s="50" t="s">
        <v>944</v>
      </c>
      <c r="C19" s="50">
        <v>19</v>
      </c>
      <c r="D19" s="50" t="s">
        <v>1315</v>
      </c>
      <c r="E19" s="95">
        <v>45433</v>
      </c>
      <c r="F19" s="50">
        <v>2</v>
      </c>
      <c r="G19" s="208" cm="1">
        <f t="array" aca="1" ref="G19" ca="1">SUMPRODUCT(--(ISNUMBER((SEARCH(I25:W25,I19:W19)))))/COUNTA(I19:W19)</f>
        <v>0.93333333333333335</v>
      </c>
      <c r="H19" s="50">
        <v>0</v>
      </c>
      <c r="I19" s="50" t="s">
        <v>995</v>
      </c>
      <c r="J19" s="50" t="s">
        <v>995</v>
      </c>
      <c r="K19" s="50" t="s">
        <v>995</v>
      </c>
      <c r="L19" s="50" t="s">
        <v>995</v>
      </c>
      <c r="M19" s="50" t="s">
        <v>995</v>
      </c>
      <c r="N19" s="50" t="s">
        <v>995</v>
      </c>
      <c r="O19" s="50" t="s">
        <v>995</v>
      </c>
      <c r="P19" s="50" t="s">
        <v>1316</v>
      </c>
      <c r="Q19" s="50" t="s">
        <v>1316</v>
      </c>
      <c r="R19" s="50" t="s">
        <v>995</v>
      </c>
      <c r="S19" s="50" t="s">
        <v>996</v>
      </c>
      <c r="T19" s="50" t="s">
        <v>995</v>
      </c>
      <c r="U19" s="50" t="s">
        <v>995</v>
      </c>
      <c r="V19" s="50" t="s">
        <v>995</v>
      </c>
      <c r="W19" s="50" t="s">
        <v>997</v>
      </c>
    </row>
    <row r="20" spans="2:23">
      <c r="B20" s="50" t="s">
        <v>947</v>
      </c>
      <c r="C20" s="50">
        <v>20</v>
      </c>
      <c r="D20" s="50" t="s">
        <v>1317</v>
      </c>
      <c r="E20" s="95">
        <v>45433</v>
      </c>
      <c r="F20" s="50">
        <v>1</v>
      </c>
      <c r="G20" s="192" t="e" cm="1">
        <f t="array" aca="1" ref="G20" ca="1">SUM(IF(I2:W2 = I24:W24, 1, 0))/ COUNTA(I2:W2)</f>
        <v>#NAME?</v>
      </c>
      <c r="H20" s="50" t="s">
        <v>961</v>
      </c>
      <c r="I20" s="50" t="s">
        <v>961</v>
      </c>
      <c r="J20" s="50" t="s">
        <v>961</v>
      </c>
      <c r="K20" s="50" t="s">
        <v>961</v>
      </c>
      <c r="L20" s="50" t="s">
        <v>961</v>
      </c>
      <c r="M20" s="50" t="s">
        <v>961</v>
      </c>
      <c r="N20" s="50" t="s">
        <v>961</v>
      </c>
      <c r="O20" s="50" t="s">
        <v>961</v>
      </c>
      <c r="P20" s="50" t="s">
        <v>961</v>
      </c>
      <c r="Q20" s="50" t="s">
        <v>961</v>
      </c>
      <c r="R20" s="50" t="s">
        <v>961</v>
      </c>
      <c r="S20" s="50" t="s">
        <v>961</v>
      </c>
      <c r="T20" s="50" t="s">
        <v>961</v>
      </c>
      <c r="U20" s="50" t="s">
        <v>961</v>
      </c>
      <c r="V20" s="50" t="s">
        <v>961</v>
      </c>
      <c r="W20" s="50" t="s">
        <v>961</v>
      </c>
    </row>
    <row r="21" spans="2:23">
      <c r="B21" s="50" t="s">
        <v>950</v>
      </c>
      <c r="C21" s="50">
        <v>21</v>
      </c>
      <c r="D21" s="50" t="s">
        <v>1317</v>
      </c>
      <c r="E21" s="95">
        <v>45433</v>
      </c>
      <c r="F21" s="50">
        <v>1</v>
      </c>
      <c r="G21" s="192" t="e" cm="1">
        <f t="array" aca="1" ref="G21" ca="1">SUM(IF(IF(G3:G20="null",1,G3:G20)=1,1,0))/COUNT(IF(G3:G20="null",1,1))</f>
        <v>#DIV/0!</v>
      </c>
      <c r="H21" s="50" t="s">
        <v>961</v>
      </c>
      <c r="I21" s="50" t="s">
        <v>961</v>
      </c>
      <c r="J21" s="50" t="s">
        <v>961</v>
      </c>
      <c r="K21" s="50" t="s">
        <v>961</v>
      </c>
      <c r="L21" s="50" t="s">
        <v>961</v>
      </c>
      <c r="M21" s="50" t="s">
        <v>961</v>
      </c>
      <c r="N21" s="50" t="s">
        <v>961</v>
      </c>
      <c r="O21" s="50" t="s">
        <v>961</v>
      </c>
      <c r="P21" s="50" t="s">
        <v>961</v>
      </c>
      <c r="Q21" s="50" t="s">
        <v>961</v>
      </c>
      <c r="R21" s="50" t="s">
        <v>961</v>
      </c>
      <c r="S21" s="50" t="s">
        <v>961</v>
      </c>
      <c r="T21" s="50" t="s">
        <v>961</v>
      </c>
      <c r="U21" s="50" t="s">
        <v>961</v>
      </c>
      <c r="V21" s="50" t="s">
        <v>961</v>
      </c>
      <c r="W21" s="50" t="s">
        <v>961</v>
      </c>
    </row>
    <row r="22" spans="2:23">
      <c r="B22" s="50"/>
      <c r="C22" s="50"/>
      <c r="D22" s="50"/>
      <c r="E22" s="95"/>
      <c r="F22" s="50"/>
      <c r="G22" s="50"/>
      <c r="H22" s="50"/>
      <c r="I22" s="50"/>
      <c r="J22" s="50"/>
      <c r="K22" s="50"/>
      <c r="L22" s="50"/>
      <c r="M22" s="50"/>
      <c r="N22" s="50"/>
      <c r="O22" s="50"/>
      <c r="P22" s="50"/>
      <c r="Q22" s="50"/>
      <c r="R22" s="50"/>
      <c r="S22" s="50"/>
      <c r="T22" s="50"/>
      <c r="U22" s="50"/>
      <c r="V22" s="50"/>
      <c r="W22" s="50"/>
    </row>
    <row r="23" spans="2:23">
      <c r="B23" s="130" t="s">
        <v>1067</v>
      </c>
    </row>
    <row r="24" spans="2:23">
      <c r="B24" s="128" t="s">
        <v>953</v>
      </c>
      <c r="C24" s="129" t="s">
        <v>954</v>
      </c>
      <c r="D24" s="129" t="s">
        <v>955</v>
      </c>
      <c r="E24" s="129" t="s">
        <v>956</v>
      </c>
      <c r="F24" s="129" t="s">
        <v>957</v>
      </c>
      <c r="G24" s="129" t="s">
        <v>958</v>
      </c>
      <c r="H24" s="129" t="s">
        <v>959</v>
      </c>
      <c r="I24" s="129" t="e" cm="1">
        <f t="array" aca="1" ref="I24" ca="1">TRANSPOSE(_xlfn.SORTBY(_xlfn._xlws.FILTER(Table3[NOME FÍSICO CAMPO],Table3[NOME FÍSICO TABELA]="confirming_process"), _xlfn._xlws.FILTER(Table3[ORDEM], Table3[NOME FÍSICO TABELA]="confirming_process"), 1))</f>
        <v>#NAME?</v>
      </c>
      <c r="J24" s="129"/>
      <c r="K24" s="129"/>
      <c r="L24" s="129"/>
      <c r="M24" s="129"/>
      <c r="N24" s="129"/>
      <c r="O24" s="129"/>
      <c r="P24" s="129"/>
      <c r="Q24" s="129"/>
      <c r="R24" s="129"/>
      <c r="S24" s="129"/>
      <c r="T24" s="129"/>
      <c r="U24" s="129"/>
      <c r="V24" s="129"/>
      <c r="W24" s="126"/>
    </row>
    <row r="25" spans="2:23">
      <c r="B25" s="107" t="s">
        <v>998</v>
      </c>
      <c r="C25" s="110">
        <v>21</v>
      </c>
      <c r="D25" s="104" t="s">
        <v>999</v>
      </c>
      <c r="E25" s="103" t="s">
        <v>1000</v>
      </c>
      <c r="F25" s="103" t="s">
        <v>206</v>
      </c>
      <c r="G25" s="103" t="s">
        <v>206</v>
      </c>
      <c r="H25" s="103" t="s">
        <v>206</v>
      </c>
      <c r="I25" s="103" t="e" cm="1">
        <f t="array" aca="1" ref="I25" ca="1">TRANSPOSE(_xlfn.SORTBY(_xlfn._xlws.FILTER(IF(Table3[FORMATO]:Table3[COMP_ CAMPO]&lt;&gt;"",Table3[FORMATO]:Table3[COMP_ CAMPO],9999999),Table3[NOME FÍSICO TABELA]="confirming_process"), _xlfn._xlws.FILTER(Table3[ORDEM], Table3[NOME FÍSICO TABELA]="confirming_process"), 1))</f>
        <v>#NAME?</v>
      </c>
      <c r="J25" s="103"/>
      <c r="K25" s="103"/>
      <c r="L25" s="103"/>
      <c r="M25" s="103"/>
      <c r="N25" s="103"/>
      <c r="O25" s="103"/>
      <c r="P25" s="103"/>
      <c r="Q25" s="103"/>
      <c r="R25" s="103"/>
      <c r="S25" s="103"/>
      <c r="T25" s="103"/>
      <c r="U25" s="103"/>
      <c r="V25" s="103"/>
      <c r="W25" s="109"/>
    </row>
    <row r="26" spans="2:23">
      <c r="B26" s="107" t="s">
        <v>1001</v>
      </c>
      <c r="C26" s="110">
        <v>7</v>
      </c>
      <c r="D26" s="104" t="s">
        <v>999</v>
      </c>
      <c r="E26" s="103" t="s">
        <v>1000</v>
      </c>
      <c r="F26" s="105" t="s">
        <v>206</v>
      </c>
      <c r="G26" s="105" t="s">
        <v>206</v>
      </c>
      <c r="H26" s="105" t="s">
        <v>206</v>
      </c>
      <c r="I26" s="151"/>
      <c r="J26" s="151"/>
      <c r="K26" s="151"/>
      <c r="L26" s="151"/>
      <c r="M26" s="151"/>
      <c r="N26" s="151"/>
      <c r="O26" s="151"/>
      <c r="P26" s="151"/>
      <c r="Q26" s="151"/>
      <c r="R26" s="151"/>
      <c r="S26" s="151"/>
      <c r="T26" s="151"/>
      <c r="U26" s="151"/>
      <c r="V26" s="151"/>
      <c r="W26" s="152"/>
    </row>
    <row r="28" spans="2:23">
      <c r="B28" s="140" t="s">
        <v>1002</v>
      </c>
    </row>
    <row r="29" spans="2:23">
      <c r="B29" s="134" t="s">
        <v>1003</v>
      </c>
      <c r="C29" s="134" t="s">
        <v>1004</v>
      </c>
      <c r="D29" s="135" t="s">
        <v>1005</v>
      </c>
      <c r="E29" s="134" t="s">
        <v>1006</v>
      </c>
      <c r="F29" s="134" t="s">
        <v>1007</v>
      </c>
    </row>
    <row r="30" spans="2:23">
      <c r="B30" s="118"/>
      <c r="C30" s="117"/>
      <c r="D30" s="123"/>
      <c r="E30" s="146"/>
      <c r="F30" s="136"/>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Y39"/>
  <sheetViews>
    <sheetView showGridLines="0" topLeftCell="A9" workbookViewId="0">
      <selection activeCell="D40" sqref="D40"/>
    </sheetView>
  </sheetViews>
  <sheetFormatPr defaultRowHeight="14.5"/>
  <cols>
    <col min="2" max="2" width="30.7265625" bestFit="1" customWidth="1"/>
    <col min="3" max="3" width="32.7265625" bestFit="1" customWidth="1"/>
    <col min="4" max="4" width="51.81640625" customWidth="1"/>
    <col min="5" max="5" width="30.453125" bestFit="1" customWidth="1"/>
    <col min="6" max="6" width="25.26953125" customWidth="1"/>
    <col min="7" max="7" width="17.1796875" customWidth="1"/>
    <col min="8" max="8" width="16.453125" bestFit="1" customWidth="1"/>
    <col min="9" max="9" width="13.26953125" bestFit="1" customWidth="1"/>
    <col min="10" max="10" width="30.7265625" bestFit="1" customWidth="1"/>
    <col min="11" max="11" width="32.453125" customWidth="1"/>
    <col min="12" max="12" width="38.1796875" customWidth="1"/>
    <col min="13" max="13" width="30" bestFit="1" customWidth="1"/>
    <col min="14" max="14" width="30.7265625" bestFit="1" customWidth="1"/>
    <col min="15" max="15" width="36.81640625" customWidth="1"/>
    <col min="16" max="17" width="30.7265625" bestFit="1" customWidth="1"/>
    <col min="18" max="18" width="31.26953125" customWidth="1"/>
    <col min="19" max="19" width="26.81640625" bestFit="1" customWidth="1"/>
    <col min="20" max="20" width="30.7265625" bestFit="1" customWidth="1"/>
    <col min="21" max="21" width="43.26953125" customWidth="1"/>
    <col min="22" max="25" width="30.7265625" bestFit="1" customWidth="1"/>
    <col min="26" max="26" width="37.81640625" customWidth="1"/>
    <col min="27" max="27" width="30.7265625" bestFit="1" customWidth="1"/>
    <col min="28" max="28" width="22.26953125" customWidth="1"/>
    <col min="29" max="29" width="26.81640625" bestFit="1" customWidth="1"/>
    <col min="30" max="30" width="30.7265625" bestFit="1" customWidth="1"/>
    <col min="31" max="31" width="25.1796875" bestFit="1" customWidth="1"/>
    <col min="32" max="32" width="45.7265625" bestFit="1" customWidth="1"/>
    <col min="33" max="33" width="44.26953125" customWidth="1"/>
    <col min="34" max="34" width="38.26953125" bestFit="1" customWidth="1"/>
    <col min="35" max="35" width="75.453125" bestFit="1" customWidth="1"/>
    <col min="36" max="36" width="29.453125" customWidth="1"/>
    <col min="37" max="37" width="32.26953125" customWidth="1"/>
    <col min="38" max="38" width="32.54296875" customWidth="1"/>
    <col min="39" max="39" width="21.54296875" customWidth="1"/>
    <col min="40" max="40" width="27.7265625" customWidth="1"/>
    <col min="41" max="41" width="46.453125" customWidth="1"/>
  </cols>
  <sheetData>
    <row r="1" spans="2:25" ht="27.75" customHeight="1"/>
    <row r="2" spans="2:25">
      <c r="B2" s="76" t="s">
        <v>1078</v>
      </c>
      <c r="C2" s="76" t="s">
        <v>954</v>
      </c>
      <c r="D2" s="76" t="s">
        <v>955</v>
      </c>
      <c r="E2" s="76" t="s">
        <v>956</v>
      </c>
      <c r="F2" s="76" t="s">
        <v>957</v>
      </c>
      <c r="G2" s="76" t="s">
        <v>958</v>
      </c>
      <c r="H2" s="76" t="s">
        <v>959</v>
      </c>
      <c r="I2" s="76" t="s">
        <v>102</v>
      </c>
      <c r="J2" s="76" t="s">
        <v>282</v>
      </c>
      <c r="K2" s="129" t="s">
        <v>132</v>
      </c>
      <c r="L2" s="129" t="s">
        <v>135</v>
      </c>
      <c r="M2" s="129" t="s">
        <v>537</v>
      </c>
      <c r="N2" s="76" t="s">
        <v>538</v>
      </c>
      <c r="O2" s="76" t="s">
        <v>539</v>
      </c>
      <c r="P2" s="76" t="s">
        <v>540</v>
      </c>
      <c r="Q2" s="76" t="s">
        <v>138</v>
      </c>
      <c r="R2" s="76" t="s">
        <v>144</v>
      </c>
      <c r="S2" s="76" t="s">
        <v>149</v>
      </c>
      <c r="T2" s="76" t="s">
        <v>1318</v>
      </c>
      <c r="U2" s="76" t="s">
        <v>1319</v>
      </c>
      <c r="V2" s="76" t="s">
        <v>480</v>
      </c>
      <c r="W2" s="76" t="s">
        <v>487</v>
      </c>
      <c r="X2" s="76" t="s">
        <v>208</v>
      </c>
      <c r="Y2" s="76" t="s">
        <v>213</v>
      </c>
    </row>
    <row r="3" spans="2:25">
      <c r="B3" s="50" t="s">
        <v>907</v>
      </c>
      <c r="C3" s="50">
        <v>1</v>
      </c>
      <c r="D3" s="50" t="s">
        <v>1320</v>
      </c>
      <c r="E3" s="95">
        <v>45390</v>
      </c>
      <c r="F3" s="50">
        <v>1</v>
      </c>
      <c r="G3" s="98">
        <v>1</v>
      </c>
      <c r="H3" s="98" t="s">
        <v>1321</v>
      </c>
      <c r="I3" s="50" t="s">
        <v>961</v>
      </c>
      <c r="J3" s="50" t="s">
        <v>961</v>
      </c>
      <c r="K3" s="50" t="s">
        <v>961</v>
      </c>
      <c r="L3" s="50" t="s">
        <v>961</v>
      </c>
      <c r="M3" s="50" t="s">
        <v>961</v>
      </c>
      <c r="N3" s="50" t="s">
        <v>961</v>
      </c>
      <c r="O3" s="50" t="s">
        <v>961</v>
      </c>
      <c r="P3" s="50" t="s">
        <v>961</v>
      </c>
      <c r="Q3" s="50" t="s">
        <v>961</v>
      </c>
      <c r="R3" s="50" t="s">
        <v>961</v>
      </c>
      <c r="S3" s="50" t="s">
        <v>961</v>
      </c>
      <c r="T3" s="50" t="s">
        <v>961</v>
      </c>
      <c r="U3" s="50" t="s">
        <v>961</v>
      </c>
      <c r="V3" s="50" t="s">
        <v>961</v>
      </c>
      <c r="W3" s="50" t="s">
        <v>961</v>
      </c>
      <c r="X3" s="50" t="s">
        <v>961</v>
      </c>
      <c r="Y3" s="50" t="s">
        <v>961</v>
      </c>
    </row>
    <row r="4" spans="2:25">
      <c r="B4" s="50" t="s">
        <v>909</v>
      </c>
      <c r="C4" s="50">
        <v>2</v>
      </c>
      <c r="D4" s="50" t="s">
        <v>1322</v>
      </c>
      <c r="E4" s="95">
        <v>45390</v>
      </c>
      <c r="F4" s="50">
        <v>1</v>
      </c>
      <c r="G4" s="98">
        <v>1</v>
      </c>
      <c r="H4" s="50" t="s">
        <v>1046</v>
      </c>
      <c r="I4" s="50" t="s">
        <v>961</v>
      </c>
      <c r="J4" s="50" t="s">
        <v>961</v>
      </c>
      <c r="K4" s="50" t="s">
        <v>961</v>
      </c>
      <c r="L4" s="50" t="s">
        <v>961</v>
      </c>
      <c r="M4" s="50" t="s">
        <v>961</v>
      </c>
      <c r="N4" s="50" t="s">
        <v>961</v>
      </c>
      <c r="O4" s="50" t="s">
        <v>961</v>
      </c>
      <c r="P4" s="50" t="s">
        <v>961</v>
      </c>
      <c r="Q4" s="50" t="s">
        <v>961</v>
      </c>
      <c r="R4" s="50" t="s">
        <v>961</v>
      </c>
      <c r="S4" s="50" t="s">
        <v>961</v>
      </c>
      <c r="T4" s="50" t="s">
        <v>961</v>
      </c>
      <c r="U4" s="50" t="s">
        <v>961</v>
      </c>
      <c r="V4" s="50" t="s">
        <v>961</v>
      </c>
      <c r="W4" s="50" t="s">
        <v>961</v>
      </c>
      <c r="X4" s="50" t="s">
        <v>961</v>
      </c>
      <c r="Y4" s="50" t="s">
        <v>961</v>
      </c>
    </row>
    <row r="5" spans="2:25">
      <c r="B5" s="50" t="s">
        <v>911</v>
      </c>
      <c r="C5" s="50">
        <v>3</v>
      </c>
      <c r="D5" s="50" t="s">
        <v>1323</v>
      </c>
      <c r="E5" s="95">
        <v>45390</v>
      </c>
      <c r="F5" s="50">
        <v>1</v>
      </c>
      <c r="G5" s="98">
        <v>1</v>
      </c>
      <c r="H5" s="50" t="s">
        <v>1046</v>
      </c>
      <c r="I5" s="50">
        <v>0</v>
      </c>
      <c r="J5" s="50">
        <v>0</v>
      </c>
      <c r="K5" s="50" t="s">
        <v>961</v>
      </c>
      <c r="L5" s="50" t="s">
        <v>961</v>
      </c>
      <c r="M5" s="50" t="s">
        <v>961</v>
      </c>
      <c r="N5" s="50" t="s">
        <v>961</v>
      </c>
      <c r="O5" s="50" t="s">
        <v>961</v>
      </c>
      <c r="P5" s="50" t="s">
        <v>961</v>
      </c>
      <c r="Q5" s="50" t="s">
        <v>961</v>
      </c>
      <c r="R5" s="50" t="s">
        <v>961</v>
      </c>
      <c r="S5" s="50" t="s">
        <v>961</v>
      </c>
      <c r="T5" s="50" t="s">
        <v>961</v>
      </c>
      <c r="U5" s="50" t="s">
        <v>961</v>
      </c>
      <c r="V5" s="50" t="s">
        <v>961</v>
      </c>
      <c r="W5" s="50" t="s">
        <v>961</v>
      </c>
      <c r="X5" s="50">
        <v>0</v>
      </c>
      <c r="Y5" s="50" t="s">
        <v>961</v>
      </c>
    </row>
    <row r="6" spans="2:25">
      <c r="B6" s="50" t="s">
        <v>913</v>
      </c>
      <c r="C6" s="50">
        <v>4</v>
      </c>
      <c r="D6" s="50" t="s">
        <v>964</v>
      </c>
      <c r="E6" s="95" t="s">
        <v>961</v>
      </c>
      <c r="F6" s="50">
        <v>1</v>
      </c>
      <c r="G6" s="95" t="s">
        <v>961</v>
      </c>
      <c r="H6" s="50" t="s">
        <v>1046</v>
      </c>
      <c r="I6" s="50" t="s">
        <v>961</v>
      </c>
      <c r="J6" s="50" t="s">
        <v>961</v>
      </c>
      <c r="K6" s="50" t="s">
        <v>961</v>
      </c>
      <c r="L6" s="50" t="s">
        <v>961</v>
      </c>
      <c r="M6" s="50" t="s">
        <v>961</v>
      </c>
      <c r="N6" s="50" t="s">
        <v>961</v>
      </c>
      <c r="O6" s="50" t="s">
        <v>961</v>
      </c>
      <c r="P6" s="50" t="s">
        <v>961</v>
      </c>
      <c r="Q6" s="50" t="s">
        <v>961</v>
      </c>
      <c r="R6" s="50" t="s">
        <v>961</v>
      </c>
      <c r="S6" s="50" t="s">
        <v>961</v>
      </c>
      <c r="T6" s="50" t="s">
        <v>961</v>
      </c>
      <c r="U6" s="50" t="s">
        <v>961</v>
      </c>
      <c r="V6" s="50" t="s">
        <v>961</v>
      </c>
      <c r="W6" s="50" t="s">
        <v>961</v>
      </c>
      <c r="X6" s="50" t="s">
        <v>961</v>
      </c>
      <c r="Y6" s="50" t="s">
        <v>961</v>
      </c>
    </row>
    <row r="7" spans="2:25">
      <c r="B7" s="50" t="s">
        <v>915</v>
      </c>
      <c r="C7" s="50">
        <v>5</v>
      </c>
      <c r="D7" s="50" t="s">
        <v>964</v>
      </c>
      <c r="E7" s="95" t="s">
        <v>961</v>
      </c>
      <c r="F7" s="50">
        <v>1</v>
      </c>
      <c r="G7" s="95" t="s">
        <v>961</v>
      </c>
      <c r="H7" s="50" t="s">
        <v>1046</v>
      </c>
      <c r="I7" s="50" t="s">
        <v>961</v>
      </c>
      <c r="J7" s="50" t="s">
        <v>961</v>
      </c>
      <c r="K7" s="50" t="s">
        <v>961</v>
      </c>
      <c r="L7" s="50" t="s">
        <v>961</v>
      </c>
      <c r="M7" s="50" t="s">
        <v>961</v>
      </c>
      <c r="N7" s="50" t="s">
        <v>961</v>
      </c>
      <c r="O7" s="50" t="s">
        <v>961</v>
      </c>
      <c r="P7" s="50" t="s">
        <v>961</v>
      </c>
      <c r="Q7" s="50" t="s">
        <v>961</v>
      </c>
      <c r="R7" s="50" t="s">
        <v>961</v>
      </c>
      <c r="S7" s="50" t="s">
        <v>961</v>
      </c>
      <c r="T7" s="50" t="s">
        <v>961</v>
      </c>
      <c r="U7" s="50" t="s">
        <v>961</v>
      </c>
      <c r="V7" s="50" t="s">
        <v>961</v>
      </c>
      <c r="W7" s="50" t="s">
        <v>961</v>
      </c>
      <c r="X7" s="50" t="s">
        <v>961</v>
      </c>
      <c r="Y7" s="50" t="s">
        <v>961</v>
      </c>
    </row>
    <row r="8" spans="2:25">
      <c r="B8" s="50" t="s">
        <v>916</v>
      </c>
      <c r="C8" s="50">
        <v>6</v>
      </c>
      <c r="D8" s="50" t="s">
        <v>1324</v>
      </c>
      <c r="E8" s="95">
        <v>45390</v>
      </c>
      <c r="F8" s="50">
        <v>1</v>
      </c>
      <c r="G8" s="50" cm="1">
        <f t="array" ref="G8">SUMPRODUCT(--(I8:Y8&gt;0))/COUNTA(I8:Y8)</f>
        <v>1</v>
      </c>
      <c r="H8" s="50" t="s">
        <v>1046</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919</v>
      </c>
      <c r="C9" s="50">
        <v>7</v>
      </c>
      <c r="D9" s="50" t="s">
        <v>1325</v>
      </c>
      <c r="E9" s="95">
        <v>45390</v>
      </c>
      <c r="F9" s="50">
        <v>1</v>
      </c>
      <c r="G9" s="50" t="e" cm="1">
        <f t="array" aca="1" ref="G9" ca="1">SUMPRODUCT(--(I9:Y9&lt;=I26:Y26))/COUNTA(I26:Y26)</f>
        <v>#NAME?</v>
      </c>
      <c r="H9" s="50" t="s">
        <v>1046</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922</v>
      </c>
      <c r="C10" s="50">
        <v>8</v>
      </c>
      <c r="D10" s="50" t="s">
        <v>1326</v>
      </c>
      <c r="E10" s="95">
        <v>45390</v>
      </c>
      <c r="F10" s="50">
        <v>1</v>
      </c>
      <c r="G10" s="95" t="s">
        <v>961</v>
      </c>
      <c r="H10" s="50" t="s">
        <v>1046</v>
      </c>
      <c r="I10" s="50">
        <v>89</v>
      </c>
      <c r="J10" s="50">
        <v>19950000013</v>
      </c>
      <c r="K10" s="50" t="e">
        <v>#N/A</v>
      </c>
      <c r="L10" s="50" t="e">
        <v>#N/A</v>
      </c>
      <c r="M10" s="50">
        <v>7.7800000002008096E+21</v>
      </c>
      <c r="N10" s="50" t="e">
        <v>#N/A</v>
      </c>
      <c r="O10" s="50" t="e">
        <v>#N/A</v>
      </c>
      <c r="P10" s="50">
        <v>7.7800000002008096E+21</v>
      </c>
      <c r="Q10" s="95">
        <v>32265</v>
      </c>
      <c r="R10" s="95">
        <v>36556</v>
      </c>
      <c r="S10" s="50" t="s">
        <v>1327</v>
      </c>
      <c r="T10" s="95" t="s">
        <v>970</v>
      </c>
      <c r="U10" s="95" t="s">
        <v>970</v>
      </c>
      <c r="V10" s="50" t="s">
        <v>971</v>
      </c>
      <c r="W10" s="95" t="s">
        <v>972</v>
      </c>
      <c r="X10" s="95">
        <v>45390</v>
      </c>
      <c r="Y10" s="50" t="s">
        <v>1328</v>
      </c>
    </row>
    <row r="11" spans="2:25">
      <c r="B11" s="50" t="s">
        <v>924</v>
      </c>
      <c r="C11" s="50">
        <v>9</v>
      </c>
      <c r="D11" s="50" t="s">
        <v>1329</v>
      </c>
      <c r="E11" s="95">
        <v>45390</v>
      </c>
      <c r="F11" s="50">
        <v>1</v>
      </c>
      <c r="G11" s="95" t="s">
        <v>961</v>
      </c>
      <c r="H11" s="50" t="s">
        <v>1046</v>
      </c>
      <c r="I11" s="50">
        <v>31</v>
      </c>
      <c r="J11" s="50">
        <v>19950000013</v>
      </c>
      <c r="K11" s="50"/>
      <c r="L11" s="50" t="e">
        <v>#N/A</v>
      </c>
      <c r="M11" s="50">
        <v>7.7800000002008096E+21</v>
      </c>
      <c r="N11" s="50"/>
      <c r="O11" s="50" t="e">
        <v>#N/A</v>
      </c>
      <c r="P11" s="50" t="s">
        <v>1330</v>
      </c>
      <c r="Q11" s="95">
        <v>32265</v>
      </c>
      <c r="R11" s="95">
        <v>36556</v>
      </c>
      <c r="S11" s="50" t="s">
        <v>1327</v>
      </c>
      <c r="T11" s="95" t="s">
        <v>1046</v>
      </c>
      <c r="U11" s="95" t="s">
        <v>1046</v>
      </c>
      <c r="V11" s="50">
        <v>5</v>
      </c>
      <c r="W11" s="95" t="s">
        <v>976</v>
      </c>
      <c r="X11" s="95">
        <v>45390</v>
      </c>
      <c r="Y11" s="50" t="s">
        <v>1331</v>
      </c>
    </row>
    <row r="12" spans="2:25" s="180" customFormat="1">
      <c r="B12" s="179" t="s">
        <v>926</v>
      </c>
      <c r="C12" s="179" t="s">
        <v>1332</v>
      </c>
      <c r="D12" s="179" t="s">
        <v>1333</v>
      </c>
      <c r="E12" s="95">
        <v>45390</v>
      </c>
      <c r="F12" s="50">
        <v>1</v>
      </c>
      <c r="G12" s="95" t="s">
        <v>961</v>
      </c>
      <c r="H12" s="179" t="s">
        <v>1046</v>
      </c>
      <c r="I12" s="179" t="s">
        <v>1334</v>
      </c>
      <c r="J12" s="179" t="s">
        <v>1335</v>
      </c>
      <c r="K12" s="179" t="s">
        <v>1336</v>
      </c>
      <c r="L12" s="179" t="s">
        <v>1337</v>
      </c>
      <c r="M12" s="179" t="s">
        <v>1338</v>
      </c>
      <c r="N12" s="179" t="s">
        <v>1336</v>
      </c>
      <c r="O12" s="179" t="s">
        <v>1337</v>
      </c>
      <c r="P12" s="179" t="s">
        <v>1338</v>
      </c>
      <c r="Q12" s="179" t="s">
        <v>1339</v>
      </c>
      <c r="R12" s="179" t="s">
        <v>1340</v>
      </c>
      <c r="S12" s="179" t="s">
        <v>1341</v>
      </c>
      <c r="T12" s="179" t="s">
        <v>1342</v>
      </c>
      <c r="U12" s="179" t="s">
        <v>1343</v>
      </c>
      <c r="V12" s="179" t="s">
        <v>971</v>
      </c>
      <c r="W12" s="179" t="s">
        <v>972</v>
      </c>
      <c r="X12" s="179" t="s">
        <v>1344</v>
      </c>
      <c r="Y12" s="179" t="s">
        <v>1328</v>
      </c>
    </row>
    <row r="13" spans="2:25" s="180" customFormat="1">
      <c r="B13" s="179" t="s">
        <v>928</v>
      </c>
      <c r="C13" s="179" t="s">
        <v>1345</v>
      </c>
      <c r="D13" s="179" t="s">
        <v>1346</v>
      </c>
      <c r="E13" s="95">
        <v>45390</v>
      </c>
      <c r="F13" s="50">
        <v>1</v>
      </c>
      <c r="G13" s="95" t="s">
        <v>961</v>
      </c>
      <c r="H13" s="179" t="s">
        <v>1046</v>
      </c>
      <c r="I13" s="179" t="s">
        <v>1336</v>
      </c>
      <c r="J13" s="179" t="s">
        <v>1335</v>
      </c>
      <c r="K13" s="179" t="s">
        <v>1347</v>
      </c>
      <c r="L13" s="179" t="s">
        <v>1337</v>
      </c>
      <c r="M13" s="179" t="s">
        <v>1338</v>
      </c>
      <c r="N13" s="179" t="s">
        <v>1347</v>
      </c>
      <c r="O13" s="179" t="s">
        <v>1337</v>
      </c>
      <c r="P13" s="179" t="s">
        <v>1338</v>
      </c>
      <c r="Q13" s="179" t="s">
        <v>1339</v>
      </c>
      <c r="R13" s="179" t="s">
        <v>1340</v>
      </c>
      <c r="S13" s="179" t="s">
        <v>1341</v>
      </c>
      <c r="T13" s="179" t="s">
        <v>1348</v>
      </c>
      <c r="U13" s="179" t="s">
        <v>1349</v>
      </c>
      <c r="V13" s="179" t="s">
        <v>1350</v>
      </c>
      <c r="W13" s="179" t="s">
        <v>976</v>
      </c>
      <c r="X13" s="179" t="s">
        <v>1344</v>
      </c>
      <c r="Y13" s="179" t="s">
        <v>1351</v>
      </c>
    </row>
    <row r="14" spans="2:25">
      <c r="B14" s="50" t="s">
        <v>930</v>
      </c>
      <c r="C14" s="50">
        <v>12</v>
      </c>
      <c r="D14" s="50" t="s">
        <v>1352</v>
      </c>
      <c r="E14" s="95">
        <v>45390</v>
      </c>
      <c r="F14" s="50">
        <v>1</v>
      </c>
      <c r="G14" s="50">
        <v>0.65</v>
      </c>
      <c r="H14" s="50" t="s">
        <v>1046</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932</v>
      </c>
      <c r="C15" s="50">
        <v>13</v>
      </c>
      <c r="D15" s="50" t="s">
        <v>1353</v>
      </c>
      <c r="E15" s="95">
        <v>45390</v>
      </c>
      <c r="F15" s="50">
        <v>1</v>
      </c>
      <c r="G15" s="98">
        <v>1</v>
      </c>
      <c r="H15" s="50" t="s">
        <v>1046</v>
      </c>
      <c r="I15" s="50" t="s">
        <v>961</v>
      </c>
      <c r="J15" s="50" t="s">
        <v>961</v>
      </c>
      <c r="K15" s="50" t="s">
        <v>961</v>
      </c>
      <c r="L15" s="50" t="s">
        <v>961</v>
      </c>
      <c r="M15" s="50" t="s">
        <v>961</v>
      </c>
      <c r="N15" s="50" t="s">
        <v>961</v>
      </c>
      <c r="O15" s="50" t="s">
        <v>961</v>
      </c>
      <c r="P15" s="50" t="s">
        <v>961</v>
      </c>
      <c r="Q15" s="50">
        <v>0</v>
      </c>
      <c r="R15" s="50">
        <v>0</v>
      </c>
      <c r="S15" s="50" t="s">
        <v>961</v>
      </c>
      <c r="T15" s="50" t="s">
        <v>961</v>
      </c>
      <c r="U15" s="50" t="s">
        <v>961</v>
      </c>
      <c r="V15" s="50" t="s">
        <v>961</v>
      </c>
      <c r="W15" s="50" t="s">
        <v>961</v>
      </c>
      <c r="X15" s="50" t="s">
        <v>961</v>
      </c>
      <c r="Y15" s="50" t="s">
        <v>961</v>
      </c>
    </row>
    <row r="16" spans="2:25">
      <c r="B16" s="50" t="s">
        <v>934</v>
      </c>
      <c r="C16" s="50">
        <v>14</v>
      </c>
      <c r="D16" s="50" t="s">
        <v>1354</v>
      </c>
      <c r="E16" s="95">
        <v>45390</v>
      </c>
      <c r="F16" s="50">
        <v>1</v>
      </c>
      <c r="G16" s="98">
        <v>1</v>
      </c>
      <c r="H16" s="50" t="s">
        <v>1046</v>
      </c>
      <c r="I16" s="50">
        <v>0</v>
      </c>
      <c r="J16" s="50">
        <v>0</v>
      </c>
      <c r="K16" s="50">
        <v>0</v>
      </c>
      <c r="L16" s="50">
        <v>0</v>
      </c>
      <c r="M16" s="50" t="s">
        <v>961</v>
      </c>
      <c r="N16" s="50">
        <v>0</v>
      </c>
      <c r="O16" s="50">
        <v>0</v>
      </c>
      <c r="P16" s="50" t="s">
        <v>961</v>
      </c>
      <c r="Q16" s="50" t="s">
        <v>961</v>
      </c>
      <c r="R16" s="50" t="s">
        <v>961</v>
      </c>
      <c r="S16" s="50">
        <v>0</v>
      </c>
      <c r="T16" s="50" t="s">
        <v>961</v>
      </c>
      <c r="U16" s="50" t="s">
        <v>961</v>
      </c>
      <c r="V16" s="50">
        <v>0</v>
      </c>
      <c r="W16" s="50">
        <v>0</v>
      </c>
      <c r="X16" s="50" t="s">
        <v>961</v>
      </c>
      <c r="Y16" s="50" t="s">
        <v>961</v>
      </c>
    </row>
    <row r="17" spans="2:25">
      <c r="B17" s="50" t="s">
        <v>1355</v>
      </c>
      <c r="C17" s="50">
        <v>15</v>
      </c>
      <c r="D17" s="50" t="s">
        <v>1356</v>
      </c>
      <c r="E17" s="95">
        <v>45390</v>
      </c>
      <c r="F17" s="50">
        <v>1</v>
      </c>
      <c r="G17" s="98">
        <v>1</v>
      </c>
      <c r="H17" s="98" t="s">
        <v>1321</v>
      </c>
      <c r="I17" s="50" t="s">
        <v>961</v>
      </c>
      <c r="J17" s="50" t="s">
        <v>961</v>
      </c>
      <c r="K17" s="50" t="s">
        <v>961</v>
      </c>
      <c r="L17" s="50" t="s">
        <v>961</v>
      </c>
      <c r="M17" s="50" t="s">
        <v>961</v>
      </c>
      <c r="N17" s="50" t="s">
        <v>961</v>
      </c>
      <c r="O17" s="50" t="s">
        <v>961</v>
      </c>
      <c r="P17" s="50" t="s">
        <v>961</v>
      </c>
      <c r="Q17" s="50" t="s">
        <v>961</v>
      </c>
      <c r="R17" s="50" t="s">
        <v>961</v>
      </c>
      <c r="S17" s="50" t="s">
        <v>961</v>
      </c>
      <c r="T17" s="50" t="s">
        <v>961</v>
      </c>
      <c r="U17" s="50" t="s">
        <v>961</v>
      </c>
      <c r="V17" s="50" t="s">
        <v>961</v>
      </c>
      <c r="W17" s="50" t="s">
        <v>961</v>
      </c>
      <c r="X17" s="50" t="s">
        <v>961</v>
      </c>
      <c r="Y17" s="50" t="s">
        <v>961</v>
      </c>
    </row>
    <row r="18" spans="2:25">
      <c r="B18" s="50" t="s">
        <v>1357</v>
      </c>
      <c r="C18" s="50">
        <v>16</v>
      </c>
      <c r="D18" s="50" t="s">
        <v>1356</v>
      </c>
      <c r="E18" s="95">
        <v>45390</v>
      </c>
      <c r="F18" s="50">
        <v>1</v>
      </c>
      <c r="G18" s="98">
        <v>1</v>
      </c>
      <c r="H18" s="98" t="s">
        <v>1321</v>
      </c>
      <c r="I18" s="50" t="s">
        <v>961</v>
      </c>
      <c r="J18" s="50" t="s">
        <v>961</v>
      </c>
      <c r="K18" s="50" t="s">
        <v>961</v>
      </c>
      <c r="L18" s="50" t="s">
        <v>961</v>
      </c>
      <c r="M18" s="50" t="s">
        <v>961</v>
      </c>
      <c r="N18" s="50" t="s">
        <v>961</v>
      </c>
      <c r="O18" s="50" t="s">
        <v>961</v>
      </c>
      <c r="P18" s="50" t="s">
        <v>961</v>
      </c>
      <c r="Q18" s="50" t="s">
        <v>961</v>
      </c>
      <c r="R18" s="50" t="s">
        <v>961</v>
      </c>
      <c r="S18" s="50" t="s">
        <v>961</v>
      </c>
      <c r="T18" s="50" t="s">
        <v>961</v>
      </c>
      <c r="U18" s="50" t="s">
        <v>961</v>
      </c>
      <c r="V18" s="50" t="s">
        <v>961</v>
      </c>
      <c r="W18" s="50" t="s">
        <v>961</v>
      </c>
      <c r="X18" s="50" t="s">
        <v>961</v>
      </c>
      <c r="Y18" s="50" t="s">
        <v>961</v>
      </c>
    </row>
    <row r="19" spans="2:25">
      <c r="B19" s="50" t="s">
        <v>944</v>
      </c>
      <c r="C19" s="50">
        <v>19</v>
      </c>
      <c r="D19" s="50" t="s">
        <v>1358</v>
      </c>
      <c r="E19" s="95">
        <v>45390</v>
      </c>
      <c r="F19" s="50">
        <v>1</v>
      </c>
      <c r="G19" s="98" cm="1">
        <f t="array" aca="1" ref="G19" ca="1">SUMPRODUCT(--(ISNUMBER((SEARCH(I25:W25,I19:W19)))))/COUNTA(I19:W19)</f>
        <v>0</v>
      </c>
      <c r="H19" s="50" t="s">
        <v>1046</v>
      </c>
      <c r="I19" s="50" t="s">
        <v>995</v>
      </c>
      <c r="J19" s="50" t="s">
        <v>995</v>
      </c>
      <c r="K19" s="50" t="s">
        <v>995</v>
      </c>
      <c r="L19" s="50" t="s">
        <v>995</v>
      </c>
      <c r="M19" s="50" t="s">
        <v>995</v>
      </c>
      <c r="N19" s="50" t="s">
        <v>995</v>
      </c>
      <c r="O19" s="50" t="s">
        <v>995</v>
      </c>
      <c r="P19" s="50" t="s">
        <v>995</v>
      </c>
      <c r="Q19" s="50" t="s">
        <v>1316</v>
      </c>
      <c r="R19" s="50" t="s">
        <v>1316</v>
      </c>
      <c r="S19" s="50" t="s">
        <v>995</v>
      </c>
      <c r="T19" s="50" t="s">
        <v>996</v>
      </c>
      <c r="U19" s="50" t="s">
        <v>996</v>
      </c>
      <c r="V19" s="50" t="s">
        <v>995</v>
      </c>
      <c r="W19" s="50" t="s">
        <v>995</v>
      </c>
      <c r="X19" s="50" t="s">
        <v>995</v>
      </c>
      <c r="Y19" s="50" t="s">
        <v>997</v>
      </c>
    </row>
    <row r="20" spans="2:25">
      <c r="B20" s="50" t="s">
        <v>947</v>
      </c>
      <c r="C20" s="50">
        <v>20</v>
      </c>
      <c r="D20" s="50" t="s">
        <v>1358</v>
      </c>
      <c r="E20" s="95">
        <v>45390</v>
      </c>
      <c r="F20" s="50">
        <v>1</v>
      </c>
      <c r="G20" s="98" t="e" cm="1">
        <f t="array" aca="1" ref="G20" ca="1">SUM(IF(I2:Y2 = I24:Y24, 1, 0))/ COUNTA(I2:Y2)</f>
        <v>#NAME?</v>
      </c>
      <c r="H20" s="50"/>
      <c r="I20" s="50"/>
      <c r="J20" s="50"/>
      <c r="K20" s="50"/>
      <c r="L20" s="50"/>
      <c r="M20" s="50"/>
      <c r="N20" s="50"/>
      <c r="O20" s="50"/>
      <c r="P20" s="50"/>
      <c r="Q20" s="50"/>
      <c r="R20" s="50"/>
      <c r="S20" s="50"/>
      <c r="T20" s="50"/>
      <c r="U20" s="50"/>
      <c r="V20" s="50"/>
      <c r="W20" s="50"/>
      <c r="X20" s="50"/>
      <c r="Y20" s="50"/>
    </row>
    <row r="21" spans="2:25">
      <c r="B21" s="50" t="s">
        <v>950</v>
      </c>
      <c r="C21" s="50">
        <v>21</v>
      </c>
      <c r="D21" s="50" t="s">
        <v>1358</v>
      </c>
      <c r="E21" s="95">
        <v>45390</v>
      </c>
      <c r="F21" s="50">
        <v>1</v>
      </c>
      <c r="G21" s="50" t="e" cm="1">
        <f t="array" aca="1" ref="G21" ca="1">SUM(IF(IF(G3:G20="null",1,G3:G20)=1,1,0))/COUNT(IF(G3:G20="null",1,1))</f>
        <v>#NAME?</v>
      </c>
      <c r="H21" s="50"/>
      <c r="I21" s="50"/>
      <c r="J21" s="50"/>
      <c r="K21" s="50"/>
      <c r="L21" s="50"/>
      <c r="M21" s="50"/>
      <c r="N21" s="50"/>
      <c r="O21" s="50"/>
      <c r="P21" s="50"/>
      <c r="Q21" s="50"/>
      <c r="R21" s="50"/>
      <c r="S21" s="50"/>
      <c r="T21" s="50"/>
      <c r="U21" s="50"/>
      <c r="V21" s="50"/>
      <c r="W21" s="50"/>
      <c r="X21" s="50"/>
      <c r="Y21" s="50"/>
    </row>
    <row r="22" spans="2:25">
      <c r="B22" s="50"/>
      <c r="C22" s="50"/>
      <c r="D22" s="50"/>
      <c r="E22" s="95"/>
      <c r="F22" s="50"/>
      <c r="G22" s="50"/>
      <c r="H22" s="50"/>
      <c r="I22" s="50"/>
      <c r="J22" s="50"/>
      <c r="K22" s="50"/>
      <c r="L22" s="50"/>
      <c r="M22" s="50"/>
      <c r="N22" s="50"/>
      <c r="O22" s="50"/>
      <c r="P22" s="50"/>
      <c r="Q22" s="50"/>
      <c r="R22" s="50"/>
      <c r="S22" s="50"/>
      <c r="T22" s="50"/>
      <c r="U22" s="50"/>
      <c r="V22" s="50"/>
      <c r="W22" s="50"/>
      <c r="X22" s="50"/>
      <c r="Y22" s="50"/>
    </row>
    <row r="23" spans="2:25">
      <c r="B23" s="127" t="s">
        <v>1067</v>
      </c>
    </row>
    <row r="24" spans="2:25">
      <c r="B24" s="133" t="s">
        <v>953</v>
      </c>
      <c r="C24" s="129" t="s">
        <v>954</v>
      </c>
      <c r="D24" s="129" t="s">
        <v>955</v>
      </c>
      <c r="E24" s="129" t="s">
        <v>956</v>
      </c>
      <c r="F24" s="129" t="s">
        <v>957</v>
      </c>
      <c r="G24" s="129" t="s">
        <v>958</v>
      </c>
      <c r="H24" s="129" t="s">
        <v>959</v>
      </c>
      <c r="I24" s="129" t="e" cm="1">
        <f t="array" aca="1" ref="I24:Y24" ca="1">TRANSPOSE(_xlfn.SORTBY(_xlfn._xlws.FILTER(Table3[NOME FÍSICO CAMPO],Table3[NOME FÍSICO TABELA]="factoring_process"), _xlfn._xlws.FILTER(Table3[ORDEM], Table3[NOME FÍSICO TABELA]="factoring_process"), 1))</f>
        <v>#NAME?</v>
      </c>
      <c r="J24" s="129" t="e">
        <f ca="1"/>
        <v>#NAME?</v>
      </c>
      <c r="K24" s="129" t="e">
        <f ca="1"/>
        <v>#NAME?</v>
      </c>
      <c r="L24" s="129" t="e">
        <f ca="1"/>
        <v>#NAME?</v>
      </c>
      <c r="M24" s="129" t="e">
        <f ca="1"/>
        <v>#NAME?</v>
      </c>
      <c r="N24" s="129" t="e">
        <f ca="1"/>
        <v>#NAME?</v>
      </c>
      <c r="O24" s="129" t="e">
        <f ca="1"/>
        <v>#NAME?</v>
      </c>
      <c r="P24" s="129" t="e">
        <f ca="1"/>
        <v>#NAME?</v>
      </c>
      <c r="Q24" s="129" t="e">
        <f ca="1"/>
        <v>#NAME?</v>
      </c>
      <c r="R24" s="129" t="e">
        <f ca="1"/>
        <v>#NAME?</v>
      </c>
      <c r="S24" s="129" t="e">
        <f ca="1"/>
        <v>#NAME?</v>
      </c>
      <c r="T24" s="129" t="e">
        <f ca="1"/>
        <v>#NAME?</v>
      </c>
      <c r="U24" s="129" t="e">
        <f ca="1"/>
        <v>#NAME?</v>
      </c>
      <c r="V24" s="129" t="e">
        <f ca="1"/>
        <v>#NAME?</v>
      </c>
      <c r="W24" s="129" t="e">
        <f ca="1"/>
        <v>#NAME?</v>
      </c>
      <c r="X24" s="129" t="e">
        <f ca="1"/>
        <v>#NAME?</v>
      </c>
      <c r="Y24" s="129" t="e">
        <f ca="1"/>
        <v>#NAME?</v>
      </c>
    </row>
    <row r="25" spans="2:25">
      <c r="B25" s="107" t="s">
        <v>998</v>
      </c>
      <c r="C25" s="110">
        <v>16</v>
      </c>
      <c r="D25" s="104" t="s">
        <v>999</v>
      </c>
      <c r="E25" s="103" t="s">
        <v>1000</v>
      </c>
      <c r="F25" s="103" t="s">
        <v>206</v>
      </c>
      <c r="G25" s="103" t="s">
        <v>206</v>
      </c>
      <c r="H25" s="103" t="s">
        <v>206</v>
      </c>
      <c r="I25" s="103" t="e" cm="1">
        <f t="array" aca="1" ref="I25:Y26" ca="1">TRANSPOSE(_xlfn.SORTBY(_xlfn._xlws.FILTER(IF(Table3[FORMATO]:Table3[COMP_ CAMPO]&lt;&gt;"",Table3[FORMATO]:Table3[COMP_ CAMPO],9999999),Table3[NOME FÍSICO TABELA]="factoring_process"), _xlfn._xlws.FILTER(Table3[ORDEM], Table3[NOME FÍSICO TABELA]="factoring_process"), 1))</f>
        <v>#NAME?</v>
      </c>
      <c r="J25" s="103" t="e">
        <f ca="1"/>
        <v>#NAME?</v>
      </c>
      <c r="K25" s="103" t="e">
        <f ca="1"/>
        <v>#NAME?</v>
      </c>
      <c r="L25" s="103" t="e">
        <f ca="1"/>
        <v>#NAME?</v>
      </c>
      <c r="M25" s="103" t="e">
        <f ca="1"/>
        <v>#NAME?</v>
      </c>
      <c r="N25" s="103" t="e">
        <f ca="1"/>
        <v>#NAME?</v>
      </c>
      <c r="O25" s="103" t="e">
        <f ca="1"/>
        <v>#NAME?</v>
      </c>
      <c r="P25" s="103" t="e">
        <f ca="1"/>
        <v>#NAME?</v>
      </c>
      <c r="Q25" s="103" t="e">
        <f ca="1"/>
        <v>#NAME?</v>
      </c>
      <c r="R25" s="103" t="e">
        <f ca="1"/>
        <v>#NAME?</v>
      </c>
      <c r="S25" s="103" t="e">
        <f ca="1"/>
        <v>#NAME?</v>
      </c>
      <c r="T25" s="103" t="e">
        <f ca="1"/>
        <v>#NAME?</v>
      </c>
      <c r="U25" s="103" t="e">
        <f ca="1"/>
        <v>#NAME?</v>
      </c>
      <c r="V25" s="103" t="e">
        <f ca="1"/>
        <v>#NAME?</v>
      </c>
      <c r="W25" s="103" t="e">
        <f ca="1"/>
        <v>#NAME?</v>
      </c>
      <c r="X25" s="103" t="e">
        <f ca="1"/>
        <v>#NAME?</v>
      </c>
      <c r="Y25" s="103" t="e">
        <f ca="1"/>
        <v>#NAME?</v>
      </c>
    </row>
    <row r="26" spans="2:25">
      <c r="B26" s="107" t="s">
        <v>1001</v>
      </c>
      <c r="C26" s="110">
        <v>7</v>
      </c>
      <c r="D26" s="104" t="s">
        <v>999</v>
      </c>
      <c r="E26" s="103" t="s">
        <v>1000</v>
      </c>
      <c r="F26" s="105" t="s">
        <v>206</v>
      </c>
      <c r="G26" s="105" t="s">
        <v>206</v>
      </c>
      <c r="H26" s="105" t="s">
        <v>206</v>
      </c>
      <c r="I26" s="151" t="e">
        <f ca="1"/>
        <v>#NAME?</v>
      </c>
      <c r="J26" s="151" t="e">
        <f ca="1"/>
        <v>#NAME?</v>
      </c>
      <c r="K26" s="151" t="e">
        <f ca="1"/>
        <v>#NAME?</v>
      </c>
      <c r="L26" s="151" t="e">
        <f ca="1"/>
        <v>#NAME?</v>
      </c>
      <c r="M26" s="151" t="e">
        <f ca="1"/>
        <v>#NAME?</v>
      </c>
      <c r="N26" s="151" t="e">
        <f ca="1"/>
        <v>#NAME?</v>
      </c>
      <c r="O26" s="151" t="e">
        <f ca="1"/>
        <v>#NAME?</v>
      </c>
      <c r="P26" s="151" t="e">
        <f ca="1"/>
        <v>#NAME?</v>
      </c>
      <c r="Q26" s="151" t="e">
        <f ca="1"/>
        <v>#NAME?</v>
      </c>
      <c r="R26" s="151" t="e">
        <f ca="1"/>
        <v>#NAME?</v>
      </c>
      <c r="S26" s="151" t="e">
        <f ca="1"/>
        <v>#NAME?</v>
      </c>
      <c r="T26" s="151" t="e">
        <f ca="1"/>
        <v>#NAME?</v>
      </c>
      <c r="U26" s="151" t="e">
        <f ca="1"/>
        <v>#NAME?</v>
      </c>
      <c r="V26" s="151" t="e">
        <f ca="1"/>
        <v>#NAME?</v>
      </c>
      <c r="W26" s="151" t="e">
        <f ca="1"/>
        <v>#NAME?</v>
      </c>
      <c r="X26" s="151" t="e">
        <f ca="1"/>
        <v>#NAME?</v>
      </c>
      <c r="Y26" s="151" t="e">
        <f ca="1"/>
        <v>#NAME?</v>
      </c>
    </row>
    <row r="28" spans="2:25">
      <c r="B28" s="140" t="s">
        <v>1002</v>
      </c>
    </row>
    <row r="29" spans="2:25">
      <c r="B29" s="134" t="s">
        <v>1003</v>
      </c>
      <c r="C29" s="134" t="s">
        <v>1004</v>
      </c>
      <c r="D29" s="135" t="s">
        <v>1005</v>
      </c>
      <c r="E29" s="134" t="s">
        <v>1006</v>
      </c>
      <c r="F29" s="134" t="s">
        <v>1007</v>
      </c>
    </row>
    <row r="30" spans="2:25" ht="43.5">
      <c r="B30" s="177" t="s">
        <v>1008</v>
      </c>
      <c r="C30" s="178" t="s">
        <v>132</v>
      </c>
      <c r="D30" s="57" t="s">
        <v>1359</v>
      </c>
      <c r="E30" s="97" t="s">
        <v>1360</v>
      </c>
      <c r="F30" s="136" t="s">
        <v>1014</v>
      </c>
      <c r="I30" t="s">
        <v>1361</v>
      </c>
    </row>
    <row r="31" spans="2:25" ht="43.5">
      <c r="B31" s="177" t="s">
        <v>1008</v>
      </c>
      <c r="C31" s="178" t="s">
        <v>135</v>
      </c>
      <c r="D31" s="57" t="s">
        <v>1359</v>
      </c>
      <c r="E31" s="97" t="s">
        <v>1360</v>
      </c>
      <c r="F31" s="136" t="s">
        <v>1014</v>
      </c>
    </row>
    <row r="32" spans="2:25" ht="43.5">
      <c r="B32" s="177" t="s">
        <v>1008</v>
      </c>
      <c r="C32" s="122" t="s">
        <v>537</v>
      </c>
      <c r="D32" s="57" t="s">
        <v>1359</v>
      </c>
      <c r="E32" s="97" t="s">
        <v>1360</v>
      </c>
      <c r="F32" s="136" t="s">
        <v>1014</v>
      </c>
    </row>
    <row r="33" spans="2:16" ht="43.5">
      <c r="B33" s="177" t="s">
        <v>1008</v>
      </c>
      <c r="C33" s="122" t="s">
        <v>538</v>
      </c>
      <c r="D33" s="57" t="s">
        <v>1359</v>
      </c>
      <c r="E33" s="97" t="s">
        <v>1360</v>
      </c>
      <c r="F33" s="136" t="s">
        <v>1014</v>
      </c>
    </row>
    <row r="34" spans="2:16" ht="43.5">
      <c r="B34" s="177" t="s">
        <v>1008</v>
      </c>
      <c r="C34" s="122" t="s">
        <v>539</v>
      </c>
      <c r="D34" s="57" t="s">
        <v>1359</v>
      </c>
      <c r="E34" s="97" t="s">
        <v>1360</v>
      </c>
      <c r="F34" s="136" t="s">
        <v>1014</v>
      </c>
    </row>
    <row r="35" spans="2:16" ht="43.5">
      <c r="B35" s="177" t="s">
        <v>1008</v>
      </c>
      <c r="C35" s="122" t="s">
        <v>540</v>
      </c>
      <c r="D35" s="57" t="s">
        <v>1359</v>
      </c>
      <c r="E35" s="97" t="s">
        <v>1360</v>
      </c>
      <c r="F35" s="136" t="s">
        <v>1014</v>
      </c>
    </row>
    <row r="38" spans="2:16">
      <c r="I38" s="158"/>
      <c r="J38" s="158"/>
      <c r="K38" s="158"/>
      <c r="L38" s="158"/>
      <c r="M38" s="158"/>
      <c r="N38" s="158"/>
      <c r="O38" s="158"/>
      <c r="P38" s="158"/>
    </row>
    <row r="39" spans="2:16">
      <c r="I39" s="158"/>
      <c r="J39" s="158"/>
      <c r="K39" s="158"/>
      <c r="L39" s="158"/>
      <c r="M39" s="158"/>
      <c r="N39" s="158"/>
      <c r="O39" s="158"/>
      <c r="P39" s="15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D54"/>
  <sheetViews>
    <sheetView showGridLines="0" topLeftCell="B1" workbookViewId="0">
      <selection activeCell="G8" sqref="G8:G9"/>
    </sheetView>
  </sheetViews>
  <sheetFormatPr defaultRowHeight="14.5"/>
  <cols>
    <col min="2" max="2" width="30.7265625" bestFit="1" customWidth="1"/>
    <col min="3" max="3" width="22.54296875" bestFit="1" customWidth="1"/>
    <col min="4" max="4" width="88.81640625" customWidth="1"/>
    <col min="5" max="5" width="30.453125" bestFit="1" customWidth="1"/>
    <col min="6" max="6" width="15" bestFit="1" customWidth="1"/>
    <col min="7" max="7" width="9.81640625" bestFit="1" customWidth="1"/>
    <col min="8" max="8" width="16.453125" bestFit="1" customWidth="1"/>
    <col min="9" max="9" width="30.7265625" bestFit="1" customWidth="1"/>
    <col min="10" max="10" width="18.453125" bestFit="1" customWidth="1"/>
    <col min="11" max="15" width="30.7265625" bestFit="1" customWidth="1"/>
    <col min="16" max="16" width="28.81640625" bestFit="1" customWidth="1"/>
    <col min="17" max="17" width="16.7265625" bestFit="1" customWidth="1"/>
    <col min="18" max="19" width="30.7265625" bestFit="1" customWidth="1"/>
  </cols>
  <sheetData>
    <row r="1" spans="2:30" ht="35.25" customHeight="1"/>
    <row r="2" spans="2:30">
      <c r="B2" s="76" t="s">
        <v>953</v>
      </c>
      <c r="C2" s="76" t="s">
        <v>954</v>
      </c>
      <c r="D2" s="76" t="s">
        <v>955</v>
      </c>
      <c r="E2" s="76" t="s">
        <v>956</v>
      </c>
      <c r="F2" s="76" t="s">
        <v>957</v>
      </c>
      <c r="G2" s="76" t="s">
        <v>958</v>
      </c>
      <c r="H2" s="76" t="s">
        <v>959</v>
      </c>
      <c r="I2" s="76" t="s">
        <v>235</v>
      </c>
      <c r="J2" s="76" t="s">
        <v>102</v>
      </c>
      <c r="K2" s="76" t="s">
        <v>112</v>
      </c>
      <c r="L2" s="76" t="s">
        <v>238</v>
      </c>
      <c r="M2" s="76" t="s">
        <v>239</v>
      </c>
      <c r="N2" s="76" t="s">
        <v>240</v>
      </c>
      <c r="O2" s="76" t="s">
        <v>241</v>
      </c>
      <c r="P2" s="76" t="s">
        <v>242</v>
      </c>
      <c r="Q2" s="76" t="s">
        <v>244</v>
      </c>
      <c r="R2" s="76" t="s">
        <v>208</v>
      </c>
      <c r="S2" s="76" t="s">
        <v>213</v>
      </c>
    </row>
    <row r="3" spans="2:30">
      <c r="B3" s="50" t="s">
        <v>907</v>
      </c>
      <c r="C3" s="50">
        <v>1</v>
      </c>
      <c r="D3" s="50" t="s">
        <v>1362</v>
      </c>
      <c r="E3" s="95">
        <v>45471</v>
      </c>
      <c r="F3" s="50">
        <v>1</v>
      </c>
      <c r="G3" s="98">
        <v>1</v>
      </c>
      <c r="H3" s="181" t="s">
        <v>1363</v>
      </c>
      <c r="I3" s="50" t="s">
        <v>961</v>
      </c>
      <c r="J3" s="50" t="s">
        <v>961</v>
      </c>
      <c r="K3" s="50" t="s">
        <v>961</v>
      </c>
      <c r="L3" s="50" t="s">
        <v>961</v>
      </c>
      <c r="M3" s="50" t="s">
        <v>961</v>
      </c>
      <c r="N3" s="50" t="s">
        <v>961</v>
      </c>
      <c r="O3" s="50" t="s">
        <v>961</v>
      </c>
      <c r="P3" s="50" t="s">
        <v>961</v>
      </c>
      <c r="Q3" s="50" t="s">
        <v>961</v>
      </c>
      <c r="R3" s="50" t="s">
        <v>961</v>
      </c>
      <c r="S3" s="50" t="s">
        <v>961</v>
      </c>
    </row>
    <row r="4" spans="2:30">
      <c r="B4" s="50" t="s">
        <v>909</v>
      </c>
      <c r="C4" s="50">
        <v>2</v>
      </c>
      <c r="D4" s="50" t="s">
        <v>1364</v>
      </c>
      <c r="E4" s="95">
        <v>45471</v>
      </c>
      <c r="F4" s="50">
        <v>1</v>
      </c>
      <c r="G4" s="98">
        <v>1</v>
      </c>
      <c r="H4" s="50" t="s">
        <v>1046</v>
      </c>
      <c r="I4" s="50" t="s">
        <v>961</v>
      </c>
      <c r="J4" s="50" t="s">
        <v>961</v>
      </c>
      <c r="K4" s="50" t="s">
        <v>961</v>
      </c>
      <c r="L4" s="50" t="s">
        <v>961</v>
      </c>
      <c r="M4" s="50" t="s">
        <v>961</v>
      </c>
      <c r="N4" s="50" t="s">
        <v>961</v>
      </c>
      <c r="O4" s="50" t="s">
        <v>961</v>
      </c>
      <c r="P4" s="50" t="s">
        <v>961</v>
      </c>
      <c r="Q4" s="50" t="s">
        <v>961</v>
      </c>
      <c r="R4" s="50" t="s">
        <v>961</v>
      </c>
      <c r="S4" s="50" t="s">
        <v>961</v>
      </c>
    </row>
    <row r="5" spans="2:30">
      <c r="B5" s="50" t="s">
        <v>911</v>
      </c>
      <c r="C5" s="50">
        <v>3</v>
      </c>
      <c r="D5" s="50" t="s">
        <v>1365</v>
      </c>
      <c r="E5" s="95">
        <v>45471</v>
      </c>
      <c r="F5" s="50">
        <v>1</v>
      </c>
      <c r="G5" s="98">
        <v>1</v>
      </c>
      <c r="H5" s="50" t="s">
        <v>1046</v>
      </c>
      <c r="I5" s="50">
        <v>0</v>
      </c>
      <c r="J5" s="50" t="s">
        <v>961</v>
      </c>
      <c r="K5" s="50" t="s">
        <v>961</v>
      </c>
      <c r="L5" s="50" t="s">
        <v>961</v>
      </c>
      <c r="M5" s="50" t="s">
        <v>961</v>
      </c>
      <c r="N5" s="50" t="s">
        <v>961</v>
      </c>
      <c r="O5" s="50" t="s">
        <v>961</v>
      </c>
      <c r="P5" s="50" t="s">
        <v>961</v>
      </c>
      <c r="Q5" s="50" t="s">
        <v>961</v>
      </c>
      <c r="R5" s="50">
        <v>0</v>
      </c>
      <c r="S5" s="50" t="s">
        <v>961</v>
      </c>
    </row>
    <row r="6" spans="2:30">
      <c r="B6" s="50" t="s">
        <v>913</v>
      </c>
      <c r="C6" s="50">
        <v>4</v>
      </c>
      <c r="D6" s="50" t="s">
        <v>1365</v>
      </c>
      <c r="E6" s="95" t="s">
        <v>961</v>
      </c>
      <c r="F6" s="50">
        <v>1</v>
      </c>
      <c r="G6" s="95" t="s">
        <v>961</v>
      </c>
      <c r="H6" s="50"/>
      <c r="I6" s="50" t="s">
        <v>961</v>
      </c>
      <c r="J6" s="50" t="s">
        <v>961</v>
      </c>
      <c r="K6" s="50" t="s">
        <v>961</v>
      </c>
      <c r="L6" s="50" t="s">
        <v>961</v>
      </c>
      <c r="M6" s="50" t="s">
        <v>961</v>
      </c>
      <c r="N6" s="50" t="s">
        <v>961</v>
      </c>
      <c r="O6" s="50" t="s">
        <v>961</v>
      </c>
      <c r="P6" s="50" t="s">
        <v>961</v>
      </c>
      <c r="Q6" s="50" t="s">
        <v>961</v>
      </c>
      <c r="R6" s="50" t="s">
        <v>961</v>
      </c>
      <c r="S6" s="50" t="s">
        <v>961</v>
      </c>
    </row>
    <row r="7" spans="2:30">
      <c r="B7" s="50" t="s">
        <v>915</v>
      </c>
      <c r="C7" s="50">
        <v>5</v>
      </c>
      <c r="D7" s="50" t="s">
        <v>1365</v>
      </c>
      <c r="E7" s="95" t="s">
        <v>961</v>
      </c>
      <c r="F7" s="50">
        <v>1</v>
      </c>
      <c r="G7" s="95" t="s">
        <v>961</v>
      </c>
      <c r="H7" s="50"/>
      <c r="I7" s="50" t="s">
        <v>961</v>
      </c>
      <c r="J7" s="50" t="s">
        <v>961</v>
      </c>
      <c r="K7" s="50" t="s">
        <v>961</v>
      </c>
      <c r="L7" s="50" t="s">
        <v>961</v>
      </c>
      <c r="M7" s="50" t="s">
        <v>961</v>
      </c>
      <c r="N7" s="50" t="s">
        <v>961</v>
      </c>
      <c r="O7" s="50" t="s">
        <v>961</v>
      </c>
      <c r="P7" s="50" t="s">
        <v>961</v>
      </c>
      <c r="Q7" s="50" t="s">
        <v>961</v>
      </c>
      <c r="R7" s="50" t="s">
        <v>961</v>
      </c>
      <c r="S7" s="50" t="s">
        <v>961</v>
      </c>
    </row>
    <row r="8" spans="2:30">
      <c r="B8" s="97" t="s">
        <v>916</v>
      </c>
      <c r="C8" s="50">
        <v>6</v>
      </c>
      <c r="D8" s="50" t="s">
        <v>1366</v>
      </c>
      <c r="E8" s="95">
        <v>45471</v>
      </c>
      <c r="F8" s="50">
        <v>1</v>
      </c>
      <c r="G8" s="50" cm="1">
        <f t="array" ref="G8">SUMPRODUCT(--(I8:S8&gt;0))/COUNTA(I8:S8)</f>
        <v>1</v>
      </c>
      <c r="H8" s="50" t="s">
        <v>1046</v>
      </c>
      <c r="I8" s="50">
        <v>3</v>
      </c>
      <c r="J8" s="50">
        <v>2</v>
      </c>
      <c r="K8" s="50">
        <v>30</v>
      </c>
      <c r="L8" s="50">
        <v>7</v>
      </c>
      <c r="M8" s="50">
        <v>7</v>
      </c>
      <c r="N8" s="50">
        <v>10</v>
      </c>
      <c r="O8" s="50">
        <v>10</v>
      </c>
      <c r="P8" s="50">
        <v>3</v>
      </c>
      <c r="Q8" s="50">
        <v>1</v>
      </c>
      <c r="R8" s="50">
        <v>10</v>
      </c>
      <c r="S8" s="50">
        <v>23</v>
      </c>
    </row>
    <row r="9" spans="2:30">
      <c r="B9" s="50" t="s">
        <v>919</v>
      </c>
      <c r="C9" s="50">
        <v>7</v>
      </c>
      <c r="D9" s="50" t="s">
        <v>1367</v>
      </c>
      <c r="E9" s="95">
        <v>45471</v>
      </c>
      <c r="F9" s="50">
        <v>1</v>
      </c>
      <c r="G9" s="50" t="e" cm="1">
        <f t="array" aca="1" ref="G9" ca="1">SUMPRODUCT(--(I9:S9&lt;=I28:S28))/COUNTA(I28:S28)</f>
        <v>#NAME?</v>
      </c>
      <c r="H9" s="50" t="s">
        <v>1046</v>
      </c>
      <c r="I9" s="50">
        <v>5</v>
      </c>
      <c r="J9" s="50">
        <v>2</v>
      </c>
      <c r="K9" s="50">
        <v>30</v>
      </c>
      <c r="L9" s="50">
        <v>7</v>
      </c>
      <c r="M9" s="50">
        <v>7</v>
      </c>
      <c r="N9" s="50">
        <v>10</v>
      </c>
      <c r="O9" s="50">
        <v>10</v>
      </c>
      <c r="P9" s="50">
        <v>3</v>
      </c>
      <c r="Q9" s="50">
        <v>238</v>
      </c>
      <c r="R9" s="50">
        <v>10</v>
      </c>
      <c r="S9" s="50">
        <v>23</v>
      </c>
    </row>
    <row r="10" spans="2:30" ht="29">
      <c r="B10" s="50" t="s">
        <v>922</v>
      </c>
      <c r="C10" s="50">
        <v>8</v>
      </c>
      <c r="D10" s="50" t="s">
        <v>1368</v>
      </c>
      <c r="E10" s="95">
        <v>45471</v>
      </c>
      <c r="F10" s="50">
        <v>1</v>
      </c>
      <c r="G10" s="95" t="s">
        <v>961</v>
      </c>
      <c r="H10" s="50" t="s">
        <v>1046</v>
      </c>
      <c r="I10" s="50">
        <v>201</v>
      </c>
      <c r="J10" s="50">
        <v>31</v>
      </c>
      <c r="K10" s="50">
        <v>7.0000079999999997E+21</v>
      </c>
      <c r="L10" s="50" t="s">
        <v>1369</v>
      </c>
      <c r="M10" s="50" t="s">
        <v>1369</v>
      </c>
      <c r="N10" s="96">
        <v>43047</v>
      </c>
      <c r="O10" s="96">
        <v>1</v>
      </c>
      <c r="P10" s="50">
        <v>201</v>
      </c>
      <c r="Q10" s="97" t="s">
        <v>1370</v>
      </c>
      <c r="R10" s="95">
        <v>45471</v>
      </c>
      <c r="S10" s="50" t="s">
        <v>1371</v>
      </c>
    </row>
    <row r="11" spans="2:30" ht="29">
      <c r="B11" s="50" t="s">
        <v>924</v>
      </c>
      <c r="C11" s="50">
        <v>9</v>
      </c>
      <c r="D11" s="50" t="s">
        <v>1372</v>
      </c>
      <c r="E11" s="95">
        <v>45471</v>
      </c>
      <c r="F11" s="50">
        <v>1</v>
      </c>
      <c r="G11" s="95" t="s">
        <v>961</v>
      </c>
      <c r="H11" s="50" t="s">
        <v>1046</v>
      </c>
      <c r="I11" s="50">
        <v>201</v>
      </c>
      <c r="J11" s="50"/>
      <c r="K11" s="50">
        <v>7.0000079999999997E+21</v>
      </c>
      <c r="L11" s="50" t="s">
        <v>1369</v>
      </c>
      <c r="M11" s="50" t="s">
        <v>1369</v>
      </c>
      <c r="N11" s="96">
        <v>43047</v>
      </c>
      <c r="O11" s="96">
        <v>1</v>
      </c>
      <c r="P11" s="50">
        <v>201</v>
      </c>
      <c r="Q11" s="97" t="s">
        <v>1370</v>
      </c>
      <c r="R11" s="95">
        <v>45471</v>
      </c>
      <c r="S11" s="50" t="s">
        <v>1373</v>
      </c>
    </row>
    <row r="12" spans="2:30">
      <c r="B12" s="97" t="s">
        <v>926</v>
      </c>
      <c r="C12" s="50">
        <v>10</v>
      </c>
      <c r="D12" s="50" t="s">
        <v>1374</v>
      </c>
      <c r="E12" s="95">
        <v>45471</v>
      </c>
      <c r="F12" s="50">
        <v>1</v>
      </c>
      <c r="G12" s="95" t="s">
        <v>961</v>
      </c>
      <c r="H12" s="50" t="s">
        <v>1046</v>
      </c>
      <c r="I12" s="50">
        <v>35585</v>
      </c>
      <c r="J12" s="50">
        <v>31</v>
      </c>
      <c r="K12" s="50">
        <v>8.0014189999999995E+24</v>
      </c>
      <c r="L12" s="50" t="s">
        <v>1375</v>
      </c>
      <c r="M12" s="50" t="s">
        <v>1375</v>
      </c>
      <c r="N12" s="96">
        <v>45471</v>
      </c>
      <c r="O12" s="96">
        <v>45471</v>
      </c>
      <c r="P12" s="50">
        <v>204</v>
      </c>
      <c r="Q12" s="97" t="s">
        <v>1376</v>
      </c>
      <c r="R12" s="95">
        <v>45471</v>
      </c>
      <c r="S12" s="95" t="s">
        <v>1371</v>
      </c>
      <c r="U12" s="89"/>
      <c r="V12" s="90"/>
      <c r="X12" s="89"/>
      <c r="AD12" s="89"/>
    </row>
    <row r="13" spans="2:30">
      <c r="B13" s="50" t="s">
        <v>928</v>
      </c>
      <c r="C13" s="50">
        <v>11</v>
      </c>
      <c r="D13" s="50" t="s">
        <v>1377</v>
      </c>
      <c r="E13" s="95">
        <v>45471</v>
      </c>
      <c r="F13" s="50">
        <v>1</v>
      </c>
      <c r="G13" s="95" t="s">
        <v>961</v>
      </c>
      <c r="H13" s="50" t="s">
        <v>1046</v>
      </c>
      <c r="I13" s="50">
        <v>35585</v>
      </c>
      <c r="J13" s="50"/>
      <c r="K13" s="50">
        <v>8.0014189999999995E+24</v>
      </c>
      <c r="L13" s="50" t="s">
        <v>1375</v>
      </c>
      <c r="M13" s="50" t="s">
        <v>1375</v>
      </c>
      <c r="N13" s="96">
        <v>45471</v>
      </c>
      <c r="O13" s="96">
        <v>45471</v>
      </c>
      <c r="P13" s="50">
        <v>204</v>
      </c>
      <c r="Q13" s="97" t="s">
        <v>1376</v>
      </c>
      <c r="R13" s="96">
        <v>45471</v>
      </c>
      <c r="S13" s="96" t="s">
        <v>1378</v>
      </c>
      <c r="U13" s="92"/>
      <c r="V13" s="90"/>
      <c r="W13" s="91"/>
      <c r="X13" s="92"/>
      <c r="Y13" s="91"/>
      <c r="Z13" s="91"/>
      <c r="AD13" s="89"/>
    </row>
    <row r="14" spans="2:30">
      <c r="B14" s="50" t="s">
        <v>930</v>
      </c>
      <c r="C14" s="50">
        <v>12</v>
      </c>
      <c r="D14" s="50" t="s">
        <v>1379</v>
      </c>
      <c r="E14" s="95">
        <v>45471</v>
      </c>
      <c r="F14" s="50">
        <v>1</v>
      </c>
      <c r="G14" s="50" t="s">
        <v>1380</v>
      </c>
      <c r="H14" s="50" t="s">
        <v>1046</v>
      </c>
      <c r="I14" s="50">
        <v>0</v>
      </c>
      <c r="J14" s="50">
        <v>0</v>
      </c>
      <c r="K14" s="50">
        <v>0</v>
      </c>
      <c r="L14" s="50">
        <v>12369</v>
      </c>
      <c r="M14" s="50">
        <v>13484</v>
      </c>
      <c r="N14" s="190">
        <v>0</v>
      </c>
      <c r="O14" s="190">
        <v>0</v>
      </c>
      <c r="P14" s="50">
        <v>0</v>
      </c>
      <c r="Q14" s="50">
        <v>0</v>
      </c>
      <c r="R14" s="50">
        <v>0</v>
      </c>
      <c r="S14" s="50">
        <v>0</v>
      </c>
      <c r="U14" s="89"/>
      <c r="V14" s="90"/>
      <c r="W14" s="90"/>
      <c r="X14" s="89"/>
      <c r="Y14" s="90"/>
      <c r="Z14" s="90"/>
      <c r="AD14" s="89"/>
    </row>
    <row r="15" spans="2:30">
      <c r="B15" s="50" t="s">
        <v>932</v>
      </c>
      <c r="C15" s="50">
        <v>13</v>
      </c>
      <c r="D15" s="50" t="s">
        <v>1381</v>
      </c>
      <c r="E15" s="95">
        <v>45471</v>
      </c>
      <c r="F15" s="50">
        <v>1</v>
      </c>
      <c r="G15" s="98">
        <v>1</v>
      </c>
      <c r="H15" s="50" t="s">
        <v>1046</v>
      </c>
      <c r="I15" s="50" t="s">
        <v>961</v>
      </c>
      <c r="J15" s="50" t="s">
        <v>961</v>
      </c>
      <c r="K15" s="50" t="s">
        <v>961</v>
      </c>
      <c r="L15" s="50" t="s">
        <v>961</v>
      </c>
      <c r="M15" s="50" t="s">
        <v>961</v>
      </c>
      <c r="N15" s="185">
        <v>0</v>
      </c>
      <c r="O15" s="185">
        <v>0</v>
      </c>
      <c r="P15" s="50" t="s">
        <v>961</v>
      </c>
      <c r="Q15" s="50" t="s">
        <v>961</v>
      </c>
      <c r="R15" s="96" t="s">
        <v>961</v>
      </c>
      <c r="S15" s="96" t="s">
        <v>961</v>
      </c>
      <c r="U15" s="92"/>
      <c r="V15" s="90"/>
      <c r="W15" s="90"/>
      <c r="X15" s="92"/>
      <c r="Y15" s="90"/>
      <c r="Z15" s="90"/>
      <c r="AD15" s="89"/>
    </row>
    <row r="16" spans="2:30">
      <c r="B16" s="50" t="s">
        <v>934</v>
      </c>
      <c r="C16" s="50">
        <v>14</v>
      </c>
      <c r="D16" s="50" t="s">
        <v>1382</v>
      </c>
      <c r="E16" s="95">
        <v>45471</v>
      </c>
      <c r="F16" s="50">
        <v>1</v>
      </c>
      <c r="G16" s="98">
        <v>1</v>
      </c>
      <c r="H16" s="50" t="s">
        <v>1046</v>
      </c>
      <c r="I16" s="50">
        <v>0</v>
      </c>
      <c r="J16" s="50">
        <v>0</v>
      </c>
      <c r="K16" s="50">
        <v>0</v>
      </c>
      <c r="L16" s="50">
        <v>0</v>
      </c>
      <c r="M16" s="50">
        <v>0</v>
      </c>
      <c r="N16" s="50" t="s">
        <v>961</v>
      </c>
      <c r="O16" s="50" t="s">
        <v>961</v>
      </c>
      <c r="P16" s="50">
        <v>0</v>
      </c>
      <c r="Q16" s="50" t="s">
        <v>961</v>
      </c>
      <c r="R16" s="50" t="s">
        <v>961</v>
      </c>
      <c r="S16" s="50" t="s">
        <v>961</v>
      </c>
    </row>
    <row r="17" spans="2:24">
      <c r="B17" s="50" t="s">
        <v>936</v>
      </c>
      <c r="C17" s="50">
        <v>15</v>
      </c>
      <c r="D17" s="50" t="s">
        <v>1383</v>
      </c>
      <c r="E17" s="95">
        <v>45471</v>
      </c>
      <c r="F17" s="50">
        <v>1</v>
      </c>
      <c r="G17" s="98">
        <v>1</v>
      </c>
      <c r="H17" s="50" t="s">
        <v>1046</v>
      </c>
      <c r="I17" s="50" t="s">
        <v>961</v>
      </c>
      <c r="J17" s="50" t="s">
        <v>961</v>
      </c>
      <c r="K17" s="50" t="s">
        <v>961</v>
      </c>
      <c r="L17" s="50" t="s">
        <v>961</v>
      </c>
      <c r="M17" s="50" t="s">
        <v>961</v>
      </c>
      <c r="N17" s="97" t="s">
        <v>961</v>
      </c>
      <c r="O17" s="97" t="s">
        <v>961</v>
      </c>
      <c r="P17" s="50" t="s">
        <v>961</v>
      </c>
      <c r="Q17" s="50" t="s">
        <v>961</v>
      </c>
      <c r="R17" s="97" t="s">
        <v>961</v>
      </c>
      <c r="S17" s="97" t="s">
        <v>961</v>
      </c>
      <c r="U17" s="49"/>
      <c r="X17" s="49"/>
    </row>
    <row r="18" spans="2:24">
      <c r="B18" s="50" t="s">
        <v>938</v>
      </c>
      <c r="C18" s="50">
        <v>16</v>
      </c>
      <c r="D18" s="50" t="s">
        <v>1383</v>
      </c>
      <c r="E18" s="95">
        <v>45471</v>
      </c>
      <c r="F18" s="50">
        <v>1</v>
      </c>
      <c r="G18" s="98">
        <v>1</v>
      </c>
      <c r="H18" s="50" t="s">
        <v>1046</v>
      </c>
      <c r="I18" s="50" t="s">
        <v>961</v>
      </c>
      <c r="J18" s="50" t="s">
        <v>961</v>
      </c>
      <c r="K18" s="50" t="s">
        <v>961</v>
      </c>
      <c r="L18" s="50" t="s">
        <v>961</v>
      </c>
      <c r="M18" s="50" t="s">
        <v>961</v>
      </c>
      <c r="N18" s="50" t="s">
        <v>961</v>
      </c>
      <c r="O18" s="50" t="s">
        <v>961</v>
      </c>
      <c r="P18" s="50" t="s">
        <v>961</v>
      </c>
      <c r="Q18" s="50" t="s">
        <v>961</v>
      </c>
      <c r="R18" s="50" t="s">
        <v>961</v>
      </c>
      <c r="S18" s="50" t="s">
        <v>961</v>
      </c>
    </row>
    <row r="19" spans="2:24">
      <c r="B19" s="50" t="s">
        <v>944</v>
      </c>
      <c r="C19" s="50">
        <v>19</v>
      </c>
      <c r="D19" s="50" t="s">
        <v>1384</v>
      </c>
      <c r="E19" s="95">
        <v>45471</v>
      </c>
      <c r="F19" s="50">
        <v>1</v>
      </c>
      <c r="G19" s="98" cm="1">
        <f t="array" aca="1" ref="G19" ca="1">SUMPRODUCT(--(ISNUMBER((SEARCH(I27:S27,I19:S19)))))/COUNTA(I19:S19)</f>
        <v>0</v>
      </c>
      <c r="H19" s="50" t="s">
        <v>1046</v>
      </c>
      <c r="I19" s="50" t="s">
        <v>1385</v>
      </c>
      <c r="J19" s="50" t="s">
        <v>995</v>
      </c>
      <c r="K19" s="50" t="s">
        <v>995</v>
      </c>
      <c r="L19" s="50" t="s">
        <v>995</v>
      </c>
      <c r="M19" s="50" t="s">
        <v>995</v>
      </c>
      <c r="N19" s="50" t="s">
        <v>995</v>
      </c>
      <c r="O19" s="50" t="s">
        <v>995</v>
      </c>
      <c r="P19" s="50" t="s">
        <v>995</v>
      </c>
      <c r="Q19" s="50" t="s">
        <v>995</v>
      </c>
      <c r="R19" s="50" t="s">
        <v>995</v>
      </c>
      <c r="S19" s="50" t="s">
        <v>997</v>
      </c>
    </row>
    <row r="20" spans="2:24">
      <c r="B20" s="50" t="s">
        <v>947</v>
      </c>
      <c r="C20" s="50">
        <v>20</v>
      </c>
      <c r="D20" s="50"/>
      <c r="E20" s="95">
        <v>45471</v>
      </c>
      <c r="F20" s="50">
        <v>1</v>
      </c>
      <c r="G20" s="50" t="e" cm="1">
        <f t="array" aca="1" ref="G20" ca="1">SUM(IF(I2:S2 = I26:S26, 1, 0))/ COUNTA(I2:S2)</f>
        <v>#NAME?</v>
      </c>
      <c r="H20" s="50"/>
      <c r="I20" s="50"/>
      <c r="J20" s="50"/>
      <c r="K20" s="50"/>
      <c r="L20" s="50"/>
      <c r="M20" s="50"/>
      <c r="N20" s="50"/>
      <c r="O20" s="50"/>
      <c r="P20" s="50"/>
      <c r="Q20" s="50"/>
      <c r="R20" s="50"/>
      <c r="S20" s="50"/>
    </row>
    <row r="21" spans="2:24">
      <c r="B21" s="50" t="s">
        <v>950</v>
      </c>
      <c r="C21" s="50">
        <v>21</v>
      </c>
      <c r="D21" s="50"/>
      <c r="E21" s="95">
        <v>45471</v>
      </c>
      <c r="F21" s="50">
        <v>1</v>
      </c>
      <c r="G21" s="50" t="e" cm="1">
        <f t="array" aca="1" ref="G21" ca="1">SUM(IF(IF(G3:G20="null",1,G3:G20)=1,1,0))/COUNT(IF(G3:G20="null",1,1))</f>
        <v>#NAME?</v>
      </c>
      <c r="H21" s="50"/>
      <c r="I21" s="50"/>
      <c r="J21" s="50"/>
      <c r="K21" s="50"/>
      <c r="L21" s="50"/>
      <c r="M21" s="50"/>
      <c r="N21" s="50"/>
      <c r="O21" s="50"/>
      <c r="P21" s="50"/>
      <c r="Q21" s="50"/>
      <c r="R21" s="50"/>
      <c r="S21" s="50"/>
    </row>
    <row r="25" spans="2:24">
      <c r="B25" s="140" t="s">
        <v>1067</v>
      </c>
      <c r="C25" s="142"/>
      <c r="D25" s="142"/>
      <c r="E25" s="142"/>
      <c r="F25" s="142"/>
      <c r="G25" s="142"/>
      <c r="H25" s="142"/>
    </row>
    <row r="26" spans="2:24">
      <c r="B26" s="133" t="s">
        <v>953</v>
      </c>
      <c r="C26" s="129" t="s">
        <v>954</v>
      </c>
      <c r="D26" s="129" t="s">
        <v>955</v>
      </c>
      <c r="E26" s="129" t="s">
        <v>956</v>
      </c>
      <c r="F26" s="129" t="s">
        <v>957</v>
      </c>
      <c r="G26" s="129" t="s">
        <v>958</v>
      </c>
      <c r="H26" s="129" t="s">
        <v>959</v>
      </c>
      <c r="I26" s="124" t="e" cm="1">
        <f t="array" aca="1" ref="I26:S26" ca="1">TRANSPOSE(_xlfn.SORTBY(_xlfn._xlws.FILTER(Table3[NOME FÍSICO CAMPO],Table3[NOME FÍSICO TABELA]="bank_vault_visit"), _xlfn._xlws.FILTER(Table3[ORDEM], Table3[NOME FÍSICO TABELA]="bank_vault_visit"), 1))</f>
        <v>#NAME?</v>
      </c>
      <c r="J26" s="124" t="e">
        <f ca="1"/>
        <v>#NAME?</v>
      </c>
      <c r="K26" s="124" t="e">
        <f ca="1"/>
        <v>#NAME?</v>
      </c>
      <c r="L26" s="124" t="e">
        <f ca="1"/>
        <v>#NAME?</v>
      </c>
      <c r="M26" s="124" t="e">
        <f ca="1"/>
        <v>#NAME?</v>
      </c>
      <c r="N26" s="124" t="e">
        <f ca="1"/>
        <v>#NAME?</v>
      </c>
      <c r="O26" s="124" t="e">
        <f ca="1"/>
        <v>#NAME?</v>
      </c>
      <c r="P26" s="124" t="e">
        <f ca="1"/>
        <v>#NAME?</v>
      </c>
      <c r="Q26" s="124" t="e">
        <f ca="1"/>
        <v>#NAME?</v>
      </c>
      <c r="R26" s="124" t="e">
        <f ca="1"/>
        <v>#NAME?</v>
      </c>
      <c r="S26" s="125" t="e">
        <f ca="1"/>
        <v>#NAME?</v>
      </c>
    </row>
    <row r="27" spans="2:24">
      <c r="B27" s="115" t="s">
        <v>998</v>
      </c>
      <c r="C27" s="143">
        <v>21</v>
      </c>
      <c r="D27" s="112" t="s">
        <v>999</v>
      </c>
      <c r="E27" s="111" t="s">
        <v>1000</v>
      </c>
      <c r="F27" s="111" t="s">
        <v>206</v>
      </c>
      <c r="G27" s="111" t="s">
        <v>206</v>
      </c>
      <c r="H27" s="111" t="s">
        <v>206</v>
      </c>
      <c r="I27" s="111" t="e" cm="1">
        <f t="array" aca="1" ref="I27:S28" ca="1">TRANSPOSE(_xlfn.SORTBY(_xlfn._xlws.FILTER(IF(Table3[FORMATO]:Table3[COMP_ CAMPO]&lt;&gt;"",Table3[FORMATO]:Table3[COMP_ CAMPO],9999999),Table3[NOME FÍSICO TABELA]="bank_vault_visit"), _xlfn._xlws.FILTER(Table3[ORDEM], Table3[NOME FÍSICO TABELA]="bank_vault_visit"), 1))</f>
        <v>#NAME?</v>
      </c>
      <c r="J27" s="111" t="e">
        <f ca="1"/>
        <v>#NAME?</v>
      </c>
      <c r="K27" s="111" t="e">
        <f ca="1"/>
        <v>#NAME?</v>
      </c>
      <c r="L27" s="111" t="e">
        <f ca="1"/>
        <v>#NAME?</v>
      </c>
      <c r="M27" s="111" t="e">
        <f ca="1"/>
        <v>#NAME?</v>
      </c>
      <c r="N27" s="111" t="e">
        <f ca="1"/>
        <v>#NAME?</v>
      </c>
      <c r="O27" s="111" t="e">
        <f ca="1"/>
        <v>#NAME?</v>
      </c>
      <c r="P27" s="111" t="e">
        <f ca="1"/>
        <v>#NAME?</v>
      </c>
      <c r="Q27" s="111" t="e">
        <f ca="1"/>
        <v>#NAME?</v>
      </c>
      <c r="R27" s="111" t="e">
        <f ca="1"/>
        <v>#NAME?</v>
      </c>
      <c r="S27" s="116" t="e">
        <f ca="1"/>
        <v>#NAME?</v>
      </c>
    </row>
    <row r="28" spans="2:24">
      <c r="B28" s="122" t="s">
        <v>1001</v>
      </c>
      <c r="C28" s="143">
        <v>7</v>
      </c>
      <c r="D28" s="145" t="s">
        <v>999</v>
      </c>
      <c r="E28" s="143" t="s">
        <v>1000</v>
      </c>
      <c r="F28" s="143" t="s">
        <v>206</v>
      </c>
      <c r="G28" s="143" t="s">
        <v>206</v>
      </c>
      <c r="H28" s="143" t="s">
        <v>206</v>
      </c>
      <c r="I28" s="143" t="e">
        <f ca="1"/>
        <v>#NAME?</v>
      </c>
      <c r="J28" s="143" t="e">
        <f ca="1"/>
        <v>#NAME?</v>
      </c>
      <c r="K28" s="143" t="e">
        <f ca="1"/>
        <v>#NAME?</v>
      </c>
      <c r="L28" s="143" t="e">
        <f ca="1"/>
        <v>#NAME?</v>
      </c>
      <c r="M28" s="143" t="e">
        <f ca="1"/>
        <v>#NAME?</v>
      </c>
      <c r="N28" s="143" t="e">
        <f ca="1"/>
        <v>#NAME?</v>
      </c>
      <c r="O28" s="143" t="e">
        <f ca="1"/>
        <v>#NAME?</v>
      </c>
      <c r="P28" s="143" t="e">
        <f ca="1"/>
        <v>#NAME?</v>
      </c>
      <c r="Q28" s="143" t="e">
        <f ca="1"/>
        <v>#NAME?</v>
      </c>
      <c r="R28" s="143" t="e">
        <f ca="1"/>
        <v>#NAME?</v>
      </c>
      <c r="S28" s="144" t="e">
        <f ca="1"/>
        <v>#NAME?</v>
      </c>
    </row>
    <row r="30" spans="2:24">
      <c r="B30" s="140" t="s">
        <v>1002</v>
      </c>
    </row>
    <row r="31" spans="2:24">
      <c r="B31" s="149" t="s">
        <v>1003</v>
      </c>
      <c r="C31" s="131" t="s">
        <v>1004</v>
      </c>
      <c r="D31" s="150" t="s">
        <v>1005</v>
      </c>
      <c r="E31" s="131" t="s">
        <v>1006</v>
      </c>
      <c r="F31" s="150" t="s">
        <v>1007</v>
      </c>
    </row>
    <row r="32" spans="2:24" ht="29">
      <c r="B32" s="183" t="s">
        <v>1008</v>
      </c>
      <c r="C32" s="183" t="s">
        <v>238</v>
      </c>
      <c r="D32" s="139" t="s">
        <v>1386</v>
      </c>
      <c r="E32" s="139" t="s">
        <v>1387</v>
      </c>
      <c r="F32" s="183" t="s">
        <v>1014</v>
      </c>
    </row>
    <row r="33" spans="2:24" ht="116">
      <c r="B33" s="183" t="s">
        <v>1008</v>
      </c>
      <c r="C33" s="183" t="s">
        <v>239</v>
      </c>
      <c r="D33" s="139" t="s">
        <v>1388</v>
      </c>
      <c r="E33" s="139" t="s">
        <v>1389</v>
      </c>
      <c r="F33" s="139" t="s">
        <v>1390</v>
      </c>
    </row>
    <row r="36" spans="2:24">
      <c r="K36" s="89"/>
      <c r="M36" s="90"/>
      <c r="N36" s="90"/>
    </row>
    <row r="37" spans="2:24">
      <c r="K37" s="89"/>
      <c r="M37" s="90"/>
    </row>
    <row r="38" spans="2:24">
      <c r="K38" s="89"/>
      <c r="M38" s="182"/>
    </row>
    <row r="39" spans="2:24">
      <c r="K39" s="89"/>
      <c r="M39" s="50"/>
    </row>
    <row r="40" spans="2:24">
      <c r="K40" s="89"/>
      <c r="M40" s="50"/>
    </row>
    <row r="41" spans="2:24">
      <c r="K41" s="89"/>
      <c r="M41" s="182"/>
    </row>
    <row r="42" spans="2:24">
      <c r="K42" s="89"/>
      <c r="M42" s="182"/>
    </row>
    <row r="43" spans="2:24">
      <c r="K43" s="89"/>
      <c r="M43" s="182"/>
    </row>
    <row r="44" spans="2:24">
      <c r="K44" s="89"/>
      <c r="M44" s="182"/>
    </row>
    <row r="45" spans="2:24">
      <c r="K45" s="89"/>
    </row>
    <row r="46" spans="2:24">
      <c r="K46" s="89"/>
    </row>
    <row r="47" spans="2:24">
      <c r="K47" s="89"/>
    </row>
    <row r="48" spans="2:24">
      <c r="K48" s="89"/>
      <c r="M48" s="90"/>
      <c r="T48" s="92"/>
      <c r="U48" s="92"/>
      <c r="W48" s="49"/>
      <c r="X48" s="89"/>
    </row>
    <row r="49" spans="11:24">
      <c r="K49" s="89"/>
      <c r="M49" s="90"/>
      <c r="T49" s="92"/>
      <c r="U49" s="92"/>
      <c r="W49" s="49"/>
      <c r="X49" s="89"/>
    </row>
    <row r="50" spans="11:24">
      <c r="K50" s="89"/>
      <c r="M50" s="90"/>
      <c r="T50" s="92"/>
      <c r="U50" s="92"/>
      <c r="X50" s="89"/>
    </row>
    <row r="51" spans="11:24">
      <c r="K51" s="89"/>
      <c r="T51" s="92"/>
      <c r="U51" s="92"/>
      <c r="X51" s="89"/>
    </row>
    <row r="52" spans="11:24">
      <c r="K52" s="89"/>
      <c r="M52" s="90"/>
    </row>
    <row r="53" spans="11:24">
      <c r="K53" s="89"/>
      <c r="M53" s="90"/>
      <c r="T53" s="49"/>
      <c r="U53" s="49"/>
    </row>
    <row r="54" spans="11:24">
      <c r="K54" s="8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P29"/>
  <sheetViews>
    <sheetView showGridLines="0" topLeftCell="H4" workbookViewId="0">
      <selection activeCell="H4" sqref="H4"/>
    </sheetView>
  </sheetViews>
  <sheetFormatPr defaultRowHeight="14.5"/>
  <cols>
    <col min="2" max="2" width="33.54296875" customWidth="1"/>
    <col min="3" max="3" width="22" bestFit="1" customWidth="1"/>
    <col min="4" max="4" width="26.26953125" customWidth="1"/>
    <col min="5" max="5" width="32.26953125" customWidth="1"/>
    <col min="6" max="6" width="19.1796875" customWidth="1"/>
    <col min="7" max="7" width="9.81640625" bestFit="1" customWidth="1"/>
    <col min="8" max="8" width="18.81640625" bestFit="1" customWidth="1"/>
    <col min="9" max="9" width="18.453125" bestFit="1" customWidth="1"/>
    <col min="10" max="16" width="30.7265625" bestFit="1" customWidth="1"/>
  </cols>
  <sheetData>
    <row r="1" spans="2:16" ht="44.25" customHeight="1"/>
    <row r="2" spans="2:16">
      <c r="B2" s="76" t="s">
        <v>953</v>
      </c>
      <c r="C2" s="76" t="s">
        <v>954</v>
      </c>
      <c r="D2" s="76" t="s">
        <v>955</v>
      </c>
      <c r="E2" s="76" t="s">
        <v>956</v>
      </c>
      <c r="F2" s="76" t="s">
        <v>957</v>
      </c>
      <c r="G2" s="76" t="s">
        <v>958</v>
      </c>
      <c r="H2" s="76" t="s">
        <v>959</v>
      </c>
      <c r="I2" s="76" t="s">
        <v>102</v>
      </c>
      <c r="J2" s="76" t="s">
        <v>112</v>
      </c>
      <c r="K2" s="76" t="s">
        <v>1391</v>
      </c>
      <c r="L2" s="76" t="s">
        <v>1392</v>
      </c>
      <c r="M2" s="76" t="s">
        <v>1393</v>
      </c>
      <c r="N2" s="76" t="s">
        <v>1394</v>
      </c>
      <c r="O2" s="76" t="s">
        <v>208</v>
      </c>
      <c r="P2" s="76" t="s">
        <v>213</v>
      </c>
    </row>
    <row r="3" spans="2:16">
      <c r="B3" s="50" t="s">
        <v>907</v>
      </c>
      <c r="C3" s="50">
        <v>1</v>
      </c>
      <c r="D3" s="50" t="s">
        <v>1395</v>
      </c>
      <c r="E3" s="95">
        <v>45471</v>
      </c>
      <c r="F3" s="50">
        <v>1</v>
      </c>
      <c r="G3" s="98">
        <v>1</v>
      </c>
      <c r="H3" s="181" t="s">
        <v>1396</v>
      </c>
      <c r="I3" s="50" t="s">
        <v>961</v>
      </c>
      <c r="J3" s="50" t="s">
        <v>961</v>
      </c>
      <c r="K3" s="50" t="s">
        <v>961</v>
      </c>
      <c r="L3" s="50" t="s">
        <v>961</v>
      </c>
      <c r="M3" s="50" t="s">
        <v>961</v>
      </c>
      <c r="N3" s="50" t="s">
        <v>961</v>
      </c>
      <c r="O3" s="50" t="s">
        <v>961</v>
      </c>
      <c r="P3" s="50" t="s">
        <v>961</v>
      </c>
    </row>
    <row r="4" spans="2:16">
      <c r="B4" s="50" t="s">
        <v>909</v>
      </c>
      <c r="C4" s="50">
        <v>2</v>
      </c>
      <c r="D4" s="50" t="s">
        <v>1397</v>
      </c>
      <c r="E4" s="95">
        <v>45471</v>
      </c>
      <c r="F4" s="50">
        <v>1</v>
      </c>
      <c r="G4" s="98">
        <v>1</v>
      </c>
      <c r="H4" s="50" t="s">
        <v>970</v>
      </c>
      <c r="I4" s="50" t="s">
        <v>961</v>
      </c>
      <c r="J4" s="50" t="s">
        <v>961</v>
      </c>
      <c r="K4" s="50" t="s">
        <v>961</v>
      </c>
      <c r="L4" s="50" t="s">
        <v>961</v>
      </c>
      <c r="M4" s="50" t="s">
        <v>961</v>
      </c>
      <c r="N4" s="50" t="s">
        <v>961</v>
      </c>
      <c r="O4" s="50" t="s">
        <v>961</v>
      </c>
      <c r="P4" s="50" t="s">
        <v>961</v>
      </c>
    </row>
    <row r="5" spans="2:16">
      <c r="B5" s="50" t="s">
        <v>911</v>
      </c>
      <c r="C5" s="50">
        <v>3</v>
      </c>
      <c r="D5" s="50" t="s">
        <v>1398</v>
      </c>
      <c r="E5" s="95">
        <v>45471</v>
      </c>
      <c r="F5" s="50">
        <v>1</v>
      </c>
      <c r="G5" s="98">
        <v>1</v>
      </c>
      <c r="H5" s="50" t="s">
        <v>970</v>
      </c>
      <c r="I5" s="50">
        <v>0</v>
      </c>
      <c r="J5" s="50">
        <v>0</v>
      </c>
      <c r="K5" s="50">
        <v>0</v>
      </c>
      <c r="L5" s="50">
        <v>0</v>
      </c>
      <c r="M5" s="50">
        <v>0</v>
      </c>
      <c r="N5" s="50" t="s">
        <v>961</v>
      </c>
      <c r="O5" s="50">
        <v>0</v>
      </c>
      <c r="P5" s="50" t="s">
        <v>961</v>
      </c>
    </row>
    <row r="6" spans="2:16">
      <c r="B6" s="97" t="s">
        <v>916</v>
      </c>
      <c r="C6" s="50">
        <v>6</v>
      </c>
      <c r="D6" s="50" t="s">
        <v>1399</v>
      </c>
      <c r="E6" s="95">
        <v>45471</v>
      </c>
      <c r="F6" s="50">
        <v>1</v>
      </c>
      <c r="G6" s="50" cm="1">
        <f t="array" ref="G6">SUMPRODUCT(--(I6:P6&gt;0))/COUNTA(I6:P6)</f>
        <v>1</v>
      </c>
      <c r="H6" s="50" t="s">
        <v>970</v>
      </c>
      <c r="I6" s="50">
        <v>2</v>
      </c>
      <c r="J6" s="50">
        <v>30</v>
      </c>
      <c r="K6" s="50">
        <v>10</v>
      </c>
      <c r="L6" s="50">
        <v>1</v>
      </c>
      <c r="M6" s="50">
        <v>1</v>
      </c>
      <c r="N6" s="50">
        <v>10</v>
      </c>
      <c r="O6" s="50">
        <v>10</v>
      </c>
      <c r="P6" s="50">
        <v>21</v>
      </c>
    </row>
    <row r="7" spans="2:16">
      <c r="B7" s="50" t="s">
        <v>919</v>
      </c>
      <c r="C7" s="50">
        <v>7</v>
      </c>
      <c r="D7" s="50" t="s">
        <v>1400</v>
      </c>
      <c r="E7" s="95">
        <v>45471</v>
      </c>
      <c r="F7" s="50">
        <v>1</v>
      </c>
      <c r="G7" s="50" t="e" cm="1">
        <f t="array" aca="1" ref="G7" ca="1">SUMPRODUCT(--(I7:P7&lt;=I24:P24))/COUNTA(I24:P24)</f>
        <v>#NAME?</v>
      </c>
      <c r="H7" s="50" t="s">
        <v>970</v>
      </c>
      <c r="I7" s="50">
        <v>2</v>
      </c>
      <c r="J7" s="50">
        <v>30</v>
      </c>
      <c r="K7" s="50">
        <v>10</v>
      </c>
      <c r="L7" s="50">
        <v>1</v>
      </c>
      <c r="M7" s="50">
        <v>4</v>
      </c>
      <c r="N7" s="50">
        <v>10</v>
      </c>
      <c r="O7" s="50">
        <v>10</v>
      </c>
      <c r="P7" s="50">
        <v>21</v>
      </c>
    </row>
    <row r="8" spans="2:16">
      <c r="B8" s="50" t="s">
        <v>922</v>
      </c>
      <c r="C8" s="50">
        <v>8</v>
      </c>
      <c r="D8" s="50" t="s">
        <v>1401</v>
      </c>
      <c r="E8" s="95">
        <v>45471</v>
      </c>
      <c r="F8" s="50">
        <v>1</v>
      </c>
      <c r="G8" s="50" t="s">
        <v>961</v>
      </c>
      <c r="H8" s="50" t="s">
        <v>970</v>
      </c>
      <c r="I8" s="50">
        <v>31</v>
      </c>
      <c r="J8" s="50">
        <v>162304820002470</v>
      </c>
      <c r="K8" s="50">
        <v>0</v>
      </c>
      <c r="L8" s="50">
        <v>0</v>
      </c>
      <c r="M8" s="50">
        <v>0</v>
      </c>
      <c r="N8" s="50" t="s">
        <v>969</v>
      </c>
      <c r="O8" s="95">
        <v>45471</v>
      </c>
      <c r="P8" s="50" t="s">
        <v>1402</v>
      </c>
    </row>
    <row r="9" spans="2:16">
      <c r="B9" s="50" t="s">
        <v>924</v>
      </c>
      <c r="C9" s="50">
        <v>9</v>
      </c>
      <c r="D9" s="50" t="s">
        <v>1403</v>
      </c>
      <c r="E9" s="95">
        <v>45471</v>
      </c>
      <c r="F9" s="50">
        <v>1</v>
      </c>
      <c r="G9" s="50" t="s">
        <v>961</v>
      </c>
      <c r="H9" s="50" t="s">
        <v>970</v>
      </c>
      <c r="I9" s="50">
        <v>31</v>
      </c>
      <c r="J9" s="50">
        <v>162304820002470</v>
      </c>
      <c r="K9" s="50">
        <v>0</v>
      </c>
      <c r="L9" s="50">
        <v>0</v>
      </c>
      <c r="M9" s="50">
        <v>0</v>
      </c>
      <c r="N9" s="50" t="s">
        <v>969</v>
      </c>
      <c r="O9" s="95">
        <v>45471</v>
      </c>
      <c r="P9" s="50" t="s">
        <v>1404</v>
      </c>
    </row>
    <row r="10" spans="2:16">
      <c r="B10" s="97" t="s">
        <v>926</v>
      </c>
      <c r="C10" s="50">
        <v>10</v>
      </c>
      <c r="D10" s="50" t="s">
        <v>1405</v>
      </c>
      <c r="E10" s="95">
        <v>45471</v>
      </c>
      <c r="F10" s="50">
        <v>1</v>
      </c>
      <c r="G10" s="50" t="s">
        <v>961</v>
      </c>
      <c r="H10" s="50" t="s">
        <v>970</v>
      </c>
      <c r="I10" s="50">
        <v>89</v>
      </c>
      <c r="J10" s="50">
        <v>8.8780038000002303E+29</v>
      </c>
      <c r="K10" s="50">
        <v>9961000426</v>
      </c>
      <c r="L10" s="50" t="s">
        <v>1406</v>
      </c>
      <c r="M10" s="50">
        <v>1057</v>
      </c>
      <c r="N10" s="95">
        <v>2958465</v>
      </c>
      <c r="O10" s="95">
        <v>45471</v>
      </c>
      <c r="P10" s="50" t="s">
        <v>1402</v>
      </c>
    </row>
    <row r="11" spans="2:16">
      <c r="B11" s="50" t="s">
        <v>928</v>
      </c>
      <c r="C11" s="50">
        <v>11</v>
      </c>
      <c r="D11" s="50" t="s">
        <v>1407</v>
      </c>
      <c r="E11" s="95">
        <v>45471</v>
      </c>
      <c r="F11" s="50">
        <v>1</v>
      </c>
      <c r="G11" s="50" t="s">
        <v>961</v>
      </c>
      <c r="H11" s="50" t="s">
        <v>970</v>
      </c>
      <c r="I11" s="50">
        <v>89</v>
      </c>
      <c r="J11" s="50">
        <v>8.8780038000002303E+29</v>
      </c>
      <c r="K11" s="50">
        <v>9961000426</v>
      </c>
      <c r="L11" s="50" t="s">
        <v>1406</v>
      </c>
      <c r="M11" s="50">
        <v>1057</v>
      </c>
      <c r="N11" s="95">
        <v>2958465</v>
      </c>
      <c r="O11" s="95">
        <v>45471</v>
      </c>
      <c r="P11" s="50" t="s">
        <v>1408</v>
      </c>
    </row>
    <row r="12" spans="2:16">
      <c r="B12" s="50" t="s">
        <v>930</v>
      </c>
      <c r="C12" s="50">
        <v>12</v>
      </c>
      <c r="D12" s="50" t="s">
        <v>1409</v>
      </c>
      <c r="E12" s="95">
        <v>45471</v>
      </c>
      <c r="F12" s="50">
        <v>1</v>
      </c>
      <c r="G12" s="50">
        <v>1</v>
      </c>
      <c r="H12" s="50" t="s">
        <v>970</v>
      </c>
      <c r="I12" s="50">
        <v>0</v>
      </c>
      <c r="J12" s="50">
        <v>0</v>
      </c>
      <c r="K12" s="50">
        <v>0</v>
      </c>
      <c r="L12" s="50">
        <v>0</v>
      </c>
      <c r="M12" s="50">
        <v>0</v>
      </c>
      <c r="N12" s="95">
        <v>0</v>
      </c>
      <c r="O12" s="95">
        <v>0</v>
      </c>
      <c r="P12" s="50">
        <v>0</v>
      </c>
    </row>
    <row r="13" spans="2:16">
      <c r="B13" s="50" t="s">
        <v>932</v>
      </c>
      <c r="C13" s="50">
        <v>13</v>
      </c>
      <c r="D13" s="50" t="s">
        <v>1410</v>
      </c>
      <c r="E13" s="95">
        <v>45471</v>
      </c>
      <c r="F13" s="50">
        <v>1</v>
      </c>
      <c r="G13" s="50">
        <v>1</v>
      </c>
      <c r="H13" s="50" t="s">
        <v>970</v>
      </c>
      <c r="I13" s="50" t="s">
        <v>961</v>
      </c>
      <c r="J13" s="50" t="s">
        <v>961</v>
      </c>
      <c r="K13" s="50" t="s">
        <v>961</v>
      </c>
      <c r="L13" s="50" t="s">
        <v>961</v>
      </c>
      <c r="M13" s="50" t="s">
        <v>961</v>
      </c>
      <c r="N13" s="95">
        <v>0</v>
      </c>
      <c r="O13" s="95" t="s">
        <v>961</v>
      </c>
      <c r="P13" s="50" t="s">
        <v>961</v>
      </c>
    </row>
    <row r="14" spans="2:16">
      <c r="B14" s="50" t="s">
        <v>934</v>
      </c>
      <c r="C14" s="50">
        <v>14</v>
      </c>
      <c r="D14" s="50" t="s">
        <v>1411</v>
      </c>
      <c r="E14" s="95">
        <v>45471</v>
      </c>
      <c r="F14" s="50">
        <v>1</v>
      </c>
      <c r="G14" s="50">
        <v>1</v>
      </c>
      <c r="H14" s="50" t="s">
        <v>970</v>
      </c>
      <c r="I14" s="50" t="s">
        <v>961</v>
      </c>
      <c r="J14" s="50" t="s">
        <v>961</v>
      </c>
      <c r="K14" s="50" t="s">
        <v>961</v>
      </c>
      <c r="L14" s="50">
        <v>0</v>
      </c>
      <c r="M14" s="50" t="s">
        <v>961</v>
      </c>
      <c r="N14" s="50" t="s">
        <v>961</v>
      </c>
      <c r="O14" s="50" t="s">
        <v>961</v>
      </c>
      <c r="P14" s="50" t="s">
        <v>961</v>
      </c>
    </row>
    <row r="15" spans="2:16">
      <c r="B15" s="50" t="s">
        <v>936</v>
      </c>
      <c r="C15" s="50">
        <v>15</v>
      </c>
      <c r="D15" s="50" t="s">
        <v>1412</v>
      </c>
      <c r="E15" s="95">
        <v>45471</v>
      </c>
      <c r="F15" s="50">
        <v>1</v>
      </c>
      <c r="G15" s="50">
        <v>1</v>
      </c>
      <c r="H15" s="50" t="s">
        <v>970</v>
      </c>
      <c r="I15" s="50" t="s">
        <v>961</v>
      </c>
      <c r="J15" s="50" t="s">
        <v>961</v>
      </c>
      <c r="K15" s="50" t="s">
        <v>961</v>
      </c>
      <c r="L15" s="50" t="s">
        <v>961</v>
      </c>
      <c r="M15" s="50" t="s">
        <v>961</v>
      </c>
      <c r="N15" s="97" t="s">
        <v>961</v>
      </c>
      <c r="O15" s="50" t="s">
        <v>961</v>
      </c>
      <c r="P15" s="50" t="s">
        <v>961</v>
      </c>
    </row>
    <row r="16" spans="2:16">
      <c r="B16" s="50" t="s">
        <v>938</v>
      </c>
      <c r="C16" s="50">
        <v>16</v>
      </c>
      <c r="D16" s="50" t="s">
        <v>1412</v>
      </c>
      <c r="E16" s="95">
        <v>45471</v>
      </c>
      <c r="F16" s="50">
        <v>1</v>
      </c>
      <c r="G16" s="50">
        <v>1</v>
      </c>
      <c r="H16" s="50" t="s">
        <v>970</v>
      </c>
      <c r="I16" s="50" t="s">
        <v>961</v>
      </c>
      <c r="J16" s="50" t="s">
        <v>961</v>
      </c>
      <c r="K16" s="50" t="s">
        <v>961</v>
      </c>
      <c r="L16" s="50" t="s">
        <v>961</v>
      </c>
      <c r="M16" s="50" t="s">
        <v>961</v>
      </c>
      <c r="N16" s="50" t="s">
        <v>961</v>
      </c>
      <c r="O16" s="50" t="s">
        <v>961</v>
      </c>
      <c r="P16" s="50" t="s">
        <v>961</v>
      </c>
    </row>
    <row r="17" spans="2:16">
      <c r="B17" s="50" t="s">
        <v>944</v>
      </c>
      <c r="C17" s="50">
        <v>19</v>
      </c>
      <c r="D17" s="50" t="s">
        <v>1413</v>
      </c>
      <c r="E17" s="95">
        <v>45471</v>
      </c>
      <c r="F17" s="50">
        <v>1</v>
      </c>
      <c r="G17" s="50" cm="1">
        <f t="array" aca="1" ref="G17" ca="1">SUMPRODUCT(--(ISNUMBER((SEARCH(I24:P24,I17:P17)))))/COUNTA(I17:P17)</f>
        <v>0.875</v>
      </c>
      <c r="H17" s="50" t="s">
        <v>970</v>
      </c>
      <c r="I17" s="50" t="s">
        <v>995</v>
      </c>
      <c r="J17" s="50" t="s">
        <v>995</v>
      </c>
      <c r="K17" s="50" t="s">
        <v>995</v>
      </c>
      <c r="L17" s="50" t="s">
        <v>995</v>
      </c>
      <c r="M17" s="50" t="s">
        <v>1385</v>
      </c>
      <c r="N17" s="50" t="s">
        <v>1316</v>
      </c>
      <c r="O17" s="50" t="s">
        <v>995</v>
      </c>
      <c r="P17" s="50" t="s">
        <v>997</v>
      </c>
    </row>
    <row r="18" spans="2:16">
      <c r="B18" s="50" t="s">
        <v>947</v>
      </c>
      <c r="C18" s="50">
        <v>20</v>
      </c>
      <c r="D18" s="50"/>
      <c r="E18" s="95">
        <v>45471</v>
      </c>
      <c r="F18" s="50">
        <v>1</v>
      </c>
      <c r="G18" s="50" t="e" cm="1">
        <f t="array" aca="1" ref="G18" ca="1">SUM(IF(I2:P2 = I23:P23, 1, 0))/ COUNTA(I2:P2)</f>
        <v>#NAME?</v>
      </c>
      <c r="H18" s="50" t="s">
        <v>970</v>
      </c>
      <c r="I18" s="50" t="s">
        <v>961</v>
      </c>
      <c r="J18" s="50" t="s">
        <v>961</v>
      </c>
      <c r="K18" s="50" t="s">
        <v>961</v>
      </c>
      <c r="L18" s="50" t="s">
        <v>961</v>
      </c>
      <c r="M18" s="50" t="s">
        <v>961</v>
      </c>
      <c r="N18" s="50" t="s">
        <v>961</v>
      </c>
      <c r="O18" s="50" t="s">
        <v>961</v>
      </c>
      <c r="P18" s="50" t="s">
        <v>961</v>
      </c>
    </row>
    <row r="19" spans="2:16">
      <c r="B19" s="50" t="s">
        <v>950</v>
      </c>
      <c r="C19" s="50">
        <v>21</v>
      </c>
      <c r="D19" s="50"/>
      <c r="E19" s="95">
        <v>45471</v>
      </c>
      <c r="F19" s="50">
        <v>1</v>
      </c>
      <c r="G19" s="50" t="e" cm="1">
        <f t="array" aca="1" ref="G19" ca="1">SUM(IF(IF(G3:G18="null",1,G3:G18)=1,1,0))/COUNT(IF(G3:G18="null",1,1))</f>
        <v>#NAME?</v>
      </c>
      <c r="H19" s="50" t="s">
        <v>970</v>
      </c>
      <c r="I19" s="50" t="s">
        <v>961</v>
      </c>
      <c r="J19" s="50" t="s">
        <v>961</v>
      </c>
      <c r="K19" s="50" t="s">
        <v>961</v>
      </c>
      <c r="L19" s="50" t="s">
        <v>961</v>
      </c>
      <c r="M19" s="50" t="s">
        <v>961</v>
      </c>
      <c r="N19" s="50">
        <v>0</v>
      </c>
      <c r="O19" s="50" t="s">
        <v>961</v>
      </c>
      <c r="P19" s="50" t="s">
        <v>961</v>
      </c>
    </row>
    <row r="22" spans="2:16">
      <c r="B22" s="130" t="s">
        <v>1414</v>
      </c>
    </row>
    <row r="23" spans="2:16">
      <c r="B23" s="128" t="s">
        <v>953</v>
      </c>
      <c r="C23" s="129" t="s">
        <v>954</v>
      </c>
      <c r="D23" s="129" t="s">
        <v>955</v>
      </c>
      <c r="E23" s="129" t="s">
        <v>956</v>
      </c>
      <c r="F23" s="129" t="s">
        <v>957</v>
      </c>
      <c r="G23" s="129" t="s">
        <v>958</v>
      </c>
      <c r="H23" s="129" t="s">
        <v>959</v>
      </c>
      <c r="I23" s="129" t="e" cm="1">
        <f t="array" aca="1" ref="I23" ca="1">TRANSPOSE(_xlfn.SORTBY(_xlfn._xlws.FILTER(Table3[NOME FÍSICO CAMPO],Table3[NOME FÍSICO TABELA]="contract_party_relationship"), _xlfn._xlws.FILTER(Table3[ORDEM], Table3[NOME FÍSICO TABELA]="contract_party_relationship"), 1))</f>
        <v>#NAME?</v>
      </c>
      <c r="J23" s="129"/>
      <c r="K23" s="129"/>
      <c r="L23" s="129"/>
      <c r="M23" s="129"/>
      <c r="N23" s="129"/>
      <c r="O23" s="129"/>
      <c r="P23" s="126"/>
    </row>
    <row r="24" spans="2:16">
      <c r="B24" s="121" t="s">
        <v>206</v>
      </c>
      <c r="C24" s="113">
        <v>21</v>
      </c>
      <c r="D24" s="114" t="s">
        <v>999</v>
      </c>
      <c r="E24" s="113" t="s">
        <v>1000</v>
      </c>
      <c r="F24" s="113" t="s">
        <v>206</v>
      </c>
      <c r="G24" s="113" t="s">
        <v>206</v>
      </c>
      <c r="H24" s="113" t="s">
        <v>206</v>
      </c>
      <c r="I24" s="113" t="e" cm="1">
        <f t="array" aca="1" ref="I24" ca="1">TRANSPOSE(_xlfn.SORTBY(_xlfn._xlws.FILTER(IF(Table3[FORMATO]:Table3[COMP_ CAMPO]&lt;&gt;"",Table3[FORMATO]:Table3[COMP_ CAMPO],9999999),Table3[NOME FÍSICO TABELA]="contract_party_relationship"), _xlfn._xlws.FILTER(Table3[ORDEM], Table3[NOME FÍSICO TABELA]="contract_party_relationship"), 1))</f>
        <v>#NAME?</v>
      </c>
      <c r="J24" s="113"/>
      <c r="K24" s="113"/>
      <c r="L24" s="113"/>
      <c r="M24" s="113"/>
      <c r="N24" s="113"/>
      <c r="O24" s="113"/>
      <c r="P24" s="120"/>
    </row>
    <row r="25" spans="2:16">
      <c r="B25" s="121" t="s">
        <v>206</v>
      </c>
      <c r="C25" s="113">
        <v>7</v>
      </c>
      <c r="D25" s="114" t="s">
        <v>999</v>
      </c>
      <c r="E25" s="113" t="s">
        <v>1000</v>
      </c>
      <c r="F25" s="113" t="s">
        <v>206</v>
      </c>
      <c r="G25" s="113" t="s">
        <v>206</v>
      </c>
      <c r="H25" s="113" t="s">
        <v>206</v>
      </c>
      <c r="I25" s="113"/>
      <c r="J25" s="113"/>
      <c r="K25" s="113"/>
      <c r="L25" s="113"/>
      <c r="M25" s="113"/>
      <c r="N25" s="113"/>
      <c r="O25" s="113"/>
      <c r="P25" s="120"/>
    </row>
    <row r="26" spans="2:16">
      <c r="B26" s="50"/>
      <c r="C26" s="50"/>
      <c r="D26" s="96"/>
      <c r="E26" s="50"/>
      <c r="F26" s="50"/>
      <c r="G26" s="50"/>
      <c r="H26" s="50"/>
      <c r="I26" s="50"/>
      <c r="J26" s="50"/>
      <c r="K26" s="50"/>
      <c r="L26" s="50"/>
      <c r="M26" s="50"/>
      <c r="N26" s="50"/>
      <c r="O26" s="50"/>
      <c r="P26" s="50"/>
    </row>
    <row r="27" spans="2:16">
      <c r="B27" s="140" t="s">
        <v>1002</v>
      </c>
    </row>
    <row r="28" spans="2:16">
      <c r="B28" s="149" t="s">
        <v>1003</v>
      </c>
      <c r="C28" s="131" t="s">
        <v>1004</v>
      </c>
      <c r="D28" s="150" t="s">
        <v>1005</v>
      </c>
      <c r="E28" s="131" t="s">
        <v>1006</v>
      </c>
      <c r="F28" s="150" t="s">
        <v>1007</v>
      </c>
    </row>
    <row r="29" spans="2:16" ht="29">
      <c r="B29" s="54" t="s">
        <v>1415</v>
      </c>
      <c r="C29" s="54" t="s">
        <v>1394</v>
      </c>
      <c r="D29" s="53" t="s">
        <v>1416</v>
      </c>
      <c r="E29" s="156" t="s">
        <v>1417</v>
      </c>
      <c r="F29" s="54" t="s">
        <v>1014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B1:BJ65"/>
  <sheetViews>
    <sheetView showGridLines="0" topLeftCell="A20" workbookViewId="0">
      <selection activeCell="G65" sqref="G65"/>
    </sheetView>
  </sheetViews>
  <sheetFormatPr defaultRowHeight="14.5"/>
  <cols>
    <col min="2" max="2" width="30.7265625" bestFit="1" customWidth="1"/>
    <col min="3" max="3" width="32.7265625" bestFit="1" customWidth="1"/>
    <col min="4" max="4" width="98.81640625" customWidth="1"/>
    <col min="5" max="5" width="30.453125" bestFit="1" customWidth="1"/>
    <col min="6" max="6" width="25.26953125" customWidth="1"/>
    <col min="7" max="7" width="24.7265625" customWidth="1"/>
    <col min="8" max="8" width="23.1796875" customWidth="1"/>
    <col min="9" max="9" width="29.26953125" customWidth="1"/>
    <col min="10" max="10" width="47.26953125" style="160" customWidth="1"/>
    <col min="11" max="11" width="23.81640625" style="160" bestFit="1" customWidth="1"/>
    <col min="12" max="12" width="22.7265625" style="160" bestFit="1" customWidth="1"/>
    <col min="13" max="13" width="30" style="160" bestFit="1" customWidth="1"/>
    <col min="14" max="21" width="30" style="160" customWidth="1"/>
    <col min="22" max="24" width="30.7265625" style="160" bestFit="1" customWidth="1"/>
    <col min="25" max="31" width="30.7265625" style="160" customWidth="1"/>
    <col min="32" max="32" width="30.7265625" style="160" bestFit="1" customWidth="1"/>
    <col min="33" max="33" width="31.26953125" style="160" customWidth="1"/>
    <col min="34" max="34" width="26.81640625" style="160" bestFit="1" customWidth="1"/>
    <col min="35" max="35" width="30.7265625" style="160" bestFit="1" customWidth="1"/>
    <col min="36" max="40" width="30.7265625" style="160" customWidth="1"/>
    <col min="41" max="41" width="43.26953125" style="160" customWidth="1"/>
    <col min="42" max="45" width="30.7265625" style="160" bestFit="1" customWidth="1"/>
    <col min="46" max="46" width="24.54296875" style="160" bestFit="1" customWidth="1"/>
    <col min="47" max="47" width="30.7265625" style="160" bestFit="1" customWidth="1"/>
    <col min="48" max="48" width="16.453125" style="160" bestFit="1" customWidth="1"/>
    <col min="49" max="49" width="26.81640625" style="160" bestFit="1" customWidth="1"/>
    <col min="50" max="50" width="30.7265625" style="160" bestFit="1" customWidth="1"/>
    <col min="51" max="51" width="25.1796875" style="160" bestFit="1" customWidth="1"/>
    <col min="52" max="52" width="45.7265625" style="160" bestFit="1" customWidth="1"/>
    <col min="53" max="53" width="44.26953125" style="160" customWidth="1"/>
    <col min="54" max="54" width="32.26953125" customWidth="1"/>
    <col min="55" max="55" width="32.54296875" customWidth="1"/>
    <col min="56" max="56" width="21.54296875" customWidth="1"/>
    <col min="57" max="57" width="27.7265625" customWidth="1"/>
    <col min="58" max="58" width="46.453125" customWidth="1"/>
  </cols>
  <sheetData>
    <row r="1" spans="2:53" ht="27.75" customHeight="1"/>
    <row r="2" spans="2:53">
      <c r="B2" s="76" t="s">
        <v>1078</v>
      </c>
      <c r="C2" s="76" t="s">
        <v>954</v>
      </c>
      <c r="D2" s="76" t="s">
        <v>955</v>
      </c>
      <c r="E2" s="76" t="s">
        <v>956</v>
      </c>
      <c r="F2" s="76" t="s">
        <v>957</v>
      </c>
      <c r="G2" s="76" t="s">
        <v>958</v>
      </c>
      <c r="H2" s="76" t="s">
        <v>959</v>
      </c>
      <c r="I2" s="76" t="s">
        <v>102</v>
      </c>
      <c r="J2" s="161" t="s">
        <v>112</v>
      </c>
      <c r="K2" s="161" t="s">
        <v>116</v>
      </c>
      <c r="L2" s="161" t="s">
        <v>121</v>
      </c>
      <c r="M2" s="161" t="s">
        <v>127</v>
      </c>
      <c r="N2" s="161" t="s">
        <v>132</v>
      </c>
      <c r="O2" s="161" t="s">
        <v>135</v>
      </c>
      <c r="P2" s="161" t="s">
        <v>537</v>
      </c>
      <c r="Q2" s="161" t="s">
        <v>538</v>
      </c>
      <c r="R2" s="161" t="s">
        <v>539</v>
      </c>
      <c r="S2" s="161" t="s">
        <v>540</v>
      </c>
      <c r="T2" s="161" t="s">
        <v>277</v>
      </c>
      <c r="U2" s="161" t="s">
        <v>282</v>
      </c>
      <c r="V2" s="161" t="s">
        <v>138</v>
      </c>
      <c r="W2" s="161" t="s">
        <v>144</v>
      </c>
      <c r="X2" s="161" t="s">
        <v>149</v>
      </c>
      <c r="Y2" s="161" t="s">
        <v>155</v>
      </c>
      <c r="Z2" s="161" t="s">
        <v>169</v>
      </c>
      <c r="AA2" s="161" t="s">
        <v>508</v>
      </c>
      <c r="AB2" s="161" t="s">
        <v>541</v>
      </c>
      <c r="AC2" s="161" t="s">
        <v>319</v>
      </c>
      <c r="AD2" s="161" t="s">
        <v>175</v>
      </c>
      <c r="AE2" s="161" t="s">
        <v>183</v>
      </c>
      <c r="AF2" s="161" t="s">
        <v>362</v>
      </c>
      <c r="AG2" s="161" t="s">
        <v>226</v>
      </c>
      <c r="AH2" s="161" t="s">
        <v>375</v>
      </c>
      <c r="AI2" s="161" t="s">
        <v>542</v>
      </c>
      <c r="AJ2" s="161" t="s">
        <v>543</v>
      </c>
      <c r="AK2" s="161" t="s">
        <v>544</v>
      </c>
      <c r="AL2" s="161" t="s">
        <v>545</v>
      </c>
      <c r="AM2" s="161" t="s">
        <v>546</v>
      </c>
      <c r="AN2" s="160" t="s">
        <v>547</v>
      </c>
      <c r="AO2" s="160" t="s">
        <v>548</v>
      </c>
      <c r="AP2" s="160" t="s">
        <v>517</v>
      </c>
      <c r="AQ2" s="160" t="s">
        <v>392</v>
      </c>
      <c r="AR2" s="160" t="s">
        <v>404</v>
      </c>
      <c r="AS2" s="160" t="s">
        <v>414</v>
      </c>
      <c r="AT2" s="160" t="s">
        <v>424</v>
      </c>
      <c r="AU2" s="160" t="s">
        <v>432</v>
      </c>
      <c r="AV2" s="160" t="s">
        <v>549</v>
      </c>
      <c r="AW2" s="160" t="s">
        <v>190</v>
      </c>
      <c r="AX2" s="160" t="s">
        <v>196</v>
      </c>
      <c r="AY2" s="160" t="s">
        <v>202</v>
      </c>
      <c r="AZ2" s="160" t="s">
        <v>208</v>
      </c>
      <c r="BA2" s="160" t="s">
        <v>213</v>
      </c>
    </row>
    <row r="3" spans="2:53">
      <c r="B3" s="50" t="s">
        <v>907</v>
      </c>
      <c r="C3" s="50">
        <v>1</v>
      </c>
      <c r="D3" t="s">
        <v>1418</v>
      </c>
      <c r="E3" s="268">
        <v>45390</v>
      </c>
      <c r="F3" s="93">
        <v>1</v>
      </c>
      <c r="G3" s="267">
        <v>1</v>
      </c>
      <c r="H3" s="93">
        <v>125228</v>
      </c>
      <c r="I3" s="93" t="s">
        <v>961</v>
      </c>
      <c r="J3" s="93" t="s">
        <v>961</v>
      </c>
      <c r="K3" s="93" t="s">
        <v>961</v>
      </c>
      <c r="L3" s="93" t="s">
        <v>961</v>
      </c>
      <c r="M3" s="93" t="s">
        <v>961</v>
      </c>
      <c r="N3" s="93" t="s">
        <v>961</v>
      </c>
      <c r="O3" s="93" t="s">
        <v>961</v>
      </c>
      <c r="P3" s="93" t="s">
        <v>961</v>
      </c>
      <c r="Q3" s="93" t="s">
        <v>961</v>
      </c>
      <c r="R3" s="93" t="s">
        <v>961</v>
      </c>
      <c r="S3" s="93" t="s">
        <v>961</v>
      </c>
      <c r="T3" s="93" t="s">
        <v>961</v>
      </c>
      <c r="U3" s="93" t="s">
        <v>961</v>
      </c>
      <c r="V3" s="93" t="s">
        <v>961</v>
      </c>
      <c r="W3" s="93" t="s">
        <v>961</v>
      </c>
      <c r="X3" s="93" t="s">
        <v>961</v>
      </c>
      <c r="Y3" s="93" t="s">
        <v>961</v>
      </c>
      <c r="Z3" s="93" t="s">
        <v>961</v>
      </c>
      <c r="AA3" s="93" t="s">
        <v>961</v>
      </c>
      <c r="AB3" s="93" t="s">
        <v>961</v>
      </c>
      <c r="AC3" s="93" t="s">
        <v>961</v>
      </c>
      <c r="AD3" s="93" t="s">
        <v>961</v>
      </c>
      <c r="AE3" s="93" t="s">
        <v>961</v>
      </c>
      <c r="AF3" s="93" t="s">
        <v>961</v>
      </c>
      <c r="AG3" s="93" t="s">
        <v>961</v>
      </c>
      <c r="AH3" s="93" t="s">
        <v>961</v>
      </c>
      <c r="AI3" s="93" t="s">
        <v>961</v>
      </c>
      <c r="AJ3" s="93" t="s">
        <v>961</v>
      </c>
      <c r="AK3" s="93" t="s">
        <v>961</v>
      </c>
      <c r="AL3" s="93" t="s">
        <v>961</v>
      </c>
      <c r="AM3" s="93" t="s">
        <v>961</v>
      </c>
      <c r="AN3" s="93" t="s">
        <v>961</v>
      </c>
      <c r="AO3" s="93" t="s">
        <v>961</v>
      </c>
      <c r="AP3" s="93" t="s">
        <v>961</v>
      </c>
      <c r="AQ3" s="93" t="s">
        <v>961</v>
      </c>
      <c r="AR3" s="93" t="s">
        <v>961</v>
      </c>
      <c r="AS3" s="93" t="s">
        <v>961</v>
      </c>
      <c r="AT3" s="93" t="s">
        <v>961</v>
      </c>
      <c r="AU3" s="93" t="s">
        <v>961</v>
      </c>
      <c r="AV3" s="93" t="s">
        <v>961</v>
      </c>
      <c r="AW3" s="93" t="s">
        <v>961</v>
      </c>
      <c r="AX3" s="93" t="s">
        <v>961</v>
      </c>
      <c r="AY3" s="93" t="s">
        <v>961</v>
      </c>
      <c r="AZ3" s="93" t="s">
        <v>961</v>
      </c>
      <c r="BA3" s="93" t="s">
        <v>961</v>
      </c>
    </row>
    <row r="4" spans="2:53">
      <c r="B4" s="50" t="s">
        <v>909</v>
      </c>
      <c r="C4" s="50">
        <v>2</v>
      </c>
      <c r="D4" t="s">
        <v>1419</v>
      </c>
      <c r="E4" s="268">
        <v>45390</v>
      </c>
      <c r="F4" s="93">
        <v>1</v>
      </c>
      <c r="G4" s="267">
        <v>0.99999199999999999</v>
      </c>
      <c r="H4" s="266">
        <v>1</v>
      </c>
      <c r="I4" s="93" t="s">
        <v>961</v>
      </c>
      <c r="J4" s="93" t="s">
        <v>961</v>
      </c>
      <c r="K4" s="93" t="s">
        <v>961</v>
      </c>
      <c r="L4" s="93" t="s">
        <v>961</v>
      </c>
      <c r="M4" s="93" t="s">
        <v>961</v>
      </c>
      <c r="N4" s="93" t="s">
        <v>961</v>
      </c>
      <c r="O4" s="93" t="s">
        <v>961</v>
      </c>
      <c r="P4" s="93" t="s">
        <v>961</v>
      </c>
      <c r="Q4" s="93" t="s">
        <v>961</v>
      </c>
      <c r="R4" s="93" t="s">
        <v>961</v>
      </c>
      <c r="S4" s="93" t="s">
        <v>961</v>
      </c>
      <c r="T4" s="93" t="s">
        <v>961</v>
      </c>
      <c r="U4" s="93" t="s">
        <v>961</v>
      </c>
      <c r="V4" s="93" t="s">
        <v>961</v>
      </c>
      <c r="W4" s="93" t="s">
        <v>961</v>
      </c>
      <c r="X4" s="93" t="s">
        <v>961</v>
      </c>
      <c r="Y4" s="93" t="s">
        <v>961</v>
      </c>
      <c r="Z4" s="93" t="s">
        <v>961</v>
      </c>
      <c r="AA4" s="93" t="s">
        <v>961</v>
      </c>
      <c r="AB4" s="93" t="s">
        <v>961</v>
      </c>
      <c r="AC4" s="93" t="s">
        <v>961</v>
      </c>
      <c r="AD4" s="93" t="s">
        <v>961</v>
      </c>
      <c r="AE4" s="93" t="s">
        <v>961</v>
      </c>
      <c r="AF4" s="93" t="s">
        <v>961</v>
      </c>
      <c r="AG4" s="93" t="s">
        <v>961</v>
      </c>
      <c r="AH4" s="93" t="s">
        <v>961</v>
      </c>
      <c r="AI4" s="93" t="s">
        <v>961</v>
      </c>
      <c r="AJ4" s="93" t="s">
        <v>961</v>
      </c>
      <c r="AK4" s="93" t="s">
        <v>961</v>
      </c>
      <c r="AL4" s="93" t="s">
        <v>961</v>
      </c>
      <c r="AM4" s="93" t="s">
        <v>961</v>
      </c>
      <c r="AN4" s="93" t="s">
        <v>961</v>
      </c>
      <c r="AO4" s="93" t="s">
        <v>961</v>
      </c>
      <c r="AP4" s="93" t="s">
        <v>961</v>
      </c>
      <c r="AQ4" s="93" t="s">
        <v>961</v>
      </c>
      <c r="AR4" s="93" t="s">
        <v>961</v>
      </c>
      <c r="AS4" s="93" t="s">
        <v>961</v>
      </c>
      <c r="AT4" s="93" t="s">
        <v>961</v>
      </c>
      <c r="AU4" s="93" t="s">
        <v>961</v>
      </c>
      <c r="AV4" s="93" t="s">
        <v>961</v>
      </c>
      <c r="AW4" s="93" t="s">
        <v>961</v>
      </c>
      <c r="AX4" s="93" t="s">
        <v>961</v>
      </c>
      <c r="AY4" s="93" t="s">
        <v>961</v>
      </c>
      <c r="AZ4" s="93" t="s">
        <v>961</v>
      </c>
      <c r="BA4" s="93" t="s">
        <v>961</v>
      </c>
    </row>
    <row r="5" spans="2:53">
      <c r="B5" s="50" t="s">
        <v>911</v>
      </c>
      <c r="C5" s="50">
        <v>3</v>
      </c>
      <c r="D5" t="s">
        <v>1420</v>
      </c>
      <c r="E5" s="268">
        <v>45390</v>
      </c>
      <c r="F5" s="93">
        <v>1</v>
      </c>
      <c r="G5" s="267">
        <v>1</v>
      </c>
      <c r="H5" s="93">
        <v>0</v>
      </c>
      <c r="I5" s="93">
        <v>0</v>
      </c>
      <c r="J5" s="93">
        <v>0</v>
      </c>
      <c r="K5" s="93" t="s">
        <v>961</v>
      </c>
      <c r="L5" s="93" t="s">
        <v>961</v>
      </c>
      <c r="M5" s="93" t="s">
        <v>961</v>
      </c>
      <c r="N5" s="93" t="s">
        <v>961</v>
      </c>
      <c r="O5" s="93" t="s">
        <v>961</v>
      </c>
      <c r="P5" s="93" t="s">
        <v>961</v>
      </c>
      <c r="Q5" s="93" t="s">
        <v>961</v>
      </c>
      <c r="R5" s="93" t="s">
        <v>961</v>
      </c>
      <c r="S5" s="93" t="s">
        <v>961</v>
      </c>
      <c r="T5" s="93" t="s">
        <v>961</v>
      </c>
      <c r="U5" s="93" t="s">
        <v>961</v>
      </c>
      <c r="V5" s="93" t="s">
        <v>961</v>
      </c>
      <c r="W5" s="93" t="s">
        <v>961</v>
      </c>
      <c r="X5" s="93" t="s">
        <v>961</v>
      </c>
      <c r="Y5" s="93" t="s">
        <v>961</v>
      </c>
      <c r="Z5" s="93" t="s">
        <v>961</v>
      </c>
      <c r="AA5" s="93" t="s">
        <v>961</v>
      </c>
      <c r="AB5" s="93" t="s">
        <v>961</v>
      </c>
      <c r="AC5" s="93" t="s">
        <v>961</v>
      </c>
      <c r="AD5" s="93" t="s">
        <v>961</v>
      </c>
      <c r="AE5" s="93" t="s">
        <v>961</v>
      </c>
      <c r="AF5" s="93" t="s">
        <v>961</v>
      </c>
      <c r="AG5" s="93" t="s">
        <v>961</v>
      </c>
      <c r="AH5" s="93" t="s">
        <v>961</v>
      </c>
      <c r="AI5" s="93" t="s">
        <v>961</v>
      </c>
      <c r="AJ5" s="93" t="s">
        <v>961</v>
      </c>
      <c r="AK5" s="93" t="s">
        <v>961</v>
      </c>
      <c r="AL5" s="93" t="s">
        <v>961</v>
      </c>
      <c r="AM5" s="93" t="s">
        <v>961</v>
      </c>
      <c r="AN5" s="93" t="s">
        <v>961</v>
      </c>
      <c r="AO5" s="93" t="s">
        <v>961</v>
      </c>
      <c r="AP5" s="93" t="s">
        <v>961</v>
      </c>
      <c r="AQ5" s="93" t="s">
        <v>961</v>
      </c>
      <c r="AR5" s="93" t="s">
        <v>961</v>
      </c>
      <c r="AS5" s="93" t="s">
        <v>961</v>
      </c>
      <c r="AT5" s="93" t="s">
        <v>961</v>
      </c>
      <c r="AU5" s="93" t="s">
        <v>961</v>
      </c>
      <c r="AV5" s="93" t="s">
        <v>961</v>
      </c>
      <c r="AW5" s="93" t="s">
        <v>961</v>
      </c>
      <c r="AX5" s="93" t="s">
        <v>961</v>
      </c>
      <c r="AY5" s="93" t="s">
        <v>961</v>
      </c>
      <c r="AZ5" s="93">
        <v>0</v>
      </c>
      <c r="BA5" s="93" t="s">
        <v>961</v>
      </c>
    </row>
    <row r="6" spans="2:53">
      <c r="B6" s="97" t="s">
        <v>913</v>
      </c>
      <c r="C6" s="50">
        <v>4</v>
      </c>
      <c r="D6" t="s">
        <v>964</v>
      </c>
      <c r="E6" s="268">
        <v>45390</v>
      </c>
      <c r="F6" s="93">
        <v>1</v>
      </c>
      <c r="G6" s="267" t="s">
        <v>961</v>
      </c>
      <c r="H6" s="93" t="s">
        <v>961</v>
      </c>
      <c r="I6" s="93" t="s">
        <v>961</v>
      </c>
      <c r="J6" s="93" t="s">
        <v>961</v>
      </c>
      <c r="K6" s="93" t="s">
        <v>961</v>
      </c>
      <c r="L6" s="93" t="s">
        <v>961</v>
      </c>
      <c r="M6" s="93" t="s">
        <v>961</v>
      </c>
      <c r="N6" s="93" t="s">
        <v>961</v>
      </c>
      <c r="O6" s="93" t="s">
        <v>961</v>
      </c>
      <c r="P6" s="93" t="s">
        <v>961</v>
      </c>
      <c r="Q6" s="93" t="s">
        <v>961</v>
      </c>
      <c r="R6" s="93" t="s">
        <v>961</v>
      </c>
      <c r="S6" s="93" t="s">
        <v>961</v>
      </c>
      <c r="T6" s="93" t="s">
        <v>961</v>
      </c>
      <c r="U6" s="93" t="s">
        <v>961</v>
      </c>
      <c r="V6" s="93" t="s">
        <v>961</v>
      </c>
      <c r="W6" s="93" t="s">
        <v>961</v>
      </c>
      <c r="X6" s="93" t="s">
        <v>961</v>
      </c>
      <c r="Y6" s="93" t="s">
        <v>961</v>
      </c>
      <c r="Z6" s="93" t="s">
        <v>961</v>
      </c>
      <c r="AA6" s="93" t="s">
        <v>961</v>
      </c>
      <c r="AB6" s="93" t="s">
        <v>961</v>
      </c>
      <c r="AC6" s="93" t="s">
        <v>961</v>
      </c>
      <c r="AD6" s="93" t="s">
        <v>961</v>
      </c>
      <c r="AE6" s="93" t="s">
        <v>961</v>
      </c>
      <c r="AF6" s="93" t="s">
        <v>961</v>
      </c>
      <c r="AG6" s="93" t="s">
        <v>961</v>
      </c>
      <c r="AH6" s="93" t="s">
        <v>961</v>
      </c>
      <c r="AI6" s="93" t="s">
        <v>961</v>
      </c>
      <c r="AJ6" s="93" t="s">
        <v>961</v>
      </c>
      <c r="AK6" s="93" t="s">
        <v>961</v>
      </c>
      <c r="AL6" s="93" t="s">
        <v>961</v>
      </c>
      <c r="AM6" s="93" t="s">
        <v>961</v>
      </c>
      <c r="AN6" s="93" t="s">
        <v>961</v>
      </c>
      <c r="AO6" s="93" t="s">
        <v>961</v>
      </c>
      <c r="AP6" s="93" t="s">
        <v>961</v>
      </c>
      <c r="AQ6" s="93" t="s">
        <v>961</v>
      </c>
      <c r="AR6" s="93" t="s">
        <v>961</v>
      </c>
      <c r="AS6" s="93" t="s">
        <v>961</v>
      </c>
      <c r="AT6" s="93" t="s">
        <v>961</v>
      </c>
      <c r="AU6" s="93" t="s">
        <v>961</v>
      </c>
      <c r="AV6" s="93" t="s">
        <v>961</v>
      </c>
      <c r="AW6" s="93" t="s">
        <v>961</v>
      </c>
      <c r="AX6" s="93" t="s">
        <v>961</v>
      </c>
      <c r="AY6" s="93" t="s">
        <v>961</v>
      </c>
      <c r="AZ6" s="93" t="s">
        <v>961</v>
      </c>
      <c r="BA6" s="93" t="s">
        <v>961</v>
      </c>
    </row>
    <row r="7" spans="2:53">
      <c r="B7" s="97" t="s">
        <v>915</v>
      </c>
      <c r="C7" s="50">
        <v>5</v>
      </c>
      <c r="D7" t="s">
        <v>964</v>
      </c>
      <c r="E7" s="268">
        <v>45390</v>
      </c>
      <c r="F7" s="93">
        <v>1</v>
      </c>
      <c r="G7" s="267" t="s">
        <v>961</v>
      </c>
      <c r="H7" s="93" t="s">
        <v>961</v>
      </c>
      <c r="I7" s="93" t="s">
        <v>961</v>
      </c>
      <c r="J7" s="93" t="s">
        <v>961</v>
      </c>
      <c r="K7" s="93" t="s">
        <v>961</v>
      </c>
      <c r="L7" s="93" t="s">
        <v>961</v>
      </c>
      <c r="M7" s="93" t="s">
        <v>961</v>
      </c>
      <c r="N7" s="93" t="s">
        <v>961</v>
      </c>
      <c r="O7" s="93" t="s">
        <v>961</v>
      </c>
      <c r="P7" s="93" t="s">
        <v>961</v>
      </c>
      <c r="Q7" s="93" t="s">
        <v>961</v>
      </c>
      <c r="R7" s="93" t="s">
        <v>961</v>
      </c>
      <c r="S7" s="93" t="s">
        <v>961</v>
      </c>
      <c r="T7" s="93" t="s">
        <v>961</v>
      </c>
      <c r="U7" s="93" t="s">
        <v>961</v>
      </c>
      <c r="V7" s="93" t="s">
        <v>961</v>
      </c>
      <c r="W7" s="93" t="s">
        <v>961</v>
      </c>
      <c r="X7" s="93" t="s">
        <v>961</v>
      </c>
      <c r="Y7" s="93" t="s">
        <v>961</v>
      </c>
      <c r="Z7" s="93" t="s">
        <v>961</v>
      </c>
      <c r="AA7" s="93" t="s">
        <v>961</v>
      </c>
      <c r="AB7" s="93" t="s">
        <v>961</v>
      </c>
      <c r="AC7" s="93" t="s">
        <v>961</v>
      </c>
      <c r="AD7" s="93" t="s">
        <v>961</v>
      </c>
      <c r="AE7" s="93" t="s">
        <v>961</v>
      </c>
      <c r="AF7" s="93" t="s">
        <v>961</v>
      </c>
      <c r="AG7" s="93" t="s">
        <v>961</v>
      </c>
      <c r="AH7" s="93" t="s">
        <v>961</v>
      </c>
      <c r="AI7" s="93" t="s">
        <v>961</v>
      </c>
      <c r="AJ7" s="93" t="s">
        <v>961</v>
      </c>
      <c r="AK7" s="93" t="s">
        <v>961</v>
      </c>
      <c r="AL7" s="93" t="s">
        <v>961</v>
      </c>
      <c r="AM7" s="93" t="s">
        <v>961</v>
      </c>
      <c r="AN7" s="93" t="s">
        <v>961</v>
      </c>
      <c r="AO7" s="93" t="s">
        <v>961</v>
      </c>
      <c r="AP7" s="93" t="s">
        <v>961</v>
      </c>
      <c r="AQ7" s="93" t="s">
        <v>961</v>
      </c>
      <c r="AR7" s="93" t="s">
        <v>961</v>
      </c>
      <c r="AS7" s="93" t="s">
        <v>961</v>
      </c>
      <c r="AT7" s="93" t="s">
        <v>961</v>
      </c>
      <c r="AU7" s="93" t="s">
        <v>961</v>
      </c>
      <c r="AV7" s="93" t="s">
        <v>961</v>
      </c>
      <c r="AW7" s="93" t="s">
        <v>961</v>
      </c>
      <c r="AX7" s="93" t="s">
        <v>961</v>
      </c>
      <c r="AY7" s="93" t="s">
        <v>961</v>
      </c>
      <c r="AZ7" s="93" t="s">
        <v>961</v>
      </c>
      <c r="BA7" s="93" t="s">
        <v>961</v>
      </c>
    </row>
    <row r="8" spans="2:53">
      <c r="B8" s="97" t="s">
        <v>916</v>
      </c>
      <c r="C8" s="50">
        <v>6</v>
      </c>
      <c r="D8" t="s">
        <v>1421</v>
      </c>
      <c r="E8" s="268">
        <v>45390</v>
      </c>
      <c r="F8" s="93">
        <v>1</v>
      </c>
      <c r="G8" s="267" cm="1">
        <f t="array" ref="G8">SUMPRODUCT(--(I8:BA8&gt;0))/COUNTA(I8:BA8)</f>
        <v>1</v>
      </c>
      <c r="H8" s="93">
        <v>0</v>
      </c>
      <c r="I8" s="93">
        <v>2</v>
      </c>
      <c r="J8" s="93">
        <v>30</v>
      </c>
      <c r="K8" s="93">
        <v>3</v>
      </c>
      <c r="L8" s="93">
        <v>3</v>
      </c>
      <c r="M8" s="93">
        <v>3</v>
      </c>
      <c r="N8" s="93">
        <v>2</v>
      </c>
      <c r="O8" s="93">
        <v>4</v>
      </c>
      <c r="P8" s="93">
        <v>34</v>
      </c>
      <c r="Q8" s="93">
        <v>2</v>
      </c>
      <c r="R8" s="93">
        <v>4</v>
      </c>
      <c r="S8" s="93">
        <v>34</v>
      </c>
      <c r="T8" s="93">
        <v>2</v>
      </c>
      <c r="U8" s="93">
        <v>15</v>
      </c>
      <c r="V8" s="93">
        <v>10</v>
      </c>
      <c r="W8" s="93">
        <v>10</v>
      </c>
      <c r="X8" s="93">
        <v>3</v>
      </c>
      <c r="Y8" s="93">
        <v>1</v>
      </c>
      <c r="Z8" s="93">
        <v>8</v>
      </c>
      <c r="AA8" s="93">
        <v>8</v>
      </c>
      <c r="AB8" s="93">
        <v>8</v>
      </c>
      <c r="AC8" s="93">
        <v>8</v>
      </c>
      <c r="AD8" s="93">
        <v>8</v>
      </c>
      <c r="AE8" s="93">
        <v>8</v>
      </c>
      <c r="AF8" s="93">
        <v>4</v>
      </c>
      <c r="AG8" s="93">
        <v>4</v>
      </c>
      <c r="AH8" s="93">
        <v>8</v>
      </c>
      <c r="AI8" s="93">
        <v>4</v>
      </c>
      <c r="AJ8" s="93">
        <v>8</v>
      </c>
      <c r="AK8" s="93">
        <v>8</v>
      </c>
      <c r="AL8" s="93">
        <v>3</v>
      </c>
      <c r="AM8" s="93">
        <v>3</v>
      </c>
      <c r="AN8" s="93">
        <v>8</v>
      </c>
      <c r="AO8" s="93">
        <v>8</v>
      </c>
      <c r="AP8" s="93">
        <v>8</v>
      </c>
      <c r="AQ8" s="93">
        <v>3</v>
      </c>
      <c r="AR8" s="93">
        <v>3</v>
      </c>
      <c r="AS8" s="93">
        <v>8</v>
      </c>
      <c r="AT8" s="93">
        <v>8</v>
      </c>
      <c r="AU8" s="93">
        <v>8</v>
      </c>
      <c r="AV8" s="93">
        <v>1</v>
      </c>
      <c r="AW8" s="93">
        <v>3</v>
      </c>
      <c r="AX8" s="93">
        <v>3</v>
      </c>
      <c r="AY8" s="93">
        <v>2</v>
      </c>
      <c r="AZ8" s="93">
        <v>10</v>
      </c>
      <c r="BA8" s="93">
        <v>22</v>
      </c>
    </row>
    <row r="9" spans="2:53">
      <c r="B9" s="50" t="s">
        <v>919</v>
      </c>
      <c r="C9" s="50">
        <v>7</v>
      </c>
      <c r="D9" t="s">
        <v>1422</v>
      </c>
      <c r="E9" s="268">
        <v>45390</v>
      </c>
      <c r="F9" s="93">
        <v>1</v>
      </c>
      <c r="G9" s="267" t="e" cm="1">
        <f t="array" aca="1" ref="G9" ca="1">SUMPRODUCT(--(I9:BA9 &lt;= I28:BA28))/COUNTA(I28:BA28)</f>
        <v>#NAME?</v>
      </c>
      <c r="H9" s="93">
        <v>0</v>
      </c>
      <c r="I9" s="93">
        <v>2</v>
      </c>
      <c r="J9" s="93">
        <v>30</v>
      </c>
      <c r="K9" s="93">
        <v>3</v>
      </c>
      <c r="L9" s="93">
        <v>3</v>
      </c>
      <c r="M9" s="93">
        <v>3</v>
      </c>
      <c r="N9" s="93">
        <v>4</v>
      </c>
      <c r="O9" s="93">
        <v>30</v>
      </c>
      <c r="P9" s="93">
        <v>34</v>
      </c>
      <c r="Q9" s="93">
        <v>4</v>
      </c>
      <c r="R9" s="93">
        <v>30</v>
      </c>
      <c r="S9" s="93">
        <v>34</v>
      </c>
      <c r="T9" s="93">
        <v>2</v>
      </c>
      <c r="U9" s="93">
        <v>15</v>
      </c>
      <c r="V9" s="93">
        <v>10</v>
      </c>
      <c r="W9" s="93">
        <v>10</v>
      </c>
      <c r="X9" s="93">
        <v>3</v>
      </c>
      <c r="Y9" s="93">
        <v>1</v>
      </c>
      <c r="Z9" s="93">
        <v>16</v>
      </c>
      <c r="AA9" s="93">
        <v>16</v>
      </c>
      <c r="AB9" s="93">
        <v>10</v>
      </c>
      <c r="AC9" s="93">
        <v>15</v>
      </c>
      <c r="AD9" s="93">
        <v>15</v>
      </c>
      <c r="AE9" s="93">
        <v>11</v>
      </c>
      <c r="AF9" s="93">
        <v>19</v>
      </c>
      <c r="AG9" s="93">
        <v>10</v>
      </c>
      <c r="AH9" s="93">
        <v>16</v>
      </c>
      <c r="AI9" s="93">
        <v>10</v>
      </c>
      <c r="AJ9" s="93">
        <v>16</v>
      </c>
      <c r="AK9" s="93">
        <v>15</v>
      </c>
      <c r="AL9" s="93">
        <v>4</v>
      </c>
      <c r="AM9" s="93">
        <v>4</v>
      </c>
      <c r="AN9" s="93">
        <v>9</v>
      </c>
      <c r="AO9" s="93">
        <v>8</v>
      </c>
      <c r="AP9" s="93">
        <v>8</v>
      </c>
      <c r="AQ9" s="93">
        <v>4</v>
      </c>
      <c r="AR9" s="93">
        <v>4</v>
      </c>
      <c r="AS9" s="93">
        <v>9</v>
      </c>
      <c r="AT9" s="93">
        <v>8</v>
      </c>
      <c r="AU9" s="93">
        <v>8</v>
      </c>
      <c r="AV9" s="93">
        <v>4</v>
      </c>
      <c r="AW9" s="93">
        <v>3</v>
      </c>
      <c r="AX9" s="93">
        <v>3</v>
      </c>
      <c r="AY9" s="93">
        <v>2</v>
      </c>
      <c r="AZ9" s="93">
        <v>10</v>
      </c>
      <c r="BA9" s="93">
        <v>22</v>
      </c>
    </row>
    <row r="10" spans="2:53">
      <c r="B10" s="50" t="s">
        <v>922</v>
      </c>
      <c r="C10" s="50">
        <v>8</v>
      </c>
      <c r="D10" t="s">
        <v>1423</v>
      </c>
      <c r="E10" s="268">
        <v>45390</v>
      </c>
      <c r="F10" s="93">
        <v>1</v>
      </c>
      <c r="G10" s="267" t="s">
        <v>961</v>
      </c>
      <c r="H10" s="93">
        <v>0</v>
      </c>
      <c r="I10" s="93">
        <v>31</v>
      </c>
      <c r="J10" s="93" t="s">
        <v>1424</v>
      </c>
      <c r="K10" s="93" t="s">
        <v>1425</v>
      </c>
      <c r="L10" s="93">
        <v>0</v>
      </c>
      <c r="M10" s="93">
        <v>9</v>
      </c>
      <c r="N10" s="93" t="e">
        <v>#N/A</v>
      </c>
      <c r="O10" s="93" t="e">
        <v>#N/A</v>
      </c>
      <c r="P10" s="93">
        <v>7.7800000002008096E+21</v>
      </c>
      <c r="Q10" s="93" t="e">
        <v>#N/A</v>
      </c>
      <c r="R10" s="93" t="e">
        <v>#N/A</v>
      </c>
      <c r="S10" s="93">
        <v>7.7800000002008096E+21</v>
      </c>
      <c r="T10" s="93">
        <v>31</v>
      </c>
      <c r="U10" s="93">
        <v>19950000013</v>
      </c>
      <c r="V10" s="268">
        <v>32265</v>
      </c>
      <c r="W10" s="268">
        <v>36313</v>
      </c>
      <c r="X10" s="93">
        <v>978</v>
      </c>
      <c r="Y10" s="268">
        <v>0</v>
      </c>
      <c r="Z10" s="268">
        <v>-48901888000000</v>
      </c>
      <c r="AA10" s="266">
        <v>-50082278400000</v>
      </c>
      <c r="AB10" s="93" t="s">
        <v>970</v>
      </c>
      <c r="AC10" s="268">
        <v>-11976360000</v>
      </c>
      <c r="AD10" s="266">
        <v>-1240000000000</v>
      </c>
      <c r="AE10" s="93" t="s">
        <v>970</v>
      </c>
      <c r="AF10" s="93" t="e">
        <v>#N/A</v>
      </c>
      <c r="AG10" s="268" t="e">
        <v>#N/A</v>
      </c>
      <c r="AH10" s="93" t="s">
        <v>970</v>
      </c>
      <c r="AI10" s="93" t="e">
        <v>#N/A</v>
      </c>
      <c r="AJ10" s="93" t="s">
        <v>970</v>
      </c>
      <c r="AK10" s="266" t="s">
        <v>970</v>
      </c>
      <c r="AL10" s="93" t="e">
        <v>#N/A</v>
      </c>
      <c r="AM10" s="266" t="e">
        <v>#N/A</v>
      </c>
      <c r="AN10" s="266" t="s">
        <v>1426</v>
      </c>
      <c r="AO10" s="93" t="s">
        <v>970</v>
      </c>
      <c r="AP10" s="93" t="s">
        <v>970</v>
      </c>
      <c r="AQ10" s="93" t="e">
        <v>#N/A</v>
      </c>
      <c r="AR10" s="93" t="e">
        <v>#N/A</v>
      </c>
      <c r="AS10" s="93" t="s">
        <v>1427</v>
      </c>
      <c r="AT10" s="93" t="s">
        <v>970</v>
      </c>
      <c r="AU10" s="93" t="s">
        <v>970</v>
      </c>
      <c r="AV10" s="93" t="e">
        <v>#N/A</v>
      </c>
      <c r="AW10" s="93" t="s">
        <v>971</v>
      </c>
      <c r="AX10" s="93" t="s">
        <v>972</v>
      </c>
      <c r="AY10" s="93" t="s">
        <v>1089</v>
      </c>
      <c r="AZ10" s="268">
        <v>45390</v>
      </c>
      <c r="BA10" s="93" t="s">
        <v>1428</v>
      </c>
    </row>
    <row r="11" spans="2:53">
      <c r="B11" s="50" t="s">
        <v>924</v>
      </c>
      <c r="C11" s="50">
        <v>9</v>
      </c>
      <c r="D11" t="s">
        <v>1429</v>
      </c>
      <c r="E11" s="268">
        <v>45390</v>
      </c>
      <c r="F11" s="93">
        <v>1</v>
      </c>
      <c r="G11" s="267" t="s">
        <v>961</v>
      </c>
      <c r="H11" s="93">
        <v>0</v>
      </c>
      <c r="I11" s="93">
        <v>31</v>
      </c>
      <c r="J11" s="93" t="s">
        <v>1424</v>
      </c>
      <c r="K11" s="93" t="s">
        <v>1425</v>
      </c>
      <c r="L11" s="93">
        <v>0</v>
      </c>
      <c r="M11" s="93">
        <v>9</v>
      </c>
      <c r="N11" s="93" t="e">
        <v>#N/A</v>
      </c>
      <c r="O11" s="93" t="e">
        <v>#N/A</v>
      </c>
      <c r="P11" s="93">
        <v>7.7800000002008096E+21</v>
      </c>
      <c r="Q11" s="93" t="e">
        <v>#N/A</v>
      </c>
      <c r="R11" s="93" t="e">
        <v>#N/A</v>
      </c>
      <c r="S11" s="93">
        <v>7.7800000002008096E+21</v>
      </c>
      <c r="T11" s="93">
        <v>31</v>
      </c>
      <c r="U11" s="93">
        <v>19950000013</v>
      </c>
      <c r="V11" s="268">
        <v>32265</v>
      </c>
      <c r="W11" s="268">
        <v>36313</v>
      </c>
      <c r="X11" s="93">
        <v>978</v>
      </c>
      <c r="Y11" s="268">
        <v>0</v>
      </c>
      <c r="Z11" s="268">
        <v>-48901888000000</v>
      </c>
      <c r="AA11" s="266">
        <v>-50082278400000</v>
      </c>
      <c r="AB11" s="93" t="s">
        <v>970</v>
      </c>
      <c r="AC11" s="268">
        <v>-11976360000</v>
      </c>
      <c r="AD11" s="266">
        <v>-1240000000000</v>
      </c>
      <c r="AE11" s="93" t="s">
        <v>970</v>
      </c>
      <c r="AF11" s="93" t="e">
        <v>#N/A</v>
      </c>
      <c r="AG11" s="268" t="e">
        <v>#N/A</v>
      </c>
      <c r="AH11" s="93" t="s">
        <v>970</v>
      </c>
      <c r="AI11" s="93" t="e">
        <v>#N/A</v>
      </c>
      <c r="AJ11" s="93" t="s">
        <v>970</v>
      </c>
      <c r="AK11" s="266" t="s">
        <v>970</v>
      </c>
      <c r="AL11" s="93" t="e">
        <v>#N/A</v>
      </c>
      <c r="AM11" s="266" t="e">
        <v>#N/A</v>
      </c>
      <c r="AN11" s="266" t="s">
        <v>1426</v>
      </c>
      <c r="AO11" s="93" t="s">
        <v>970</v>
      </c>
      <c r="AP11" s="93" t="s">
        <v>970</v>
      </c>
      <c r="AQ11" s="93" t="e">
        <v>#N/A</v>
      </c>
      <c r="AR11" s="93" t="e">
        <v>#N/A</v>
      </c>
      <c r="AS11" s="93" t="s">
        <v>1427</v>
      </c>
      <c r="AT11" s="93" t="s">
        <v>970</v>
      </c>
      <c r="AU11" s="93" t="s">
        <v>970</v>
      </c>
      <c r="AV11" s="93" t="e">
        <v>#N/A</v>
      </c>
      <c r="AW11" s="93" t="s">
        <v>971</v>
      </c>
      <c r="AX11" s="93" t="s">
        <v>972</v>
      </c>
      <c r="AY11" s="93" t="s">
        <v>1089</v>
      </c>
      <c r="AZ11" s="268">
        <v>45390</v>
      </c>
      <c r="BA11" s="93" t="s">
        <v>1428</v>
      </c>
    </row>
    <row r="12" spans="2:53">
      <c r="B12" s="97" t="s">
        <v>926</v>
      </c>
      <c r="C12" s="50">
        <v>10</v>
      </c>
      <c r="D12" t="s">
        <v>1430</v>
      </c>
      <c r="E12" s="268">
        <v>45390</v>
      </c>
      <c r="F12" s="93">
        <v>1</v>
      </c>
      <c r="G12" s="267" t="s">
        <v>961</v>
      </c>
      <c r="H12" s="93">
        <v>0</v>
      </c>
      <c r="I12" s="93">
        <v>89</v>
      </c>
      <c r="J12" s="93">
        <v>3.1172498702899997E+26</v>
      </c>
      <c r="K12" s="93" t="s">
        <v>1425</v>
      </c>
      <c r="L12" s="93" t="s">
        <v>1431</v>
      </c>
      <c r="M12" s="93" t="s">
        <v>1432</v>
      </c>
      <c r="N12" s="93">
        <v>31</v>
      </c>
      <c r="O12" s="93">
        <v>2.3930278393702E+29</v>
      </c>
      <c r="P12" s="93" t="s">
        <v>1338</v>
      </c>
      <c r="Q12" s="93">
        <v>31</v>
      </c>
      <c r="R12" s="93">
        <v>2.3930278393702E+29</v>
      </c>
      <c r="S12" s="93" t="s">
        <v>1338</v>
      </c>
      <c r="T12" s="93">
        <v>31</v>
      </c>
      <c r="U12" s="93">
        <v>20240000133</v>
      </c>
      <c r="V12" s="268">
        <v>45390</v>
      </c>
      <c r="W12" s="268">
        <v>2958465</v>
      </c>
      <c r="X12" s="93" t="s">
        <v>1341</v>
      </c>
      <c r="Y12" s="268">
        <v>1</v>
      </c>
      <c r="Z12" s="268">
        <v>199999961040000</v>
      </c>
      <c r="AA12" s="266">
        <v>180235937460000</v>
      </c>
      <c r="AB12" s="266">
        <v>100000000</v>
      </c>
      <c r="AC12" s="268">
        <v>37950000000000</v>
      </c>
      <c r="AD12" s="266">
        <v>5165000000000</v>
      </c>
      <c r="AE12" s="266">
        <v>8835980000</v>
      </c>
      <c r="AF12" s="270">
        <v>47845</v>
      </c>
      <c r="AG12" s="268">
        <v>45391</v>
      </c>
      <c r="AH12" s="266">
        <v>171783440160000</v>
      </c>
      <c r="AI12" s="266">
        <v>45391</v>
      </c>
      <c r="AJ12" s="266">
        <v>199999961040000</v>
      </c>
      <c r="AK12" s="266">
        <v>37950000000000</v>
      </c>
      <c r="AL12" s="266" t="s">
        <v>1040</v>
      </c>
      <c r="AM12" s="266" t="s">
        <v>1433</v>
      </c>
      <c r="AN12" s="266" t="s">
        <v>1434</v>
      </c>
      <c r="AO12" s="266">
        <v>5750000</v>
      </c>
      <c r="AP12" s="266">
        <v>5750000</v>
      </c>
      <c r="AQ12" s="93" t="s">
        <v>1040</v>
      </c>
      <c r="AR12" s="266" t="s">
        <v>1435</v>
      </c>
      <c r="AS12" s="266">
        <v>4160000</v>
      </c>
      <c r="AT12" s="266">
        <v>5000000</v>
      </c>
      <c r="AU12" s="266">
        <v>8923000</v>
      </c>
      <c r="AV12" s="266">
        <v>1</v>
      </c>
      <c r="AW12" s="266" t="s">
        <v>980</v>
      </c>
      <c r="AX12" s="266" t="s">
        <v>972</v>
      </c>
      <c r="AY12" s="93" t="s">
        <v>981</v>
      </c>
      <c r="AZ12" s="268">
        <v>45390</v>
      </c>
      <c r="BA12" s="93" t="s">
        <v>1428</v>
      </c>
    </row>
    <row r="13" spans="2:53">
      <c r="B13" s="50" t="s">
        <v>928</v>
      </c>
      <c r="C13" s="50">
        <v>11</v>
      </c>
      <c r="D13" t="s">
        <v>1436</v>
      </c>
      <c r="E13" s="268">
        <v>45390</v>
      </c>
      <c r="F13" s="93">
        <v>1</v>
      </c>
      <c r="G13" s="267" t="s">
        <v>961</v>
      </c>
      <c r="H13" s="93">
        <v>0</v>
      </c>
      <c r="I13" s="93">
        <v>89</v>
      </c>
      <c r="J13" s="93">
        <v>3.1172498702899997E+26</v>
      </c>
      <c r="K13" s="93" t="s">
        <v>1425</v>
      </c>
      <c r="L13" s="93" t="s">
        <v>1431</v>
      </c>
      <c r="M13" s="93" t="s">
        <v>1432</v>
      </c>
      <c r="N13" s="93">
        <v>31</v>
      </c>
      <c r="O13" s="93">
        <v>2.3930278393702E+29</v>
      </c>
      <c r="P13" s="93" t="s">
        <v>1338</v>
      </c>
      <c r="Q13" s="93">
        <v>31</v>
      </c>
      <c r="R13" s="93">
        <v>2.3930278393702E+29</v>
      </c>
      <c r="S13" s="93" t="s">
        <v>1338</v>
      </c>
      <c r="T13" s="93">
        <v>31</v>
      </c>
      <c r="U13" s="93">
        <v>20240000133</v>
      </c>
      <c r="V13" s="268">
        <v>45390</v>
      </c>
      <c r="W13" s="268">
        <v>2958465</v>
      </c>
      <c r="X13" s="93" t="s">
        <v>1341</v>
      </c>
      <c r="Y13" s="268">
        <v>1</v>
      </c>
      <c r="Z13" s="268">
        <v>199999961040000</v>
      </c>
      <c r="AA13" s="266">
        <v>180235937460000</v>
      </c>
      <c r="AB13" s="266">
        <v>100000000</v>
      </c>
      <c r="AC13" s="268">
        <v>37950000000000</v>
      </c>
      <c r="AD13" s="266">
        <v>5165000000000</v>
      </c>
      <c r="AE13" s="266">
        <v>8835980000</v>
      </c>
      <c r="AF13" s="270">
        <v>47845</v>
      </c>
      <c r="AG13" s="268">
        <v>45391</v>
      </c>
      <c r="AH13" s="266">
        <v>171783440160000</v>
      </c>
      <c r="AI13" s="266">
        <v>45391</v>
      </c>
      <c r="AJ13" s="266">
        <v>199999961040000</v>
      </c>
      <c r="AK13" s="266">
        <v>37950000000000</v>
      </c>
      <c r="AL13" s="266" t="s">
        <v>1040</v>
      </c>
      <c r="AM13" s="266" t="s">
        <v>1433</v>
      </c>
      <c r="AN13" s="266" t="s">
        <v>1434</v>
      </c>
      <c r="AO13" s="266">
        <v>5750000</v>
      </c>
      <c r="AP13" s="266">
        <v>5750000</v>
      </c>
      <c r="AQ13" s="93" t="s">
        <v>1040</v>
      </c>
      <c r="AR13" s="266" t="s">
        <v>1435</v>
      </c>
      <c r="AS13" s="266">
        <v>4160000</v>
      </c>
      <c r="AT13" s="266">
        <v>5000000</v>
      </c>
      <c r="AU13" s="266">
        <v>8923000</v>
      </c>
      <c r="AV13" s="266">
        <v>1</v>
      </c>
      <c r="AW13" s="266" t="s">
        <v>980</v>
      </c>
      <c r="AX13" s="266" t="s">
        <v>972</v>
      </c>
      <c r="AY13" s="93" t="s">
        <v>981</v>
      </c>
      <c r="AZ13" s="268">
        <v>45390</v>
      </c>
      <c r="BA13" s="93" t="s">
        <v>1428</v>
      </c>
    </row>
    <row r="14" spans="2:53">
      <c r="B14" s="50" t="s">
        <v>930</v>
      </c>
      <c r="C14" s="50">
        <v>12</v>
      </c>
      <c r="D14" t="s">
        <v>1437</v>
      </c>
      <c r="E14" s="268">
        <v>45390</v>
      </c>
      <c r="F14" s="93">
        <v>1</v>
      </c>
      <c r="G14" s="267">
        <v>0.33333299999999999</v>
      </c>
      <c r="H14" s="93">
        <v>0</v>
      </c>
      <c r="I14" s="93">
        <v>0</v>
      </c>
      <c r="J14" s="93">
        <v>0</v>
      </c>
      <c r="K14" s="93">
        <v>0</v>
      </c>
      <c r="L14" s="93">
        <v>0</v>
      </c>
      <c r="M14" s="93">
        <v>3</v>
      </c>
      <c r="N14" s="93">
        <v>5</v>
      </c>
      <c r="O14" s="93">
        <v>5</v>
      </c>
      <c r="P14" s="93">
        <v>7669</v>
      </c>
      <c r="Q14" s="93">
        <v>9</v>
      </c>
      <c r="R14" s="93">
        <v>9</v>
      </c>
      <c r="S14" s="93">
        <v>7669</v>
      </c>
      <c r="T14" s="93">
        <v>9</v>
      </c>
      <c r="U14" s="93">
        <v>9</v>
      </c>
      <c r="V14" s="93">
        <v>0</v>
      </c>
      <c r="W14" s="93">
        <v>0</v>
      </c>
      <c r="X14" s="93">
        <v>0</v>
      </c>
      <c r="Y14" s="93">
        <v>0</v>
      </c>
      <c r="Z14" s="93">
        <v>9</v>
      </c>
      <c r="AA14" s="93">
        <v>481</v>
      </c>
      <c r="AB14" s="93">
        <v>9</v>
      </c>
      <c r="AC14" s="93">
        <v>3</v>
      </c>
      <c r="AD14" s="93">
        <v>42</v>
      </c>
      <c r="AE14" s="93">
        <v>0</v>
      </c>
      <c r="AF14" s="93">
        <v>932</v>
      </c>
      <c r="AG14" s="93">
        <v>932</v>
      </c>
      <c r="AH14" s="93">
        <v>9</v>
      </c>
      <c r="AI14" s="93">
        <v>78201</v>
      </c>
      <c r="AJ14" s="93">
        <v>87148</v>
      </c>
      <c r="AK14" s="93">
        <v>9001</v>
      </c>
      <c r="AL14" s="93">
        <v>9</v>
      </c>
      <c r="AM14" s="93">
        <v>9</v>
      </c>
      <c r="AN14" s="93">
        <v>9</v>
      </c>
      <c r="AO14" s="93">
        <v>9</v>
      </c>
      <c r="AP14" s="93">
        <v>9</v>
      </c>
      <c r="AQ14" s="93">
        <v>9</v>
      </c>
      <c r="AR14" s="93">
        <v>9</v>
      </c>
      <c r="AS14" s="93">
        <v>9</v>
      </c>
      <c r="AT14" s="93">
        <v>9</v>
      </c>
      <c r="AU14" s="93">
        <v>9</v>
      </c>
      <c r="AV14" s="93">
        <v>0</v>
      </c>
      <c r="AW14" s="93">
        <v>0</v>
      </c>
      <c r="AX14" s="93">
        <v>0</v>
      </c>
      <c r="AY14" s="93">
        <v>0</v>
      </c>
      <c r="AZ14" s="93">
        <v>0</v>
      </c>
      <c r="BA14" s="93">
        <v>0</v>
      </c>
    </row>
    <row r="15" spans="2:53">
      <c r="B15" s="50" t="s">
        <v>932</v>
      </c>
      <c r="C15" s="50">
        <v>13</v>
      </c>
      <c r="D15" t="s">
        <v>1438</v>
      </c>
      <c r="E15" s="268">
        <v>45390</v>
      </c>
      <c r="F15" s="93">
        <v>1</v>
      </c>
      <c r="G15" s="267">
        <v>1</v>
      </c>
      <c r="H15" s="93">
        <v>0</v>
      </c>
      <c r="I15" s="93" t="s">
        <v>961</v>
      </c>
      <c r="J15" s="93" t="s">
        <v>961</v>
      </c>
      <c r="K15" s="93" t="s">
        <v>961</v>
      </c>
      <c r="L15" s="93" t="s">
        <v>961</v>
      </c>
      <c r="M15" s="93" t="s">
        <v>961</v>
      </c>
      <c r="N15" s="93" t="s">
        <v>961</v>
      </c>
      <c r="O15" s="93" t="s">
        <v>961</v>
      </c>
      <c r="P15" s="93" t="s">
        <v>961</v>
      </c>
      <c r="Q15" s="93" t="s">
        <v>961</v>
      </c>
      <c r="R15" s="93" t="s">
        <v>961</v>
      </c>
      <c r="S15" s="93" t="s">
        <v>961</v>
      </c>
      <c r="T15" s="93" t="s">
        <v>961</v>
      </c>
      <c r="U15" s="93" t="s">
        <v>961</v>
      </c>
      <c r="V15" s="93">
        <v>0</v>
      </c>
      <c r="W15" s="93">
        <v>0</v>
      </c>
      <c r="X15" s="93" t="s">
        <v>961</v>
      </c>
      <c r="Y15" s="93" t="s">
        <v>961</v>
      </c>
      <c r="Z15" s="93" t="s">
        <v>961</v>
      </c>
      <c r="AA15" s="93" t="s">
        <v>961</v>
      </c>
      <c r="AB15" s="93" t="s">
        <v>961</v>
      </c>
      <c r="AC15" s="93" t="s">
        <v>961</v>
      </c>
      <c r="AD15" s="93" t="s">
        <v>961</v>
      </c>
      <c r="AE15" s="93" t="s">
        <v>961</v>
      </c>
      <c r="AF15" s="93">
        <v>0</v>
      </c>
      <c r="AG15" s="93">
        <v>0</v>
      </c>
      <c r="AH15" s="93" t="s">
        <v>961</v>
      </c>
      <c r="AI15" s="93">
        <v>0</v>
      </c>
      <c r="AJ15" s="93" t="s">
        <v>961</v>
      </c>
      <c r="AK15" s="93" t="s">
        <v>961</v>
      </c>
      <c r="AL15" s="93" t="s">
        <v>961</v>
      </c>
      <c r="AM15" s="93" t="s">
        <v>961</v>
      </c>
      <c r="AN15" s="93" t="s">
        <v>961</v>
      </c>
      <c r="AO15" s="93" t="s">
        <v>961</v>
      </c>
      <c r="AP15" s="93" t="s">
        <v>961</v>
      </c>
      <c r="AQ15" s="93" t="s">
        <v>961</v>
      </c>
      <c r="AR15" s="93" t="s">
        <v>961</v>
      </c>
      <c r="AS15" s="93" t="s">
        <v>961</v>
      </c>
      <c r="AT15" s="93" t="s">
        <v>961</v>
      </c>
      <c r="AU15" s="93" t="s">
        <v>961</v>
      </c>
      <c r="AV15" s="93" t="s">
        <v>961</v>
      </c>
      <c r="AW15" s="93" t="s">
        <v>961</v>
      </c>
      <c r="AX15" s="93" t="s">
        <v>961</v>
      </c>
      <c r="AY15" s="93" t="s">
        <v>961</v>
      </c>
      <c r="AZ15" s="93" t="s">
        <v>961</v>
      </c>
      <c r="BA15" s="93" t="s">
        <v>961</v>
      </c>
    </row>
    <row r="16" spans="2:53">
      <c r="B16" s="50" t="s">
        <v>934</v>
      </c>
      <c r="C16" s="50">
        <v>14</v>
      </c>
      <c r="D16" t="s">
        <v>1439</v>
      </c>
      <c r="E16" s="268">
        <v>45390</v>
      </c>
      <c r="F16" s="93">
        <v>1</v>
      </c>
      <c r="G16" s="267">
        <v>1</v>
      </c>
      <c r="H16" s="93">
        <v>0</v>
      </c>
      <c r="I16" s="93" t="s">
        <v>961</v>
      </c>
      <c r="J16" s="93" t="s">
        <v>961</v>
      </c>
      <c r="K16" s="93">
        <v>0</v>
      </c>
      <c r="L16" s="93">
        <v>0</v>
      </c>
      <c r="M16" s="93">
        <v>0</v>
      </c>
      <c r="N16" s="93" t="s">
        <v>961</v>
      </c>
      <c r="O16" s="93" t="s">
        <v>961</v>
      </c>
      <c r="P16" s="93">
        <v>0</v>
      </c>
      <c r="Q16" s="93" t="s">
        <v>961</v>
      </c>
      <c r="R16" s="93" t="s">
        <v>961</v>
      </c>
      <c r="S16" s="93">
        <v>0</v>
      </c>
      <c r="T16" s="93" t="s">
        <v>961</v>
      </c>
      <c r="U16" s="93" t="s">
        <v>961</v>
      </c>
      <c r="V16" s="271" t="s">
        <v>961</v>
      </c>
      <c r="W16" s="271" t="s">
        <v>961</v>
      </c>
      <c r="X16" s="93">
        <v>0</v>
      </c>
      <c r="Y16" s="271">
        <v>0</v>
      </c>
      <c r="Z16" s="271" t="s">
        <v>961</v>
      </c>
      <c r="AA16" s="93" t="s">
        <v>961</v>
      </c>
      <c r="AB16" s="93" t="s">
        <v>961</v>
      </c>
      <c r="AC16" s="271" t="s">
        <v>961</v>
      </c>
      <c r="AD16" s="93" t="s">
        <v>961</v>
      </c>
      <c r="AE16" s="93" t="s">
        <v>961</v>
      </c>
      <c r="AF16" s="93" t="s">
        <v>961</v>
      </c>
      <c r="AG16" s="271" t="s">
        <v>961</v>
      </c>
      <c r="AH16" s="93" t="s">
        <v>961</v>
      </c>
      <c r="AI16" s="93" t="s">
        <v>961</v>
      </c>
      <c r="AJ16" s="93" t="s">
        <v>961</v>
      </c>
      <c r="AK16" s="93" t="s">
        <v>961</v>
      </c>
      <c r="AL16" s="93">
        <v>0</v>
      </c>
      <c r="AM16" s="93">
        <v>0</v>
      </c>
      <c r="AN16" s="93" t="s">
        <v>961</v>
      </c>
      <c r="AO16" s="93" t="s">
        <v>961</v>
      </c>
      <c r="AP16" s="93" t="s">
        <v>961</v>
      </c>
      <c r="AQ16" s="93">
        <v>0</v>
      </c>
      <c r="AR16" s="93">
        <v>0</v>
      </c>
      <c r="AS16" s="93" t="s">
        <v>961</v>
      </c>
      <c r="AT16" s="93" t="s">
        <v>961</v>
      </c>
      <c r="AU16" s="93" t="s">
        <v>961</v>
      </c>
      <c r="AV16" s="93">
        <v>0</v>
      </c>
      <c r="AW16" s="93">
        <v>0</v>
      </c>
      <c r="AX16" s="93">
        <v>0</v>
      </c>
      <c r="AY16" s="93">
        <v>0</v>
      </c>
      <c r="AZ16" s="93" t="s">
        <v>961</v>
      </c>
      <c r="BA16" s="93" t="s">
        <v>961</v>
      </c>
    </row>
    <row r="17" spans="2:62">
      <c r="B17" s="50" t="s">
        <v>936</v>
      </c>
      <c r="C17" s="50">
        <v>15</v>
      </c>
      <c r="D17" t="s">
        <v>1440</v>
      </c>
      <c r="E17" s="268">
        <v>45390</v>
      </c>
      <c r="F17" s="93">
        <v>1</v>
      </c>
      <c r="G17" s="267">
        <v>0.99992800000000004</v>
      </c>
      <c r="H17" s="93">
        <v>0</v>
      </c>
      <c r="I17" s="93" t="s">
        <v>961</v>
      </c>
      <c r="J17" s="93" t="s">
        <v>961</v>
      </c>
      <c r="K17" s="93" t="s">
        <v>961</v>
      </c>
      <c r="L17" s="93" t="s">
        <v>961</v>
      </c>
      <c r="M17" s="93" t="s">
        <v>961</v>
      </c>
      <c r="N17" s="93" t="s">
        <v>961</v>
      </c>
      <c r="O17" s="93" t="s">
        <v>961</v>
      </c>
      <c r="P17" s="93" t="s">
        <v>961</v>
      </c>
      <c r="Q17" s="93" t="s">
        <v>961</v>
      </c>
      <c r="R17" s="93" t="s">
        <v>961</v>
      </c>
      <c r="S17" s="93" t="s">
        <v>961</v>
      </c>
      <c r="T17" s="93" t="s">
        <v>961</v>
      </c>
      <c r="U17" s="93" t="s">
        <v>961</v>
      </c>
      <c r="V17" s="93" t="s">
        <v>961</v>
      </c>
      <c r="W17" s="93" t="s">
        <v>961</v>
      </c>
      <c r="X17" s="93" t="s">
        <v>961</v>
      </c>
      <c r="Y17" s="93" t="s">
        <v>961</v>
      </c>
      <c r="Z17" s="93" t="s">
        <v>961</v>
      </c>
      <c r="AA17" s="93" t="s">
        <v>961</v>
      </c>
      <c r="AB17" s="93" t="s">
        <v>961</v>
      </c>
      <c r="AC17" s="93" t="s">
        <v>961</v>
      </c>
      <c r="AD17" s="93" t="s">
        <v>961</v>
      </c>
      <c r="AE17" s="93" t="s">
        <v>961</v>
      </c>
      <c r="AF17" s="93" t="s">
        <v>961</v>
      </c>
      <c r="AG17" s="93" t="s">
        <v>961</v>
      </c>
      <c r="AH17" s="93" t="s">
        <v>961</v>
      </c>
      <c r="AI17" s="93" t="s">
        <v>961</v>
      </c>
      <c r="AJ17" s="93" t="s">
        <v>961</v>
      </c>
      <c r="AK17" s="93" t="s">
        <v>961</v>
      </c>
      <c r="AL17" s="93" t="s">
        <v>961</v>
      </c>
      <c r="AM17" s="93" t="s">
        <v>961</v>
      </c>
      <c r="AN17" s="93" t="s">
        <v>961</v>
      </c>
      <c r="AO17" s="93" t="s">
        <v>961</v>
      </c>
      <c r="AP17" s="93" t="s">
        <v>961</v>
      </c>
      <c r="AQ17" s="93" t="s">
        <v>961</v>
      </c>
      <c r="AR17" s="93" t="s">
        <v>961</v>
      </c>
      <c r="AS17" s="93" t="s">
        <v>961</v>
      </c>
      <c r="AT17" s="93" t="s">
        <v>961</v>
      </c>
      <c r="AU17" s="93" t="s">
        <v>961</v>
      </c>
      <c r="AV17" s="93" t="s">
        <v>961</v>
      </c>
      <c r="AW17" s="93" t="s">
        <v>961</v>
      </c>
      <c r="AX17" s="93" t="s">
        <v>961</v>
      </c>
      <c r="AY17" s="93" t="s">
        <v>961</v>
      </c>
      <c r="AZ17" s="93" t="s">
        <v>961</v>
      </c>
      <c r="BA17" s="93" t="s">
        <v>961</v>
      </c>
    </row>
    <row r="18" spans="2:62">
      <c r="B18" s="50" t="s">
        <v>938</v>
      </c>
      <c r="C18" s="50">
        <v>16</v>
      </c>
      <c r="D18" t="s">
        <v>1440</v>
      </c>
      <c r="E18" s="268">
        <v>45390</v>
      </c>
      <c r="F18" s="93">
        <v>1</v>
      </c>
      <c r="G18" s="267">
        <v>0.99992800000000004</v>
      </c>
      <c r="H18" s="93">
        <v>0</v>
      </c>
      <c r="I18" s="93" t="s">
        <v>961</v>
      </c>
      <c r="J18" s="93" t="s">
        <v>961</v>
      </c>
      <c r="K18" s="93" t="s">
        <v>961</v>
      </c>
      <c r="L18" s="93" t="s">
        <v>961</v>
      </c>
      <c r="M18" s="93" t="s">
        <v>961</v>
      </c>
      <c r="N18" s="93" t="s">
        <v>961</v>
      </c>
      <c r="O18" s="93" t="s">
        <v>961</v>
      </c>
      <c r="P18" s="93" t="s">
        <v>961</v>
      </c>
      <c r="Q18" s="93" t="s">
        <v>961</v>
      </c>
      <c r="R18" s="93" t="s">
        <v>961</v>
      </c>
      <c r="S18" s="93" t="s">
        <v>961</v>
      </c>
      <c r="T18" s="93" t="s">
        <v>961</v>
      </c>
      <c r="U18" s="93" t="s">
        <v>961</v>
      </c>
      <c r="V18" s="93" t="s">
        <v>961</v>
      </c>
      <c r="W18" s="93" t="s">
        <v>961</v>
      </c>
      <c r="X18" s="93" t="s">
        <v>961</v>
      </c>
      <c r="Y18" s="93" t="s">
        <v>961</v>
      </c>
      <c r="Z18" s="93" t="s">
        <v>961</v>
      </c>
      <c r="AA18" s="93" t="s">
        <v>961</v>
      </c>
      <c r="AB18" s="271" t="s">
        <v>961</v>
      </c>
      <c r="AC18" s="93" t="s">
        <v>961</v>
      </c>
      <c r="AD18" s="93" t="s">
        <v>961</v>
      </c>
      <c r="AE18" s="93" t="s">
        <v>961</v>
      </c>
      <c r="AF18" s="271" t="s">
        <v>961</v>
      </c>
      <c r="AG18" s="93" t="s">
        <v>961</v>
      </c>
      <c r="AH18" s="93" t="s">
        <v>961</v>
      </c>
      <c r="AI18" s="93" t="s">
        <v>961</v>
      </c>
      <c r="AJ18" s="93" t="s">
        <v>961</v>
      </c>
      <c r="AK18" s="93" t="s">
        <v>961</v>
      </c>
      <c r="AL18" s="93" t="s">
        <v>961</v>
      </c>
      <c r="AM18" s="93" t="s">
        <v>961</v>
      </c>
      <c r="AN18" s="93" t="s">
        <v>961</v>
      </c>
      <c r="AO18" s="93" t="s">
        <v>961</v>
      </c>
      <c r="AP18" s="93" t="s">
        <v>961</v>
      </c>
      <c r="AQ18" s="93" t="s">
        <v>961</v>
      </c>
      <c r="AR18" s="93" t="s">
        <v>961</v>
      </c>
      <c r="AS18" s="93" t="s">
        <v>961</v>
      </c>
      <c r="AT18" s="93" t="s">
        <v>961</v>
      </c>
      <c r="AU18" s="93" t="s">
        <v>961</v>
      </c>
      <c r="AV18" s="93" t="s">
        <v>961</v>
      </c>
      <c r="AW18" s="93" t="s">
        <v>961</v>
      </c>
      <c r="AX18" s="93" t="s">
        <v>961</v>
      </c>
      <c r="AY18" s="93" t="s">
        <v>961</v>
      </c>
      <c r="AZ18" s="93" t="s">
        <v>961</v>
      </c>
      <c r="BA18" s="93" t="s">
        <v>961</v>
      </c>
    </row>
    <row r="19" spans="2:62">
      <c r="B19" s="50" t="s">
        <v>940</v>
      </c>
      <c r="C19" s="50">
        <v>17</v>
      </c>
      <c r="D19" t="s">
        <v>1440</v>
      </c>
      <c r="E19" s="268">
        <v>45390</v>
      </c>
      <c r="F19" s="93">
        <v>1</v>
      </c>
      <c r="G19" s="208">
        <f>1-13292/H3</f>
        <v>0.89385760373079504</v>
      </c>
      <c r="H19" s="50">
        <v>13292</v>
      </c>
      <c r="I19" s="93" t="s">
        <v>961</v>
      </c>
      <c r="J19" s="93" t="s">
        <v>961</v>
      </c>
      <c r="K19" s="93" t="s">
        <v>961</v>
      </c>
      <c r="L19" s="93" t="s">
        <v>961</v>
      </c>
      <c r="M19" s="93" t="s">
        <v>961</v>
      </c>
      <c r="N19" s="93" t="s">
        <v>961</v>
      </c>
      <c r="O19" s="93" t="s">
        <v>961</v>
      </c>
      <c r="P19" s="93" t="s">
        <v>961</v>
      </c>
      <c r="Q19" s="93" t="s">
        <v>961</v>
      </c>
      <c r="R19" s="93" t="s">
        <v>961</v>
      </c>
      <c r="S19" s="93" t="s">
        <v>961</v>
      </c>
      <c r="T19" s="93" t="s">
        <v>961</v>
      </c>
      <c r="U19" s="93" t="s">
        <v>961</v>
      </c>
      <c r="V19" s="93" t="s">
        <v>961</v>
      </c>
      <c r="W19" s="93" t="s">
        <v>961</v>
      </c>
      <c r="X19" s="93" t="s">
        <v>961</v>
      </c>
      <c r="Y19" s="93" t="s">
        <v>961</v>
      </c>
      <c r="Z19" s="93" t="s">
        <v>961</v>
      </c>
      <c r="AA19" s="93" t="s">
        <v>961</v>
      </c>
      <c r="AB19" s="93" t="s">
        <v>961</v>
      </c>
      <c r="AC19" s="93" t="s">
        <v>961</v>
      </c>
      <c r="AD19" s="93" t="s">
        <v>961</v>
      </c>
      <c r="AE19" s="93" t="s">
        <v>961</v>
      </c>
      <c r="AF19" s="93" t="s">
        <v>961</v>
      </c>
      <c r="AG19" s="93" t="s">
        <v>961</v>
      </c>
      <c r="AH19" s="93" t="s">
        <v>961</v>
      </c>
      <c r="AI19" s="93" t="s">
        <v>961</v>
      </c>
      <c r="AJ19" s="93" t="s">
        <v>961</v>
      </c>
      <c r="AK19" s="93" t="s">
        <v>961</v>
      </c>
      <c r="AL19" s="93" t="s">
        <v>961</v>
      </c>
      <c r="AM19" s="93" t="s">
        <v>961</v>
      </c>
      <c r="AN19" s="93" t="s">
        <v>961</v>
      </c>
      <c r="AO19" s="93" t="s">
        <v>961</v>
      </c>
      <c r="AP19" s="93" t="s">
        <v>961</v>
      </c>
      <c r="AQ19" s="93" t="s">
        <v>961</v>
      </c>
      <c r="AR19" s="93" t="s">
        <v>961</v>
      </c>
      <c r="AS19" s="93" t="s">
        <v>961</v>
      </c>
      <c r="AT19" s="93" t="s">
        <v>961</v>
      </c>
      <c r="AU19" s="93" t="s">
        <v>961</v>
      </c>
      <c r="AV19" s="93" t="s">
        <v>961</v>
      </c>
      <c r="AW19" s="93" t="s">
        <v>961</v>
      </c>
      <c r="AX19" s="93" t="s">
        <v>961</v>
      </c>
      <c r="AY19" s="93" t="s">
        <v>961</v>
      </c>
      <c r="AZ19" s="93" t="s">
        <v>961</v>
      </c>
      <c r="BA19" s="93" t="s">
        <v>961</v>
      </c>
    </row>
    <row r="20" spans="2:62">
      <c r="B20" s="50" t="s">
        <v>942</v>
      </c>
      <c r="C20" s="50">
        <v>18</v>
      </c>
      <c r="D20" t="s">
        <v>1440</v>
      </c>
      <c r="E20" s="268">
        <v>45390</v>
      </c>
      <c r="F20" s="93">
        <v>1</v>
      </c>
      <c r="G20" s="208">
        <f>1 - 3682/199733</f>
        <v>0.98156538979537677</v>
      </c>
      <c r="H20" s="50">
        <v>3682</v>
      </c>
      <c r="I20" s="93" t="s">
        <v>961</v>
      </c>
      <c r="J20" s="93" t="s">
        <v>961</v>
      </c>
      <c r="K20" s="93" t="s">
        <v>961</v>
      </c>
      <c r="L20" s="93" t="s">
        <v>961</v>
      </c>
      <c r="M20" s="93" t="s">
        <v>961</v>
      </c>
      <c r="N20" s="93" t="s">
        <v>961</v>
      </c>
      <c r="O20" s="93" t="s">
        <v>961</v>
      </c>
      <c r="P20" s="93" t="s">
        <v>961</v>
      </c>
      <c r="Q20" s="93" t="s">
        <v>961</v>
      </c>
      <c r="R20" s="93" t="s">
        <v>961</v>
      </c>
      <c r="S20" s="93" t="s">
        <v>961</v>
      </c>
      <c r="T20" s="93" t="s">
        <v>961</v>
      </c>
      <c r="U20" s="93" t="s">
        <v>961</v>
      </c>
      <c r="V20" s="93" t="s">
        <v>961</v>
      </c>
      <c r="W20" s="93" t="s">
        <v>961</v>
      </c>
      <c r="X20" s="93" t="s">
        <v>961</v>
      </c>
      <c r="Y20" s="93" t="s">
        <v>961</v>
      </c>
      <c r="Z20" s="93" t="s">
        <v>961</v>
      </c>
      <c r="AA20" s="93" t="s">
        <v>961</v>
      </c>
      <c r="AB20" s="93" t="s">
        <v>961</v>
      </c>
      <c r="AC20" s="93" t="s">
        <v>961</v>
      </c>
      <c r="AD20" s="93" t="s">
        <v>961</v>
      </c>
      <c r="AE20" s="93" t="s">
        <v>961</v>
      </c>
      <c r="AF20" s="93" t="s">
        <v>961</v>
      </c>
      <c r="AG20" s="93" t="s">
        <v>961</v>
      </c>
      <c r="AH20" s="93" t="s">
        <v>961</v>
      </c>
      <c r="AI20" s="93" t="s">
        <v>961</v>
      </c>
      <c r="AJ20" s="93" t="s">
        <v>961</v>
      </c>
      <c r="AK20" s="93" t="s">
        <v>961</v>
      </c>
      <c r="AL20" s="93" t="s">
        <v>961</v>
      </c>
      <c r="AM20" s="93" t="s">
        <v>961</v>
      </c>
      <c r="AN20" s="93" t="s">
        <v>961</v>
      </c>
      <c r="AO20" s="93" t="s">
        <v>961</v>
      </c>
      <c r="AP20" s="93" t="s">
        <v>961</v>
      </c>
      <c r="AQ20" s="93" t="s">
        <v>961</v>
      </c>
      <c r="AR20" s="93" t="s">
        <v>961</v>
      </c>
      <c r="AS20" s="93" t="s">
        <v>961</v>
      </c>
      <c r="AT20" s="93" t="s">
        <v>961</v>
      </c>
      <c r="AU20" s="93" t="s">
        <v>961</v>
      </c>
      <c r="AV20" s="93" t="s">
        <v>961</v>
      </c>
      <c r="AW20" s="93" t="s">
        <v>961</v>
      </c>
      <c r="AX20" s="93" t="s">
        <v>961</v>
      </c>
      <c r="AY20" s="93" t="s">
        <v>961</v>
      </c>
      <c r="AZ20" s="93" t="s">
        <v>961</v>
      </c>
      <c r="BA20" s="93" t="s">
        <v>961</v>
      </c>
    </row>
    <row r="21" spans="2:62">
      <c r="B21" s="50" t="s">
        <v>944</v>
      </c>
      <c r="C21" s="50">
        <v>19</v>
      </c>
      <c r="D21" t="s">
        <v>1441</v>
      </c>
      <c r="E21" s="268">
        <v>45390</v>
      </c>
      <c r="F21" s="93">
        <v>1</v>
      </c>
      <c r="G21" s="208" cm="1">
        <f t="array" aca="1" ref="G21" ca="1">SUMPRODUCT(--(ISNUMBER((SEARCH(I27:BA27,I21:BA21)))))/COUNTA(I21:BA21)</f>
        <v>0</v>
      </c>
      <c r="H21" s="50" t="s">
        <v>961</v>
      </c>
      <c r="I21" s="50" t="s">
        <v>995</v>
      </c>
      <c r="J21" s="50" t="s">
        <v>995</v>
      </c>
      <c r="K21" s="50" t="s">
        <v>995</v>
      </c>
      <c r="L21" s="50" t="s">
        <v>995</v>
      </c>
      <c r="M21" s="50" t="s">
        <v>995</v>
      </c>
      <c r="N21" s="50" t="s">
        <v>995</v>
      </c>
      <c r="O21" s="50" t="s">
        <v>995</v>
      </c>
      <c r="P21" s="50" t="s">
        <v>995</v>
      </c>
      <c r="Q21" s="50" t="s">
        <v>995</v>
      </c>
      <c r="R21" s="50" t="s">
        <v>995</v>
      </c>
      <c r="S21" s="50" t="s">
        <v>995</v>
      </c>
      <c r="T21" s="50" t="s">
        <v>995</v>
      </c>
      <c r="U21" s="50" t="s">
        <v>995</v>
      </c>
      <c r="V21" s="50" t="s">
        <v>995</v>
      </c>
      <c r="W21" s="50" t="s">
        <v>995</v>
      </c>
      <c r="X21" s="50" t="s">
        <v>995</v>
      </c>
      <c r="Y21" s="50" t="s">
        <v>995</v>
      </c>
      <c r="Z21" s="50" t="s">
        <v>996</v>
      </c>
      <c r="AA21" s="50" t="s">
        <v>996</v>
      </c>
      <c r="AB21" s="50" t="s">
        <v>996</v>
      </c>
      <c r="AC21" s="50" t="s">
        <v>996</v>
      </c>
      <c r="AD21" s="50" t="s">
        <v>996</v>
      </c>
      <c r="AE21" s="50" t="s">
        <v>996</v>
      </c>
      <c r="AF21" s="50" t="s">
        <v>995</v>
      </c>
      <c r="AG21" s="50" t="s">
        <v>995</v>
      </c>
      <c r="AH21" s="50" t="s">
        <v>996</v>
      </c>
      <c r="AI21" s="50" t="s">
        <v>995</v>
      </c>
      <c r="AJ21" s="50" t="s">
        <v>996</v>
      </c>
      <c r="AK21" s="50" t="s">
        <v>996</v>
      </c>
      <c r="AL21" s="50" t="s">
        <v>995</v>
      </c>
      <c r="AM21" s="50" t="s">
        <v>995</v>
      </c>
      <c r="AN21" s="50" t="s">
        <v>996</v>
      </c>
      <c r="AO21" s="50" t="s">
        <v>996</v>
      </c>
      <c r="AP21" s="50" t="s">
        <v>996</v>
      </c>
      <c r="AQ21" s="50" t="s">
        <v>995</v>
      </c>
      <c r="AR21" s="50" t="s">
        <v>995</v>
      </c>
      <c r="AS21" s="50" t="s">
        <v>996</v>
      </c>
      <c r="AT21" s="50" t="s">
        <v>996</v>
      </c>
      <c r="AU21" s="50" t="s">
        <v>996</v>
      </c>
      <c r="AV21" s="50" t="s">
        <v>995</v>
      </c>
      <c r="AW21" s="50" t="s">
        <v>995</v>
      </c>
      <c r="AX21" s="50" t="s">
        <v>995</v>
      </c>
      <c r="AY21" s="50" t="s">
        <v>995</v>
      </c>
      <c r="AZ21" s="50" t="s">
        <v>995</v>
      </c>
      <c r="BA21" s="50" t="s">
        <v>997</v>
      </c>
    </row>
    <row r="22" spans="2:62">
      <c r="B22" s="50" t="s">
        <v>947</v>
      </c>
      <c r="C22" s="50">
        <v>20</v>
      </c>
      <c r="D22" t="s">
        <v>1440</v>
      </c>
      <c r="E22" s="268">
        <v>45390</v>
      </c>
      <c r="F22" s="93">
        <v>1</v>
      </c>
      <c r="G22" s="267" t="e" cm="1">
        <f t="array" aca="1" ref="G22" ca="1">SUM(IF(I2:BA2 = I26:BA26, 1, 0))/ COUNTA(I2:BA2)</f>
        <v>#NAME?</v>
      </c>
      <c r="H22" s="50" t="s">
        <v>961</v>
      </c>
      <c r="I22" s="50" t="s">
        <v>961</v>
      </c>
      <c r="J22" s="50" t="s">
        <v>961</v>
      </c>
      <c r="K22" s="50" t="s">
        <v>961</v>
      </c>
      <c r="L22" s="50" t="s">
        <v>961</v>
      </c>
      <c r="M22" s="50" t="s">
        <v>961</v>
      </c>
      <c r="N22" s="50" t="s">
        <v>961</v>
      </c>
      <c r="O22" s="50" t="s">
        <v>961</v>
      </c>
      <c r="P22" s="50" t="s">
        <v>961</v>
      </c>
      <c r="Q22" s="50" t="s">
        <v>961</v>
      </c>
      <c r="R22" s="50" t="s">
        <v>961</v>
      </c>
      <c r="S22" s="50" t="s">
        <v>961</v>
      </c>
      <c r="T22" s="50" t="s">
        <v>961</v>
      </c>
      <c r="U22" s="50" t="s">
        <v>961</v>
      </c>
      <c r="V22" s="50" t="s">
        <v>961</v>
      </c>
      <c r="W22" s="50" t="s">
        <v>961</v>
      </c>
      <c r="X22" s="50" t="s">
        <v>961</v>
      </c>
      <c r="Y22" s="50" t="s">
        <v>961</v>
      </c>
      <c r="Z22" s="50" t="s">
        <v>961</v>
      </c>
      <c r="AA22" s="50" t="s">
        <v>961</v>
      </c>
      <c r="AB22" s="50" t="s">
        <v>961</v>
      </c>
      <c r="AC22" s="50" t="s">
        <v>961</v>
      </c>
      <c r="AD22" s="50" t="s">
        <v>961</v>
      </c>
      <c r="AE22" s="50" t="s">
        <v>961</v>
      </c>
      <c r="AF22" s="50" t="s">
        <v>961</v>
      </c>
      <c r="AG22" s="50" t="s">
        <v>961</v>
      </c>
      <c r="AH22" s="50" t="s">
        <v>961</v>
      </c>
      <c r="AI22" s="50" t="s">
        <v>961</v>
      </c>
      <c r="AJ22" s="50" t="s">
        <v>961</v>
      </c>
      <c r="AK22" s="50" t="s">
        <v>961</v>
      </c>
      <c r="AL22" s="50" t="s">
        <v>961</v>
      </c>
      <c r="AM22" s="50" t="s">
        <v>961</v>
      </c>
      <c r="AN22" s="50" t="s">
        <v>961</v>
      </c>
      <c r="AO22" s="50" t="s">
        <v>961</v>
      </c>
      <c r="AP22" s="50" t="s">
        <v>961</v>
      </c>
      <c r="AQ22" s="50" t="s">
        <v>961</v>
      </c>
      <c r="AR22" s="50" t="s">
        <v>961</v>
      </c>
      <c r="AS22" s="50" t="s">
        <v>961</v>
      </c>
      <c r="AT22" s="50" t="s">
        <v>961</v>
      </c>
      <c r="AU22" s="50" t="s">
        <v>961</v>
      </c>
      <c r="AV22" s="50" t="s">
        <v>961</v>
      </c>
      <c r="AW22" s="50" t="s">
        <v>961</v>
      </c>
      <c r="AX22" s="50" t="s">
        <v>961</v>
      </c>
      <c r="AY22" s="50" t="s">
        <v>961</v>
      </c>
      <c r="AZ22" s="50" t="s">
        <v>961</v>
      </c>
      <c r="BA22" s="50" t="s">
        <v>961</v>
      </c>
    </row>
    <row r="23" spans="2:62">
      <c r="B23" s="50" t="s">
        <v>950</v>
      </c>
      <c r="C23" s="50">
        <v>21</v>
      </c>
      <c r="D23" t="s">
        <v>1440</v>
      </c>
      <c r="E23" s="268">
        <v>45390</v>
      </c>
      <c r="F23" s="93">
        <v>1</v>
      </c>
      <c r="G23" s="208" t="e" cm="1">
        <f t="array" aca="1" ref="G23" ca="1">SUM(IF(IF(G3:G22="null",1,G3:G22)=1,1,0))/COUNT(IF(G3:G22="null",1,1))</f>
        <v>#NAME?</v>
      </c>
      <c r="H23" s="50" t="s">
        <v>961</v>
      </c>
      <c r="I23" s="50" t="s">
        <v>961</v>
      </c>
      <c r="J23" s="50" t="s">
        <v>961</v>
      </c>
      <c r="K23" s="50" t="s">
        <v>961</v>
      </c>
      <c r="L23" s="50" t="s">
        <v>961</v>
      </c>
      <c r="M23" s="50" t="s">
        <v>961</v>
      </c>
      <c r="N23" s="50" t="s">
        <v>961</v>
      </c>
      <c r="O23" s="50" t="s">
        <v>961</v>
      </c>
      <c r="P23" s="50" t="s">
        <v>961</v>
      </c>
      <c r="Q23" s="50" t="s">
        <v>961</v>
      </c>
      <c r="R23" s="50" t="s">
        <v>961</v>
      </c>
      <c r="S23" s="50" t="s">
        <v>961</v>
      </c>
      <c r="T23" s="50" t="s">
        <v>961</v>
      </c>
      <c r="U23" s="50" t="s">
        <v>961</v>
      </c>
      <c r="V23" s="50" t="s">
        <v>961</v>
      </c>
      <c r="W23" s="50" t="s">
        <v>961</v>
      </c>
      <c r="X23" s="50" t="s">
        <v>961</v>
      </c>
      <c r="Y23" s="50" t="s">
        <v>961</v>
      </c>
      <c r="Z23" s="50" t="s">
        <v>961</v>
      </c>
      <c r="AA23" s="50" t="s">
        <v>961</v>
      </c>
      <c r="AB23" s="50" t="s">
        <v>961</v>
      </c>
      <c r="AC23" s="50" t="s">
        <v>961</v>
      </c>
      <c r="AD23" s="50" t="s">
        <v>961</v>
      </c>
      <c r="AE23" s="50" t="s">
        <v>961</v>
      </c>
      <c r="AF23" s="50" t="s">
        <v>961</v>
      </c>
      <c r="AG23" s="50" t="s">
        <v>961</v>
      </c>
      <c r="AH23" s="50" t="s">
        <v>961</v>
      </c>
      <c r="AI23" s="50" t="s">
        <v>961</v>
      </c>
      <c r="AJ23" s="50" t="s">
        <v>961</v>
      </c>
      <c r="AK23" s="50" t="s">
        <v>961</v>
      </c>
      <c r="AL23" s="50" t="s">
        <v>961</v>
      </c>
      <c r="AM23" s="50" t="s">
        <v>961</v>
      </c>
      <c r="AN23" s="50" t="s">
        <v>961</v>
      </c>
      <c r="AO23" s="50" t="s">
        <v>961</v>
      </c>
      <c r="AP23" s="50" t="s">
        <v>961</v>
      </c>
      <c r="AQ23" s="50" t="s">
        <v>961</v>
      </c>
      <c r="AR23" s="50" t="s">
        <v>961</v>
      </c>
      <c r="AS23" s="50" t="s">
        <v>961</v>
      </c>
      <c r="AT23" s="50" t="s">
        <v>961</v>
      </c>
      <c r="AU23" s="50" t="s">
        <v>961</v>
      </c>
      <c r="AV23" s="50" t="s">
        <v>961</v>
      </c>
      <c r="AW23" s="50" t="s">
        <v>961</v>
      </c>
      <c r="AX23" s="50" t="s">
        <v>961</v>
      </c>
      <c r="AY23" s="50" t="s">
        <v>961</v>
      </c>
      <c r="AZ23" s="50" t="s">
        <v>961</v>
      </c>
      <c r="BA23" s="50" t="s">
        <v>961</v>
      </c>
    </row>
    <row r="25" spans="2:62">
      <c r="B25" s="130" t="s">
        <v>1067</v>
      </c>
    </row>
    <row r="26" spans="2:62">
      <c r="B26" s="167" t="s">
        <v>953</v>
      </c>
      <c r="C26" s="166" t="s">
        <v>954</v>
      </c>
      <c r="D26" s="166" t="s">
        <v>955</v>
      </c>
      <c r="E26" s="166" t="s">
        <v>956</v>
      </c>
      <c r="F26" s="166" t="s">
        <v>957</v>
      </c>
      <c r="G26" s="166" t="s">
        <v>958</v>
      </c>
      <c r="H26" s="166" t="s">
        <v>959</v>
      </c>
      <c r="I26" s="166" t="e" cm="1">
        <f t="array" aca="1" ref="I26:BJ26" ca="1">TRANSPOSE(_xlfn.SORTBY(_xlfn._xlws.FILTER(Table3[NOME FÍSICO CAMPO],Table3[NOME FÍSICO TABELA]="factoring_contract"), _xlfn._xlws.FILTER(Table3[ORDEM], Table3[NOME FÍSICO TABELA]="factoring_contract"), 1))</f>
        <v>#NAME?</v>
      </c>
      <c r="J26" s="168" t="e">
        <f ca="1"/>
        <v>#NAME?</v>
      </c>
      <c r="K26" s="269" t="e">
        <f ca="1"/>
        <v>#NAME?</v>
      </c>
      <c r="L26" s="269" t="e">
        <f ca="1"/>
        <v>#NAME?</v>
      </c>
      <c r="M26" s="269" t="e">
        <f ca="1"/>
        <v>#NAME?</v>
      </c>
      <c r="N26" s="168" t="e">
        <f ca="1"/>
        <v>#NAME?</v>
      </c>
      <c r="O26" s="168" t="e">
        <f ca="1"/>
        <v>#NAME?</v>
      </c>
      <c r="P26" s="168" t="e">
        <f ca="1"/>
        <v>#NAME?</v>
      </c>
      <c r="Q26" s="168" t="e">
        <f ca="1"/>
        <v>#NAME?</v>
      </c>
      <c r="R26" s="168" t="e">
        <f ca="1"/>
        <v>#NAME?</v>
      </c>
      <c r="S26" s="168" t="e">
        <f ca="1"/>
        <v>#NAME?</v>
      </c>
      <c r="T26" s="168" t="e">
        <f ca="1"/>
        <v>#NAME?</v>
      </c>
      <c r="U26" s="168" t="e">
        <f ca="1"/>
        <v>#NAME?</v>
      </c>
      <c r="V26" s="168" t="e">
        <f ca="1"/>
        <v>#NAME?</v>
      </c>
      <c r="W26" s="168" t="e">
        <f ca="1"/>
        <v>#NAME?</v>
      </c>
      <c r="X26" s="168" t="e">
        <f ca="1"/>
        <v>#NAME?</v>
      </c>
      <c r="Y26" s="168" t="e">
        <f ca="1"/>
        <v>#NAME?</v>
      </c>
      <c r="Z26" s="168" t="e">
        <f ca="1"/>
        <v>#NAME?</v>
      </c>
      <c r="AA26" s="168" t="e">
        <f ca="1"/>
        <v>#NAME?</v>
      </c>
      <c r="AB26" s="168" t="e">
        <f ca="1"/>
        <v>#NAME?</v>
      </c>
      <c r="AC26" s="168" t="e">
        <f ca="1"/>
        <v>#NAME?</v>
      </c>
      <c r="AD26" s="168" t="e">
        <f ca="1"/>
        <v>#NAME?</v>
      </c>
      <c r="AE26" s="168" t="e">
        <f ca="1"/>
        <v>#NAME?</v>
      </c>
      <c r="AF26" s="168" t="e">
        <f ca="1"/>
        <v>#NAME?</v>
      </c>
      <c r="AG26" s="168" t="e">
        <f ca="1"/>
        <v>#NAME?</v>
      </c>
      <c r="AH26" s="168" t="e">
        <f ca="1"/>
        <v>#NAME?</v>
      </c>
      <c r="AI26" s="168" t="e">
        <f ca="1"/>
        <v>#NAME?</v>
      </c>
      <c r="AJ26" s="168" t="e">
        <f ca="1"/>
        <v>#NAME?</v>
      </c>
      <c r="AK26" s="168" t="e">
        <f ca="1"/>
        <v>#NAME?</v>
      </c>
      <c r="AL26" s="168" t="e">
        <f ca="1"/>
        <v>#NAME?</v>
      </c>
      <c r="AM26" s="168" t="e">
        <f ca="1"/>
        <v>#NAME?</v>
      </c>
      <c r="AN26" s="168" t="e">
        <f ca="1"/>
        <v>#NAME?</v>
      </c>
      <c r="AO26" s="168" t="e">
        <f ca="1"/>
        <v>#NAME?</v>
      </c>
      <c r="AP26" s="168" t="e">
        <f ca="1"/>
        <v>#NAME?</v>
      </c>
      <c r="AQ26" s="168" t="e">
        <f ca="1"/>
        <v>#NAME?</v>
      </c>
      <c r="AR26" s="168" t="e">
        <f ca="1"/>
        <v>#NAME?</v>
      </c>
      <c r="AS26" s="168" t="e">
        <f ca="1"/>
        <v>#NAME?</v>
      </c>
      <c r="AT26" s="168" t="e">
        <f ca="1"/>
        <v>#NAME?</v>
      </c>
      <c r="AU26" s="168" t="e">
        <f ca="1"/>
        <v>#NAME?</v>
      </c>
      <c r="AV26" s="168" t="e">
        <f ca="1"/>
        <v>#NAME?</v>
      </c>
      <c r="AW26" s="168" t="e">
        <f ca="1"/>
        <v>#NAME?</v>
      </c>
      <c r="AX26" s="162" t="e">
        <f ca="1"/>
        <v>#NAME?</v>
      </c>
      <c r="AY26" s="162" t="e">
        <f ca="1"/>
        <v>#NAME?</v>
      </c>
      <c r="AZ26" s="162" t="e">
        <f ca="1"/>
        <v>#NAME?</v>
      </c>
      <c r="BA26" s="169" t="e">
        <f ca="1"/>
        <v>#NAME?</v>
      </c>
      <c r="BB26" t="e">
        <f ca="1"/>
        <v>#NAME?</v>
      </c>
      <c r="BC26" t="e">
        <f ca="1"/>
        <v>#NAME?</v>
      </c>
      <c r="BD26" t="e">
        <f ca="1"/>
        <v>#NAME?</v>
      </c>
      <c r="BE26" t="e">
        <f ca="1"/>
        <v>#NAME?</v>
      </c>
      <c r="BF26" t="e">
        <f ca="1"/>
        <v>#NAME?</v>
      </c>
      <c r="BG26" t="e">
        <f ca="1"/>
        <v>#NAME?</v>
      </c>
      <c r="BH26" t="e">
        <f ca="1"/>
        <v>#NAME?</v>
      </c>
      <c r="BI26" t="e">
        <f ca="1"/>
        <v>#NAME?</v>
      </c>
      <c r="BJ26" t="e">
        <f ca="1"/>
        <v>#NAME?</v>
      </c>
    </row>
    <row r="27" spans="2:62">
      <c r="B27" s="107" t="s">
        <v>998</v>
      </c>
      <c r="C27" s="110">
        <v>21</v>
      </c>
      <c r="D27" s="104" t="s">
        <v>999</v>
      </c>
      <c r="E27" s="103" t="s">
        <v>1000</v>
      </c>
      <c r="F27" s="103" t="s">
        <v>206</v>
      </c>
      <c r="G27" s="103" t="s">
        <v>206</v>
      </c>
      <c r="H27" s="103" t="s">
        <v>206</v>
      </c>
      <c r="I27" s="103" t="e" cm="1">
        <f t="array" aca="1" ref="I27:BJ28" ca="1">TRANSPOSE(_xlfn.SORTBY(_xlfn._xlws.FILTER(IF(Table3[FORMATO]:Table3[COMP_ CAMPO]&lt;&gt;"",Table3[FORMATO]:Table3[COMP_ CAMPO],9999999),Table3[NOME FÍSICO TABELA]="factoring_contract"), _xlfn._xlws.FILTER(Table3[ORDEM], Table3[NOME FÍSICO TABELA]="factoring_contract"), 1))</f>
        <v>#NAME?</v>
      </c>
      <c r="J27" s="163" t="e">
        <f ca="1"/>
        <v>#NAME?</v>
      </c>
      <c r="K27" s="163" t="e">
        <f ca="1"/>
        <v>#NAME?</v>
      </c>
      <c r="L27" s="163" t="e">
        <f ca="1"/>
        <v>#NAME?</v>
      </c>
      <c r="M27" s="163" t="e">
        <f ca="1"/>
        <v>#NAME?</v>
      </c>
      <c r="N27" s="163" t="e">
        <f ca="1"/>
        <v>#NAME?</v>
      </c>
      <c r="O27" s="163" t="e">
        <f ca="1"/>
        <v>#NAME?</v>
      </c>
      <c r="P27" s="163" t="e">
        <f ca="1"/>
        <v>#NAME?</v>
      </c>
      <c r="Q27" s="163" t="e">
        <f ca="1"/>
        <v>#NAME?</v>
      </c>
      <c r="R27" s="163" t="e">
        <f ca="1"/>
        <v>#NAME?</v>
      </c>
      <c r="S27" s="163" t="e">
        <f ca="1"/>
        <v>#NAME?</v>
      </c>
      <c r="T27" s="163" t="e">
        <f ca="1"/>
        <v>#NAME?</v>
      </c>
      <c r="U27" s="163" t="e">
        <f ca="1"/>
        <v>#NAME?</v>
      </c>
      <c r="V27" s="163" t="e">
        <f ca="1"/>
        <v>#NAME?</v>
      </c>
      <c r="W27" s="163" t="e">
        <f ca="1"/>
        <v>#NAME?</v>
      </c>
      <c r="X27" s="163" t="e">
        <f ca="1"/>
        <v>#NAME?</v>
      </c>
      <c r="Y27" s="163" t="e">
        <f ca="1"/>
        <v>#NAME?</v>
      </c>
      <c r="Z27" s="163" t="e">
        <f ca="1"/>
        <v>#NAME?</v>
      </c>
      <c r="AA27" s="163" t="e">
        <f ca="1"/>
        <v>#NAME?</v>
      </c>
      <c r="AB27" s="163" t="e">
        <f ca="1"/>
        <v>#NAME?</v>
      </c>
      <c r="AC27" s="163" t="e">
        <f ca="1"/>
        <v>#NAME?</v>
      </c>
      <c r="AD27" s="163" t="e">
        <f ca="1"/>
        <v>#NAME?</v>
      </c>
      <c r="AE27" s="163" t="e">
        <f ca="1"/>
        <v>#NAME?</v>
      </c>
      <c r="AF27" s="163" t="e">
        <f ca="1"/>
        <v>#NAME?</v>
      </c>
      <c r="AG27" s="163" t="e">
        <f ca="1"/>
        <v>#NAME?</v>
      </c>
      <c r="AH27" s="163" t="e">
        <f ca="1"/>
        <v>#NAME?</v>
      </c>
      <c r="AI27" s="163" t="e">
        <f ca="1"/>
        <v>#NAME?</v>
      </c>
      <c r="AJ27" s="163" t="e">
        <f ca="1"/>
        <v>#NAME?</v>
      </c>
      <c r="AK27" s="163" t="e">
        <f ca="1"/>
        <v>#NAME?</v>
      </c>
      <c r="AL27" s="163" t="e">
        <f ca="1"/>
        <v>#NAME?</v>
      </c>
      <c r="AM27" s="163" t="e">
        <f ca="1"/>
        <v>#NAME?</v>
      </c>
      <c r="AN27" s="163" t="e">
        <f ca="1"/>
        <v>#NAME?</v>
      </c>
      <c r="AO27" s="163" t="e">
        <f ca="1"/>
        <v>#NAME?</v>
      </c>
      <c r="AP27" s="163" t="e">
        <f ca="1"/>
        <v>#NAME?</v>
      </c>
      <c r="AQ27" s="163" t="e">
        <f ca="1"/>
        <v>#NAME?</v>
      </c>
      <c r="AR27" s="163" t="e">
        <f ca="1"/>
        <v>#NAME?</v>
      </c>
      <c r="AS27" s="163" t="e">
        <f ca="1"/>
        <v>#NAME?</v>
      </c>
      <c r="AT27" s="163" t="e">
        <f ca="1"/>
        <v>#NAME?</v>
      </c>
      <c r="AU27" s="163" t="e">
        <f ca="1"/>
        <v>#NAME?</v>
      </c>
      <c r="AV27" s="163" t="e">
        <f ca="1"/>
        <v>#NAME?</v>
      </c>
      <c r="AW27" s="163" t="e">
        <f ca="1"/>
        <v>#NAME?</v>
      </c>
      <c r="AX27" s="163" t="e">
        <f ca="1"/>
        <v>#NAME?</v>
      </c>
      <c r="AY27" s="163" t="e">
        <f ca="1"/>
        <v>#NAME?</v>
      </c>
      <c r="AZ27" s="163" t="e">
        <f ca="1"/>
        <v>#NAME?</v>
      </c>
      <c r="BA27" s="170" t="e">
        <f ca="1"/>
        <v>#NAME?</v>
      </c>
      <c r="BB27" t="e">
        <f ca="1"/>
        <v>#NAME?</v>
      </c>
      <c r="BC27" t="e">
        <f ca="1"/>
        <v>#NAME?</v>
      </c>
      <c r="BD27" t="e">
        <f ca="1"/>
        <v>#NAME?</v>
      </c>
      <c r="BE27" t="e">
        <f ca="1"/>
        <v>#NAME?</v>
      </c>
      <c r="BF27" t="e">
        <f ca="1"/>
        <v>#NAME?</v>
      </c>
      <c r="BG27" t="e">
        <f ca="1"/>
        <v>#NAME?</v>
      </c>
      <c r="BH27" t="e">
        <f ca="1"/>
        <v>#NAME?</v>
      </c>
      <c r="BI27" t="e">
        <f ca="1"/>
        <v>#NAME?</v>
      </c>
      <c r="BJ27" t="e">
        <f ca="1"/>
        <v>#NAME?</v>
      </c>
    </row>
    <row r="28" spans="2:62">
      <c r="B28" s="107" t="s">
        <v>1001</v>
      </c>
      <c r="C28" s="110">
        <v>7</v>
      </c>
      <c r="D28" s="104" t="s">
        <v>999</v>
      </c>
      <c r="E28" s="103" t="s">
        <v>1000</v>
      </c>
      <c r="F28" s="105" t="s">
        <v>206</v>
      </c>
      <c r="G28" s="105" t="s">
        <v>206</v>
      </c>
      <c r="H28" s="105" t="s">
        <v>206</v>
      </c>
      <c r="I28" s="151" t="e">
        <f ca="1"/>
        <v>#NAME?</v>
      </c>
      <c r="J28" s="164" t="e">
        <f ca="1"/>
        <v>#NAME?</v>
      </c>
      <c r="K28" s="164" t="e">
        <f ca="1"/>
        <v>#NAME?</v>
      </c>
      <c r="L28" s="164" t="e">
        <f ca="1"/>
        <v>#NAME?</v>
      </c>
      <c r="M28" s="164" t="e">
        <f ca="1"/>
        <v>#NAME?</v>
      </c>
      <c r="N28" s="164" t="e">
        <f ca="1"/>
        <v>#NAME?</v>
      </c>
      <c r="O28" s="164" t="e">
        <f ca="1"/>
        <v>#NAME?</v>
      </c>
      <c r="P28" s="164" t="e">
        <f ca="1"/>
        <v>#NAME?</v>
      </c>
      <c r="Q28" s="164" t="e">
        <f ca="1"/>
        <v>#NAME?</v>
      </c>
      <c r="R28" s="164" t="e">
        <f ca="1"/>
        <v>#NAME?</v>
      </c>
      <c r="S28" s="164" t="e">
        <f ca="1"/>
        <v>#NAME?</v>
      </c>
      <c r="T28" s="164" t="e">
        <f ca="1"/>
        <v>#NAME?</v>
      </c>
      <c r="U28" s="164" t="e">
        <f ca="1"/>
        <v>#NAME?</v>
      </c>
      <c r="V28" s="164" t="e">
        <f ca="1"/>
        <v>#NAME?</v>
      </c>
      <c r="W28" s="164" t="e">
        <f ca="1"/>
        <v>#NAME?</v>
      </c>
      <c r="X28" s="164" t="e">
        <f ca="1"/>
        <v>#NAME?</v>
      </c>
      <c r="Y28" s="164" t="e">
        <f ca="1"/>
        <v>#NAME?</v>
      </c>
      <c r="Z28" s="164" t="e">
        <f ca="1"/>
        <v>#NAME?</v>
      </c>
      <c r="AA28" s="164" t="e">
        <f ca="1"/>
        <v>#NAME?</v>
      </c>
      <c r="AB28" s="164" t="e">
        <f ca="1"/>
        <v>#NAME?</v>
      </c>
      <c r="AC28" s="164" t="e">
        <f ca="1"/>
        <v>#NAME?</v>
      </c>
      <c r="AD28" s="164" t="e">
        <f ca="1"/>
        <v>#NAME?</v>
      </c>
      <c r="AE28" s="164" t="e">
        <f ca="1"/>
        <v>#NAME?</v>
      </c>
      <c r="AF28" s="164" t="e">
        <f ca="1"/>
        <v>#NAME?</v>
      </c>
      <c r="AG28" s="164" t="e">
        <f ca="1"/>
        <v>#NAME?</v>
      </c>
      <c r="AH28" s="164" t="e">
        <f ca="1"/>
        <v>#NAME?</v>
      </c>
      <c r="AI28" s="164" t="e">
        <f ca="1"/>
        <v>#NAME?</v>
      </c>
      <c r="AJ28" s="164" t="e">
        <f ca="1"/>
        <v>#NAME?</v>
      </c>
      <c r="AK28" s="164" t="e">
        <f ca="1"/>
        <v>#NAME?</v>
      </c>
      <c r="AL28" s="164" t="e">
        <f ca="1"/>
        <v>#NAME?</v>
      </c>
      <c r="AM28" s="164" t="e">
        <f ca="1"/>
        <v>#NAME?</v>
      </c>
      <c r="AN28" s="164" t="e">
        <f ca="1"/>
        <v>#NAME?</v>
      </c>
      <c r="AO28" s="164" t="e">
        <f ca="1"/>
        <v>#NAME?</v>
      </c>
      <c r="AP28" s="164" t="e">
        <f ca="1"/>
        <v>#NAME?</v>
      </c>
      <c r="AQ28" s="164" t="e">
        <f ca="1"/>
        <v>#NAME?</v>
      </c>
      <c r="AR28" s="164" t="e">
        <f ca="1"/>
        <v>#NAME?</v>
      </c>
      <c r="AS28" s="164" t="e">
        <f ca="1"/>
        <v>#NAME?</v>
      </c>
      <c r="AT28" s="164" t="e">
        <f ca="1"/>
        <v>#NAME?</v>
      </c>
      <c r="AU28" s="164" t="e">
        <f ca="1"/>
        <v>#NAME?</v>
      </c>
      <c r="AV28" s="164" t="e">
        <f ca="1"/>
        <v>#NAME?</v>
      </c>
      <c r="AW28" s="164" t="e">
        <f ca="1"/>
        <v>#NAME?</v>
      </c>
      <c r="AX28" s="164" t="e">
        <f ca="1"/>
        <v>#NAME?</v>
      </c>
      <c r="AY28" s="163" t="e">
        <f ca="1"/>
        <v>#NAME?</v>
      </c>
      <c r="AZ28" s="163" t="e">
        <f ca="1"/>
        <v>#NAME?</v>
      </c>
      <c r="BA28" s="170" t="e">
        <f ca="1"/>
        <v>#NAME?</v>
      </c>
      <c r="BB28" t="e">
        <f ca="1"/>
        <v>#NAME?</v>
      </c>
      <c r="BC28" t="e">
        <f ca="1"/>
        <v>#NAME?</v>
      </c>
      <c r="BD28" t="e">
        <f ca="1"/>
        <v>#NAME?</v>
      </c>
      <c r="BE28" t="e">
        <f ca="1"/>
        <v>#NAME?</v>
      </c>
      <c r="BF28" t="e">
        <f ca="1"/>
        <v>#NAME?</v>
      </c>
      <c r="BG28" t="e">
        <f ca="1"/>
        <v>#NAME?</v>
      </c>
      <c r="BH28" t="e">
        <f ca="1"/>
        <v>#NAME?</v>
      </c>
      <c r="BI28" t="e">
        <f ca="1"/>
        <v>#NAME?</v>
      </c>
      <c r="BJ28" t="e">
        <f ca="1"/>
        <v>#NAME?</v>
      </c>
    </row>
    <row r="30" spans="2:62">
      <c r="B30" s="140" t="s">
        <v>1002</v>
      </c>
    </row>
    <row r="31" spans="2:62">
      <c r="B31" s="134" t="s">
        <v>1003</v>
      </c>
      <c r="C31" s="134" t="s">
        <v>1004</v>
      </c>
      <c r="D31" s="135" t="s">
        <v>1005</v>
      </c>
      <c r="E31" s="134" t="s">
        <v>1006</v>
      </c>
      <c r="F31" s="134" t="s">
        <v>1007</v>
      </c>
    </row>
    <row r="32" spans="2:62" ht="29">
      <c r="B32" s="272" t="s">
        <v>1111</v>
      </c>
      <c r="C32" s="273" t="s">
        <v>537</v>
      </c>
      <c r="D32" s="67" t="s">
        <v>1442</v>
      </c>
      <c r="E32" s="274"/>
      <c r="F32" s="275"/>
    </row>
    <row r="33" spans="2:31" ht="29">
      <c r="B33" s="272" t="s">
        <v>1111</v>
      </c>
      <c r="C33" s="273" t="s">
        <v>540</v>
      </c>
      <c r="D33" s="67" t="s">
        <v>1442</v>
      </c>
      <c r="E33" s="274"/>
      <c r="F33" s="275"/>
    </row>
    <row r="34" spans="2:31" ht="29">
      <c r="B34" s="118" t="s">
        <v>1008</v>
      </c>
      <c r="C34" s="121" t="s">
        <v>127</v>
      </c>
      <c r="D34" s="53" t="s">
        <v>1443</v>
      </c>
      <c r="E34" s="153" t="s">
        <v>1444</v>
      </c>
      <c r="F34" s="136" t="s">
        <v>1445</v>
      </c>
      <c r="G34" t="s">
        <v>1446</v>
      </c>
    </row>
    <row r="35" spans="2:31" ht="43.5">
      <c r="B35" s="118" t="s">
        <v>1008</v>
      </c>
      <c r="C35" s="121" t="s">
        <v>132</v>
      </c>
      <c r="D35" s="53" t="s">
        <v>1447</v>
      </c>
      <c r="E35" s="153" t="s">
        <v>1448</v>
      </c>
      <c r="F35" s="136" t="s">
        <v>1011</v>
      </c>
    </row>
    <row r="36" spans="2:31" ht="43.5">
      <c r="B36" s="118" t="s">
        <v>1008</v>
      </c>
      <c r="C36" s="121" t="s">
        <v>135</v>
      </c>
      <c r="D36" s="53" t="s">
        <v>1447</v>
      </c>
      <c r="E36" s="153" t="s">
        <v>1448</v>
      </c>
      <c r="F36" s="136" t="s">
        <v>1011</v>
      </c>
    </row>
    <row r="37" spans="2:31" ht="87">
      <c r="B37" s="118" t="s">
        <v>1008</v>
      </c>
      <c r="C37" s="117" t="s">
        <v>537</v>
      </c>
      <c r="D37" s="53" t="s">
        <v>1449</v>
      </c>
      <c r="E37" s="153" t="s">
        <v>1450</v>
      </c>
      <c r="F37" s="136" t="s">
        <v>1451</v>
      </c>
    </row>
    <row r="38" spans="2:31" ht="43.5">
      <c r="B38" s="118" t="s">
        <v>1008</v>
      </c>
      <c r="C38" s="121" t="s">
        <v>538</v>
      </c>
      <c r="D38" s="53" t="s">
        <v>1447</v>
      </c>
      <c r="E38" s="153" t="s">
        <v>1448</v>
      </c>
      <c r="F38" s="136" t="s">
        <v>1011</v>
      </c>
      <c r="I38" s="158"/>
      <c r="J38" s="165"/>
      <c r="K38" s="165"/>
      <c r="L38" s="165"/>
      <c r="M38" s="165"/>
      <c r="N38" s="165"/>
      <c r="O38" s="165"/>
      <c r="P38" s="165"/>
      <c r="Q38" s="165"/>
      <c r="R38" s="165"/>
      <c r="S38" s="165"/>
      <c r="T38" s="165"/>
      <c r="U38" s="165"/>
      <c r="V38" s="165"/>
      <c r="W38" s="165"/>
      <c r="X38" s="165"/>
      <c r="Y38" s="165"/>
      <c r="Z38" s="165"/>
      <c r="AA38" s="165"/>
      <c r="AB38" s="165"/>
      <c r="AC38" s="165"/>
      <c r="AD38" s="165"/>
      <c r="AE38" s="165"/>
    </row>
    <row r="39" spans="2:31" ht="43.5">
      <c r="B39" s="118" t="s">
        <v>1008</v>
      </c>
      <c r="C39" s="121" t="s">
        <v>539</v>
      </c>
      <c r="D39" s="53" t="s">
        <v>1447</v>
      </c>
      <c r="E39" s="153" t="s">
        <v>1448</v>
      </c>
      <c r="F39" s="136" t="s">
        <v>1011</v>
      </c>
      <c r="I39" s="158"/>
      <c r="J39" s="165"/>
      <c r="K39" s="165"/>
      <c r="L39" s="165"/>
      <c r="M39" s="165"/>
      <c r="N39" s="165"/>
      <c r="O39" s="165"/>
      <c r="P39" s="165"/>
      <c r="Q39" s="165"/>
      <c r="R39" s="165"/>
      <c r="S39" s="165"/>
      <c r="T39" s="165"/>
      <c r="U39" s="165"/>
      <c r="V39" s="165"/>
      <c r="W39" s="165"/>
      <c r="X39" s="165"/>
      <c r="Y39" s="165"/>
      <c r="Z39" s="165"/>
      <c r="AA39" s="165"/>
      <c r="AB39" s="165"/>
      <c r="AC39" s="165"/>
      <c r="AD39" s="165"/>
      <c r="AE39" s="165"/>
    </row>
    <row r="40" spans="2:31" ht="87">
      <c r="B40" s="118" t="s">
        <v>1008</v>
      </c>
      <c r="C40" s="117" t="s">
        <v>540</v>
      </c>
      <c r="D40" s="53" t="s">
        <v>1449</v>
      </c>
      <c r="E40" s="153" t="s">
        <v>1450</v>
      </c>
      <c r="F40" s="136" t="s">
        <v>1451</v>
      </c>
    </row>
    <row r="41" spans="2:31" ht="43.5">
      <c r="B41" s="118" t="s">
        <v>1008</v>
      </c>
      <c r="C41" s="138" t="s">
        <v>277</v>
      </c>
      <c r="D41" s="53" t="s">
        <v>1447</v>
      </c>
      <c r="E41" s="153" t="s">
        <v>1448</v>
      </c>
      <c r="F41" s="136" t="s">
        <v>1011</v>
      </c>
    </row>
    <row r="42" spans="2:31" ht="43.5">
      <c r="B42" s="118" t="s">
        <v>1008</v>
      </c>
      <c r="C42" s="138" t="s">
        <v>282</v>
      </c>
      <c r="D42" s="53" t="s">
        <v>1447</v>
      </c>
      <c r="E42" s="153" t="s">
        <v>1448</v>
      </c>
      <c r="F42" s="136" t="s">
        <v>1011</v>
      </c>
    </row>
    <row r="43" spans="2:31" ht="43.5">
      <c r="B43" s="118" t="s">
        <v>1008</v>
      </c>
      <c r="C43" s="138" t="s">
        <v>169</v>
      </c>
      <c r="D43" s="53" t="s">
        <v>1447</v>
      </c>
      <c r="E43" s="153" t="s">
        <v>1448</v>
      </c>
      <c r="F43" s="136" t="s">
        <v>1011</v>
      </c>
    </row>
    <row r="44" spans="2:31" ht="72.5">
      <c r="B44" s="137" t="s">
        <v>1008</v>
      </c>
      <c r="C44" s="138" t="s">
        <v>508</v>
      </c>
      <c r="D44" s="53" t="s">
        <v>1452</v>
      </c>
      <c r="E44" s="153" t="s">
        <v>1453</v>
      </c>
      <c r="F44" s="136" t="s">
        <v>1454</v>
      </c>
    </row>
    <row r="45" spans="2:31" ht="43.5">
      <c r="B45" s="111" t="s">
        <v>1008</v>
      </c>
      <c r="C45" s="115" t="s">
        <v>541</v>
      </c>
      <c r="D45" s="53" t="s">
        <v>1447</v>
      </c>
      <c r="E45" s="153" t="s">
        <v>1448</v>
      </c>
      <c r="F45" s="136" t="s">
        <v>1011</v>
      </c>
    </row>
    <row r="46" spans="2:31" ht="29">
      <c r="B46" s="111" t="s">
        <v>1008</v>
      </c>
      <c r="C46" s="115" t="s">
        <v>1455</v>
      </c>
      <c r="D46" s="53" t="s">
        <v>1456</v>
      </c>
      <c r="E46" s="153" t="s">
        <v>1457</v>
      </c>
      <c r="F46" s="136" t="s">
        <v>1017</v>
      </c>
    </row>
    <row r="47" spans="2:31" ht="29">
      <c r="B47" s="111" t="s">
        <v>1008</v>
      </c>
      <c r="C47" s="115" t="s">
        <v>175</v>
      </c>
      <c r="D47" s="174" t="s">
        <v>1458</v>
      </c>
      <c r="E47" s="153" t="s">
        <v>1459</v>
      </c>
      <c r="F47" s="136" t="s">
        <v>1017</v>
      </c>
    </row>
    <row r="48" spans="2:31" ht="58">
      <c r="B48" s="111" t="s">
        <v>1008</v>
      </c>
      <c r="C48" s="115" t="s">
        <v>226</v>
      </c>
      <c r="D48" s="53" t="s">
        <v>1460</v>
      </c>
      <c r="E48" s="279" t="s">
        <v>1461</v>
      </c>
      <c r="F48" s="136" t="s">
        <v>1462</v>
      </c>
    </row>
    <row r="49" spans="2:6" ht="58">
      <c r="B49" s="111" t="s">
        <v>1008</v>
      </c>
      <c r="C49" s="115" t="s">
        <v>362</v>
      </c>
      <c r="D49" s="53" t="s">
        <v>1460</v>
      </c>
      <c r="E49" s="279" t="s">
        <v>1461</v>
      </c>
      <c r="F49" s="136" t="s">
        <v>1462</v>
      </c>
    </row>
    <row r="50" spans="2:6" ht="43.5">
      <c r="B50" s="111" t="s">
        <v>1008</v>
      </c>
      <c r="C50" s="115" t="s">
        <v>1463</v>
      </c>
      <c r="D50" s="53" t="s">
        <v>1447</v>
      </c>
      <c r="E50" s="153" t="s">
        <v>1448</v>
      </c>
      <c r="F50" s="136" t="s">
        <v>1011</v>
      </c>
    </row>
    <row r="51" spans="2:6" ht="58">
      <c r="B51" s="111" t="s">
        <v>1008</v>
      </c>
      <c r="C51" s="115" t="s">
        <v>542</v>
      </c>
      <c r="D51" s="53" t="s">
        <v>1464</v>
      </c>
      <c r="E51" s="153" t="s">
        <v>1465</v>
      </c>
      <c r="F51" s="136" t="s">
        <v>1466</v>
      </c>
    </row>
    <row r="52" spans="2:6" ht="87">
      <c r="B52" s="111" t="s">
        <v>1008</v>
      </c>
      <c r="C52" s="115" t="s">
        <v>543</v>
      </c>
      <c r="D52" s="53" t="s">
        <v>1467</v>
      </c>
      <c r="E52" s="153" t="s">
        <v>1468</v>
      </c>
      <c r="F52" s="136" t="s">
        <v>1469</v>
      </c>
    </row>
    <row r="53" spans="2:6" ht="87">
      <c r="B53" s="111" t="s">
        <v>1008</v>
      </c>
      <c r="C53" s="115" t="s">
        <v>544</v>
      </c>
      <c r="D53" s="53" t="s">
        <v>1470</v>
      </c>
      <c r="E53" s="153" t="s">
        <v>1471</v>
      </c>
      <c r="F53" s="136" t="s">
        <v>1469</v>
      </c>
    </row>
    <row r="54" spans="2:6" ht="43.5">
      <c r="B54" s="111" t="s">
        <v>1008</v>
      </c>
      <c r="C54" s="276" t="s">
        <v>1472</v>
      </c>
      <c r="D54" s="53" t="s">
        <v>1447</v>
      </c>
      <c r="E54" s="153" t="s">
        <v>1448</v>
      </c>
      <c r="F54" s="136" t="s">
        <v>1011</v>
      </c>
    </row>
    <row r="55" spans="2:6" ht="43.5">
      <c r="B55" s="111" t="s">
        <v>1008</v>
      </c>
      <c r="C55" s="277" t="s">
        <v>546</v>
      </c>
      <c r="D55" s="53" t="s">
        <v>1447</v>
      </c>
      <c r="E55" s="153" t="s">
        <v>1448</v>
      </c>
      <c r="F55" s="136" t="s">
        <v>1011</v>
      </c>
    </row>
    <row r="56" spans="2:6" ht="43.5">
      <c r="B56" s="111" t="s">
        <v>1008</v>
      </c>
      <c r="C56" s="277" t="s">
        <v>547</v>
      </c>
      <c r="D56" s="53" t="s">
        <v>1447</v>
      </c>
      <c r="E56" s="153" t="s">
        <v>1448</v>
      </c>
      <c r="F56" s="136" t="s">
        <v>1011</v>
      </c>
    </row>
    <row r="57" spans="2:6" ht="43.5">
      <c r="B57" s="111" t="s">
        <v>1008</v>
      </c>
      <c r="C57" s="277" t="s">
        <v>548</v>
      </c>
      <c r="D57" s="53" t="s">
        <v>1447</v>
      </c>
      <c r="E57" s="153" t="s">
        <v>1448</v>
      </c>
      <c r="F57" s="136" t="s">
        <v>1011</v>
      </c>
    </row>
    <row r="58" spans="2:6" ht="43.5">
      <c r="B58" s="111" t="s">
        <v>1008</v>
      </c>
      <c r="C58" s="278" t="s">
        <v>517</v>
      </c>
      <c r="D58" s="53" t="s">
        <v>1447</v>
      </c>
      <c r="E58" s="153" t="s">
        <v>1448</v>
      </c>
      <c r="F58" s="136" t="s">
        <v>1011</v>
      </c>
    </row>
    <row r="59" spans="2:6" ht="43.5">
      <c r="B59" s="111" t="s">
        <v>1008</v>
      </c>
      <c r="C59" s="278" t="s">
        <v>392</v>
      </c>
      <c r="D59" s="53" t="s">
        <v>1447</v>
      </c>
      <c r="E59" s="153" t="s">
        <v>1448</v>
      </c>
      <c r="F59" s="136" t="s">
        <v>1011</v>
      </c>
    </row>
    <row r="60" spans="2:6" ht="43.5">
      <c r="B60" s="111" t="s">
        <v>1008</v>
      </c>
      <c r="C60" s="278" t="s">
        <v>404</v>
      </c>
      <c r="D60" s="53" t="s">
        <v>1447</v>
      </c>
      <c r="E60" s="153" t="s">
        <v>1448</v>
      </c>
      <c r="F60" s="136" t="s">
        <v>1011</v>
      </c>
    </row>
    <row r="61" spans="2:6" ht="43.5">
      <c r="B61" s="111" t="s">
        <v>1008</v>
      </c>
      <c r="C61" s="278" t="s">
        <v>414</v>
      </c>
      <c r="D61" s="53" t="s">
        <v>1447</v>
      </c>
      <c r="E61" s="153" t="s">
        <v>1448</v>
      </c>
      <c r="F61" s="136" t="s">
        <v>1011</v>
      </c>
    </row>
    <row r="62" spans="2:6" ht="43.5">
      <c r="B62" s="111" t="s">
        <v>1008</v>
      </c>
      <c r="C62" s="278" t="s">
        <v>424</v>
      </c>
      <c r="D62" s="53" t="s">
        <v>1447</v>
      </c>
      <c r="E62" s="153" t="s">
        <v>1448</v>
      </c>
      <c r="F62" s="136" t="s">
        <v>1011</v>
      </c>
    </row>
    <row r="63" spans="2:6" ht="43.5">
      <c r="B63" s="111" t="s">
        <v>1008</v>
      </c>
      <c r="C63" s="278" t="s">
        <v>432</v>
      </c>
      <c r="D63" s="53" t="s">
        <v>1447</v>
      </c>
      <c r="E63" s="153" t="s">
        <v>1448</v>
      </c>
      <c r="F63" s="136" t="s">
        <v>1011</v>
      </c>
    </row>
    <row r="64" spans="2:6" ht="87">
      <c r="B64" s="137" t="s">
        <v>1018</v>
      </c>
      <c r="C64" s="138" t="s">
        <v>1019</v>
      </c>
      <c r="D64" s="139" t="s">
        <v>1473</v>
      </c>
      <c r="E64" s="97" t="s">
        <v>1474</v>
      </c>
      <c r="F64" s="188" t="s">
        <v>1475</v>
      </c>
    </row>
    <row r="65" spans="2:7" ht="130.5">
      <c r="B65" s="137" t="s">
        <v>1076</v>
      </c>
      <c r="C65" s="138" t="s">
        <v>1019</v>
      </c>
      <c r="D65" s="139" t="s">
        <v>1476</v>
      </c>
      <c r="E65" s="97" t="s">
        <v>1477</v>
      </c>
      <c r="F65" s="188" t="s">
        <v>1475</v>
      </c>
      <c r="G65" t="s">
        <v>1478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T30"/>
  <sheetViews>
    <sheetView showGridLines="0" topLeftCell="A23" workbookViewId="0">
      <selection activeCell="I25" sqref="I25"/>
    </sheetView>
  </sheetViews>
  <sheetFormatPr defaultRowHeight="14.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row r="2" spans="2:19">
      <c r="B2" s="76" t="s">
        <v>953</v>
      </c>
      <c r="C2" s="76" t="s">
        <v>954</v>
      </c>
      <c r="D2" s="76" t="s">
        <v>955</v>
      </c>
      <c r="E2" s="76" t="s">
        <v>956</v>
      </c>
      <c r="F2" s="76" t="s">
        <v>957</v>
      </c>
      <c r="G2" s="76" t="s">
        <v>958</v>
      </c>
      <c r="H2" s="76" t="s">
        <v>959</v>
      </c>
      <c r="I2" s="76" t="s">
        <v>495</v>
      </c>
      <c r="J2" s="76" t="s">
        <v>1479</v>
      </c>
      <c r="K2" s="76" t="s">
        <v>1480</v>
      </c>
      <c r="L2" s="76" t="s">
        <v>1481</v>
      </c>
      <c r="M2" s="76" t="s">
        <v>498</v>
      </c>
      <c r="N2" s="76" t="s">
        <v>499</v>
      </c>
      <c r="O2" s="76" t="s">
        <v>500</v>
      </c>
      <c r="P2" s="76" t="s">
        <v>501</v>
      </c>
      <c r="Q2" s="76" t="s">
        <v>502</v>
      </c>
      <c r="R2" s="76" t="s">
        <v>208</v>
      </c>
      <c r="S2" s="76" t="s">
        <v>213</v>
      </c>
    </row>
    <row r="3" spans="2:19">
      <c r="B3" s="50" t="s">
        <v>907</v>
      </c>
      <c r="C3" s="50">
        <v>1</v>
      </c>
      <c r="D3" s="50" t="s">
        <v>1482</v>
      </c>
      <c r="E3" s="95">
        <v>45483</v>
      </c>
      <c r="F3" s="50">
        <v>1</v>
      </c>
      <c r="G3" s="192">
        <v>1</v>
      </c>
      <c r="H3" s="184">
        <v>468593</v>
      </c>
      <c r="I3" s="50" t="s">
        <v>961</v>
      </c>
      <c r="J3" s="50" t="s">
        <v>961</v>
      </c>
      <c r="K3" s="50" t="s">
        <v>961</v>
      </c>
      <c r="L3" s="50" t="s">
        <v>961</v>
      </c>
      <c r="M3" s="50" t="s">
        <v>961</v>
      </c>
      <c r="N3" s="50" t="s">
        <v>961</v>
      </c>
      <c r="O3" s="50" t="s">
        <v>961</v>
      </c>
      <c r="P3" s="50" t="s">
        <v>961</v>
      </c>
      <c r="Q3" s="50" t="s">
        <v>961</v>
      </c>
      <c r="R3" s="50" t="s">
        <v>961</v>
      </c>
      <c r="S3" s="50" t="s">
        <v>961</v>
      </c>
    </row>
    <row r="4" spans="2:19">
      <c r="B4" s="50" t="s">
        <v>909</v>
      </c>
      <c r="C4" s="50">
        <v>2</v>
      </c>
      <c r="D4" s="50" t="s">
        <v>1483</v>
      </c>
      <c r="E4" s="95">
        <v>45483</v>
      </c>
      <c r="F4" s="50">
        <v>1</v>
      </c>
      <c r="G4" s="192">
        <v>1</v>
      </c>
      <c r="H4" s="184">
        <v>0</v>
      </c>
      <c r="I4" s="50" t="s">
        <v>961</v>
      </c>
      <c r="J4" s="50" t="s">
        <v>961</v>
      </c>
      <c r="K4" s="50" t="s">
        <v>961</v>
      </c>
      <c r="L4" s="50" t="s">
        <v>961</v>
      </c>
      <c r="M4" s="50" t="s">
        <v>961</v>
      </c>
      <c r="N4" s="50" t="s">
        <v>961</v>
      </c>
      <c r="O4" s="50" t="s">
        <v>961</v>
      </c>
      <c r="P4" s="50" t="s">
        <v>961</v>
      </c>
      <c r="Q4" s="50" t="s">
        <v>961</v>
      </c>
      <c r="R4" s="50" t="s">
        <v>961</v>
      </c>
      <c r="S4" s="50" t="s">
        <v>961</v>
      </c>
    </row>
    <row r="5" spans="2:19">
      <c r="B5" s="50" t="s">
        <v>911</v>
      </c>
      <c r="C5" s="50">
        <v>3</v>
      </c>
      <c r="D5" s="50" t="s">
        <v>1484</v>
      </c>
      <c r="E5" s="95">
        <v>45483</v>
      </c>
      <c r="F5" s="50">
        <v>1</v>
      </c>
      <c r="G5" s="192">
        <v>1</v>
      </c>
      <c r="H5" s="184">
        <v>0</v>
      </c>
      <c r="I5" s="50">
        <v>0</v>
      </c>
      <c r="J5" s="50" t="s">
        <v>961</v>
      </c>
      <c r="K5" s="50" t="s">
        <v>961</v>
      </c>
      <c r="L5" s="50" t="s">
        <v>961</v>
      </c>
      <c r="M5" s="50" t="s">
        <v>961</v>
      </c>
      <c r="N5" s="50" t="s">
        <v>961</v>
      </c>
      <c r="O5" s="50" t="s">
        <v>961</v>
      </c>
      <c r="P5" s="50" t="s">
        <v>961</v>
      </c>
      <c r="Q5" s="50" t="s">
        <v>961</v>
      </c>
      <c r="R5" s="50">
        <v>0</v>
      </c>
      <c r="S5" s="50" t="s">
        <v>961</v>
      </c>
    </row>
    <row r="6" spans="2:19">
      <c r="B6" s="97" t="s">
        <v>913</v>
      </c>
      <c r="C6" s="50">
        <v>4</v>
      </c>
      <c r="D6" s="50" t="s">
        <v>964</v>
      </c>
      <c r="E6" s="95" t="s">
        <v>961</v>
      </c>
      <c r="F6" s="50">
        <v>1</v>
      </c>
      <c r="G6" s="50" t="s">
        <v>961</v>
      </c>
      <c r="H6" s="50" t="s">
        <v>961</v>
      </c>
      <c r="I6" s="50" t="s">
        <v>961</v>
      </c>
      <c r="J6" s="50" t="s">
        <v>961</v>
      </c>
      <c r="K6" s="50" t="s">
        <v>961</v>
      </c>
      <c r="L6" s="50" t="s">
        <v>961</v>
      </c>
      <c r="M6" s="50" t="s">
        <v>961</v>
      </c>
      <c r="N6" s="50" t="s">
        <v>961</v>
      </c>
      <c r="O6" s="50" t="s">
        <v>961</v>
      </c>
      <c r="P6" s="50" t="s">
        <v>961</v>
      </c>
      <c r="Q6" s="50" t="s">
        <v>961</v>
      </c>
      <c r="R6" s="50" t="s">
        <v>961</v>
      </c>
      <c r="S6" s="50" t="s">
        <v>961</v>
      </c>
    </row>
    <row r="7" spans="2:19">
      <c r="B7" s="50" t="s">
        <v>915</v>
      </c>
      <c r="C7" s="50">
        <v>5</v>
      </c>
      <c r="D7" s="50" t="s">
        <v>964</v>
      </c>
      <c r="E7" s="95" t="s">
        <v>961</v>
      </c>
      <c r="F7" s="50">
        <v>1</v>
      </c>
      <c r="G7" s="50" t="s">
        <v>961</v>
      </c>
      <c r="H7" s="50" t="s">
        <v>961</v>
      </c>
      <c r="I7" s="50" t="s">
        <v>961</v>
      </c>
      <c r="J7" s="50" t="s">
        <v>961</v>
      </c>
      <c r="K7" s="50" t="s">
        <v>961</v>
      </c>
      <c r="L7" s="50" t="s">
        <v>961</v>
      </c>
      <c r="M7" s="50" t="s">
        <v>961</v>
      </c>
      <c r="N7" s="50" t="s">
        <v>961</v>
      </c>
      <c r="O7" s="50" t="s">
        <v>961</v>
      </c>
      <c r="P7" s="50" t="s">
        <v>961</v>
      </c>
      <c r="Q7" s="50" t="s">
        <v>961</v>
      </c>
      <c r="R7" s="50" t="s">
        <v>961</v>
      </c>
      <c r="S7" s="50" t="s">
        <v>961</v>
      </c>
    </row>
    <row r="8" spans="2:19">
      <c r="B8" s="97" t="s">
        <v>916</v>
      </c>
      <c r="C8" s="50">
        <v>6</v>
      </c>
      <c r="D8" s="50" t="s">
        <v>1485</v>
      </c>
      <c r="E8" s="95">
        <v>45483</v>
      </c>
      <c r="F8" s="50">
        <v>1</v>
      </c>
      <c r="G8" s="221" cm="1">
        <f t="array" ref="G8">SUMPRODUCT(--(I8:S8&gt;0))/COUNTA(I8:S8)</f>
        <v>1</v>
      </c>
      <c r="H8" s="184">
        <v>0</v>
      </c>
      <c r="I8" s="50">
        <v>16</v>
      </c>
      <c r="J8" s="50">
        <v>2</v>
      </c>
      <c r="K8" s="50">
        <v>15</v>
      </c>
      <c r="L8" s="50">
        <v>1</v>
      </c>
      <c r="M8" s="50">
        <v>1</v>
      </c>
      <c r="N8" s="50">
        <v>7</v>
      </c>
      <c r="O8" s="50">
        <v>8</v>
      </c>
      <c r="P8" s="50">
        <v>10</v>
      </c>
      <c r="Q8" s="50">
        <v>3</v>
      </c>
      <c r="R8" s="50">
        <v>10</v>
      </c>
      <c r="S8" s="50">
        <v>23</v>
      </c>
    </row>
    <row r="9" spans="2:19">
      <c r="B9" s="50" t="s">
        <v>919</v>
      </c>
      <c r="C9" s="50">
        <v>7</v>
      </c>
      <c r="D9" s="50" t="s">
        <v>1486</v>
      </c>
      <c r="E9" s="95">
        <v>45483</v>
      </c>
      <c r="F9" s="50">
        <v>1</v>
      </c>
      <c r="G9" s="221" t="e" cm="1">
        <f t="array" aca="1" ref="G9" ca="1">SUMPRODUCT(--(I9:S9&lt;=I26:S26))/COUNTA(I26:S26)</f>
        <v>#NAME?</v>
      </c>
      <c r="H9" s="184">
        <v>0</v>
      </c>
      <c r="I9" s="50">
        <v>16</v>
      </c>
      <c r="J9" s="50">
        <v>2</v>
      </c>
      <c r="K9" s="50">
        <v>15</v>
      </c>
      <c r="L9" s="50">
        <v>1</v>
      </c>
      <c r="M9" s="50">
        <v>10</v>
      </c>
      <c r="N9" s="50">
        <v>7</v>
      </c>
      <c r="O9" s="50">
        <v>16</v>
      </c>
      <c r="P9" s="50">
        <v>16</v>
      </c>
      <c r="Q9" s="50">
        <v>3</v>
      </c>
      <c r="R9" s="50">
        <v>10</v>
      </c>
      <c r="S9" s="50">
        <v>23</v>
      </c>
    </row>
    <row r="10" spans="2:19">
      <c r="B10" s="50" t="s">
        <v>922</v>
      </c>
      <c r="C10" s="50">
        <v>8</v>
      </c>
      <c r="D10" s="50" t="s">
        <v>1487</v>
      </c>
      <c r="E10" s="95">
        <v>45483</v>
      </c>
      <c r="F10" s="50">
        <v>1</v>
      </c>
      <c r="G10" s="50" t="s">
        <v>961</v>
      </c>
      <c r="H10" s="184">
        <v>0</v>
      </c>
      <c r="I10" s="50">
        <v>4293430451808770</v>
      </c>
      <c r="J10" s="50">
        <v>31</v>
      </c>
      <c r="K10" s="50">
        <v>3163579860010</v>
      </c>
      <c r="L10" s="50">
        <v>0</v>
      </c>
      <c r="M10" s="50">
        <v>0</v>
      </c>
      <c r="N10" s="50" t="s">
        <v>1488</v>
      </c>
      <c r="O10" s="50" t="s">
        <v>970</v>
      </c>
      <c r="P10" s="95">
        <v>750000000</v>
      </c>
      <c r="Q10" s="95" t="s">
        <v>1039</v>
      </c>
      <c r="R10" s="95">
        <v>45483</v>
      </c>
      <c r="S10" s="98" t="s">
        <v>1489</v>
      </c>
    </row>
    <row r="11" spans="2:19">
      <c r="B11" s="50" t="s">
        <v>924</v>
      </c>
      <c r="C11" s="50">
        <v>9</v>
      </c>
      <c r="D11" s="50" t="s">
        <v>1490</v>
      </c>
      <c r="E11" s="95">
        <v>45483</v>
      </c>
      <c r="F11" s="50">
        <v>1</v>
      </c>
      <c r="G11" s="50" t="s">
        <v>961</v>
      </c>
      <c r="H11" s="184">
        <v>0</v>
      </c>
      <c r="I11" s="50">
        <v>4293430451808770</v>
      </c>
      <c r="J11" s="50">
        <v>31</v>
      </c>
      <c r="K11" s="50">
        <v>3163579860010</v>
      </c>
      <c r="L11" s="50">
        <v>0</v>
      </c>
      <c r="M11" s="50">
        <v>0</v>
      </c>
      <c r="N11" s="50">
        <v>202407</v>
      </c>
      <c r="O11" s="50" t="s">
        <v>970</v>
      </c>
      <c r="P11" s="95">
        <v>750000000</v>
      </c>
      <c r="Q11" s="95">
        <v>15</v>
      </c>
      <c r="R11" s="95">
        <v>45483</v>
      </c>
      <c r="S11" s="50" t="s">
        <v>1491</v>
      </c>
    </row>
    <row r="12" spans="2:19">
      <c r="B12" s="97" t="s">
        <v>926</v>
      </c>
      <c r="C12" s="50">
        <v>10</v>
      </c>
      <c r="D12" s="50" t="s">
        <v>1492</v>
      </c>
      <c r="E12" s="95">
        <v>45483</v>
      </c>
      <c r="F12" s="50">
        <v>1</v>
      </c>
      <c r="G12" s="50" t="s">
        <v>961</v>
      </c>
      <c r="H12" s="184">
        <v>0</v>
      </c>
      <c r="I12" s="50">
        <v>5166320263218330</v>
      </c>
      <c r="J12" s="184">
        <v>31</v>
      </c>
      <c r="K12" s="50">
        <v>5131570000010</v>
      </c>
      <c r="L12" s="50">
        <v>8</v>
      </c>
      <c r="M12" s="95">
        <v>45483</v>
      </c>
      <c r="N12" s="50" t="s">
        <v>1493</v>
      </c>
      <c r="O12" s="98">
        <v>999999999000000</v>
      </c>
      <c r="P12" s="95">
        <v>999999999000000</v>
      </c>
      <c r="Q12" s="95" t="s">
        <v>1039</v>
      </c>
      <c r="R12" s="95">
        <v>45483</v>
      </c>
      <c r="S12" s="157" t="s">
        <v>1489</v>
      </c>
    </row>
    <row r="13" spans="2:19">
      <c r="B13" s="50" t="s">
        <v>928</v>
      </c>
      <c r="C13" s="50">
        <v>11</v>
      </c>
      <c r="D13" s="50" t="s">
        <v>1494</v>
      </c>
      <c r="E13" s="95">
        <v>45483</v>
      </c>
      <c r="F13" s="50">
        <v>1</v>
      </c>
      <c r="G13" s="50" t="s">
        <v>961</v>
      </c>
      <c r="H13" s="184">
        <v>0</v>
      </c>
      <c r="I13" s="50">
        <v>5166320263218330</v>
      </c>
      <c r="J13" s="184">
        <v>31</v>
      </c>
      <c r="K13" s="50">
        <v>5131570000010</v>
      </c>
      <c r="L13" s="50">
        <v>8</v>
      </c>
      <c r="M13" s="95">
        <v>45483</v>
      </c>
      <c r="N13" s="50">
        <v>202912</v>
      </c>
      <c r="O13" s="98">
        <v>999999999000000</v>
      </c>
      <c r="P13" s="95">
        <v>999999999000000</v>
      </c>
      <c r="Q13" s="95">
        <v>5</v>
      </c>
      <c r="R13" s="95">
        <v>45483</v>
      </c>
      <c r="S13" s="50" t="s">
        <v>1495</v>
      </c>
    </row>
    <row r="14" spans="2:19">
      <c r="B14" s="50" t="s">
        <v>930</v>
      </c>
      <c r="C14" s="50">
        <v>12</v>
      </c>
      <c r="D14" s="50" t="s">
        <v>1496</v>
      </c>
      <c r="E14" s="95">
        <v>45483</v>
      </c>
      <c r="F14" s="50">
        <v>1</v>
      </c>
      <c r="G14" s="192">
        <v>1</v>
      </c>
      <c r="H14" s="184">
        <v>0</v>
      </c>
      <c r="I14" s="50">
        <v>0</v>
      </c>
      <c r="J14" s="50">
        <v>0</v>
      </c>
      <c r="K14" s="50">
        <v>0</v>
      </c>
      <c r="L14" s="50">
        <v>0</v>
      </c>
      <c r="M14" s="50">
        <v>0</v>
      </c>
      <c r="N14" s="50">
        <v>0</v>
      </c>
      <c r="O14" s="50">
        <v>0</v>
      </c>
      <c r="P14" s="50">
        <v>0</v>
      </c>
      <c r="Q14" s="50">
        <v>0</v>
      </c>
      <c r="R14" s="50">
        <v>0</v>
      </c>
      <c r="S14" s="50">
        <v>0</v>
      </c>
    </row>
    <row r="15" spans="2:19">
      <c r="B15" s="50" t="s">
        <v>932</v>
      </c>
      <c r="C15" s="50">
        <v>13</v>
      </c>
      <c r="D15" s="50" t="s">
        <v>1497</v>
      </c>
      <c r="E15" s="95">
        <v>45483</v>
      </c>
      <c r="F15" s="50">
        <v>1</v>
      </c>
      <c r="G15" s="192">
        <v>1</v>
      </c>
      <c r="H15" s="184">
        <v>0</v>
      </c>
      <c r="I15" s="50" t="s">
        <v>961</v>
      </c>
      <c r="J15" s="50" t="s">
        <v>961</v>
      </c>
      <c r="K15" s="50" t="s">
        <v>961</v>
      </c>
      <c r="L15" s="50" t="s">
        <v>961</v>
      </c>
      <c r="M15" s="50">
        <v>0</v>
      </c>
      <c r="N15" s="50">
        <v>0</v>
      </c>
      <c r="O15" s="50" t="s">
        <v>961</v>
      </c>
      <c r="P15" s="50" t="s">
        <v>961</v>
      </c>
      <c r="Q15" s="50" t="s">
        <v>961</v>
      </c>
      <c r="R15" s="50" t="s">
        <v>961</v>
      </c>
      <c r="S15" s="50" t="s">
        <v>961</v>
      </c>
    </row>
    <row r="16" spans="2:19">
      <c r="B16" s="50" t="s">
        <v>934</v>
      </c>
      <c r="C16" s="50">
        <v>14</v>
      </c>
      <c r="D16" s="50" t="s">
        <v>1498</v>
      </c>
      <c r="E16" s="95">
        <v>45483</v>
      </c>
      <c r="F16" s="50">
        <v>1</v>
      </c>
      <c r="G16" s="192">
        <v>1</v>
      </c>
      <c r="H16" s="184">
        <v>0</v>
      </c>
      <c r="I16" s="50" t="s">
        <v>961</v>
      </c>
      <c r="J16" s="50">
        <v>0</v>
      </c>
      <c r="K16" s="50">
        <v>0</v>
      </c>
      <c r="L16" s="50" t="s">
        <v>961</v>
      </c>
      <c r="M16" s="50" t="s">
        <v>961</v>
      </c>
      <c r="N16" s="50" t="s">
        <v>961</v>
      </c>
      <c r="O16" s="50" t="s">
        <v>961</v>
      </c>
      <c r="P16" s="50" t="s">
        <v>961</v>
      </c>
      <c r="Q16" s="50">
        <v>0</v>
      </c>
      <c r="R16" s="50" t="s">
        <v>961</v>
      </c>
      <c r="S16" s="50" t="s">
        <v>961</v>
      </c>
    </row>
    <row r="17" spans="2:20">
      <c r="B17" s="50" t="s">
        <v>936</v>
      </c>
      <c r="C17" s="50">
        <v>15</v>
      </c>
      <c r="D17" s="50" t="s">
        <v>1499</v>
      </c>
      <c r="E17" s="95">
        <v>45483</v>
      </c>
      <c r="F17" s="50">
        <v>1</v>
      </c>
      <c r="G17" s="192">
        <v>1</v>
      </c>
      <c r="H17" s="184">
        <v>0</v>
      </c>
      <c r="I17" s="50" t="s">
        <v>961</v>
      </c>
      <c r="J17" s="50" t="s">
        <v>961</v>
      </c>
      <c r="K17" s="50" t="s">
        <v>961</v>
      </c>
      <c r="L17" s="50" t="s">
        <v>961</v>
      </c>
      <c r="M17" s="50" t="s">
        <v>961</v>
      </c>
      <c r="N17" s="50" t="s">
        <v>961</v>
      </c>
      <c r="O17" s="50" t="s">
        <v>961</v>
      </c>
      <c r="P17" s="50" t="s">
        <v>961</v>
      </c>
      <c r="Q17" s="50" t="s">
        <v>961</v>
      </c>
      <c r="R17" s="50" t="s">
        <v>961</v>
      </c>
      <c r="S17" s="50" t="s">
        <v>961</v>
      </c>
    </row>
    <row r="18" spans="2:20">
      <c r="B18" s="50" t="s">
        <v>938</v>
      </c>
      <c r="C18" s="50">
        <v>16</v>
      </c>
      <c r="D18" s="50" t="s">
        <v>1499</v>
      </c>
      <c r="E18" s="95">
        <v>45483</v>
      </c>
      <c r="F18" s="50">
        <v>1</v>
      </c>
      <c r="G18" s="192">
        <v>1</v>
      </c>
      <c r="H18" s="184">
        <v>0</v>
      </c>
      <c r="I18" s="50" t="s">
        <v>961</v>
      </c>
      <c r="J18" s="50" t="s">
        <v>961</v>
      </c>
      <c r="K18" s="50" t="s">
        <v>961</v>
      </c>
      <c r="L18" s="50" t="s">
        <v>961</v>
      </c>
      <c r="M18" s="50" t="s">
        <v>961</v>
      </c>
      <c r="N18" s="50" t="s">
        <v>961</v>
      </c>
      <c r="O18" s="50" t="s">
        <v>961</v>
      </c>
      <c r="P18" s="50" t="s">
        <v>961</v>
      </c>
      <c r="Q18" s="50" t="s">
        <v>961</v>
      </c>
      <c r="R18" s="50" t="s">
        <v>961</v>
      </c>
      <c r="S18" s="50" t="s">
        <v>961</v>
      </c>
    </row>
    <row r="19" spans="2:20">
      <c r="B19" s="50" t="s">
        <v>944</v>
      </c>
      <c r="C19" s="50">
        <v>19</v>
      </c>
      <c r="D19" s="50" t="s">
        <v>1500</v>
      </c>
      <c r="E19" s="95">
        <v>45483</v>
      </c>
      <c r="F19" s="50">
        <v>1</v>
      </c>
      <c r="G19" s="192" cm="1">
        <f t="array" aca="1" ref="G19" ca="1">SUMPRODUCT(--(ISNUMBER((SEARCH(I25:S25,I19:S19)))))/COUNTA(I19:S19)</f>
        <v>0</v>
      </c>
      <c r="H19" s="95" t="s">
        <v>961</v>
      </c>
      <c r="I19" s="50" t="s">
        <v>995</v>
      </c>
      <c r="J19" s="50" t="s">
        <v>995</v>
      </c>
      <c r="K19" s="50" t="s">
        <v>995</v>
      </c>
      <c r="L19" s="50" t="s">
        <v>995</v>
      </c>
      <c r="M19" s="50" t="s">
        <v>995</v>
      </c>
      <c r="N19" s="50" t="s">
        <v>995</v>
      </c>
      <c r="O19" s="50" t="s">
        <v>996</v>
      </c>
      <c r="P19" s="50" t="s">
        <v>996</v>
      </c>
      <c r="Q19" s="50" t="s">
        <v>995</v>
      </c>
      <c r="R19" s="50" t="s">
        <v>995</v>
      </c>
      <c r="S19" s="50" t="s">
        <v>997</v>
      </c>
    </row>
    <row r="20" spans="2:20">
      <c r="B20" s="50" t="s">
        <v>947</v>
      </c>
      <c r="C20" s="50">
        <v>20</v>
      </c>
      <c r="D20" s="50" t="s">
        <v>1501</v>
      </c>
      <c r="E20" s="95">
        <v>45483</v>
      </c>
      <c r="F20" s="50">
        <v>1</v>
      </c>
      <c r="G20" s="192" t="e" cm="1">
        <f t="array" aca="1" ref="G20" ca="1">SUM(IF(I2:S2 = I24:S24, 1, 0))/ COUNTA(I2:S2)</f>
        <v>#NAME?</v>
      </c>
      <c r="H20" s="192" t="s">
        <v>961</v>
      </c>
      <c r="I20" s="192" t="s">
        <v>961</v>
      </c>
      <c r="J20" s="192" t="s">
        <v>961</v>
      </c>
      <c r="K20" s="192" t="s">
        <v>961</v>
      </c>
      <c r="L20" s="192" t="s">
        <v>961</v>
      </c>
      <c r="M20" s="192" t="s">
        <v>961</v>
      </c>
      <c r="N20" s="192" t="s">
        <v>961</v>
      </c>
      <c r="O20" s="192" t="s">
        <v>961</v>
      </c>
      <c r="P20" s="192" t="s">
        <v>961</v>
      </c>
      <c r="Q20" s="192" t="s">
        <v>961</v>
      </c>
      <c r="R20" s="192" t="s">
        <v>961</v>
      </c>
      <c r="S20" s="192" t="s">
        <v>961</v>
      </c>
    </row>
    <row r="21" spans="2:20">
      <c r="B21" s="50" t="s">
        <v>950</v>
      </c>
      <c r="C21" s="50">
        <v>21</v>
      </c>
      <c r="D21" s="50" t="s">
        <v>1501</v>
      </c>
      <c r="E21" s="95">
        <v>45483</v>
      </c>
      <c r="F21" s="50">
        <v>1</v>
      </c>
      <c r="G21" s="192" t="e" cm="1">
        <f t="array" aca="1" ref="G21" ca="1">SUM(IF(IF(G3:G20="null",1,G3:G20)=1,1,0))/COUNT(IF(G3:G20="null",1,1))</f>
        <v>#NAME?</v>
      </c>
      <c r="H21" s="192" t="s">
        <v>961</v>
      </c>
      <c r="I21" s="192" t="s">
        <v>961</v>
      </c>
      <c r="J21" s="192" t="s">
        <v>961</v>
      </c>
      <c r="K21" s="192" t="s">
        <v>961</v>
      </c>
      <c r="L21" s="192" t="s">
        <v>961</v>
      </c>
      <c r="M21" s="192" t="s">
        <v>961</v>
      </c>
      <c r="N21" s="192" t="s">
        <v>961</v>
      </c>
      <c r="O21" s="192" t="s">
        <v>961</v>
      </c>
      <c r="P21" s="192" t="s">
        <v>961</v>
      </c>
      <c r="Q21" s="192" t="s">
        <v>961</v>
      </c>
      <c r="R21" s="192" t="s">
        <v>961</v>
      </c>
      <c r="S21" s="192" t="s">
        <v>961</v>
      </c>
    </row>
    <row r="22" spans="2:20">
      <c r="B22" s="50"/>
      <c r="C22" s="50"/>
      <c r="D22" s="50"/>
      <c r="E22" s="95"/>
      <c r="F22" s="50"/>
      <c r="G22" s="50"/>
      <c r="H22" s="50"/>
      <c r="I22" s="50"/>
      <c r="J22" s="50"/>
      <c r="K22" s="50"/>
      <c r="L22" s="50"/>
      <c r="M22" s="50"/>
      <c r="N22" s="50"/>
      <c r="O22" s="50"/>
      <c r="P22" s="50"/>
      <c r="Q22" s="50"/>
      <c r="R22" s="50"/>
      <c r="S22" s="50"/>
    </row>
    <row r="23" spans="2:20">
      <c r="B23" s="130" t="s">
        <v>1067</v>
      </c>
    </row>
    <row r="24" spans="2:20">
      <c r="B24" s="128" t="s">
        <v>953</v>
      </c>
      <c r="C24" s="129" t="s">
        <v>954</v>
      </c>
      <c r="D24" s="129" t="s">
        <v>955</v>
      </c>
      <c r="E24" s="129" t="s">
        <v>956</v>
      </c>
      <c r="F24" s="129" t="s">
        <v>957</v>
      </c>
      <c r="G24" s="129" t="s">
        <v>958</v>
      </c>
      <c r="H24" s="129" t="s">
        <v>959</v>
      </c>
      <c r="I24" s="129" t="e" cm="1">
        <f t="array" aca="1" ref="I24:T24" ca="1">TRANSPOSE(_xlfn.SORTBY(_xlfn._xlws.FILTER(Table3[NOME FÍSICO CAMPO],Table3[NOME FÍSICO TABELA]="prepaid_card"), _xlfn._xlws.FILTER(Table3[ORDEM], Table3[NOME FÍSICO TABELA]="prepaid_card"), 1))</f>
        <v>#NAME?</v>
      </c>
      <c r="J24" s="129" t="e">
        <f ca="1"/>
        <v>#NAME?</v>
      </c>
      <c r="K24" s="129" t="e">
        <f ca="1"/>
        <v>#NAME?</v>
      </c>
      <c r="L24" s="129" t="e">
        <f ca="1"/>
        <v>#NAME?</v>
      </c>
      <c r="M24" s="129" t="e">
        <f ca="1"/>
        <v>#NAME?</v>
      </c>
      <c r="N24" s="129" t="e">
        <f ca="1"/>
        <v>#NAME?</v>
      </c>
      <c r="O24" s="129" t="e">
        <f ca="1"/>
        <v>#NAME?</v>
      </c>
      <c r="P24" s="129" t="e">
        <f ca="1"/>
        <v>#NAME?</v>
      </c>
      <c r="Q24" s="129" t="e">
        <f ca="1"/>
        <v>#NAME?</v>
      </c>
      <c r="R24" s="129" t="e">
        <f ca="1"/>
        <v>#NAME?</v>
      </c>
      <c r="S24" s="129" t="e">
        <f ca="1"/>
        <v>#NAME?</v>
      </c>
      <c r="T24" t="e">
        <f ca="1"/>
        <v>#NAME?</v>
      </c>
    </row>
    <row r="25" spans="2:20">
      <c r="B25" s="107" t="s">
        <v>998</v>
      </c>
      <c r="C25" s="110">
        <v>21</v>
      </c>
      <c r="D25" s="104" t="s">
        <v>999</v>
      </c>
      <c r="E25" s="103" t="s">
        <v>1000</v>
      </c>
      <c r="F25" s="103" t="s">
        <v>206</v>
      </c>
      <c r="G25" s="103" t="s">
        <v>206</v>
      </c>
      <c r="H25" s="103" t="s">
        <v>206</v>
      </c>
      <c r="I25" s="103" t="e" cm="1">
        <f t="array" aca="1" ref="I25:T26" ca="1">TRANSPOSE(_xlfn.SORTBY(_xlfn._xlws.FILTER(IF(Table3[FORMATO]:Table3[COMP_ CAMPO]&lt;&gt;"",Table3[FORMATO]:Table3[COMP_ CAMPO],9999999),Table3[NOME FÍSICO TABELA]="prepaid_card"), _xlfn._xlws.FILTER(Table3[ORDEM], Table3[NOME FÍSICO TABELA]="prepaid_card"), 1))</f>
        <v>#NAME?</v>
      </c>
      <c r="J25" s="103" t="e">
        <f ca="1"/>
        <v>#NAME?</v>
      </c>
      <c r="K25" s="103" t="e">
        <f ca="1"/>
        <v>#NAME?</v>
      </c>
      <c r="L25" s="103" t="e">
        <f ca="1"/>
        <v>#NAME?</v>
      </c>
      <c r="M25" s="103" t="e">
        <f ca="1"/>
        <v>#NAME?</v>
      </c>
      <c r="N25" s="103" t="e">
        <f ca="1"/>
        <v>#NAME?</v>
      </c>
      <c r="O25" s="103" t="e">
        <f ca="1"/>
        <v>#NAME?</v>
      </c>
      <c r="P25" s="103" t="e">
        <f ca="1"/>
        <v>#NAME?</v>
      </c>
      <c r="Q25" s="103" t="e">
        <f ca="1"/>
        <v>#NAME?</v>
      </c>
      <c r="R25" s="103" t="e">
        <f ca="1"/>
        <v>#NAME?</v>
      </c>
      <c r="S25" s="103" t="e">
        <f ca="1"/>
        <v>#NAME?</v>
      </c>
      <c r="T25" t="e">
        <f ca="1"/>
        <v>#NAME?</v>
      </c>
    </row>
    <row r="26" spans="2:20">
      <c r="B26" s="107" t="s">
        <v>1001</v>
      </c>
      <c r="C26" s="110">
        <v>7</v>
      </c>
      <c r="D26" s="104" t="s">
        <v>999</v>
      </c>
      <c r="E26" s="103" t="s">
        <v>1000</v>
      </c>
      <c r="F26" s="105" t="s">
        <v>206</v>
      </c>
      <c r="G26" s="105" t="s">
        <v>206</v>
      </c>
      <c r="H26" s="105" t="s">
        <v>206</v>
      </c>
      <c r="I26" s="151" t="e">
        <f ca="1"/>
        <v>#NAME?</v>
      </c>
      <c r="J26" s="151" t="e">
        <f ca="1"/>
        <v>#NAME?</v>
      </c>
      <c r="K26" s="151" t="e">
        <f ca="1"/>
        <v>#NAME?</v>
      </c>
      <c r="L26" s="151" t="e">
        <f ca="1"/>
        <v>#NAME?</v>
      </c>
      <c r="M26" s="151" t="e">
        <f ca="1"/>
        <v>#NAME?</v>
      </c>
      <c r="N26" s="151" t="e">
        <f ca="1"/>
        <v>#NAME?</v>
      </c>
      <c r="O26" s="151" t="e">
        <f ca="1"/>
        <v>#NAME?</v>
      </c>
      <c r="P26" s="151" t="e">
        <f ca="1"/>
        <v>#NAME?</v>
      </c>
      <c r="Q26" s="151" t="e">
        <f ca="1"/>
        <v>#NAME?</v>
      </c>
      <c r="R26" s="151" t="e">
        <f ca="1"/>
        <v>#NAME?</v>
      </c>
      <c r="S26" s="151" t="e">
        <f ca="1"/>
        <v>#NAME?</v>
      </c>
      <c r="T26" t="e">
        <f ca="1"/>
        <v>#NAME?</v>
      </c>
    </row>
    <row r="28" spans="2:20">
      <c r="B28" s="140" t="s">
        <v>1002</v>
      </c>
    </row>
    <row r="29" spans="2:20">
      <c r="B29" s="134" t="s">
        <v>1003</v>
      </c>
      <c r="C29" s="134" t="s">
        <v>1004</v>
      </c>
      <c r="D29" s="135" t="s">
        <v>1005</v>
      </c>
      <c r="E29" s="134" t="s">
        <v>1006</v>
      </c>
      <c r="F29" s="134" t="s">
        <v>1007</v>
      </c>
    </row>
    <row r="30" spans="2:20">
      <c r="B30" s="118"/>
      <c r="C30" s="117"/>
      <c r="D30" s="123"/>
      <c r="E30" s="146"/>
      <c r="F30" s="136"/>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T30"/>
  <sheetViews>
    <sheetView showGridLines="0" topLeftCell="A2" workbookViewId="0">
      <selection activeCell="H9" sqref="H9"/>
    </sheetView>
  </sheetViews>
  <sheetFormatPr defaultRowHeight="14.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row r="2" spans="2:19">
      <c r="B2" s="76" t="s">
        <v>953</v>
      </c>
      <c r="C2" s="76" t="s">
        <v>954</v>
      </c>
      <c r="D2" s="76" t="s">
        <v>955</v>
      </c>
      <c r="E2" s="76" t="s">
        <v>956</v>
      </c>
      <c r="F2" s="76" t="s">
        <v>957</v>
      </c>
      <c r="G2" s="76" t="s">
        <v>958</v>
      </c>
      <c r="H2" s="76" t="s">
        <v>959</v>
      </c>
      <c r="I2" s="76" t="s">
        <v>495</v>
      </c>
      <c r="J2" s="76" t="s">
        <v>1502</v>
      </c>
      <c r="K2" s="76" t="s">
        <v>1503</v>
      </c>
      <c r="L2" s="76" t="s">
        <v>1481</v>
      </c>
      <c r="M2" s="76" t="s">
        <v>498</v>
      </c>
      <c r="N2" s="76" t="s">
        <v>499</v>
      </c>
      <c r="O2" s="76" t="s">
        <v>500</v>
      </c>
      <c r="P2" s="76" t="s">
        <v>501</v>
      </c>
      <c r="Q2" s="76" t="s">
        <v>502</v>
      </c>
      <c r="R2" s="76" t="s">
        <v>208</v>
      </c>
      <c r="S2" s="76" t="s">
        <v>213</v>
      </c>
    </row>
    <row r="3" spans="2:19">
      <c r="B3" s="50" t="s">
        <v>907</v>
      </c>
      <c r="C3" s="50">
        <v>1</v>
      </c>
      <c r="D3" s="50" t="s">
        <v>1504</v>
      </c>
      <c r="E3" s="95">
        <v>45485</v>
      </c>
      <c r="F3" s="50">
        <v>1</v>
      </c>
      <c r="G3" s="192">
        <v>1</v>
      </c>
      <c r="H3" s="184">
        <v>650320</v>
      </c>
      <c r="I3" s="50" t="s">
        <v>961</v>
      </c>
      <c r="J3" s="50" t="s">
        <v>961</v>
      </c>
      <c r="K3" s="50" t="s">
        <v>961</v>
      </c>
      <c r="L3" s="50" t="s">
        <v>961</v>
      </c>
      <c r="M3" s="50" t="s">
        <v>961</v>
      </c>
      <c r="N3" s="50" t="s">
        <v>961</v>
      </c>
      <c r="O3" s="50" t="s">
        <v>961</v>
      </c>
      <c r="P3" s="50" t="s">
        <v>961</v>
      </c>
      <c r="Q3" s="50" t="s">
        <v>961</v>
      </c>
      <c r="R3" s="50" t="s">
        <v>961</v>
      </c>
      <c r="S3" s="50" t="s">
        <v>961</v>
      </c>
    </row>
    <row r="4" spans="2:19">
      <c r="B4" s="50" t="s">
        <v>909</v>
      </c>
      <c r="C4" s="50">
        <v>2</v>
      </c>
      <c r="D4" s="50" t="s">
        <v>1505</v>
      </c>
      <c r="E4" s="95">
        <v>45485</v>
      </c>
      <c r="F4" s="50">
        <v>1</v>
      </c>
      <c r="G4" s="192">
        <v>1</v>
      </c>
      <c r="H4" s="50">
        <v>0</v>
      </c>
      <c r="I4" s="50" t="s">
        <v>961</v>
      </c>
      <c r="J4" s="50" t="s">
        <v>961</v>
      </c>
      <c r="K4" s="50" t="s">
        <v>961</v>
      </c>
      <c r="L4" s="50" t="s">
        <v>961</v>
      </c>
      <c r="M4" s="50" t="s">
        <v>961</v>
      </c>
      <c r="N4" s="50" t="s">
        <v>961</v>
      </c>
      <c r="O4" s="50" t="s">
        <v>961</v>
      </c>
      <c r="P4" s="50" t="s">
        <v>961</v>
      </c>
      <c r="Q4" s="50" t="s">
        <v>961</v>
      </c>
      <c r="R4" s="50" t="s">
        <v>961</v>
      </c>
      <c r="S4" s="50" t="s">
        <v>961</v>
      </c>
    </row>
    <row r="5" spans="2:19">
      <c r="B5" s="50" t="s">
        <v>911</v>
      </c>
      <c r="C5" s="50">
        <v>3</v>
      </c>
      <c r="D5" s="50" t="s">
        <v>1506</v>
      </c>
      <c r="E5" s="95">
        <v>45485</v>
      </c>
      <c r="F5" s="50">
        <v>1</v>
      </c>
      <c r="G5" s="192">
        <v>1</v>
      </c>
      <c r="H5" s="50">
        <v>0</v>
      </c>
      <c r="I5" s="50">
        <v>0</v>
      </c>
      <c r="J5" s="50" t="s">
        <v>961</v>
      </c>
      <c r="K5" s="50" t="s">
        <v>961</v>
      </c>
      <c r="L5" s="50" t="s">
        <v>961</v>
      </c>
      <c r="M5" s="50" t="s">
        <v>961</v>
      </c>
      <c r="N5" s="50" t="s">
        <v>961</v>
      </c>
      <c r="O5" s="50" t="s">
        <v>961</v>
      </c>
      <c r="P5" s="50" t="s">
        <v>961</v>
      </c>
      <c r="Q5" s="50" t="s">
        <v>961</v>
      </c>
      <c r="R5" s="50">
        <v>0</v>
      </c>
      <c r="S5" s="50" t="s">
        <v>961</v>
      </c>
    </row>
    <row r="6" spans="2:19">
      <c r="B6" s="97" t="s">
        <v>913</v>
      </c>
      <c r="C6" s="50">
        <v>4</v>
      </c>
      <c r="D6" s="50" t="s">
        <v>964</v>
      </c>
      <c r="E6" s="95" t="s">
        <v>961</v>
      </c>
      <c r="F6" s="50">
        <v>1</v>
      </c>
      <c r="G6" s="50" t="s">
        <v>961</v>
      </c>
      <c r="H6" s="50" t="s">
        <v>961</v>
      </c>
      <c r="I6" s="50" t="s">
        <v>961</v>
      </c>
      <c r="J6" s="50" t="s">
        <v>961</v>
      </c>
      <c r="K6" s="50" t="s">
        <v>961</v>
      </c>
      <c r="L6" s="50" t="s">
        <v>961</v>
      </c>
      <c r="M6" s="50" t="s">
        <v>961</v>
      </c>
      <c r="N6" s="50" t="s">
        <v>961</v>
      </c>
      <c r="O6" s="50" t="s">
        <v>961</v>
      </c>
      <c r="P6" s="50" t="s">
        <v>961</v>
      </c>
      <c r="Q6" s="50" t="s">
        <v>961</v>
      </c>
      <c r="R6" s="50" t="s">
        <v>961</v>
      </c>
      <c r="S6" s="50" t="s">
        <v>961</v>
      </c>
    </row>
    <row r="7" spans="2:19">
      <c r="B7" s="50" t="s">
        <v>915</v>
      </c>
      <c r="C7" s="50">
        <v>5</v>
      </c>
      <c r="D7" s="50" t="s">
        <v>964</v>
      </c>
      <c r="E7" s="95" t="s">
        <v>961</v>
      </c>
      <c r="F7" s="50">
        <v>1</v>
      </c>
      <c r="G7" s="50" t="s">
        <v>961</v>
      </c>
      <c r="H7" s="50" t="s">
        <v>961</v>
      </c>
      <c r="I7" s="50" t="s">
        <v>961</v>
      </c>
      <c r="J7" s="50" t="s">
        <v>961</v>
      </c>
      <c r="K7" s="50" t="s">
        <v>961</v>
      </c>
      <c r="L7" s="50" t="s">
        <v>961</v>
      </c>
      <c r="M7" s="50" t="s">
        <v>961</v>
      </c>
      <c r="N7" s="50" t="s">
        <v>961</v>
      </c>
      <c r="O7" s="50" t="s">
        <v>961</v>
      </c>
      <c r="P7" s="50" t="s">
        <v>961</v>
      </c>
      <c r="Q7" s="50" t="s">
        <v>961</v>
      </c>
      <c r="R7" s="50" t="s">
        <v>961</v>
      </c>
      <c r="S7" s="50" t="s">
        <v>961</v>
      </c>
    </row>
    <row r="8" spans="2:19">
      <c r="B8" s="97" t="s">
        <v>916</v>
      </c>
      <c r="C8" s="50">
        <v>6</v>
      </c>
      <c r="D8" s="50" t="s">
        <v>1507</v>
      </c>
      <c r="E8" s="95">
        <v>45485</v>
      </c>
      <c r="F8" s="50">
        <v>1</v>
      </c>
      <c r="G8" s="192"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919</v>
      </c>
      <c r="C9" s="50">
        <v>7</v>
      </c>
      <c r="D9" s="50" t="s">
        <v>1508</v>
      </c>
      <c r="E9" s="95">
        <v>45485</v>
      </c>
      <c r="F9" s="50">
        <v>1</v>
      </c>
      <c r="G9" s="192" t="e" cm="1">
        <f t="array" aca="1" ref="G9" ca="1">SUMPRODUCT(--(I9:S9&lt;=I26:S26))/COUNTA(I26:S26)</f>
        <v>#NAME?</v>
      </c>
      <c r="H9" s="50">
        <v>0</v>
      </c>
      <c r="I9" s="50">
        <v>16</v>
      </c>
      <c r="J9" s="50">
        <v>2</v>
      </c>
      <c r="K9" s="50">
        <v>15</v>
      </c>
      <c r="L9" s="50">
        <v>3</v>
      </c>
      <c r="M9" s="50">
        <v>10</v>
      </c>
      <c r="N9" s="50">
        <v>7</v>
      </c>
      <c r="O9" s="50">
        <v>13</v>
      </c>
      <c r="P9" s="50">
        <v>13</v>
      </c>
      <c r="Q9" s="50">
        <v>3</v>
      </c>
      <c r="R9" s="50">
        <v>10</v>
      </c>
      <c r="S9" s="50">
        <v>23</v>
      </c>
    </row>
    <row r="10" spans="2:19">
      <c r="B10" s="50" t="s">
        <v>922</v>
      </c>
      <c r="C10" s="50">
        <v>8</v>
      </c>
      <c r="D10" s="50" t="s">
        <v>1509</v>
      </c>
      <c r="E10" s="95">
        <v>45485</v>
      </c>
      <c r="F10" s="50">
        <v>1</v>
      </c>
      <c r="G10" s="50" t="s">
        <v>961</v>
      </c>
      <c r="H10" s="50">
        <v>0</v>
      </c>
      <c r="I10" s="50">
        <v>4001900051800820</v>
      </c>
      <c r="J10" s="50">
        <v>31</v>
      </c>
      <c r="K10" s="50">
        <v>1100827510011</v>
      </c>
      <c r="L10" s="50">
        <v>0</v>
      </c>
      <c r="M10" s="50">
        <v>0</v>
      </c>
      <c r="N10" s="95" t="s">
        <v>1488</v>
      </c>
      <c r="O10" s="50" t="s">
        <v>970</v>
      </c>
      <c r="P10" s="95" t="s">
        <v>970</v>
      </c>
      <c r="Q10" s="95" t="s">
        <v>1039</v>
      </c>
      <c r="R10" s="95">
        <v>45485</v>
      </c>
      <c r="S10" s="98" t="s">
        <v>1510</v>
      </c>
    </row>
    <row r="11" spans="2:19">
      <c r="B11" s="50" t="s">
        <v>924</v>
      </c>
      <c r="C11" s="50">
        <v>9</v>
      </c>
      <c r="D11" s="50" t="s">
        <v>1511</v>
      </c>
      <c r="E11" s="95">
        <v>45485</v>
      </c>
      <c r="F11" s="50">
        <v>1</v>
      </c>
      <c r="G11" s="50" t="s">
        <v>961</v>
      </c>
      <c r="H11" s="50">
        <v>0</v>
      </c>
      <c r="I11" s="50">
        <v>4001900051800820</v>
      </c>
      <c r="J11" s="50"/>
      <c r="K11" s="50">
        <v>1100827510011</v>
      </c>
      <c r="L11" s="50">
        <v>0</v>
      </c>
      <c r="M11" s="50">
        <v>0</v>
      </c>
      <c r="N11" s="95" t="s">
        <v>1488</v>
      </c>
      <c r="O11" s="50">
        <v>0</v>
      </c>
      <c r="P11" s="50">
        <v>0</v>
      </c>
      <c r="Q11" s="50">
        <v>15</v>
      </c>
      <c r="R11" s="95">
        <v>45485</v>
      </c>
      <c r="S11" s="50" t="s">
        <v>1512</v>
      </c>
    </row>
    <row r="12" spans="2:19">
      <c r="B12" s="97" t="s">
        <v>926</v>
      </c>
      <c r="C12" s="50">
        <v>10</v>
      </c>
      <c r="D12" s="50" t="s">
        <v>1513</v>
      </c>
      <c r="E12" s="95">
        <v>45485</v>
      </c>
      <c r="F12" s="50">
        <v>1</v>
      </c>
      <c r="G12" s="50" t="s">
        <v>961</v>
      </c>
      <c r="H12" s="50">
        <v>0</v>
      </c>
      <c r="I12" s="50">
        <v>5492260069819360</v>
      </c>
      <c r="J12" s="184">
        <v>31</v>
      </c>
      <c r="K12" s="50">
        <v>5131606960011</v>
      </c>
      <c r="L12" s="50">
        <v>99</v>
      </c>
      <c r="M12" s="95">
        <v>45488</v>
      </c>
      <c r="N12" s="95" t="s">
        <v>1514</v>
      </c>
      <c r="O12" s="98">
        <v>150000000000</v>
      </c>
      <c r="P12" s="192">
        <v>150000000000</v>
      </c>
      <c r="Q12" s="95" t="s">
        <v>1039</v>
      </c>
      <c r="R12" s="95">
        <v>45485</v>
      </c>
      <c r="S12" s="157" t="s">
        <v>1510</v>
      </c>
    </row>
    <row r="13" spans="2:19">
      <c r="B13" s="50" t="s">
        <v>928</v>
      </c>
      <c r="C13" s="50">
        <v>11</v>
      </c>
      <c r="D13" s="50" t="s">
        <v>1515</v>
      </c>
      <c r="E13" s="95">
        <v>45485</v>
      </c>
      <c r="F13" s="50">
        <v>1</v>
      </c>
      <c r="G13" s="50" t="s">
        <v>961</v>
      </c>
      <c r="H13" s="50">
        <v>0</v>
      </c>
      <c r="I13" s="50">
        <v>5492260069819360</v>
      </c>
      <c r="J13" s="184"/>
      <c r="K13" s="50">
        <v>5131606960011</v>
      </c>
      <c r="L13" s="50">
        <v>99</v>
      </c>
      <c r="M13" s="95">
        <v>20240715</v>
      </c>
      <c r="N13" s="95" t="s">
        <v>1514</v>
      </c>
      <c r="O13" s="50">
        <v>9000</v>
      </c>
      <c r="P13" s="50">
        <v>998</v>
      </c>
      <c r="Q13" s="50">
        <v>5</v>
      </c>
      <c r="R13" s="95">
        <v>45485</v>
      </c>
      <c r="S13" s="50" t="s">
        <v>1516</v>
      </c>
    </row>
    <row r="14" spans="2:19">
      <c r="B14" s="50" t="s">
        <v>930</v>
      </c>
      <c r="C14" s="50">
        <v>12</v>
      </c>
      <c r="D14" s="50" t="s">
        <v>1517</v>
      </c>
      <c r="E14" s="95">
        <v>45485</v>
      </c>
      <c r="F14" s="50">
        <v>1</v>
      </c>
      <c r="G14" s="192">
        <v>1</v>
      </c>
      <c r="H14" s="50">
        <v>0</v>
      </c>
      <c r="I14" s="50">
        <v>0</v>
      </c>
      <c r="J14" s="50">
        <v>0</v>
      </c>
      <c r="K14" s="50">
        <v>0</v>
      </c>
      <c r="L14" s="50">
        <v>0</v>
      </c>
      <c r="M14" s="50">
        <v>0</v>
      </c>
      <c r="N14" s="50">
        <v>0</v>
      </c>
      <c r="O14" s="50">
        <v>0</v>
      </c>
      <c r="P14" s="50">
        <v>0</v>
      </c>
      <c r="Q14" s="50">
        <v>0</v>
      </c>
      <c r="R14" s="50">
        <v>0</v>
      </c>
      <c r="S14" s="50">
        <v>0</v>
      </c>
    </row>
    <row r="15" spans="2:19">
      <c r="B15" s="50" t="s">
        <v>932</v>
      </c>
      <c r="C15" s="50">
        <v>13</v>
      </c>
      <c r="D15" s="50" t="s">
        <v>1518</v>
      </c>
      <c r="E15" s="95">
        <v>45485</v>
      </c>
      <c r="F15" s="50">
        <v>1</v>
      </c>
      <c r="G15" s="192">
        <v>1</v>
      </c>
      <c r="H15" s="50">
        <v>0</v>
      </c>
      <c r="I15" s="50" t="s">
        <v>961</v>
      </c>
      <c r="J15" s="50" t="s">
        <v>961</v>
      </c>
      <c r="K15" s="50" t="s">
        <v>961</v>
      </c>
      <c r="L15" s="50" t="s">
        <v>961</v>
      </c>
      <c r="M15" s="50">
        <v>0</v>
      </c>
      <c r="N15" s="50">
        <v>0</v>
      </c>
      <c r="O15" s="50" t="s">
        <v>961</v>
      </c>
      <c r="P15" s="50" t="s">
        <v>961</v>
      </c>
      <c r="Q15" s="50" t="s">
        <v>961</v>
      </c>
      <c r="R15" s="50" t="s">
        <v>961</v>
      </c>
      <c r="S15" s="50" t="s">
        <v>961</v>
      </c>
    </row>
    <row r="16" spans="2:19">
      <c r="B16" s="50" t="s">
        <v>934</v>
      </c>
      <c r="C16" s="50">
        <v>14</v>
      </c>
      <c r="D16" s="50" t="s">
        <v>1519</v>
      </c>
      <c r="E16" s="95">
        <v>45485</v>
      </c>
      <c r="F16" s="50">
        <v>1</v>
      </c>
      <c r="G16" s="192">
        <v>1</v>
      </c>
      <c r="H16" s="50">
        <v>0</v>
      </c>
      <c r="I16" s="50" t="s">
        <v>961</v>
      </c>
      <c r="J16" s="50">
        <v>0</v>
      </c>
      <c r="K16" s="50">
        <v>0</v>
      </c>
      <c r="L16" s="50" t="s">
        <v>961</v>
      </c>
      <c r="M16" s="50" t="s">
        <v>961</v>
      </c>
      <c r="N16" s="50" t="s">
        <v>961</v>
      </c>
      <c r="O16" s="50" t="s">
        <v>961</v>
      </c>
      <c r="P16" s="50" t="s">
        <v>961</v>
      </c>
      <c r="Q16" s="50">
        <v>0</v>
      </c>
      <c r="R16" s="50" t="s">
        <v>961</v>
      </c>
      <c r="S16" s="50" t="s">
        <v>961</v>
      </c>
    </row>
    <row r="17" spans="2:20">
      <c r="B17" s="50" t="s">
        <v>936</v>
      </c>
      <c r="C17" s="50">
        <v>15</v>
      </c>
      <c r="D17" s="50" t="s">
        <v>1520</v>
      </c>
      <c r="E17" s="95">
        <v>45485</v>
      </c>
      <c r="F17" s="50">
        <v>1</v>
      </c>
      <c r="G17" s="192">
        <v>1</v>
      </c>
      <c r="H17" s="50">
        <v>0</v>
      </c>
      <c r="I17" s="50" t="s">
        <v>961</v>
      </c>
      <c r="J17" s="50" t="s">
        <v>961</v>
      </c>
      <c r="K17" s="50" t="s">
        <v>961</v>
      </c>
      <c r="L17" s="50" t="s">
        <v>961</v>
      </c>
      <c r="M17" s="50" t="s">
        <v>961</v>
      </c>
      <c r="N17" s="50" t="s">
        <v>961</v>
      </c>
      <c r="O17" s="50" t="s">
        <v>961</v>
      </c>
      <c r="P17" s="50" t="s">
        <v>961</v>
      </c>
      <c r="Q17" s="50" t="s">
        <v>961</v>
      </c>
      <c r="R17" s="50" t="s">
        <v>961</v>
      </c>
      <c r="S17" s="50" t="s">
        <v>961</v>
      </c>
    </row>
    <row r="18" spans="2:20">
      <c r="B18" s="50" t="s">
        <v>938</v>
      </c>
      <c r="C18" s="50">
        <v>16</v>
      </c>
      <c r="D18" s="50" t="s">
        <v>1520</v>
      </c>
      <c r="E18" s="95">
        <v>45485</v>
      </c>
      <c r="F18" s="50">
        <v>1</v>
      </c>
      <c r="G18" s="192">
        <v>1</v>
      </c>
      <c r="H18" s="50">
        <v>0</v>
      </c>
      <c r="I18" s="50" t="s">
        <v>961</v>
      </c>
      <c r="J18" s="50" t="s">
        <v>961</v>
      </c>
      <c r="K18" s="50" t="s">
        <v>961</v>
      </c>
      <c r="L18" s="50" t="s">
        <v>961</v>
      </c>
      <c r="M18" s="50" t="s">
        <v>961</v>
      </c>
      <c r="N18" s="50" t="s">
        <v>961</v>
      </c>
      <c r="O18" s="50" t="s">
        <v>961</v>
      </c>
      <c r="P18" s="50" t="s">
        <v>961</v>
      </c>
      <c r="Q18" s="50" t="s">
        <v>961</v>
      </c>
      <c r="R18" s="50" t="s">
        <v>961</v>
      </c>
      <c r="S18" s="50" t="s">
        <v>961</v>
      </c>
    </row>
    <row r="19" spans="2:20">
      <c r="B19" s="50" t="s">
        <v>944</v>
      </c>
      <c r="C19" s="50">
        <v>19</v>
      </c>
      <c r="D19" s="50" t="s">
        <v>1521</v>
      </c>
      <c r="E19" s="95">
        <v>45485</v>
      </c>
      <c r="F19" s="50">
        <v>1</v>
      </c>
      <c r="G19" s="192" cm="1">
        <f t="array" aca="1" ref="G19" ca="1">SUMPRODUCT(--(ISNUMBER((SEARCH(I25:S25,I19:S19)))))/COUNTA(I19:S19)</f>
        <v>0</v>
      </c>
      <c r="H19" s="50" t="s">
        <v>961</v>
      </c>
      <c r="I19" s="50" t="s">
        <v>995</v>
      </c>
      <c r="J19" s="50" t="s">
        <v>995</v>
      </c>
      <c r="K19" s="50" t="s">
        <v>995</v>
      </c>
      <c r="L19" s="50" t="s">
        <v>995</v>
      </c>
      <c r="M19" s="50" t="s">
        <v>995</v>
      </c>
      <c r="N19" s="50" t="s">
        <v>995</v>
      </c>
      <c r="O19" s="50" t="s">
        <v>996</v>
      </c>
      <c r="P19" s="50" t="s">
        <v>996</v>
      </c>
      <c r="Q19" s="50" t="s">
        <v>995</v>
      </c>
      <c r="R19" s="50" t="s">
        <v>995</v>
      </c>
      <c r="S19" s="50" t="s">
        <v>997</v>
      </c>
    </row>
    <row r="20" spans="2:20">
      <c r="B20" s="50" t="s">
        <v>947</v>
      </c>
      <c r="C20" s="50">
        <v>20</v>
      </c>
      <c r="D20" s="50" t="s">
        <v>1522</v>
      </c>
      <c r="E20" s="95">
        <v>45485</v>
      </c>
      <c r="F20" s="50">
        <v>1</v>
      </c>
      <c r="G20" s="192" t="e" cm="1">
        <f t="array" aca="1" ref="G20" ca="1">SUM(IF(I2:S2 = I24:S24, 1, 0))/ COUNTA(I2:S2)</f>
        <v>#NAME?</v>
      </c>
      <c r="H20" s="50" t="s">
        <v>961</v>
      </c>
      <c r="I20" s="50"/>
      <c r="J20" s="50"/>
      <c r="K20" s="50"/>
      <c r="L20" s="50"/>
      <c r="M20" s="50"/>
      <c r="N20" s="50"/>
      <c r="O20" s="50"/>
      <c r="P20" s="50"/>
      <c r="Q20" s="50"/>
      <c r="R20" s="50"/>
      <c r="S20" s="50"/>
    </row>
    <row r="21" spans="2:20">
      <c r="B21" s="50" t="s">
        <v>950</v>
      </c>
      <c r="C21" s="50">
        <v>21</v>
      </c>
      <c r="D21" s="50" t="s">
        <v>1522</v>
      </c>
      <c r="E21" s="95">
        <v>45485</v>
      </c>
      <c r="F21" s="50">
        <v>1</v>
      </c>
      <c r="G21" s="192" t="e" cm="1">
        <f t="array" aca="1" ref="G21" ca="1">SUM(IF(IF(G3:G20="null",1,G3:G20)=1,1,0))/COUNT(IF(G3:G20="null",1,1))</f>
        <v>#NAME?</v>
      </c>
      <c r="H21" s="50" t="s">
        <v>961</v>
      </c>
      <c r="I21" s="50"/>
      <c r="J21" s="50"/>
      <c r="K21" s="50"/>
      <c r="L21" s="50"/>
      <c r="M21" s="50"/>
      <c r="N21" s="50"/>
      <c r="O21" s="50"/>
      <c r="P21" s="50"/>
      <c r="Q21" s="50"/>
      <c r="R21" s="50"/>
      <c r="S21" s="50"/>
    </row>
    <row r="22" spans="2:20">
      <c r="B22" s="50"/>
      <c r="C22" s="50"/>
      <c r="D22" s="50"/>
      <c r="E22" s="95"/>
      <c r="F22" s="50"/>
      <c r="G22" s="50"/>
      <c r="H22" s="50"/>
      <c r="I22" s="50"/>
      <c r="J22" s="50"/>
      <c r="K22" s="50"/>
      <c r="L22" s="50"/>
      <c r="M22" s="50"/>
      <c r="N22" s="50"/>
      <c r="O22" s="50"/>
      <c r="P22" s="50"/>
      <c r="Q22" s="50"/>
      <c r="R22" s="50"/>
      <c r="S22" s="50"/>
    </row>
    <row r="23" spans="2:20">
      <c r="B23" s="130" t="s">
        <v>1067</v>
      </c>
    </row>
    <row r="24" spans="2:20">
      <c r="B24" s="128" t="s">
        <v>953</v>
      </c>
      <c r="C24" s="129" t="s">
        <v>954</v>
      </c>
      <c r="D24" s="129" t="s">
        <v>955</v>
      </c>
      <c r="E24" s="129" t="s">
        <v>956</v>
      </c>
      <c r="F24" s="129" t="s">
        <v>957</v>
      </c>
      <c r="G24" s="129" t="s">
        <v>958</v>
      </c>
      <c r="H24" s="129" t="s">
        <v>959</v>
      </c>
      <c r="I24" s="129" t="e" cm="1">
        <f t="array" aca="1" ref="I24:T24" ca="1">TRANSPOSE(_xlfn.SORTBY(_xlfn._xlws.FILTER(Table3[NOME FÍSICO CAMPO],Table3[NOME FÍSICO TABELA]="credit_card"), _xlfn._xlws.FILTER(Table3[ORDEM], Table3[NOME FÍSICO TABELA]="credit_card"), 1))</f>
        <v>#NAME?</v>
      </c>
      <c r="J24" s="129" t="e">
        <f ca="1"/>
        <v>#NAME?</v>
      </c>
      <c r="K24" s="129" t="e">
        <f ca="1"/>
        <v>#NAME?</v>
      </c>
      <c r="L24" s="129" t="e">
        <f ca="1"/>
        <v>#NAME?</v>
      </c>
      <c r="M24" s="129" t="e">
        <f ca="1"/>
        <v>#NAME?</v>
      </c>
      <c r="N24" s="129" t="e">
        <f ca="1"/>
        <v>#NAME?</v>
      </c>
      <c r="O24" s="129" t="e">
        <f ca="1"/>
        <v>#NAME?</v>
      </c>
      <c r="P24" s="129" t="e">
        <f ca="1"/>
        <v>#NAME?</v>
      </c>
      <c r="Q24" s="129" t="e">
        <f ca="1"/>
        <v>#NAME?</v>
      </c>
      <c r="R24" s="129" t="e">
        <f ca="1"/>
        <v>#NAME?</v>
      </c>
      <c r="S24" s="129" t="e">
        <f ca="1"/>
        <v>#NAME?</v>
      </c>
      <c r="T24" t="e">
        <f ca="1"/>
        <v>#NAME?</v>
      </c>
    </row>
    <row r="25" spans="2:20">
      <c r="B25" s="107" t="s">
        <v>998</v>
      </c>
      <c r="C25" s="110">
        <v>21</v>
      </c>
      <c r="D25" s="104" t="s">
        <v>999</v>
      </c>
      <c r="E25" s="103" t="s">
        <v>1000</v>
      </c>
      <c r="F25" s="103" t="s">
        <v>206</v>
      </c>
      <c r="G25" s="103" t="s">
        <v>206</v>
      </c>
      <c r="H25" s="103" t="s">
        <v>206</v>
      </c>
      <c r="I25" s="103" t="e" cm="1">
        <f t="array" aca="1" ref="I25:T26" ca="1">TRANSPOSE(_xlfn.SORTBY(_xlfn._xlws.FILTER(IF(Table3[FORMATO]:Table3[COMP_ CAMPO]&lt;&gt;"",Table3[FORMATO]:Table3[COMP_ CAMPO],9999999),Table3[NOME FÍSICO TABELA]="credit_card"), _xlfn._xlws.FILTER(Table3[ORDEM], Table3[NOME FÍSICO TABELA]="credit_card"), 1))</f>
        <v>#NAME?</v>
      </c>
      <c r="J25" s="103" t="e">
        <f ca="1"/>
        <v>#NAME?</v>
      </c>
      <c r="K25" s="103" t="e">
        <f ca="1"/>
        <v>#NAME?</v>
      </c>
      <c r="L25" s="103" t="e">
        <f ca="1"/>
        <v>#NAME?</v>
      </c>
      <c r="M25" s="103" t="e">
        <f ca="1"/>
        <v>#NAME?</v>
      </c>
      <c r="N25" s="103" t="e">
        <f ca="1"/>
        <v>#NAME?</v>
      </c>
      <c r="O25" s="103" t="e">
        <f ca="1"/>
        <v>#NAME?</v>
      </c>
      <c r="P25" s="103" t="e">
        <f ca="1"/>
        <v>#NAME?</v>
      </c>
      <c r="Q25" s="103" t="e">
        <f ca="1"/>
        <v>#NAME?</v>
      </c>
      <c r="R25" s="103" t="e">
        <f ca="1"/>
        <v>#NAME?</v>
      </c>
      <c r="S25" s="103" t="e">
        <f ca="1"/>
        <v>#NAME?</v>
      </c>
      <c r="T25" t="e">
        <f ca="1"/>
        <v>#NAME?</v>
      </c>
    </row>
    <row r="26" spans="2:20">
      <c r="B26" s="107" t="s">
        <v>1001</v>
      </c>
      <c r="C26" s="110">
        <v>7</v>
      </c>
      <c r="D26" s="104" t="s">
        <v>999</v>
      </c>
      <c r="E26" s="103" t="s">
        <v>1000</v>
      </c>
      <c r="F26" s="105" t="s">
        <v>206</v>
      </c>
      <c r="G26" s="105" t="s">
        <v>206</v>
      </c>
      <c r="H26" s="105" t="s">
        <v>206</v>
      </c>
      <c r="I26" s="151" t="e">
        <f ca="1"/>
        <v>#NAME?</v>
      </c>
      <c r="J26" s="151" t="e">
        <f ca="1"/>
        <v>#NAME?</v>
      </c>
      <c r="K26" s="151" t="e">
        <f ca="1"/>
        <v>#NAME?</v>
      </c>
      <c r="L26" s="151" t="e">
        <f ca="1"/>
        <v>#NAME?</v>
      </c>
      <c r="M26" s="151" t="e">
        <f ca="1"/>
        <v>#NAME?</v>
      </c>
      <c r="N26" s="151" t="e">
        <f ca="1"/>
        <v>#NAME?</v>
      </c>
      <c r="O26" s="151" t="e">
        <f ca="1"/>
        <v>#NAME?</v>
      </c>
      <c r="P26" s="151" t="e">
        <f ca="1"/>
        <v>#NAME?</v>
      </c>
      <c r="Q26" s="151" t="e">
        <f ca="1"/>
        <v>#NAME?</v>
      </c>
      <c r="R26" s="151" t="e">
        <f ca="1"/>
        <v>#NAME?</v>
      </c>
      <c r="S26" s="151" t="e">
        <f ca="1"/>
        <v>#NAME?</v>
      </c>
      <c r="T26" t="e">
        <f ca="1"/>
        <v>#NAME?</v>
      </c>
    </row>
    <row r="28" spans="2:20">
      <c r="B28" s="140" t="s">
        <v>1002</v>
      </c>
    </row>
    <row r="29" spans="2:20">
      <c r="B29" s="134" t="s">
        <v>1003</v>
      </c>
      <c r="C29" s="134" t="s">
        <v>1004</v>
      </c>
      <c r="D29" s="135" t="s">
        <v>1005</v>
      </c>
      <c r="E29" s="134" t="s">
        <v>1006</v>
      </c>
      <c r="F29" s="134" t="s">
        <v>1007</v>
      </c>
    </row>
    <row r="30" spans="2:20">
      <c r="B30" s="118"/>
      <c r="C30" s="117"/>
      <c r="D30" s="123"/>
      <c r="E30" s="146"/>
      <c r="F30" s="136"/>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X30"/>
  <sheetViews>
    <sheetView showGridLines="0" topLeftCell="A24" workbookViewId="0">
      <selection activeCell="A14" sqref="A14"/>
    </sheetView>
  </sheetViews>
  <sheetFormatPr defaultRowHeight="14.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s>
  <sheetData>
    <row r="1" spans="2:23" ht="26.25" customHeight="1"/>
    <row r="2" spans="2:23">
      <c r="B2" s="76" t="s">
        <v>953</v>
      </c>
      <c r="C2" s="76" t="s">
        <v>954</v>
      </c>
      <c r="D2" s="76" t="s">
        <v>955</v>
      </c>
      <c r="E2" s="76" t="s">
        <v>956</v>
      </c>
      <c r="F2" s="76" t="s">
        <v>957</v>
      </c>
      <c r="G2" s="76" t="s">
        <v>958</v>
      </c>
      <c r="H2" s="76" t="s">
        <v>959</v>
      </c>
      <c r="I2" s="129" t="s">
        <v>102</v>
      </c>
      <c r="J2" s="129" t="s">
        <v>112</v>
      </c>
      <c r="K2" s="129" t="s">
        <v>116</v>
      </c>
      <c r="L2" s="129" t="s">
        <v>121</v>
      </c>
      <c r="M2" s="129" t="s">
        <v>127</v>
      </c>
      <c r="N2" s="129" t="s">
        <v>132</v>
      </c>
      <c r="O2" s="129" t="s">
        <v>135</v>
      </c>
      <c r="P2" s="129" t="s">
        <v>138</v>
      </c>
      <c r="Q2" s="129" t="s">
        <v>144</v>
      </c>
      <c r="R2" s="129" t="s">
        <v>149</v>
      </c>
      <c r="S2" t="s">
        <v>190</v>
      </c>
      <c r="T2" t="s">
        <v>196</v>
      </c>
      <c r="U2" s="76" t="s">
        <v>202</v>
      </c>
      <c r="V2" s="76" t="s">
        <v>208</v>
      </c>
      <c r="W2" s="220" t="s">
        <v>213</v>
      </c>
    </row>
    <row r="3" spans="2:23">
      <c r="B3" s="50" t="s">
        <v>907</v>
      </c>
      <c r="C3" s="50">
        <v>1</v>
      </c>
      <c r="D3" s="50" t="s">
        <v>1523</v>
      </c>
      <c r="E3" s="95">
        <v>45485</v>
      </c>
      <c r="F3" s="50">
        <v>2</v>
      </c>
      <c r="G3" s="208">
        <v>1</v>
      </c>
      <c r="H3" s="224">
        <v>2097675</v>
      </c>
      <c r="I3" s="50" t="s">
        <v>961</v>
      </c>
      <c r="J3" s="50" t="s">
        <v>961</v>
      </c>
      <c r="K3" s="50" t="s">
        <v>961</v>
      </c>
      <c r="L3" s="50" t="s">
        <v>961</v>
      </c>
      <c r="M3" s="50" t="s">
        <v>961</v>
      </c>
      <c r="N3" s="50" t="s">
        <v>961</v>
      </c>
      <c r="O3" s="50" t="s">
        <v>961</v>
      </c>
      <c r="P3" s="50" t="s">
        <v>961</v>
      </c>
      <c r="Q3" s="50" t="s">
        <v>961</v>
      </c>
      <c r="R3" s="50" t="s">
        <v>961</v>
      </c>
      <c r="S3" s="50" t="s">
        <v>961</v>
      </c>
      <c r="T3" s="50" t="s">
        <v>961</v>
      </c>
      <c r="U3" s="50" t="s">
        <v>961</v>
      </c>
      <c r="V3" s="50" t="s">
        <v>961</v>
      </c>
      <c r="W3" s="50" t="s">
        <v>961</v>
      </c>
    </row>
    <row r="4" spans="2:23">
      <c r="B4" s="50" t="s">
        <v>909</v>
      </c>
      <c r="C4" s="50">
        <v>2</v>
      </c>
      <c r="D4" s="50" t="s">
        <v>1524</v>
      </c>
      <c r="E4" s="95">
        <v>45485</v>
      </c>
      <c r="F4" s="50">
        <v>2</v>
      </c>
      <c r="G4" s="208">
        <v>1</v>
      </c>
      <c r="H4" s="184">
        <v>0</v>
      </c>
      <c r="I4" s="50" t="s">
        <v>961</v>
      </c>
      <c r="J4" s="50" t="s">
        <v>961</v>
      </c>
      <c r="K4" s="50" t="s">
        <v>961</v>
      </c>
      <c r="L4" s="50" t="s">
        <v>961</v>
      </c>
      <c r="M4" s="50" t="s">
        <v>961</v>
      </c>
      <c r="N4" s="50" t="s">
        <v>961</v>
      </c>
      <c r="O4" s="50" t="s">
        <v>961</v>
      </c>
      <c r="P4" s="50" t="s">
        <v>961</v>
      </c>
      <c r="Q4" s="50" t="s">
        <v>961</v>
      </c>
      <c r="R4" s="50" t="s">
        <v>961</v>
      </c>
      <c r="S4" s="50" t="s">
        <v>961</v>
      </c>
      <c r="T4" s="50" t="s">
        <v>961</v>
      </c>
      <c r="U4" s="50" t="s">
        <v>961</v>
      </c>
      <c r="V4" s="50" t="s">
        <v>961</v>
      </c>
      <c r="W4" s="50" t="s">
        <v>961</v>
      </c>
    </row>
    <row r="5" spans="2:23">
      <c r="B5" s="50" t="s">
        <v>911</v>
      </c>
      <c r="C5" s="50">
        <v>3</v>
      </c>
      <c r="D5" s="50" t="s">
        <v>1525</v>
      </c>
      <c r="E5" s="95">
        <v>45485</v>
      </c>
      <c r="F5" s="50">
        <v>2</v>
      </c>
      <c r="G5" s="208">
        <v>1</v>
      </c>
      <c r="H5" s="184">
        <v>0</v>
      </c>
      <c r="I5" s="50">
        <v>0</v>
      </c>
      <c r="J5" s="50">
        <v>0</v>
      </c>
      <c r="K5" s="50" t="s">
        <v>961</v>
      </c>
      <c r="L5" s="50" t="s">
        <v>961</v>
      </c>
      <c r="M5" s="50" t="s">
        <v>961</v>
      </c>
      <c r="N5" s="50" t="s">
        <v>961</v>
      </c>
      <c r="O5" s="50" t="s">
        <v>961</v>
      </c>
      <c r="P5" s="50" t="s">
        <v>961</v>
      </c>
      <c r="Q5" s="50" t="s">
        <v>961</v>
      </c>
      <c r="R5" s="50" t="s">
        <v>961</v>
      </c>
      <c r="S5" s="50" t="s">
        <v>961</v>
      </c>
      <c r="T5" s="50" t="s">
        <v>961</v>
      </c>
      <c r="U5" s="50" t="s">
        <v>961</v>
      </c>
      <c r="V5" s="50">
        <v>0</v>
      </c>
      <c r="W5" s="50" t="s">
        <v>961</v>
      </c>
    </row>
    <row r="6" spans="2:23">
      <c r="B6" s="97" t="s">
        <v>913</v>
      </c>
      <c r="C6" s="50">
        <v>4</v>
      </c>
      <c r="D6" s="50" t="s">
        <v>964</v>
      </c>
      <c r="E6" s="95" t="s">
        <v>961</v>
      </c>
      <c r="F6" s="50">
        <v>2</v>
      </c>
      <c r="G6" s="208" t="s">
        <v>961</v>
      </c>
      <c r="H6" s="50" t="s">
        <v>961</v>
      </c>
      <c r="I6" s="50" t="s">
        <v>961</v>
      </c>
      <c r="J6" s="50" t="s">
        <v>961</v>
      </c>
      <c r="K6" s="50" t="s">
        <v>961</v>
      </c>
      <c r="L6" s="50" t="s">
        <v>961</v>
      </c>
      <c r="M6" s="50" t="s">
        <v>961</v>
      </c>
      <c r="N6" s="50" t="s">
        <v>961</v>
      </c>
      <c r="O6" s="50" t="s">
        <v>961</v>
      </c>
      <c r="P6" s="50" t="s">
        <v>961</v>
      </c>
      <c r="Q6" s="50" t="s">
        <v>961</v>
      </c>
      <c r="R6" s="50" t="s">
        <v>961</v>
      </c>
      <c r="S6" s="50" t="s">
        <v>961</v>
      </c>
      <c r="T6" s="50" t="s">
        <v>961</v>
      </c>
      <c r="U6" s="50" t="s">
        <v>961</v>
      </c>
      <c r="V6" s="50" t="s">
        <v>961</v>
      </c>
      <c r="W6" s="50" t="s">
        <v>961</v>
      </c>
    </row>
    <row r="7" spans="2:23">
      <c r="B7" s="50" t="s">
        <v>915</v>
      </c>
      <c r="C7" s="50">
        <v>5</v>
      </c>
      <c r="D7" s="50" t="s">
        <v>964</v>
      </c>
      <c r="E7" s="95" t="s">
        <v>961</v>
      </c>
      <c r="F7" s="50">
        <v>2</v>
      </c>
      <c r="G7" s="208" t="s">
        <v>961</v>
      </c>
      <c r="H7" s="50" t="s">
        <v>961</v>
      </c>
      <c r="I7" s="50" t="s">
        <v>961</v>
      </c>
      <c r="J7" s="50" t="s">
        <v>961</v>
      </c>
      <c r="K7" s="50" t="s">
        <v>961</v>
      </c>
      <c r="L7" s="50" t="s">
        <v>961</v>
      </c>
      <c r="M7" s="50" t="s">
        <v>961</v>
      </c>
      <c r="N7" s="50" t="s">
        <v>961</v>
      </c>
      <c r="O7" s="50" t="s">
        <v>961</v>
      </c>
      <c r="P7" s="50" t="s">
        <v>961</v>
      </c>
      <c r="Q7" s="50" t="s">
        <v>961</v>
      </c>
      <c r="R7" s="50" t="s">
        <v>961</v>
      </c>
      <c r="S7" s="50" t="s">
        <v>961</v>
      </c>
      <c r="T7" s="50" t="s">
        <v>961</v>
      </c>
      <c r="U7" s="50" t="s">
        <v>961</v>
      </c>
      <c r="V7" s="50" t="s">
        <v>961</v>
      </c>
      <c r="W7" s="50" t="s">
        <v>961</v>
      </c>
    </row>
    <row r="8" spans="2:23">
      <c r="B8" s="97" t="s">
        <v>916</v>
      </c>
      <c r="C8" s="50">
        <v>6</v>
      </c>
      <c r="D8" s="50" t="s">
        <v>1526</v>
      </c>
      <c r="E8" s="95">
        <v>45485</v>
      </c>
      <c r="F8" s="50">
        <v>2</v>
      </c>
      <c r="G8" s="208" cm="1">
        <f t="array" ref="G8">SUMPRODUCT(--(I8:V8&gt;0))/COUNTA(I8:V8)</f>
        <v>1</v>
      </c>
      <c r="H8" s="184">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919</v>
      </c>
      <c r="C9" s="50">
        <v>7</v>
      </c>
      <c r="D9" s="50" t="s">
        <v>1527</v>
      </c>
      <c r="E9" s="95">
        <v>45485</v>
      </c>
      <c r="F9" s="50">
        <v>2</v>
      </c>
      <c r="G9" s="208" t="e" cm="1">
        <f t="array" aca="1" ref="G9" ca="1">SUMPRODUCT(--(I9:W9&lt;=I26:W26))/COUNTA(I26:W26)</f>
        <v>#NAME?</v>
      </c>
      <c r="H9" s="184">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922</v>
      </c>
      <c r="C10" s="50">
        <v>8</v>
      </c>
      <c r="D10" s="50" t="s">
        <v>1528</v>
      </c>
      <c r="E10" s="95">
        <v>45485</v>
      </c>
      <c r="F10" s="50">
        <v>2</v>
      </c>
      <c r="G10" s="208" t="s">
        <v>961</v>
      </c>
      <c r="H10" s="184">
        <v>0</v>
      </c>
      <c r="I10" s="50">
        <v>31</v>
      </c>
      <c r="J10" s="50">
        <v>1100750280010</v>
      </c>
      <c r="K10" s="50" t="s">
        <v>1039</v>
      </c>
      <c r="L10" s="50">
        <v>10</v>
      </c>
      <c r="M10" s="50">
        <v>14</v>
      </c>
      <c r="N10" s="95">
        <v>31</v>
      </c>
      <c r="O10" s="50">
        <v>20113001</v>
      </c>
      <c r="P10" s="95">
        <v>33879</v>
      </c>
      <c r="Q10" s="95">
        <v>2958465</v>
      </c>
      <c r="R10" s="95">
        <v>978</v>
      </c>
      <c r="S10" s="50" t="s">
        <v>1039</v>
      </c>
      <c r="T10" s="50" t="s">
        <v>1039</v>
      </c>
      <c r="U10" s="95" t="s">
        <v>1092</v>
      </c>
      <c r="V10" s="95">
        <v>45485</v>
      </c>
      <c r="W10" s="50" t="s">
        <v>1529</v>
      </c>
    </row>
    <row r="11" spans="2:23">
      <c r="B11" s="50" t="s">
        <v>924</v>
      </c>
      <c r="C11" s="50">
        <v>9</v>
      </c>
      <c r="D11" s="50" t="s">
        <v>1530</v>
      </c>
      <c r="E11" s="95">
        <v>45485</v>
      </c>
      <c r="F11" s="50">
        <v>2</v>
      </c>
      <c r="G11" s="208" t="s">
        <v>961</v>
      </c>
      <c r="H11" s="184">
        <v>0</v>
      </c>
      <c r="I11" s="50">
        <v>31</v>
      </c>
      <c r="J11" s="50">
        <v>1100750280010</v>
      </c>
      <c r="K11" s="50"/>
      <c r="L11" s="50">
        <v>10</v>
      </c>
      <c r="M11" s="50">
        <v>14</v>
      </c>
      <c r="N11" s="95">
        <v>31</v>
      </c>
      <c r="O11" s="50">
        <v>20113001</v>
      </c>
      <c r="P11" s="95">
        <v>33879</v>
      </c>
      <c r="Q11" s="95">
        <v>2958465</v>
      </c>
      <c r="R11" s="95">
        <v>978</v>
      </c>
      <c r="S11" s="50">
        <v>0</v>
      </c>
      <c r="T11" s="50" t="s">
        <v>1531</v>
      </c>
      <c r="U11" s="95" t="s">
        <v>1092</v>
      </c>
      <c r="V11" s="95">
        <v>45485</v>
      </c>
      <c r="W11" s="50" t="s">
        <v>1532</v>
      </c>
    </row>
    <row r="12" spans="2:23">
      <c r="B12" s="97" t="s">
        <v>926</v>
      </c>
      <c r="C12" s="50">
        <v>10</v>
      </c>
      <c r="D12" s="50" t="s">
        <v>1533</v>
      </c>
      <c r="E12" s="95">
        <v>45485</v>
      </c>
      <c r="F12" s="50">
        <v>2</v>
      </c>
      <c r="G12" s="208" t="s">
        <v>961</v>
      </c>
      <c r="H12" s="184">
        <v>0</v>
      </c>
      <c r="I12" s="50">
        <v>31</v>
      </c>
      <c r="J12" s="184">
        <v>5131606970010</v>
      </c>
      <c r="K12" s="50" t="s">
        <v>1039</v>
      </c>
      <c r="L12" s="50">
        <v>10</v>
      </c>
      <c r="M12" s="95" t="s">
        <v>1534</v>
      </c>
      <c r="N12" s="95">
        <v>31</v>
      </c>
      <c r="O12" s="98">
        <v>239702322521020</v>
      </c>
      <c r="P12" s="95">
        <v>45488</v>
      </c>
      <c r="Q12" s="95">
        <v>2958465</v>
      </c>
      <c r="R12" s="95">
        <v>978</v>
      </c>
      <c r="S12" s="50" t="s">
        <v>1039</v>
      </c>
      <c r="T12" s="50" t="s">
        <v>1039</v>
      </c>
      <c r="U12" s="95" t="s">
        <v>1092</v>
      </c>
      <c r="V12" s="95">
        <v>45485</v>
      </c>
      <c r="W12" s="50" t="s">
        <v>1529</v>
      </c>
    </row>
    <row r="13" spans="2:23">
      <c r="B13" s="50" t="s">
        <v>928</v>
      </c>
      <c r="C13" s="50">
        <v>11</v>
      </c>
      <c r="D13" s="50" t="s">
        <v>1535</v>
      </c>
      <c r="E13" s="95">
        <v>45485</v>
      </c>
      <c r="F13" s="50">
        <v>2</v>
      </c>
      <c r="G13" s="208" t="s">
        <v>961</v>
      </c>
      <c r="H13" s="184">
        <v>0</v>
      </c>
      <c r="I13" s="50">
        <v>31</v>
      </c>
      <c r="J13" s="184">
        <v>5131606970010</v>
      </c>
      <c r="K13" s="50"/>
      <c r="L13" s="50">
        <v>10</v>
      </c>
      <c r="M13" s="95" t="s">
        <v>1534</v>
      </c>
      <c r="N13" s="95">
        <v>31</v>
      </c>
      <c r="O13" s="50">
        <v>239702322521020</v>
      </c>
      <c r="P13" s="95">
        <v>45488</v>
      </c>
      <c r="Q13" s="95">
        <v>2958465</v>
      </c>
      <c r="R13" s="95">
        <v>978</v>
      </c>
      <c r="S13" s="50">
        <v>3</v>
      </c>
      <c r="T13" s="50" t="s">
        <v>1536</v>
      </c>
      <c r="U13" s="95" t="s">
        <v>1092</v>
      </c>
      <c r="V13" s="95">
        <v>45485</v>
      </c>
      <c r="W13" s="50" t="s">
        <v>1537</v>
      </c>
    </row>
    <row r="14" spans="2:23">
      <c r="B14" s="50" t="s">
        <v>930</v>
      </c>
      <c r="C14" s="50">
        <v>12</v>
      </c>
      <c r="D14" s="50" t="s">
        <v>1538</v>
      </c>
      <c r="E14" s="95">
        <v>45485</v>
      </c>
      <c r="F14" s="50">
        <v>2</v>
      </c>
      <c r="G14" s="208">
        <v>0.9375</v>
      </c>
      <c r="H14" s="184">
        <v>0</v>
      </c>
      <c r="I14" s="50">
        <v>0</v>
      </c>
      <c r="J14" s="50">
        <v>0</v>
      </c>
      <c r="K14" s="50">
        <v>0</v>
      </c>
      <c r="L14" s="50">
        <v>0</v>
      </c>
      <c r="M14" s="50">
        <v>0</v>
      </c>
      <c r="N14" s="50">
        <v>0</v>
      </c>
      <c r="O14" s="50">
        <v>0</v>
      </c>
      <c r="P14" s="50">
        <v>0</v>
      </c>
      <c r="Q14" s="50">
        <v>0</v>
      </c>
      <c r="R14" s="50">
        <v>0</v>
      </c>
      <c r="S14" s="50">
        <v>0</v>
      </c>
      <c r="T14" s="50">
        <v>2097008</v>
      </c>
      <c r="U14" s="50">
        <v>0</v>
      </c>
      <c r="V14" s="95">
        <v>0</v>
      </c>
      <c r="W14" s="50">
        <v>0</v>
      </c>
    </row>
    <row r="15" spans="2:23">
      <c r="B15" s="50" t="s">
        <v>932</v>
      </c>
      <c r="C15" s="50">
        <v>13</v>
      </c>
      <c r="D15" s="50" t="s">
        <v>1539</v>
      </c>
      <c r="E15" s="95">
        <v>45485</v>
      </c>
      <c r="F15" s="50">
        <v>2</v>
      </c>
      <c r="G15" s="208">
        <v>1</v>
      </c>
      <c r="H15" s="184">
        <v>0</v>
      </c>
      <c r="I15" s="50" t="s">
        <v>961</v>
      </c>
      <c r="J15" s="50" t="s">
        <v>961</v>
      </c>
      <c r="K15" s="50" t="s">
        <v>961</v>
      </c>
      <c r="L15" s="50" t="s">
        <v>961</v>
      </c>
      <c r="M15" s="50" t="s">
        <v>961</v>
      </c>
      <c r="N15" s="50" t="s">
        <v>961</v>
      </c>
      <c r="O15" s="50" t="s">
        <v>961</v>
      </c>
      <c r="P15" s="50">
        <v>0</v>
      </c>
      <c r="Q15" s="50">
        <v>0</v>
      </c>
      <c r="R15" s="50" t="s">
        <v>961</v>
      </c>
      <c r="S15" s="50" t="s">
        <v>961</v>
      </c>
      <c r="T15" s="50" t="s">
        <v>961</v>
      </c>
      <c r="U15" s="50" t="s">
        <v>961</v>
      </c>
      <c r="V15" s="50" t="s">
        <v>961</v>
      </c>
      <c r="W15" s="50" t="s">
        <v>961</v>
      </c>
    </row>
    <row r="16" spans="2:23">
      <c r="B16" s="50" t="s">
        <v>934</v>
      </c>
      <c r="C16" s="50">
        <v>14</v>
      </c>
      <c r="D16" s="50" t="s">
        <v>1540</v>
      </c>
      <c r="E16" s="95">
        <v>45485</v>
      </c>
      <c r="F16" s="50">
        <v>2</v>
      </c>
      <c r="G16" s="208">
        <v>1</v>
      </c>
      <c r="H16" s="184">
        <v>0</v>
      </c>
      <c r="I16" s="50">
        <v>0</v>
      </c>
      <c r="J16" s="50">
        <v>0</v>
      </c>
      <c r="K16" s="50">
        <v>0</v>
      </c>
      <c r="L16" s="50">
        <v>0</v>
      </c>
      <c r="M16" s="50">
        <v>0</v>
      </c>
      <c r="N16" s="50">
        <v>0</v>
      </c>
      <c r="O16" s="50">
        <v>0</v>
      </c>
      <c r="P16" s="50" t="s">
        <v>961</v>
      </c>
      <c r="Q16" s="50" t="s">
        <v>961</v>
      </c>
      <c r="R16" s="50">
        <v>0</v>
      </c>
      <c r="S16" s="50">
        <v>0</v>
      </c>
      <c r="T16" s="50">
        <v>0</v>
      </c>
      <c r="U16" s="50">
        <v>0</v>
      </c>
      <c r="V16" s="50" t="s">
        <v>961</v>
      </c>
      <c r="W16" s="50" t="s">
        <v>961</v>
      </c>
    </row>
    <row r="17" spans="2:24">
      <c r="B17" s="50" t="s">
        <v>936</v>
      </c>
      <c r="C17" s="50">
        <v>15</v>
      </c>
      <c r="D17" s="50" t="s">
        <v>1541</v>
      </c>
      <c r="E17" s="95">
        <v>45485</v>
      </c>
      <c r="F17" s="50">
        <v>2</v>
      </c>
      <c r="G17" s="208">
        <v>1</v>
      </c>
      <c r="H17" s="184">
        <v>0</v>
      </c>
      <c r="I17" s="50" t="s">
        <v>961</v>
      </c>
      <c r="J17" s="50" t="s">
        <v>961</v>
      </c>
      <c r="K17" s="50" t="s">
        <v>961</v>
      </c>
      <c r="L17" s="50" t="s">
        <v>961</v>
      </c>
      <c r="M17" s="50" t="s">
        <v>961</v>
      </c>
      <c r="N17" s="50" t="s">
        <v>961</v>
      </c>
      <c r="O17" s="50" t="s">
        <v>961</v>
      </c>
      <c r="P17" s="50" t="s">
        <v>961</v>
      </c>
      <c r="Q17" s="50" t="s">
        <v>961</v>
      </c>
      <c r="R17" s="50" t="s">
        <v>961</v>
      </c>
      <c r="S17" s="50" t="s">
        <v>961</v>
      </c>
      <c r="T17" s="50" t="s">
        <v>961</v>
      </c>
      <c r="U17" s="50" t="s">
        <v>961</v>
      </c>
      <c r="V17" s="50" t="s">
        <v>961</v>
      </c>
      <c r="W17" s="50" t="s">
        <v>961</v>
      </c>
    </row>
    <row r="18" spans="2:24">
      <c r="B18" s="50" t="s">
        <v>938</v>
      </c>
      <c r="C18" s="50">
        <v>16</v>
      </c>
      <c r="D18" s="50" t="s">
        <v>1541</v>
      </c>
      <c r="E18" s="95">
        <v>45485</v>
      </c>
      <c r="F18" s="50">
        <v>2</v>
      </c>
      <c r="G18" s="208">
        <v>1</v>
      </c>
      <c r="H18" s="184">
        <v>0</v>
      </c>
      <c r="I18" s="50" t="s">
        <v>961</v>
      </c>
      <c r="J18" s="50" t="s">
        <v>961</v>
      </c>
      <c r="K18" s="50" t="s">
        <v>961</v>
      </c>
      <c r="L18" s="50" t="s">
        <v>961</v>
      </c>
      <c r="M18" s="50" t="s">
        <v>961</v>
      </c>
      <c r="N18" s="50" t="s">
        <v>961</v>
      </c>
      <c r="O18" s="50" t="s">
        <v>961</v>
      </c>
      <c r="P18" s="50" t="s">
        <v>961</v>
      </c>
      <c r="Q18" s="50" t="s">
        <v>961</v>
      </c>
      <c r="R18" s="50" t="s">
        <v>961</v>
      </c>
      <c r="S18" s="50" t="s">
        <v>961</v>
      </c>
      <c r="T18" s="50" t="s">
        <v>961</v>
      </c>
      <c r="U18" s="50" t="s">
        <v>961</v>
      </c>
      <c r="V18" s="50" t="s">
        <v>961</v>
      </c>
      <c r="W18" s="50" t="s">
        <v>961</v>
      </c>
    </row>
    <row r="19" spans="2:24">
      <c r="B19" s="50" t="s">
        <v>944</v>
      </c>
      <c r="C19" s="50">
        <v>19</v>
      </c>
      <c r="D19" s="50" t="s">
        <v>1542</v>
      </c>
      <c r="E19" s="95">
        <v>45485</v>
      </c>
      <c r="F19" s="50">
        <v>2</v>
      </c>
      <c r="G19" s="208" cm="1">
        <f t="array" aca="1" ref="G19" ca="1">SUMPRODUCT(--(ISNUMBER((SEARCH(I25:W25,I19:V19)))))/COUNTA(I19:V19)</f>
        <v>0</v>
      </c>
      <c r="H19" s="50" t="s">
        <v>961</v>
      </c>
      <c r="I19" s="50" t="s">
        <v>995</v>
      </c>
      <c r="J19" s="50" t="s">
        <v>995</v>
      </c>
      <c r="K19" s="50" t="s">
        <v>995</v>
      </c>
      <c r="L19" s="50" t="s">
        <v>995</v>
      </c>
      <c r="M19" s="50" t="s">
        <v>995</v>
      </c>
      <c r="N19" s="50" t="s">
        <v>995</v>
      </c>
      <c r="O19" s="50" t="s">
        <v>995</v>
      </c>
      <c r="P19" s="50" t="s">
        <v>995</v>
      </c>
      <c r="Q19" s="50" t="s">
        <v>995</v>
      </c>
      <c r="R19" s="50" t="s">
        <v>995</v>
      </c>
      <c r="S19" s="50" t="s">
        <v>995</v>
      </c>
      <c r="T19" s="50" t="s">
        <v>995</v>
      </c>
      <c r="U19" s="50" t="s">
        <v>995</v>
      </c>
      <c r="V19" s="50" t="s">
        <v>995</v>
      </c>
      <c r="W19" s="50" t="s">
        <v>997</v>
      </c>
    </row>
    <row r="20" spans="2:24">
      <c r="B20" s="50" t="s">
        <v>947</v>
      </c>
      <c r="C20" s="50">
        <v>20</v>
      </c>
      <c r="D20" s="50" t="s">
        <v>1542</v>
      </c>
      <c r="E20" s="95">
        <v>45485</v>
      </c>
      <c r="F20" s="50">
        <v>2</v>
      </c>
      <c r="G20" s="208" t="e" cm="1">
        <f t="array" aca="1" ref="G20" ca="1">SUM(IF(I2:W2 = I24:W24, 1, 0))/ COUNTA(I2:W2)</f>
        <v>#NAME?</v>
      </c>
      <c r="H20" s="50" t="s">
        <v>961</v>
      </c>
      <c r="I20" s="50" t="s">
        <v>995</v>
      </c>
      <c r="J20" s="50" t="s">
        <v>995</v>
      </c>
      <c r="K20" s="50" t="s">
        <v>995</v>
      </c>
      <c r="L20" s="50" t="s">
        <v>995</v>
      </c>
      <c r="M20" s="50" t="s">
        <v>995</v>
      </c>
      <c r="N20" s="50" t="s">
        <v>995</v>
      </c>
      <c r="O20" s="50" t="s">
        <v>995</v>
      </c>
      <c r="P20" s="50" t="s">
        <v>995</v>
      </c>
      <c r="Q20" s="50" t="s">
        <v>995</v>
      </c>
      <c r="R20" s="50" t="s">
        <v>995</v>
      </c>
      <c r="S20" s="50" t="s">
        <v>995</v>
      </c>
      <c r="T20" s="50" t="s">
        <v>995</v>
      </c>
      <c r="U20" s="50" t="s">
        <v>995</v>
      </c>
      <c r="V20" s="50" t="s">
        <v>995</v>
      </c>
      <c r="W20" s="50" t="s">
        <v>997</v>
      </c>
    </row>
    <row r="21" spans="2:24">
      <c r="B21" s="50" t="s">
        <v>950</v>
      </c>
      <c r="C21" s="50">
        <v>21</v>
      </c>
      <c r="D21" s="50"/>
      <c r="E21" s="95"/>
      <c r="F21" s="50">
        <v>1</v>
      </c>
      <c r="G21" s="208" t="e" cm="1">
        <f t="array" aca="1" ref="G21" ca="1">SUM(IF(IF(G3:G20="null",1,G3:G20)=1,1,0))/COUNT(IF(G3:G20="null",1,1))</f>
        <v>#NAME?</v>
      </c>
      <c r="H21" s="50" t="s">
        <v>961</v>
      </c>
      <c r="I21" s="50"/>
      <c r="J21" s="50"/>
      <c r="K21" s="50"/>
      <c r="L21" s="50"/>
      <c r="M21" s="50"/>
      <c r="N21" s="50"/>
      <c r="O21" s="50"/>
      <c r="P21" s="50"/>
      <c r="Q21" s="50"/>
      <c r="R21" s="50"/>
      <c r="S21" s="50"/>
      <c r="T21" s="50"/>
      <c r="U21" s="50"/>
      <c r="V21" s="50"/>
      <c r="W21" s="50"/>
    </row>
    <row r="22" spans="2:24">
      <c r="B22" s="50"/>
      <c r="C22" s="50"/>
      <c r="D22" s="50"/>
      <c r="E22" s="95"/>
      <c r="F22" s="50"/>
      <c r="G22" s="50"/>
      <c r="H22" s="50"/>
      <c r="I22" s="50"/>
      <c r="J22" s="50"/>
      <c r="K22" s="50"/>
      <c r="L22" s="50"/>
      <c r="M22" s="50"/>
      <c r="N22" s="50"/>
      <c r="O22" s="50"/>
      <c r="P22" s="50"/>
      <c r="Q22" s="50"/>
      <c r="R22" s="50"/>
      <c r="S22" s="50"/>
    </row>
    <row r="23" spans="2:24">
      <c r="B23" s="130" t="s">
        <v>1067</v>
      </c>
    </row>
    <row r="24" spans="2:24">
      <c r="B24" s="128" t="s">
        <v>953</v>
      </c>
      <c r="C24" s="129" t="s">
        <v>954</v>
      </c>
      <c r="D24" s="129" t="s">
        <v>955</v>
      </c>
      <c r="E24" s="129" t="s">
        <v>956</v>
      </c>
      <c r="F24" s="129" t="s">
        <v>957</v>
      </c>
      <c r="G24" s="129" t="s">
        <v>958</v>
      </c>
      <c r="H24" s="129" t="s">
        <v>959</v>
      </c>
      <c r="I24" s="129" t="e" cm="1">
        <f t="array" aca="1" ref="I24:W24" ca="1">TRANSPOSE(_xlfn.SORTBY(_xlfn._xlws.FILTER(Table3[NOME FÍSICO CAMPO],Table3[NOME FÍSICO TABELA]="debit_card_account"), _xlfn._xlws.FILTER(Table3[ORDEM], Table3[NOME FÍSICO TABELA]="debit_card_account"), 1))</f>
        <v>#NAME?</v>
      </c>
      <c r="J24" s="129" t="e">
        <f ca="1"/>
        <v>#NAME?</v>
      </c>
      <c r="K24" s="129" t="e">
        <f ca="1"/>
        <v>#NAME?</v>
      </c>
      <c r="L24" s="129" t="e">
        <f ca="1"/>
        <v>#NAME?</v>
      </c>
      <c r="M24" s="129" t="e">
        <f ca="1"/>
        <v>#NAME?</v>
      </c>
      <c r="N24" s="129" t="e">
        <f ca="1"/>
        <v>#NAME?</v>
      </c>
      <c r="O24" s="129" t="e">
        <f ca="1"/>
        <v>#NAME?</v>
      </c>
      <c r="P24" s="129" t="e">
        <f ca="1"/>
        <v>#NAME?</v>
      </c>
      <c r="Q24" s="129" t="e">
        <f ca="1"/>
        <v>#NAME?</v>
      </c>
      <c r="R24" s="129" t="e">
        <f ca="1"/>
        <v>#NAME?</v>
      </c>
      <c r="S24" s="129" t="e">
        <f ca="1"/>
        <v>#NAME?</v>
      </c>
      <c r="T24" s="219" t="e">
        <f ca="1"/>
        <v>#NAME?</v>
      </c>
      <c r="U24" s="219" t="e">
        <f ca="1"/>
        <v>#NAME?</v>
      </c>
      <c r="V24" s="219" t="e">
        <f ca="1"/>
        <v>#NAME?</v>
      </c>
      <c r="W24" s="223" t="e">
        <f ca="1"/>
        <v>#NAME?</v>
      </c>
      <c r="X24" s="222"/>
    </row>
    <row r="25" spans="2:24">
      <c r="B25" s="107" t="s">
        <v>998</v>
      </c>
      <c r="C25" s="110">
        <v>21</v>
      </c>
      <c r="D25" s="104" t="s">
        <v>999</v>
      </c>
      <c r="E25" s="103" t="s">
        <v>1000</v>
      </c>
      <c r="F25" s="103" t="s">
        <v>206</v>
      </c>
      <c r="G25" s="103" t="s">
        <v>206</v>
      </c>
      <c r="H25" s="103" t="s">
        <v>206</v>
      </c>
      <c r="I25" s="103" t="e" cm="1">
        <f t="array" aca="1" ref="I25:W26" ca="1">TRANSPOSE(_xlfn.SORTBY(_xlfn._xlws.FILTER(IF(Table3[FORMATO]:Table3[COMP_ CAMPO]&lt;&gt;"",Table3[FORMATO]:Table3[COMP_ CAMPO],9999999),Table3[NOME FÍSICO TABELA]="debit_card_account"), _xlfn._xlws.FILTER(Table3[ORDEM], Table3[NOME FÍSICO TABELA]="debit_card_account"), 1))</f>
        <v>#NAME?</v>
      </c>
      <c r="J25" s="103" t="e">
        <f ca="1"/>
        <v>#NAME?</v>
      </c>
      <c r="K25" s="103" t="e">
        <f ca="1"/>
        <v>#NAME?</v>
      </c>
      <c r="L25" s="103" t="e">
        <f ca="1"/>
        <v>#NAME?</v>
      </c>
      <c r="M25" s="103" t="e">
        <f ca="1"/>
        <v>#NAME?</v>
      </c>
      <c r="N25" s="103" t="e">
        <f ca="1"/>
        <v>#NAME?</v>
      </c>
      <c r="O25" s="103" t="e">
        <f ca="1"/>
        <v>#NAME?</v>
      </c>
      <c r="P25" s="103" t="e">
        <f ca="1"/>
        <v>#NAME?</v>
      </c>
      <c r="Q25" s="103" t="e">
        <f ca="1"/>
        <v>#NAME?</v>
      </c>
      <c r="R25" s="103" t="e">
        <f ca="1"/>
        <v>#NAME?</v>
      </c>
      <c r="S25" s="103" t="e">
        <f ca="1"/>
        <v>#NAME?</v>
      </c>
      <c r="T25" s="103" t="e">
        <f ca="1"/>
        <v>#NAME?</v>
      </c>
      <c r="U25" s="103" t="e">
        <f ca="1"/>
        <v>#NAME?</v>
      </c>
      <c r="V25" s="103" t="e">
        <f ca="1"/>
        <v>#NAME?</v>
      </c>
      <c r="W25" s="109" t="e">
        <f ca="1"/>
        <v>#NAME?</v>
      </c>
    </row>
    <row r="26" spans="2:24">
      <c r="B26" s="107" t="s">
        <v>1001</v>
      </c>
      <c r="C26" s="110">
        <v>7</v>
      </c>
      <c r="D26" s="104" t="s">
        <v>999</v>
      </c>
      <c r="E26" s="103" t="s">
        <v>1000</v>
      </c>
      <c r="F26" s="105" t="s">
        <v>206</v>
      </c>
      <c r="G26" s="105" t="s">
        <v>206</v>
      </c>
      <c r="H26" s="105" t="s">
        <v>206</v>
      </c>
      <c r="I26" s="151" t="e">
        <f ca="1"/>
        <v>#NAME?</v>
      </c>
      <c r="J26" s="151" t="e">
        <f ca="1"/>
        <v>#NAME?</v>
      </c>
      <c r="K26" s="151" t="e">
        <f ca="1"/>
        <v>#NAME?</v>
      </c>
      <c r="L26" s="151" t="e">
        <f ca="1"/>
        <v>#NAME?</v>
      </c>
      <c r="M26" s="151" t="e">
        <f ca="1"/>
        <v>#NAME?</v>
      </c>
      <c r="N26" s="151" t="e">
        <f ca="1"/>
        <v>#NAME?</v>
      </c>
      <c r="O26" s="151" t="e">
        <f ca="1"/>
        <v>#NAME?</v>
      </c>
      <c r="P26" s="151" t="e">
        <f ca="1"/>
        <v>#NAME?</v>
      </c>
      <c r="Q26" s="151" t="e">
        <f ca="1"/>
        <v>#NAME?</v>
      </c>
      <c r="R26" s="151" t="e">
        <f ca="1"/>
        <v>#NAME?</v>
      </c>
      <c r="S26" s="151" t="e">
        <f ca="1"/>
        <v>#NAME?</v>
      </c>
      <c r="T26" s="151" t="e">
        <f ca="1"/>
        <v>#NAME?</v>
      </c>
      <c r="U26" s="151" t="e">
        <f ca="1"/>
        <v>#NAME?</v>
      </c>
      <c r="V26" s="151" t="e">
        <f ca="1"/>
        <v>#NAME?</v>
      </c>
      <c r="W26" s="152" t="e">
        <f ca="1"/>
        <v>#NAME?</v>
      </c>
      <c r="X26" s="93"/>
    </row>
    <row r="28" spans="2:24">
      <c r="B28" s="140" t="s">
        <v>1002</v>
      </c>
    </row>
    <row r="29" spans="2:24">
      <c r="B29" s="134" t="s">
        <v>1003</v>
      </c>
      <c r="C29" s="134" t="s">
        <v>1004</v>
      </c>
      <c r="D29" s="135" t="s">
        <v>1005</v>
      </c>
      <c r="E29" s="134" t="s">
        <v>1006</v>
      </c>
      <c r="F29" s="134" t="s">
        <v>1007</v>
      </c>
    </row>
    <row r="30" spans="2:24" ht="43.5">
      <c r="B30" s="118" t="s">
        <v>1008</v>
      </c>
      <c r="C30" s="117" t="s">
        <v>196</v>
      </c>
      <c r="D30" s="123" t="s">
        <v>1543</v>
      </c>
      <c r="E30" s="146" t="s">
        <v>1544</v>
      </c>
      <c r="F30" s="136" t="s">
        <v>1014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T30"/>
  <sheetViews>
    <sheetView showGridLines="0" topLeftCell="B28" workbookViewId="0">
      <selection activeCell="N36" sqref="N36"/>
    </sheetView>
  </sheetViews>
  <sheetFormatPr defaultRowHeight="14.5"/>
  <cols>
    <col min="2" max="2" width="30.7265625" bestFit="1" customWidth="1"/>
    <col min="3" max="3" width="32"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row r="2" spans="2:19">
      <c r="B2" s="76" t="s">
        <v>953</v>
      </c>
      <c r="C2" s="76" t="s">
        <v>954</v>
      </c>
      <c r="D2" s="76" t="s">
        <v>955</v>
      </c>
      <c r="E2" s="76" t="s">
        <v>956</v>
      </c>
      <c r="F2" s="76" t="s">
        <v>957</v>
      </c>
      <c r="G2" s="76" t="s">
        <v>958</v>
      </c>
      <c r="H2" s="76" t="s">
        <v>959</v>
      </c>
      <c r="I2" s="76" t="s">
        <v>495</v>
      </c>
      <c r="J2" s="76" t="s">
        <v>1479</v>
      </c>
      <c r="K2" s="76" t="s">
        <v>1480</v>
      </c>
      <c r="L2" s="76" t="s">
        <v>1481</v>
      </c>
      <c r="M2" s="76" t="s">
        <v>498</v>
      </c>
      <c r="N2" s="76" t="s">
        <v>499</v>
      </c>
      <c r="O2" s="76" t="s">
        <v>500</v>
      </c>
      <c r="P2" s="76" t="s">
        <v>501</v>
      </c>
      <c r="Q2" s="76" t="s">
        <v>502</v>
      </c>
      <c r="R2" s="76" t="s">
        <v>208</v>
      </c>
      <c r="S2" s="76" t="s">
        <v>213</v>
      </c>
    </row>
    <row r="3" spans="2:19">
      <c r="B3" s="50" t="s">
        <v>907</v>
      </c>
      <c r="C3" s="50">
        <v>1</v>
      </c>
      <c r="D3" s="50" t="s">
        <v>1545</v>
      </c>
      <c r="E3" s="95">
        <v>45483</v>
      </c>
      <c r="F3" s="50">
        <v>1</v>
      </c>
      <c r="G3" s="98">
        <v>1</v>
      </c>
      <c r="H3" s="184">
        <v>1722768</v>
      </c>
      <c r="I3" s="50" t="s">
        <v>961</v>
      </c>
      <c r="J3" s="50" t="s">
        <v>961</v>
      </c>
      <c r="K3" s="50" t="s">
        <v>961</v>
      </c>
      <c r="L3" s="50" t="s">
        <v>961</v>
      </c>
      <c r="M3" s="50" t="s">
        <v>961</v>
      </c>
      <c r="N3" s="50" t="s">
        <v>961</v>
      </c>
      <c r="O3" s="50" t="s">
        <v>961</v>
      </c>
      <c r="P3" s="50" t="s">
        <v>961</v>
      </c>
      <c r="Q3" s="50" t="s">
        <v>961</v>
      </c>
      <c r="R3" s="50" t="s">
        <v>961</v>
      </c>
      <c r="S3" s="50" t="s">
        <v>961</v>
      </c>
    </row>
    <row r="4" spans="2:19">
      <c r="B4" s="50" t="s">
        <v>909</v>
      </c>
      <c r="C4" s="50">
        <v>2</v>
      </c>
      <c r="D4" s="50" t="s">
        <v>1546</v>
      </c>
      <c r="E4" s="95">
        <v>45483</v>
      </c>
      <c r="F4" s="50">
        <v>1</v>
      </c>
      <c r="G4" s="98">
        <v>1</v>
      </c>
      <c r="H4" s="50">
        <v>0</v>
      </c>
      <c r="I4" s="50" t="s">
        <v>961</v>
      </c>
      <c r="J4" s="50" t="s">
        <v>961</v>
      </c>
      <c r="K4" s="50" t="s">
        <v>961</v>
      </c>
      <c r="L4" s="50" t="s">
        <v>961</v>
      </c>
      <c r="M4" s="50" t="s">
        <v>961</v>
      </c>
      <c r="N4" s="50" t="s">
        <v>961</v>
      </c>
      <c r="O4" s="50" t="s">
        <v>961</v>
      </c>
      <c r="P4" s="50" t="s">
        <v>961</v>
      </c>
      <c r="Q4" s="50" t="s">
        <v>961</v>
      </c>
      <c r="R4" s="50" t="s">
        <v>961</v>
      </c>
      <c r="S4" s="50" t="s">
        <v>961</v>
      </c>
    </row>
    <row r="5" spans="2:19">
      <c r="B5" s="50" t="s">
        <v>911</v>
      </c>
      <c r="C5" s="50">
        <v>3</v>
      </c>
      <c r="D5" s="50" t="s">
        <v>1547</v>
      </c>
      <c r="E5" s="95">
        <v>45483</v>
      </c>
      <c r="F5" s="50">
        <v>1</v>
      </c>
      <c r="G5" s="98">
        <v>1</v>
      </c>
      <c r="H5" s="50">
        <v>0</v>
      </c>
      <c r="I5" s="50">
        <v>0</v>
      </c>
      <c r="J5" s="50" t="s">
        <v>961</v>
      </c>
      <c r="K5" s="50" t="s">
        <v>961</v>
      </c>
      <c r="L5" s="50" t="s">
        <v>961</v>
      </c>
      <c r="M5" s="50" t="s">
        <v>961</v>
      </c>
      <c r="N5" s="50" t="s">
        <v>961</v>
      </c>
      <c r="O5" s="50" t="s">
        <v>961</v>
      </c>
      <c r="P5" s="50" t="s">
        <v>961</v>
      </c>
      <c r="Q5" s="50" t="s">
        <v>961</v>
      </c>
      <c r="R5" s="50">
        <v>0</v>
      </c>
      <c r="S5" s="50" t="s">
        <v>961</v>
      </c>
    </row>
    <row r="6" spans="2:19">
      <c r="B6" s="97" t="s">
        <v>913</v>
      </c>
      <c r="C6" s="50">
        <v>4</v>
      </c>
      <c r="D6" s="50" t="s">
        <v>964</v>
      </c>
      <c r="E6" s="95" t="s">
        <v>961</v>
      </c>
      <c r="F6" s="50">
        <v>1</v>
      </c>
      <c r="G6" s="50" t="s">
        <v>961</v>
      </c>
      <c r="H6" s="50" t="s">
        <v>961</v>
      </c>
      <c r="I6" s="50" t="s">
        <v>961</v>
      </c>
      <c r="J6" s="50" t="s">
        <v>961</v>
      </c>
      <c r="K6" s="50" t="s">
        <v>961</v>
      </c>
      <c r="L6" s="50" t="s">
        <v>961</v>
      </c>
      <c r="M6" s="50" t="s">
        <v>961</v>
      </c>
      <c r="N6" s="50" t="s">
        <v>961</v>
      </c>
      <c r="O6" s="50" t="s">
        <v>961</v>
      </c>
      <c r="P6" s="50" t="s">
        <v>961</v>
      </c>
      <c r="Q6" s="50" t="s">
        <v>961</v>
      </c>
      <c r="R6" s="50" t="s">
        <v>961</v>
      </c>
      <c r="S6" s="50" t="s">
        <v>961</v>
      </c>
    </row>
    <row r="7" spans="2:19">
      <c r="B7" s="50" t="s">
        <v>915</v>
      </c>
      <c r="C7" s="50">
        <v>5</v>
      </c>
      <c r="D7" s="50" t="s">
        <v>964</v>
      </c>
      <c r="E7" s="95" t="s">
        <v>961</v>
      </c>
      <c r="F7" s="50">
        <v>1</v>
      </c>
      <c r="G7" s="50" t="s">
        <v>961</v>
      </c>
      <c r="H7" s="50" t="s">
        <v>961</v>
      </c>
      <c r="I7" s="50" t="s">
        <v>961</v>
      </c>
      <c r="J7" s="50" t="s">
        <v>961</v>
      </c>
      <c r="K7" s="50" t="s">
        <v>961</v>
      </c>
      <c r="L7" s="50" t="s">
        <v>961</v>
      </c>
      <c r="M7" s="50" t="s">
        <v>961</v>
      </c>
      <c r="N7" s="50" t="s">
        <v>961</v>
      </c>
      <c r="O7" s="50" t="s">
        <v>961</v>
      </c>
      <c r="P7" s="50" t="s">
        <v>961</v>
      </c>
      <c r="Q7" s="50" t="s">
        <v>961</v>
      </c>
      <c r="R7" s="50" t="s">
        <v>961</v>
      </c>
      <c r="S7" s="50" t="s">
        <v>961</v>
      </c>
    </row>
    <row r="8" spans="2:19">
      <c r="B8" s="97" t="s">
        <v>916</v>
      </c>
      <c r="C8" s="50">
        <v>6</v>
      </c>
      <c r="D8" s="50" t="s">
        <v>1548</v>
      </c>
      <c r="E8" s="95">
        <v>45483</v>
      </c>
      <c r="F8" s="50">
        <v>1</v>
      </c>
      <c r="G8" s="192" cm="1">
        <f t="array" ref="G8">SUMPRODUCT(--(I8:S8&gt;0))/COUNTA(I8:S8)</f>
        <v>1</v>
      </c>
      <c r="H8" s="184">
        <v>0</v>
      </c>
      <c r="I8" s="50">
        <v>16</v>
      </c>
      <c r="J8" s="50">
        <v>2</v>
      </c>
      <c r="K8" s="50">
        <v>15</v>
      </c>
      <c r="L8" s="50">
        <v>1</v>
      </c>
      <c r="M8" s="50">
        <v>1</v>
      </c>
      <c r="N8" s="50">
        <v>7</v>
      </c>
      <c r="O8" s="50">
        <v>8</v>
      </c>
      <c r="P8" s="50">
        <v>8</v>
      </c>
      <c r="Q8" s="50">
        <v>3</v>
      </c>
      <c r="R8" s="50">
        <v>10</v>
      </c>
      <c r="S8" s="50">
        <v>23</v>
      </c>
    </row>
    <row r="9" spans="2:19">
      <c r="B9" s="50" t="s">
        <v>919</v>
      </c>
      <c r="C9" s="50">
        <v>7</v>
      </c>
      <c r="D9" s="50" t="s">
        <v>1549</v>
      </c>
      <c r="E9" s="95">
        <v>45483</v>
      </c>
      <c r="F9" s="50">
        <v>1</v>
      </c>
      <c r="G9" s="192" t="e" cm="1">
        <f t="array" aca="1" ref="G9" ca="1">SUMPRODUCT(--(I9:S9&lt;=I26:S26))/COUNTA(I26:S26)</f>
        <v>#NAME?</v>
      </c>
      <c r="H9" s="184">
        <v>0</v>
      </c>
      <c r="I9" s="50">
        <v>16</v>
      </c>
      <c r="J9" s="50">
        <v>2</v>
      </c>
      <c r="K9" s="50">
        <v>15</v>
      </c>
      <c r="L9" s="50">
        <v>3</v>
      </c>
      <c r="M9" s="50">
        <v>10</v>
      </c>
      <c r="N9" s="50">
        <v>7</v>
      </c>
      <c r="O9" s="50">
        <v>16</v>
      </c>
      <c r="P9" s="50">
        <v>16</v>
      </c>
      <c r="Q9" s="50">
        <v>3</v>
      </c>
      <c r="R9" s="50">
        <v>10</v>
      </c>
      <c r="S9" s="50">
        <v>23</v>
      </c>
    </row>
    <row r="10" spans="2:19">
      <c r="B10" s="50" t="s">
        <v>922</v>
      </c>
      <c r="C10" s="50">
        <v>8</v>
      </c>
      <c r="D10" s="50" t="s">
        <v>1550</v>
      </c>
      <c r="E10" s="95">
        <v>45483</v>
      </c>
      <c r="F10" s="50">
        <v>1</v>
      </c>
      <c r="G10" s="50" t="s">
        <v>961</v>
      </c>
      <c r="H10" s="184">
        <v>0</v>
      </c>
      <c r="I10" s="50">
        <v>4008110051813620</v>
      </c>
      <c r="J10" s="50">
        <v>31</v>
      </c>
      <c r="K10" s="50">
        <v>1100751730010</v>
      </c>
      <c r="L10" s="50">
        <v>0</v>
      </c>
      <c r="M10" s="50">
        <v>0</v>
      </c>
      <c r="N10" s="95" t="s">
        <v>1488</v>
      </c>
      <c r="O10" s="50" t="s">
        <v>970</v>
      </c>
      <c r="P10" s="95" t="s">
        <v>970</v>
      </c>
      <c r="Q10" s="95" t="s">
        <v>1039</v>
      </c>
      <c r="R10" s="95">
        <v>45483</v>
      </c>
      <c r="S10" s="98" t="s">
        <v>1551</v>
      </c>
    </row>
    <row r="11" spans="2:19">
      <c r="B11" s="50" t="s">
        <v>924</v>
      </c>
      <c r="C11" s="50">
        <v>9</v>
      </c>
      <c r="D11" s="50" t="s">
        <v>1552</v>
      </c>
      <c r="E11" s="95">
        <v>45483</v>
      </c>
      <c r="F11" s="50">
        <v>1</v>
      </c>
      <c r="G11" s="50" t="s">
        <v>961</v>
      </c>
      <c r="H11" s="184">
        <v>0</v>
      </c>
      <c r="I11" s="50">
        <v>4008110051813620</v>
      </c>
      <c r="J11" s="50">
        <v>31</v>
      </c>
      <c r="K11" s="50">
        <v>1100751730010</v>
      </c>
      <c r="L11" s="50">
        <v>0</v>
      </c>
      <c r="M11" s="50">
        <v>0</v>
      </c>
      <c r="N11" s="95" t="s">
        <v>1488</v>
      </c>
      <c r="O11" s="50" t="s">
        <v>970</v>
      </c>
      <c r="P11" s="50" t="s">
        <v>970</v>
      </c>
      <c r="Q11" s="50">
        <v>15</v>
      </c>
      <c r="R11" s="95">
        <v>45483</v>
      </c>
      <c r="S11" s="50" t="s">
        <v>1553</v>
      </c>
    </row>
    <row r="12" spans="2:19">
      <c r="B12" s="97" t="s">
        <v>926</v>
      </c>
      <c r="C12" s="50">
        <v>10</v>
      </c>
      <c r="D12" s="50" t="s">
        <v>1554</v>
      </c>
      <c r="E12" s="95">
        <v>45483</v>
      </c>
      <c r="F12" s="50">
        <v>1</v>
      </c>
      <c r="G12" s="50" t="s">
        <v>961</v>
      </c>
      <c r="H12" s="184">
        <v>0</v>
      </c>
      <c r="I12" s="50">
        <v>5890770069838630</v>
      </c>
      <c r="J12" s="184">
        <v>31</v>
      </c>
      <c r="K12" s="50">
        <v>5131570010010</v>
      </c>
      <c r="L12" s="50">
        <v>97</v>
      </c>
      <c r="M12" s="95">
        <v>45484</v>
      </c>
      <c r="N12" s="95" t="s">
        <v>1555</v>
      </c>
      <c r="O12" s="98">
        <v>999999999000000</v>
      </c>
      <c r="P12" s="192">
        <v>999999999000000</v>
      </c>
      <c r="Q12" s="95" t="s">
        <v>1039</v>
      </c>
      <c r="R12" s="95">
        <v>45483</v>
      </c>
      <c r="S12" s="157" t="s">
        <v>1551</v>
      </c>
    </row>
    <row r="13" spans="2:19">
      <c r="B13" s="50" t="s">
        <v>928</v>
      </c>
      <c r="C13" s="50">
        <v>11</v>
      </c>
      <c r="D13" s="50" t="s">
        <v>1556</v>
      </c>
      <c r="E13" s="95">
        <v>45483</v>
      </c>
      <c r="F13" s="50">
        <v>1</v>
      </c>
      <c r="G13" s="50" t="s">
        <v>961</v>
      </c>
      <c r="H13" s="184">
        <v>0</v>
      </c>
      <c r="I13" s="50">
        <v>5890770069838630</v>
      </c>
      <c r="J13" s="184">
        <v>31</v>
      </c>
      <c r="K13" s="50">
        <v>5131570010010</v>
      </c>
      <c r="L13" s="50">
        <v>97</v>
      </c>
      <c r="M13" s="95">
        <v>20240711</v>
      </c>
      <c r="N13" s="95" t="s">
        <v>1555</v>
      </c>
      <c r="O13" s="98">
        <v>999999999000000</v>
      </c>
      <c r="P13" s="95">
        <v>999999999000000</v>
      </c>
      <c r="Q13" s="50">
        <v>5</v>
      </c>
      <c r="R13" s="95">
        <v>45483</v>
      </c>
      <c r="S13" s="50" t="s">
        <v>1557</v>
      </c>
    </row>
    <row r="14" spans="2:19">
      <c r="B14" s="50" t="s">
        <v>930</v>
      </c>
      <c r="C14" s="50">
        <v>12</v>
      </c>
      <c r="D14" s="50" t="s">
        <v>1558</v>
      </c>
      <c r="E14" s="95">
        <v>45483</v>
      </c>
      <c r="F14" s="50">
        <v>1</v>
      </c>
      <c r="G14" s="192">
        <v>1</v>
      </c>
      <c r="H14" s="184">
        <v>0</v>
      </c>
      <c r="I14" s="50">
        <v>0</v>
      </c>
      <c r="J14" s="50">
        <v>0</v>
      </c>
      <c r="K14" s="50">
        <v>0</v>
      </c>
      <c r="L14" s="50">
        <v>0</v>
      </c>
      <c r="M14" s="50">
        <v>0</v>
      </c>
      <c r="N14" s="50">
        <v>0</v>
      </c>
      <c r="O14" s="50">
        <v>0</v>
      </c>
      <c r="P14" s="50">
        <v>0</v>
      </c>
      <c r="Q14" s="50">
        <v>0</v>
      </c>
      <c r="R14" s="50">
        <v>0</v>
      </c>
      <c r="S14" s="50">
        <v>0</v>
      </c>
    </row>
    <row r="15" spans="2:19">
      <c r="B15" s="50" t="s">
        <v>932</v>
      </c>
      <c r="C15" s="50">
        <v>13</v>
      </c>
      <c r="D15" s="50" t="s">
        <v>1559</v>
      </c>
      <c r="E15" s="95">
        <v>45483</v>
      </c>
      <c r="F15" s="50">
        <v>1</v>
      </c>
      <c r="G15" s="192">
        <v>1</v>
      </c>
      <c r="H15" s="184">
        <v>0</v>
      </c>
      <c r="I15" s="50" t="s">
        <v>961</v>
      </c>
      <c r="J15" s="50" t="s">
        <v>961</v>
      </c>
      <c r="K15" s="50" t="s">
        <v>961</v>
      </c>
      <c r="L15" s="50" t="s">
        <v>961</v>
      </c>
      <c r="M15" s="50">
        <v>0</v>
      </c>
      <c r="N15" s="50">
        <v>0</v>
      </c>
      <c r="O15" s="50" t="s">
        <v>961</v>
      </c>
      <c r="P15" s="50" t="s">
        <v>961</v>
      </c>
      <c r="Q15" s="50" t="s">
        <v>961</v>
      </c>
      <c r="R15" s="50" t="s">
        <v>961</v>
      </c>
      <c r="S15" s="50" t="s">
        <v>961</v>
      </c>
    </row>
    <row r="16" spans="2:19">
      <c r="B16" s="50" t="s">
        <v>934</v>
      </c>
      <c r="C16" s="50">
        <v>14</v>
      </c>
      <c r="D16" s="50" t="s">
        <v>1560</v>
      </c>
      <c r="E16" s="95">
        <v>45483</v>
      </c>
      <c r="F16" s="50">
        <v>1</v>
      </c>
      <c r="G16" s="192">
        <v>1</v>
      </c>
      <c r="H16" s="184">
        <v>0</v>
      </c>
      <c r="I16" s="50">
        <v>0</v>
      </c>
      <c r="J16" s="50">
        <v>0</v>
      </c>
      <c r="K16" s="50">
        <v>0</v>
      </c>
      <c r="L16" s="50">
        <v>0</v>
      </c>
      <c r="M16" s="50" t="s">
        <v>961</v>
      </c>
      <c r="N16" s="50" t="s">
        <v>961</v>
      </c>
      <c r="O16" s="50" t="s">
        <v>961</v>
      </c>
      <c r="P16" s="50" t="s">
        <v>961</v>
      </c>
      <c r="Q16" s="50">
        <v>0</v>
      </c>
      <c r="R16" s="50" t="s">
        <v>961</v>
      </c>
      <c r="S16" s="50" t="s">
        <v>961</v>
      </c>
    </row>
    <row r="17" spans="2:20">
      <c r="B17" s="50" t="s">
        <v>936</v>
      </c>
      <c r="C17" s="50">
        <v>15</v>
      </c>
      <c r="D17" s="50" t="s">
        <v>1561</v>
      </c>
      <c r="E17" s="95">
        <v>45483</v>
      </c>
      <c r="F17" s="50">
        <v>1</v>
      </c>
      <c r="G17" s="192">
        <v>1</v>
      </c>
      <c r="H17" s="184">
        <v>0</v>
      </c>
      <c r="I17" s="50" t="s">
        <v>961</v>
      </c>
      <c r="J17" s="50" t="s">
        <v>961</v>
      </c>
      <c r="K17" s="50" t="s">
        <v>961</v>
      </c>
      <c r="L17" s="50" t="s">
        <v>961</v>
      </c>
      <c r="M17" s="50" t="s">
        <v>961</v>
      </c>
      <c r="N17" s="50" t="s">
        <v>961</v>
      </c>
      <c r="O17" s="50" t="s">
        <v>961</v>
      </c>
      <c r="P17" s="50" t="s">
        <v>961</v>
      </c>
      <c r="Q17" s="50" t="s">
        <v>961</v>
      </c>
      <c r="R17" s="50" t="s">
        <v>961</v>
      </c>
      <c r="S17" s="50" t="s">
        <v>961</v>
      </c>
    </row>
    <row r="18" spans="2:20">
      <c r="B18" s="50" t="s">
        <v>938</v>
      </c>
      <c r="C18" s="50">
        <v>16</v>
      </c>
      <c r="D18" s="50" t="s">
        <v>1561</v>
      </c>
      <c r="E18" s="95">
        <v>45483</v>
      </c>
      <c r="F18" s="50">
        <v>1</v>
      </c>
      <c r="G18" s="192">
        <v>1</v>
      </c>
      <c r="H18" s="184">
        <v>0</v>
      </c>
      <c r="I18" s="50" t="s">
        <v>961</v>
      </c>
      <c r="J18" s="50" t="s">
        <v>961</v>
      </c>
      <c r="K18" s="50" t="s">
        <v>961</v>
      </c>
      <c r="L18" s="50" t="s">
        <v>961</v>
      </c>
      <c r="M18" s="50" t="s">
        <v>961</v>
      </c>
      <c r="N18" s="50" t="s">
        <v>961</v>
      </c>
      <c r="O18" s="50" t="s">
        <v>961</v>
      </c>
      <c r="P18" s="50" t="s">
        <v>961</v>
      </c>
      <c r="Q18" s="50" t="s">
        <v>961</v>
      </c>
      <c r="R18" s="50" t="s">
        <v>961</v>
      </c>
      <c r="S18" s="50" t="s">
        <v>961</v>
      </c>
    </row>
    <row r="19" spans="2:20">
      <c r="B19" s="50" t="s">
        <v>944</v>
      </c>
      <c r="C19" s="50">
        <v>19</v>
      </c>
      <c r="D19" s="50" t="s">
        <v>1562</v>
      </c>
      <c r="E19" s="95">
        <v>45483</v>
      </c>
      <c r="F19" s="50">
        <v>1</v>
      </c>
      <c r="G19" s="192" cm="1">
        <f t="array" aca="1" ref="G19" ca="1">SUMPRODUCT(--(ISNUMBER((SEARCH(I25:S25,I19:S19)))))/COUNTA(I19:S19)</f>
        <v>0</v>
      </c>
      <c r="H19" s="50" t="s">
        <v>961</v>
      </c>
      <c r="I19" s="50" t="s">
        <v>995</v>
      </c>
      <c r="J19" s="50" t="s">
        <v>995</v>
      </c>
      <c r="K19" s="50" t="s">
        <v>995</v>
      </c>
      <c r="L19" s="50" t="s">
        <v>995</v>
      </c>
      <c r="M19" s="50" t="s">
        <v>995</v>
      </c>
      <c r="N19" s="50" t="s">
        <v>995</v>
      </c>
      <c r="O19" s="50" t="s">
        <v>996</v>
      </c>
      <c r="P19" s="50" t="s">
        <v>996</v>
      </c>
      <c r="Q19" s="50" t="s">
        <v>995</v>
      </c>
      <c r="R19" s="50" t="s">
        <v>995</v>
      </c>
      <c r="S19" s="50" t="s">
        <v>997</v>
      </c>
    </row>
    <row r="20" spans="2:20">
      <c r="B20" s="50" t="s">
        <v>947</v>
      </c>
      <c r="C20" s="50">
        <v>20</v>
      </c>
      <c r="D20" s="50" t="s">
        <v>1563</v>
      </c>
      <c r="E20" s="95">
        <v>45483</v>
      </c>
      <c r="F20" s="50">
        <v>1</v>
      </c>
      <c r="G20" s="192" t="e" cm="1">
        <f t="array" aca="1" ref="G20" ca="1">SUM(IF(I2:S2 = I24:S24, 1, 0))/ COUNTA(I2:S2)</f>
        <v>#NAME?</v>
      </c>
      <c r="H20" s="50" t="s">
        <v>961</v>
      </c>
      <c r="I20" s="50"/>
      <c r="J20" s="50"/>
      <c r="K20" s="50"/>
      <c r="L20" s="50"/>
      <c r="M20" s="50"/>
      <c r="N20" s="50"/>
      <c r="O20" s="50"/>
      <c r="P20" s="50"/>
      <c r="Q20" s="50"/>
      <c r="R20" s="50"/>
      <c r="S20" s="50"/>
    </row>
    <row r="21" spans="2:20">
      <c r="B21" s="50" t="s">
        <v>950</v>
      </c>
      <c r="C21" s="50">
        <v>21</v>
      </c>
      <c r="D21" s="50" t="s">
        <v>1563</v>
      </c>
      <c r="E21" s="95">
        <v>45483</v>
      </c>
      <c r="F21" s="50">
        <v>1</v>
      </c>
      <c r="G21" s="192" t="e" cm="1">
        <f t="array" aca="1" ref="G21" ca="1">SUM(IF(IF(G3:G20="null",1,G3:G20)=1,1,0))/COUNT(IF(G3:G20="null",1,1))</f>
        <v>#NAME?</v>
      </c>
      <c r="H21" s="50" t="s">
        <v>961</v>
      </c>
      <c r="I21" s="50"/>
      <c r="J21" s="50"/>
      <c r="K21" s="50"/>
      <c r="L21" s="50"/>
      <c r="M21" s="50"/>
      <c r="N21" s="50"/>
      <c r="O21" s="50"/>
      <c r="P21" s="50"/>
      <c r="Q21" s="50"/>
      <c r="R21" s="50"/>
      <c r="S21" s="50"/>
    </row>
    <row r="22" spans="2:20">
      <c r="B22" s="50"/>
      <c r="C22" s="50"/>
      <c r="D22" s="50"/>
      <c r="E22" s="95"/>
      <c r="F22" s="50"/>
      <c r="G22" s="50"/>
      <c r="H22" s="50"/>
      <c r="I22" s="50"/>
      <c r="J22" s="50"/>
      <c r="K22" s="50"/>
      <c r="L22" s="50"/>
      <c r="M22" s="50"/>
      <c r="N22" s="50"/>
      <c r="O22" s="50"/>
      <c r="P22" s="50"/>
      <c r="Q22" s="50"/>
      <c r="R22" s="50"/>
      <c r="S22" s="50"/>
    </row>
    <row r="23" spans="2:20">
      <c r="B23" s="130" t="s">
        <v>1067</v>
      </c>
    </row>
    <row r="24" spans="2:20">
      <c r="B24" s="128" t="s">
        <v>953</v>
      </c>
      <c r="C24" s="129" t="s">
        <v>954</v>
      </c>
      <c r="D24" s="129" t="s">
        <v>955</v>
      </c>
      <c r="E24" s="129" t="s">
        <v>956</v>
      </c>
      <c r="F24" s="129" t="s">
        <v>957</v>
      </c>
      <c r="G24" s="129" t="s">
        <v>958</v>
      </c>
      <c r="H24" s="129" t="s">
        <v>959</v>
      </c>
      <c r="I24" s="129" t="e" cm="1">
        <f t="array" aca="1" ref="I24:T24" ca="1">TRANSPOSE(_xlfn.SORTBY(_xlfn._xlws.FILTER(Table3[NOME FÍSICO CAMPO],Table3[NOME FÍSICO TABELA]="debit_card"), _xlfn._xlws.FILTER(Table3[ORDEM], Table3[NOME FÍSICO TABELA]="debit_card"), 1))</f>
        <v>#NAME?</v>
      </c>
      <c r="J24" s="129" t="e">
        <f ca="1"/>
        <v>#NAME?</v>
      </c>
      <c r="K24" s="129" t="e">
        <f ca="1"/>
        <v>#NAME?</v>
      </c>
      <c r="L24" s="129" t="e">
        <f ca="1"/>
        <v>#NAME?</v>
      </c>
      <c r="M24" s="129" t="e">
        <f ca="1"/>
        <v>#NAME?</v>
      </c>
      <c r="N24" s="129" t="e">
        <f ca="1"/>
        <v>#NAME?</v>
      </c>
      <c r="O24" s="129" t="e">
        <f ca="1"/>
        <v>#NAME?</v>
      </c>
      <c r="P24" s="129" t="e">
        <f ca="1"/>
        <v>#NAME?</v>
      </c>
      <c r="Q24" s="129" t="e">
        <f ca="1"/>
        <v>#NAME?</v>
      </c>
      <c r="R24" s="129" t="e">
        <f ca="1"/>
        <v>#NAME?</v>
      </c>
      <c r="S24" s="129" t="e">
        <f ca="1"/>
        <v>#NAME?</v>
      </c>
      <c r="T24" t="e">
        <f ca="1"/>
        <v>#NAME?</v>
      </c>
    </row>
    <row r="25" spans="2:20">
      <c r="B25" s="107" t="s">
        <v>998</v>
      </c>
      <c r="C25" s="110">
        <v>21</v>
      </c>
      <c r="D25" s="104" t="s">
        <v>999</v>
      </c>
      <c r="E25" s="103" t="s">
        <v>1000</v>
      </c>
      <c r="F25" s="103" t="s">
        <v>206</v>
      </c>
      <c r="G25" s="103" t="s">
        <v>206</v>
      </c>
      <c r="H25" s="103" t="s">
        <v>206</v>
      </c>
      <c r="I25" s="103" t="e" cm="1">
        <f t="array" aca="1" ref="I25:T26" ca="1">TRANSPOSE(_xlfn.SORTBY(_xlfn._xlws.FILTER(IF(Table3[FORMATO]:Table3[COMP_ CAMPO]&lt;&gt;"",Table3[FORMATO]:Table3[COMP_ CAMPO],9999999),Table3[NOME FÍSICO TABELA]="debit_card"), _xlfn._xlws.FILTER(Table3[ORDEM], Table3[NOME FÍSICO TABELA]="debit_card"), 1))</f>
        <v>#NAME?</v>
      </c>
      <c r="J25" s="103" t="e">
        <f ca="1"/>
        <v>#NAME?</v>
      </c>
      <c r="K25" s="103" t="e">
        <f ca="1"/>
        <v>#NAME?</v>
      </c>
      <c r="L25" s="103" t="e">
        <f ca="1"/>
        <v>#NAME?</v>
      </c>
      <c r="M25" s="103" t="e">
        <f ca="1"/>
        <v>#NAME?</v>
      </c>
      <c r="N25" s="103" t="e">
        <f ca="1"/>
        <v>#NAME?</v>
      </c>
      <c r="O25" s="103" t="e">
        <f ca="1"/>
        <v>#NAME?</v>
      </c>
      <c r="P25" s="103" t="e">
        <f ca="1"/>
        <v>#NAME?</v>
      </c>
      <c r="Q25" s="103" t="e">
        <f ca="1"/>
        <v>#NAME?</v>
      </c>
      <c r="R25" s="103" t="e">
        <f ca="1"/>
        <v>#NAME?</v>
      </c>
      <c r="S25" s="103" t="e">
        <f ca="1"/>
        <v>#NAME?</v>
      </c>
      <c r="T25" t="e">
        <f ca="1"/>
        <v>#NAME?</v>
      </c>
    </row>
    <row r="26" spans="2:20">
      <c r="B26" s="107" t="s">
        <v>1001</v>
      </c>
      <c r="C26" s="110">
        <v>7</v>
      </c>
      <c r="D26" s="104" t="s">
        <v>999</v>
      </c>
      <c r="E26" s="103" t="s">
        <v>1000</v>
      </c>
      <c r="F26" s="105" t="s">
        <v>206</v>
      </c>
      <c r="G26" s="105" t="s">
        <v>206</v>
      </c>
      <c r="H26" s="105" t="s">
        <v>206</v>
      </c>
      <c r="I26" s="151" t="e">
        <f ca="1"/>
        <v>#NAME?</v>
      </c>
      <c r="J26" s="151" t="e">
        <f ca="1"/>
        <v>#NAME?</v>
      </c>
      <c r="K26" s="151" t="e">
        <f ca="1"/>
        <v>#NAME?</v>
      </c>
      <c r="L26" s="151" t="e">
        <f ca="1"/>
        <v>#NAME?</v>
      </c>
      <c r="M26" s="151" t="e">
        <f ca="1"/>
        <v>#NAME?</v>
      </c>
      <c r="N26" s="151" t="e">
        <f ca="1"/>
        <v>#NAME?</v>
      </c>
      <c r="O26" s="151" t="e">
        <f ca="1"/>
        <v>#NAME?</v>
      </c>
      <c r="P26" s="151" t="e">
        <f ca="1"/>
        <v>#NAME?</v>
      </c>
      <c r="Q26" s="151" t="e">
        <f ca="1"/>
        <v>#NAME?</v>
      </c>
      <c r="R26" s="151" t="e">
        <f ca="1"/>
        <v>#NAME?</v>
      </c>
      <c r="S26" s="151" t="e">
        <f ca="1"/>
        <v>#NAME?</v>
      </c>
      <c r="T26" t="e">
        <f ca="1"/>
        <v>#NAME?</v>
      </c>
    </row>
    <row r="28" spans="2:20">
      <c r="B28" s="140" t="s">
        <v>1002</v>
      </c>
    </row>
    <row r="29" spans="2:20">
      <c r="B29" s="134" t="s">
        <v>1003</v>
      </c>
      <c r="C29" s="134" t="s">
        <v>1004</v>
      </c>
      <c r="D29" s="135" t="s">
        <v>1005</v>
      </c>
      <c r="E29" s="134" t="s">
        <v>1006</v>
      </c>
      <c r="F29" s="134" t="s">
        <v>1007</v>
      </c>
    </row>
    <row r="30" spans="2:20">
      <c r="B30" s="118"/>
      <c r="C30" s="117"/>
      <c r="D30" s="123"/>
      <c r="E30" s="146"/>
      <c r="F30" s="136"/>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U30"/>
  <sheetViews>
    <sheetView showGridLines="0" topLeftCell="A13" workbookViewId="0">
      <selection activeCell="G19" sqref="G19"/>
    </sheetView>
  </sheetViews>
  <sheetFormatPr defaultRowHeight="14.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s>
  <sheetData>
    <row r="1" spans="2:21" ht="26.25" customHeight="1"/>
    <row r="2" spans="2:21">
      <c r="B2" s="76" t="s">
        <v>953</v>
      </c>
      <c r="C2" s="76" t="s">
        <v>954</v>
      </c>
      <c r="D2" s="76" t="s">
        <v>955</v>
      </c>
      <c r="E2" s="76" t="s">
        <v>956</v>
      </c>
      <c r="F2" s="76" t="s">
        <v>957</v>
      </c>
      <c r="G2" s="76" t="s">
        <v>958</v>
      </c>
      <c r="H2" s="76" t="s">
        <v>959</v>
      </c>
      <c r="I2" s="129" t="s">
        <v>102</v>
      </c>
      <c r="J2" s="129" t="s">
        <v>496</v>
      </c>
      <c r="K2" s="129" t="s">
        <v>116</v>
      </c>
      <c r="L2" s="129" t="s">
        <v>121</v>
      </c>
      <c r="M2" s="129" t="s">
        <v>127</v>
      </c>
      <c r="N2" s="129" t="s">
        <v>132</v>
      </c>
      <c r="O2" s="129" t="s">
        <v>135</v>
      </c>
      <c r="P2" s="129" t="s">
        <v>138</v>
      </c>
      <c r="Q2" s="129" t="s">
        <v>144</v>
      </c>
      <c r="R2" s="129" t="s">
        <v>149</v>
      </c>
      <c r="S2" s="129" t="s">
        <v>503</v>
      </c>
      <c r="T2" t="s">
        <v>208</v>
      </c>
      <c r="U2" t="s">
        <v>213</v>
      </c>
    </row>
    <row r="3" spans="2:21">
      <c r="B3" s="50" t="s">
        <v>907</v>
      </c>
      <c r="C3" s="50">
        <v>1</v>
      </c>
      <c r="D3" s="50" t="s">
        <v>1564</v>
      </c>
      <c r="E3" s="95">
        <v>45490</v>
      </c>
      <c r="F3" s="50">
        <v>1</v>
      </c>
      <c r="G3" s="192">
        <v>1</v>
      </c>
      <c r="H3" s="224">
        <v>759069</v>
      </c>
      <c r="I3" s="50" t="s">
        <v>961</v>
      </c>
      <c r="J3" s="50" t="s">
        <v>961</v>
      </c>
      <c r="K3" s="50" t="s">
        <v>961</v>
      </c>
      <c r="L3" s="50" t="s">
        <v>961</v>
      </c>
      <c r="M3" s="50" t="s">
        <v>961</v>
      </c>
      <c r="N3" s="50" t="s">
        <v>961</v>
      </c>
      <c r="O3" s="50" t="s">
        <v>961</v>
      </c>
      <c r="P3" s="50" t="s">
        <v>961</v>
      </c>
      <c r="Q3" s="50" t="s">
        <v>961</v>
      </c>
      <c r="R3" s="50" t="s">
        <v>961</v>
      </c>
      <c r="S3" s="50" t="s">
        <v>961</v>
      </c>
      <c r="T3" s="50" t="s">
        <v>961</v>
      </c>
      <c r="U3" s="50" t="s">
        <v>961</v>
      </c>
    </row>
    <row r="4" spans="2:21">
      <c r="B4" s="50" t="s">
        <v>909</v>
      </c>
      <c r="C4" s="50">
        <v>2</v>
      </c>
      <c r="D4" s="50" t="s">
        <v>1565</v>
      </c>
      <c r="E4" s="95">
        <v>45490</v>
      </c>
      <c r="F4" s="50">
        <v>1</v>
      </c>
      <c r="G4" s="192">
        <v>1</v>
      </c>
      <c r="H4" s="184">
        <v>0</v>
      </c>
      <c r="I4" s="50" t="s">
        <v>961</v>
      </c>
      <c r="J4" s="50" t="s">
        <v>961</v>
      </c>
      <c r="K4" s="50" t="s">
        <v>961</v>
      </c>
      <c r="L4" s="50" t="s">
        <v>961</v>
      </c>
      <c r="M4" s="50" t="s">
        <v>961</v>
      </c>
      <c r="N4" s="50" t="s">
        <v>961</v>
      </c>
      <c r="O4" s="50" t="s">
        <v>961</v>
      </c>
      <c r="P4" s="50" t="s">
        <v>961</v>
      </c>
      <c r="Q4" s="50" t="s">
        <v>961</v>
      </c>
      <c r="R4" s="50" t="s">
        <v>961</v>
      </c>
      <c r="S4" s="50" t="s">
        <v>961</v>
      </c>
      <c r="T4" s="50" t="s">
        <v>961</v>
      </c>
      <c r="U4" s="50" t="s">
        <v>961</v>
      </c>
    </row>
    <row r="5" spans="2:21">
      <c r="B5" s="50" t="s">
        <v>911</v>
      </c>
      <c r="C5" s="50">
        <v>3</v>
      </c>
      <c r="D5" s="50" t="s">
        <v>1566</v>
      </c>
      <c r="E5" s="95">
        <v>45490</v>
      </c>
      <c r="F5" s="50">
        <v>1</v>
      </c>
      <c r="G5" s="192">
        <v>1</v>
      </c>
      <c r="H5" s="184">
        <v>0</v>
      </c>
      <c r="I5" s="50">
        <v>0</v>
      </c>
      <c r="J5" s="50">
        <v>0</v>
      </c>
      <c r="K5" s="50" t="s">
        <v>961</v>
      </c>
      <c r="L5" s="50" t="s">
        <v>961</v>
      </c>
      <c r="M5" s="50" t="s">
        <v>961</v>
      </c>
      <c r="N5" s="50" t="s">
        <v>961</v>
      </c>
      <c r="O5" s="50" t="s">
        <v>961</v>
      </c>
      <c r="P5" s="50" t="s">
        <v>961</v>
      </c>
      <c r="Q5" s="50" t="s">
        <v>961</v>
      </c>
      <c r="R5" s="50" t="s">
        <v>961</v>
      </c>
      <c r="S5" s="50" t="s">
        <v>961</v>
      </c>
      <c r="T5" s="50">
        <v>0</v>
      </c>
      <c r="U5" s="50" t="s">
        <v>961</v>
      </c>
    </row>
    <row r="6" spans="2:21">
      <c r="B6" s="97" t="s">
        <v>913</v>
      </c>
      <c r="C6" s="50">
        <v>4</v>
      </c>
      <c r="D6" s="50" t="s">
        <v>964</v>
      </c>
      <c r="E6" s="95" t="s">
        <v>961</v>
      </c>
      <c r="F6" s="50">
        <v>1</v>
      </c>
      <c r="G6" s="95" t="s">
        <v>961</v>
      </c>
      <c r="H6" s="184" t="s">
        <v>961</v>
      </c>
      <c r="I6" s="50" t="s">
        <v>961</v>
      </c>
      <c r="J6" s="50" t="s">
        <v>961</v>
      </c>
      <c r="K6" s="50" t="s">
        <v>961</v>
      </c>
      <c r="L6" s="50" t="s">
        <v>961</v>
      </c>
      <c r="M6" s="50" t="s">
        <v>961</v>
      </c>
      <c r="N6" s="50" t="s">
        <v>961</v>
      </c>
      <c r="O6" s="50" t="s">
        <v>961</v>
      </c>
      <c r="P6" s="50" t="s">
        <v>961</v>
      </c>
      <c r="Q6" s="50" t="s">
        <v>961</v>
      </c>
      <c r="R6" s="50" t="s">
        <v>961</v>
      </c>
      <c r="S6" s="50" t="s">
        <v>961</v>
      </c>
      <c r="T6" s="50" t="s">
        <v>961</v>
      </c>
      <c r="U6" s="50" t="s">
        <v>961</v>
      </c>
    </row>
    <row r="7" spans="2:21">
      <c r="B7" s="50" t="s">
        <v>915</v>
      </c>
      <c r="C7" s="50">
        <v>5</v>
      </c>
      <c r="D7" s="50" t="s">
        <v>964</v>
      </c>
      <c r="E7" s="95" t="s">
        <v>961</v>
      </c>
      <c r="F7" s="50">
        <v>1</v>
      </c>
      <c r="G7" s="95" t="s">
        <v>961</v>
      </c>
      <c r="H7" s="184" t="s">
        <v>961</v>
      </c>
      <c r="I7" s="50" t="s">
        <v>961</v>
      </c>
      <c r="J7" s="50" t="s">
        <v>961</v>
      </c>
      <c r="K7" s="50" t="s">
        <v>961</v>
      </c>
      <c r="L7" s="50" t="s">
        <v>961</v>
      </c>
      <c r="M7" s="50" t="s">
        <v>961</v>
      </c>
      <c r="N7" s="50" t="s">
        <v>961</v>
      </c>
      <c r="O7" s="50" t="s">
        <v>961</v>
      </c>
      <c r="P7" s="50" t="s">
        <v>961</v>
      </c>
      <c r="Q7" s="50" t="s">
        <v>961</v>
      </c>
      <c r="R7" s="50" t="s">
        <v>961</v>
      </c>
      <c r="S7" s="50" t="s">
        <v>961</v>
      </c>
      <c r="T7" s="50" t="s">
        <v>961</v>
      </c>
      <c r="U7" s="50" t="s">
        <v>961</v>
      </c>
    </row>
    <row r="8" spans="2:21">
      <c r="B8" s="97" t="s">
        <v>916</v>
      </c>
      <c r="C8" s="50">
        <v>6</v>
      </c>
      <c r="D8" s="50" t="s">
        <v>1567</v>
      </c>
      <c r="E8" s="95">
        <v>45490</v>
      </c>
      <c r="F8" s="50">
        <v>1</v>
      </c>
      <c r="G8" s="192" cm="1">
        <f t="array" ref="G8">SUMPRODUCT(--(I8:U8&gt;0))/COUNTA(I8:U8)</f>
        <v>1</v>
      </c>
      <c r="H8" s="184">
        <v>0</v>
      </c>
      <c r="I8" s="50">
        <v>2</v>
      </c>
      <c r="J8" s="50">
        <v>15</v>
      </c>
      <c r="K8" s="50">
        <v>3</v>
      </c>
      <c r="L8" s="50">
        <v>3</v>
      </c>
      <c r="M8" s="50">
        <v>3</v>
      </c>
      <c r="N8" s="50">
        <v>2</v>
      </c>
      <c r="O8" s="50">
        <v>30</v>
      </c>
      <c r="P8" s="50">
        <v>10</v>
      </c>
      <c r="Q8" s="50">
        <v>10</v>
      </c>
      <c r="R8" s="50">
        <v>3</v>
      </c>
      <c r="S8" s="50">
        <v>3</v>
      </c>
      <c r="T8" s="50">
        <v>10</v>
      </c>
      <c r="U8" s="50">
        <v>23</v>
      </c>
    </row>
    <row r="9" spans="2:21">
      <c r="B9" s="50" t="s">
        <v>919</v>
      </c>
      <c r="C9" s="50">
        <v>7</v>
      </c>
      <c r="D9" s="50" t="s">
        <v>1568</v>
      </c>
      <c r="E9" s="95">
        <v>45490</v>
      </c>
      <c r="F9" s="50">
        <v>1</v>
      </c>
      <c r="G9" s="192" t="e" cm="1">
        <f t="array" aca="1" ref="G9" ca="1">SUMPRODUCT(--(I9:U9&lt;=I26:U26))/COUNTA(I26:U26)</f>
        <v>#NAME?</v>
      </c>
      <c r="H9" s="184">
        <v>0</v>
      </c>
      <c r="I9" s="50">
        <v>2</v>
      </c>
      <c r="J9" s="50">
        <v>15</v>
      </c>
      <c r="K9" s="50">
        <v>3</v>
      </c>
      <c r="L9" s="50">
        <v>3</v>
      </c>
      <c r="M9" s="50">
        <v>3</v>
      </c>
      <c r="N9" s="50">
        <v>2</v>
      </c>
      <c r="O9" s="50">
        <v>30</v>
      </c>
      <c r="P9" s="50">
        <v>10</v>
      </c>
      <c r="Q9" s="50">
        <v>10</v>
      </c>
      <c r="R9" s="50">
        <v>3</v>
      </c>
      <c r="S9" s="50">
        <v>3</v>
      </c>
      <c r="T9" s="50">
        <v>10</v>
      </c>
      <c r="U9" s="50">
        <v>23</v>
      </c>
    </row>
    <row r="10" spans="2:21">
      <c r="B10" s="50" t="s">
        <v>922</v>
      </c>
      <c r="C10" s="50">
        <v>8</v>
      </c>
      <c r="D10" s="50" t="s">
        <v>1569</v>
      </c>
      <c r="E10" s="95">
        <v>45490</v>
      </c>
      <c r="F10" s="50">
        <v>1</v>
      </c>
      <c r="G10" s="95" t="s">
        <v>961</v>
      </c>
      <c r="H10" s="184">
        <v>0</v>
      </c>
      <c r="I10" s="50">
        <v>31</v>
      </c>
      <c r="J10" s="50">
        <v>1100827510011</v>
      </c>
      <c r="K10" s="50" t="s">
        <v>1039</v>
      </c>
      <c r="L10" s="50">
        <v>11</v>
      </c>
      <c r="M10" s="50" t="s">
        <v>1570</v>
      </c>
      <c r="N10" s="50">
        <v>31</v>
      </c>
      <c r="O10" s="50">
        <v>2.079771E+21</v>
      </c>
      <c r="P10" s="95">
        <v>35711</v>
      </c>
      <c r="Q10" s="95">
        <v>2958465</v>
      </c>
      <c r="R10" s="95">
        <v>978</v>
      </c>
      <c r="S10" s="98" t="s">
        <v>1039</v>
      </c>
      <c r="T10" s="95">
        <v>45490</v>
      </c>
      <c r="U10" s="50" t="s">
        <v>1571</v>
      </c>
    </row>
    <row r="11" spans="2:21">
      <c r="B11" s="50" t="s">
        <v>924</v>
      </c>
      <c r="C11" s="50">
        <v>9</v>
      </c>
      <c r="D11" s="50" t="s">
        <v>1572</v>
      </c>
      <c r="E11" s="95">
        <v>45490</v>
      </c>
      <c r="F11" s="50">
        <v>1</v>
      </c>
      <c r="G11" s="95" t="s">
        <v>961</v>
      </c>
      <c r="H11" s="184">
        <v>0</v>
      </c>
      <c r="I11" s="50">
        <v>31</v>
      </c>
      <c r="J11" s="50">
        <v>1100827510011</v>
      </c>
      <c r="K11" s="50">
        <v>31</v>
      </c>
      <c r="L11" s="50">
        <v>11</v>
      </c>
      <c r="M11" s="50" t="s">
        <v>1570</v>
      </c>
      <c r="N11" s="95">
        <v>31</v>
      </c>
      <c r="O11" s="50">
        <v>2.079771E+21</v>
      </c>
      <c r="P11" s="95">
        <v>35711</v>
      </c>
      <c r="Q11" s="95">
        <v>2958465</v>
      </c>
      <c r="R11" s="95">
        <v>978</v>
      </c>
      <c r="S11" s="50">
        <v>0</v>
      </c>
      <c r="T11" s="95">
        <v>45490</v>
      </c>
      <c r="U11" s="50" t="s">
        <v>1573</v>
      </c>
    </row>
    <row r="12" spans="2:21">
      <c r="B12" s="97" t="s">
        <v>926</v>
      </c>
      <c r="C12" s="50">
        <v>10</v>
      </c>
      <c r="D12" s="50" t="s">
        <v>1574</v>
      </c>
      <c r="E12" s="95">
        <v>45490</v>
      </c>
      <c r="F12" s="50">
        <v>1</v>
      </c>
      <c r="G12" s="95" t="s">
        <v>961</v>
      </c>
      <c r="H12" s="184">
        <v>0</v>
      </c>
      <c r="I12" s="50">
        <v>31</v>
      </c>
      <c r="J12" s="184">
        <v>5131651710011</v>
      </c>
      <c r="K12" s="50" t="s">
        <v>1039</v>
      </c>
      <c r="L12" s="50">
        <v>11</v>
      </c>
      <c r="M12" s="95" t="s">
        <v>1575</v>
      </c>
      <c r="N12" s="50">
        <v>31</v>
      </c>
      <c r="O12" s="98">
        <v>9.9999999999999903E+29</v>
      </c>
      <c r="P12" s="192">
        <v>45491</v>
      </c>
      <c r="Q12" s="95">
        <v>2958465</v>
      </c>
      <c r="R12" s="95">
        <v>978</v>
      </c>
      <c r="S12" s="157" t="s">
        <v>1039</v>
      </c>
      <c r="T12" s="95">
        <v>45490</v>
      </c>
      <c r="U12" s="50" t="s">
        <v>1571</v>
      </c>
    </row>
    <row r="13" spans="2:21">
      <c r="B13" s="50" t="s">
        <v>928</v>
      </c>
      <c r="C13" s="50">
        <v>11</v>
      </c>
      <c r="D13" s="50" t="s">
        <v>1576</v>
      </c>
      <c r="E13" s="95">
        <v>45490</v>
      </c>
      <c r="F13" s="50">
        <v>1</v>
      </c>
      <c r="G13" s="95" t="s">
        <v>961</v>
      </c>
      <c r="H13" s="184">
        <v>0</v>
      </c>
      <c r="I13" s="50">
        <v>31</v>
      </c>
      <c r="J13" s="184">
        <v>5131651710011</v>
      </c>
      <c r="K13" s="50">
        <v>31</v>
      </c>
      <c r="L13" s="50">
        <v>11</v>
      </c>
      <c r="M13" s="95" t="s">
        <v>1575</v>
      </c>
      <c r="N13" s="95">
        <v>31</v>
      </c>
      <c r="O13" s="50">
        <v>9.9999999999999903E+29</v>
      </c>
      <c r="P13" s="95">
        <v>45491</v>
      </c>
      <c r="Q13" s="95">
        <v>2958465</v>
      </c>
      <c r="R13" s="95">
        <v>978</v>
      </c>
      <c r="S13" s="50">
        <v>4</v>
      </c>
      <c r="T13" s="95">
        <v>45490</v>
      </c>
      <c r="U13" s="50" t="s">
        <v>1577</v>
      </c>
    </row>
    <row r="14" spans="2:21">
      <c r="B14" s="50" t="s">
        <v>930</v>
      </c>
      <c r="C14" s="50">
        <v>12</v>
      </c>
      <c r="D14" s="50" t="s">
        <v>1578</v>
      </c>
      <c r="E14" s="95">
        <v>45490</v>
      </c>
      <c r="F14" s="50">
        <v>1</v>
      </c>
      <c r="G14" s="192">
        <v>1</v>
      </c>
      <c r="H14" s="184">
        <v>0</v>
      </c>
      <c r="I14" s="50">
        <v>0</v>
      </c>
      <c r="J14" s="50">
        <v>0</v>
      </c>
      <c r="K14" s="50">
        <v>0</v>
      </c>
      <c r="L14" s="50">
        <v>0</v>
      </c>
      <c r="M14" s="50">
        <v>0</v>
      </c>
      <c r="N14" s="50">
        <v>0</v>
      </c>
      <c r="O14" s="50">
        <v>0</v>
      </c>
      <c r="P14" s="50">
        <v>0</v>
      </c>
      <c r="Q14" s="50">
        <v>0</v>
      </c>
      <c r="R14" s="50">
        <v>0</v>
      </c>
      <c r="S14" s="50">
        <v>0</v>
      </c>
      <c r="T14" s="50">
        <v>0</v>
      </c>
      <c r="U14" s="50">
        <v>0</v>
      </c>
    </row>
    <row r="15" spans="2:21">
      <c r="B15" s="50" t="s">
        <v>932</v>
      </c>
      <c r="C15" s="50">
        <v>13</v>
      </c>
      <c r="D15" s="50" t="s">
        <v>1579</v>
      </c>
      <c r="E15" s="95">
        <v>45490</v>
      </c>
      <c r="F15" s="50">
        <v>1</v>
      </c>
      <c r="G15" s="192">
        <v>1</v>
      </c>
      <c r="H15" s="184">
        <v>0</v>
      </c>
      <c r="I15" s="50" t="s">
        <v>961</v>
      </c>
      <c r="J15" s="50" t="s">
        <v>961</v>
      </c>
      <c r="K15" s="50" t="s">
        <v>961</v>
      </c>
      <c r="L15" s="50" t="s">
        <v>961</v>
      </c>
      <c r="M15" s="50" t="s">
        <v>961</v>
      </c>
      <c r="N15" s="50" t="s">
        <v>961</v>
      </c>
      <c r="O15" s="50" t="s">
        <v>961</v>
      </c>
      <c r="P15" s="50">
        <v>0</v>
      </c>
      <c r="Q15" s="50">
        <v>0</v>
      </c>
      <c r="R15" s="50" t="s">
        <v>961</v>
      </c>
      <c r="S15" s="50" t="s">
        <v>961</v>
      </c>
      <c r="T15" s="50" t="s">
        <v>961</v>
      </c>
      <c r="U15" s="50" t="s">
        <v>961</v>
      </c>
    </row>
    <row r="16" spans="2:21">
      <c r="B16" s="50" t="s">
        <v>934</v>
      </c>
      <c r="C16" s="50">
        <v>14</v>
      </c>
      <c r="D16" s="50" t="s">
        <v>1580</v>
      </c>
      <c r="E16" s="95">
        <v>45490</v>
      </c>
      <c r="F16" s="50">
        <v>1</v>
      </c>
      <c r="G16" s="192">
        <v>1</v>
      </c>
      <c r="H16" s="184">
        <v>0</v>
      </c>
      <c r="I16" s="50">
        <v>0</v>
      </c>
      <c r="J16" s="50">
        <v>0</v>
      </c>
      <c r="K16" s="50">
        <v>0</v>
      </c>
      <c r="L16" s="50">
        <v>0</v>
      </c>
      <c r="M16" s="50">
        <v>0</v>
      </c>
      <c r="N16" s="50">
        <v>0</v>
      </c>
      <c r="O16" s="50">
        <v>0</v>
      </c>
      <c r="P16" s="50" t="s">
        <v>961</v>
      </c>
      <c r="Q16" s="50" t="s">
        <v>961</v>
      </c>
      <c r="R16" s="50">
        <v>0</v>
      </c>
      <c r="S16" s="50">
        <v>0</v>
      </c>
      <c r="T16" s="50" t="s">
        <v>961</v>
      </c>
      <c r="U16" s="50" t="s">
        <v>961</v>
      </c>
    </row>
    <row r="17" spans="2:21">
      <c r="B17" s="50" t="s">
        <v>936</v>
      </c>
      <c r="C17" s="50">
        <v>15</v>
      </c>
      <c r="D17" s="50" t="s">
        <v>1581</v>
      </c>
      <c r="E17" s="95">
        <v>45490</v>
      </c>
      <c r="F17" s="50">
        <v>1</v>
      </c>
      <c r="G17" s="192">
        <v>1</v>
      </c>
      <c r="H17" s="184">
        <v>0</v>
      </c>
      <c r="I17" s="50" t="s">
        <v>961</v>
      </c>
      <c r="J17" s="50" t="s">
        <v>961</v>
      </c>
      <c r="K17" s="50" t="s">
        <v>961</v>
      </c>
      <c r="L17" s="50" t="s">
        <v>961</v>
      </c>
      <c r="M17" s="50" t="s">
        <v>961</v>
      </c>
      <c r="N17" s="50" t="s">
        <v>961</v>
      </c>
      <c r="O17" s="50" t="s">
        <v>961</v>
      </c>
      <c r="P17" s="50" t="s">
        <v>961</v>
      </c>
      <c r="Q17" s="50" t="s">
        <v>961</v>
      </c>
      <c r="R17" s="50" t="s">
        <v>961</v>
      </c>
      <c r="S17" s="50" t="s">
        <v>961</v>
      </c>
      <c r="T17" s="50" t="s">
        <v>961</v>
      </c>
      <c r="U17" s="50" t="s">
        <v>961</v>
      </c>
    </row>
    <row r="18" spans="2:21">
      <c r="B18" s="50" t="s">
        <v>938</v>
      </c>
      <c r="C18" s="50">
        <v>16</v>
      </c>
      <c r="D18" s="50" t="s">
        <v>1581</v>
      </c>
      <c r="E18" s="95">
        <v>45490</v>
      </c>
      <c r="F18" s="50">
        <v>1</v>
      </c>
      <c r="G18" s="192">
        <v>1</v>
      </c>
      <c r="H18" s="184">
        <v>0</v>
      </c>
      <c r="I18" s="50" t="s">
        <v>961</v>
      </c>
      <c r="J18" s="50" t="s">
        <v>961</v>
      </c>
      <c r="K18" s="50" t="s">
        <v>961</v>
      </c>
      <c r="L18" s="50" t="s">
        <v>961</v>
      </c>
      <c r="M18" s="50" t="s">
        <v>961</v>
      </c>
      <c r="N18" s="50" t="s">
        <v>961</v>
      </c>
      <c r="O18" s="50" t="s">
        <v>961</v>
      </c>
      <c r="P18" s="50" t="s">
        <v>961</v>
      </c>
      <c r="Q18" s="50" t="s">
        <v>961</v>
      </c>
      <c r="R18" s="50" t="s">
        <v>961</v>
      </c>
      <c r="S18" s="50" t="s">
        <v>961</v>
      </c>
      <c r="T18" s="50" t="s">
        <v>961</v>
      </c>
      <c r="U18" s="50" t="s">
        <v>961</v>
      </c>
    </row>
    <row r="19" spans="2:21">
      <c r="B19" s="50" t="s">
        <v>944</v>
      </c>
      <c r="C19" s="50">
        <v>19</v>
      </c>
      <c r="D19" s="50" t="s">
        <v>1582</v>
      </c>
      <c r="E19" s="95">
        <v>45490</v>
      </c>
      <c r="F19" s="50">
        <v>1</v>
      </c>
      <c r="G19" s="192" cm="1">
        <f t="array" aca="1" ref="G19" ca="1">SUMPRODUCT(--(ISNUMBER((SEARCH(I25:U25,I19:U19)))))/COUNTA(I19:U19)</f>
        <v>0</v>
      </c>
      <c r="H19" s="184">
        <v>0</v>
      </c>
      <c r="I19" s="50" t="s">
        <v>995</v>
      </c>
      <c r="J19" s="50" t="s">
        <v>995</v>
      </c>
      <c r="K19" s="50" t="s">
        <v>995</v>
      </c>
      <c r="L19" s="50" t="s">
        <v>995</v>
      </c>
      <c r="M19" s="50" t="s">
        <v>995</v>
      </c>
      <c r="N19" s="50" t="s">
        <v>995</v>
      </c>
      <c r="O19" s="50" t="s">
        <v>995</v>
      </c>
      <c r="P19" s="50" t="s">
        <v>995</v>
      </c>
      <c r="Q19" s="50" t="s">
        <v>995</v>
      </c>
      <c r="R19" s="50" t="s">
        <v>995</v>
      </c>
      <c r="S19" s="50" t="s">
        <v>995</v>
      </c>
      <c r="T19" s="50" t="s">
        <v>995</v>
      </c>
      <c r="U19" s="50" t="s">
        <v>997</v>
      </c>
    </row>
    <row r="20" spans="2:21">
      <c r="B20" s="50" t="s">
        <v>947</v>
      </c>
      <c r="C20" s="50">
        <v>20</v>
      </c>
      <c r="D20" s="50" t="s">
        <v>1582</v>
      </c>
      <c r="E20" s="95">
        <v>45490</v>
      </c>
      <c r="F20" s="50">
        <v>1</v>
      </c>
      <c r="G20" s="192" t="e" cm="1">
        <f t="array" aca="1" ref="G20" ca="1">SUM(IF(I2:S2 = I24:S24, 1, 0))/ COUNTA(I2:S2)</f>
        <v>#NAME?</v>
      </c>
      <c r="H20" s="50" t="s">
        <v>961</v>
      </c>
      <c r="I20" s="50"/>
      <c r="J20" s="50"/>
      <c r="K20" s="50"/>
      <c r="L20" s="50"/>
      <c r="M20" s="50"/>
      <c r="N20" s="50"/>
      <c r="O20" s="50"/>
      <c r="P20" s="50"/>
      <c r="Q20" s="50"/>
      <c r="R20" s="50"/>
      <c r="S20" s="50"/>
      <c r="T20" s="50"/>
      <c r="U20" s="50"/>
    </row>
    <row r="21" spans="2:21">
      <c r="B21" s="50" t="s">
        <v>950</v>
      </c>
      <c r="C21" s="50">
        <v>21</v>
      </c>
      <c r="D21" s="50" t="s">
        <v>1582</v>
      </c>
      <c r="E21" s="95">
        <v>45490</v>
      </c>
      <c r="F21" s="50">
        <v>1</v>
      </c>
      <c r="G21" s="192" t="e" cm="1">
        <f t="array" aca="1" ref="G21" ca="1">SUM(IF(IF(G3:G20="null",1,G3:G20)=1,1,0))/COUNT(IF(G3:G20="null",1,1))</f>
        <v>#NAME?</v>
      </c>
      <c r="H21" s="50" t="s">
        <v>961</v>
      </c>
      <c r="I21" s="50"/>
      <c r="J21" s="50"/>
      <c r="K21" s="50"/>
      <c r="L21" s="50"/>
      <c r="M21" s="50"/>
      <c r="N21" s="50"/>
      <c r="O21" s="50"/>
      <c r="P21" s="50"/>
      <c r="Q21" s="50"/>
      <c r="R21" s="50"/>
      <c r="S21" s="50"/>
      <c r="T21" s="50"/>
      <c r="U21" s="50"/>
    </row>
    <row r="22" spans="2:21">
      <c r="B22" s="50"/>
      <c r="C22" s="50"/>
      <c r="D22" s="50"/>
      <c r="E22" s="95"/>
      <c r="F22" s="50"/>
      <c r="G22" s="50"/>
      <c r="H22" s="50"/>
      <c r="I22" s="50"/>
      <c r="J22" s="50"/>
      <c r="K22" s="50"/>
      <c r="L22" s="50"/>
      <c r="M22" s="50"/>
      <c r="N22" s="50"/>
      <c r="O22" s="50"/>
      <c r="P22" s="50"/>
      <c r="Q22" s="50"/>
      <c r="R22" s="50"/>
      <c r="S22" s="50"/>
    </row>
    <row r="23" spans="2:21">
      <c r="B23" s="130" t="s">
        <v>1067</v>
      </c>
    </row>
    <row r="24" spans="2:21">
      <c r="B24" s="128" t="s">
        <v>953</v>
      </c>
      <c r="C24" s="129" t="s">
        <v>954</v>
      </c>
      <c r="D24" s="129" t="s">
        <v>955</v>
      </c>
      <c r="E24" s="129" t="s">
        <v>956</v>
      </c>
      <c r="F24" s="129" t="s">
        <v>957</v>
      </c>
      <c r="G24" s="129" t="s">
        <v>958</v>
      </c>
      <c r="H24" s="129" t="s">
        <v>959</v>
      </c>
      <c r="I24" s="129" t="e" cm="1">
        <f t="array" aca="1" ref="I24:U24" ca="1">TRANSPOSE(_xlfn.SORTBY(_xlfn._xlws.FILTER(Table3[NOME FÍSICO CAMPO],Table3[NOME FÍSICO TABELA]="credit_card_account"), _xlfn._xlws.FILTER(Table3[ORDEM], Table3[NOME FÍSICO TABELA]="credit_card_account"), 1))</f>
        <v>#NAME?</v>
      </c>
      <c r="J24" s="129" t="e">
        <f ca="1"/>
        <v>#NAME?</v>
      </c>
      <c r="K24" s="129" t="e">
        <f ca="1"/>
        <v>#NAME?</v>
      </c>
      <c r="L24" s="129" t="e">
        <f ca="1"/>
        <v>#NAME?</v>
      </c>
      <c r="M24" s="129" t="e">
        <f ca="1"/>
        <v>#NAME?</v>
      </c>
      <c r="N24" s="129" t="e">
        <f ca="1"/>
        <v>#NAME?</v>
      </c>
      <c r="O24" s="129" t="e">
        <f ca="1"/>
        <v>#NAME?</v>
      </c>
      <c r="P24" s="129" t="e">
        <f ca="1"/>
        <v>#NAME?</v>
      </c>
      <c r="Q24" s="129" t="e">
        <f ca="1"/>
        <v>#NAME?</v>
      </c>
      <c r="R24" s="129" t="e">
        <f ca="1"/>
        <v>#NAME?</v>
      </c>
      <c r="S24" s="129" t="e">
        <f ca="1"/>
        <v>#NAME?</v>
      </c>
      <c r="T24" s="129" t="e">
        <f ca="1"/>
        <v>#NAME?</v>
      </c>
      <c r="U24" s="129" t="e">
        <f ca="1"/>
        <v>#NAME?</v>
      </c>
    </row>
    <row r="25" spans="2:21">
      <c r="B25" s="107" t="s">
        <v>998</v>
      </c>
      <c r="C25" s="110">
        <v>21</v>
      </c>
      <c r="D25" s="104" t="s">
        <v>999</v>
      </c>
      <c r="E25" s="103" t="s">
        <v>1000</v>
      </c>
      <c r="F25" s="103" t="s">
        <v>206</v>
      </c>
      <c r="G25" s="103" t="s">
        <v>206</v>
      </c>
      <c r="H25" s="103" t="s">
        <v>206</v>
      </c>
      <c r="I25" s="103" t="e" cm="1">
        <f t="array" aca="1" ref="I25:U26" ca="1">TRANSPOSE(_xlfn.SORTBY(_xlfn._xlws.FILTER(IF(Table3[FORMATO]:Table3[COMP_ CAMPO]&lt;&gt;"",Table3[FORMATO]:Table3[COMP_ CAMPO],9999999),Table3[NOME FÍSICO TABELA]="credit_card_account"), _xlfn._xlws.FILTER(Table3[ORDEM], Table3[NOME FÍSICO TABELA]="credit_card_account"), 1))</f>
        <v>#NAME?</v>
      </c>
      <c r="J25" s="103" t="e">
        <f ca="1"/>
        <v>#NAME?</v>
      </c>
      <c r="K25" s="103" t="e">
        <f ca="1"/>
        <v>#NAME?</v>
      </c>
      <c r="L25" s="103" t="e">
        <f ca="1"/>
        <v>#NAME?</v>
      </c>
      <c r="M25" s="103" t="e">
        <f ca="1"/>
        <v>#NAME?</v>
      </c>
      <c r="N25" s="103" t="e">
        <f ca="1"/>
        <v>#NAME?</v>
      </c>
      <c r="O25" s="103" t="e">
        <f ca="1"/>
        <v>#NAME?</v>
      </c>
      <c r="P25" s="103" t="e">
        <f ca="1"/>
        <v>#NAME?</v>
      </c>
      <c r="Q25" s="103" t="e">
        <f ca="1"/>
        <v>#NAME?</v>
      </c>
      <c r="R25" s="103" t="e">
        <f ca="1"/>
        <v>#NAME?</v>
      </c>
      <c r="S25" s="103" t="e">
        <f ca="1"/>
        <v>#NAME?</v>
      </c>
      <c r="T25" s="103" t="e">
        <f ca="1"/>
        <v>#NAME?</v>
      </c>
      <c r="U25" s="103" t="e">
        <f ca="1"/>
        <v>#NAME?</v>
      </c>
    </row>
    <row r="26" spans="2:21">
      <c r="B26" s="107" t="s">
        <v>1001</v>
      </c>
      <c r="C26" s="110">
        <v>7</v>
      </c>
      <c r="D26" s="104" t="s">
        <v>999</v>
      </c>
      <c r="E26" s="103" t="s">
        <v>1000</v>
      </c>
      <c r="F26" s="105" t="s">
        <v>206</v>
      </c>
      <c r="G26" s="105" t="s">
        <v>206</v>
      </c>
      <c r="H26" s="105" t="s">
        <v>206</v>
      </c>
      <c r="I26" s="151" t="e">
        <f ca="1"/>
        <v>#NAME?</v>
      </c>
      <c r="J26" s="151" t="e">
        <f ca="1"/>
        <v>#NAME?</v>
      </c>
      <c r="K26" s="151" t="e">
        <f ca="1"/>
        <v>#NAME?</v>
      </c>
      <c r="L26" s="151" t="e">
        <f ca="1"/>
        <v>#NAME?</v>
      </c>
      <c r="M26" s="151" t="e">
        <f ca="1"/>
        <v>#NAME?</v>
      </c>
      <c r="N26" s="151" t="e">
        <f ca="1"/>
        <v>#NAME?</v>
      </c>
      <c r="O26" s="151" t="e">
        <f ca="1"/>
        <v>#NAME?</v>
      </c>
      <c r="P26" s="151" t="e">
        <f ca="1"/>
        <v>#NAME?</v>
      </c>
      <c r="Q26" s="151" t="e">
        <f ca="1"/>
        <v>#NAME?</v>
      </c>
      <c r="R26" s="151" t="e">
        <f ca="1"/>
        <v>#NAME?</v>
      </c>
      <c r="S26" s="151" t="e">
        <f ca="1"/>
        <v>#NAME?</v>
      </c>
      <c r="T26" s="151" t="e">
        <f ca="1"/>
        <v>#NAME?</v>
      </c>
      <c r="U26" s="151" t="e">
        <f ca="1"/>
        <v>#NAME?</v>
      </c>
    </row>
    <row r="28" spans="2:21">
      <c r="B28" s="140" t="s">
        <v>1002</v>
      </c>
    </row>
    <row r="29" spans="2:21">
      <c r="B29" s="134" t="s">
        <v>1003</v>
      </c>
      <c r="C29" s="134" t="s">
        <v>1004</v>
      </c>
      <c r="D29" s="135" t="s">
        <v>1005</v>
      </c>
      <c r="E29" s="134" t="s">
        <v>1006</v>
      </c>
      <c r="F29" s="134" t="s">
        <v>1007</v>
      </c>
    </row>
    <row r="30" spans="2:21">
      <c r="B30" s="118"/>
      <c r="C30" s="117"/>
      <c r="D30" s="123"/>
      <c r="E30" s="146"/>
      <c r="F30" s="136"/>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X30"/>
  <sheetViews>
    <sheetView showGridLines="0" topLeftCell="A25" workbookViewId="0">
      <selection activeCell="G18" sqref="G18"/>
    </sheetView>
  </sheetViews>
  <sheetFormatPr defaultRowHeight="14.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 min="24" max="24" width="25.1796875" customWidth="1"/>
  </cols>
  <sheetData>
    <row r="1" spans="2:23" ht="26.25" customHeight="1"/>
    <row r="2" spans="2:23">
      <c r="B2" s="76" t="s">
        <v>953</v>
      </c>
      <c r="C2" s="76" t="s">
        <v>954</v>
      </c>
      <c r="D2" s="76" t="s">
        <v>955</v>
      </c>
      <c r="E2" s="76" t="s">
        <v>956</v>
      </c>
      <c r="F2" s="76" t="s">
        <v>957</v>
      </c>
      <c r="G2" s="76" t="s">
        <v>958</v>
      </c>
      <c r="H2" s="76" t="s">
        <v>959</v>
      </c>
      <c r="I2" s="129" t="s">
        <v>102</v>
      </c>
      <c r="J2" s="129" t="s">
        <v>112</v>
      </c>
      <c r="K2" s="129" t="s">
        <v>116</v>
      </c>
      <c r="L2" s="129" t="s">
        <v>121</v>
      </c>
      <c r="M2" s="129" t="s">
        <v>127</v>
      </c>
      <c r="N2" s="129" t="s">
        <v>132</v>
      </c>
      <c r="O2" s="129" t="s">
        <v>135</v>
      </c>
      <c r="P2" s="129" t="s">
        <v>138</v>
      </c>
      <c r="Q2" s="129" t="s">
        <v>144</v>
      </c>
      <c r="R2" s="129" t="s">
        <v>149</v>
      </c>
      <c r="S2" t="s">
        <v>190</v>
      </c>
      <c r="T2" t="s">
        <v>196</v>
      </c>
      <c r="U2" s="76" t="s">
        <v>202</v>
      </c>
      <c r="V2" s="76" t="s">
        <v>208</v>
      </c>
      <c r="W2" s="76" t="s">
        <v>213</v>
      </c>
    </row>
    <row r="3" spans="2:23">
      <c r="B3" s="50" t="s">
        <v>907</v>
      </c>
      <c r="C3" s="50">
        <v>1</v>
      </c>
      <c r="D3" s="50" t="s">
        <v>1583</v>
      </c>
      <c r="E3" s="95">
        <v>45492</v>
      </c>
      <c r="F3" s="50">
        <v>1</v>
      </c>
      <c r="G3" s="192">
        <v>1</v>
      </c>
      <c r="H3" s="190">
        <v>2843480</v>
      </c>
      <c r="I3" s="50" t="s">
        <v>961</v>
      </c>
      <c r="J3" s="50" t="s">
        <v>961</v>
      </c>
      <c r="K3" s="50" t="s">
        <v>961</v>
      </c>
      <c r="L3" s="50" t="s">
        <v>961</v>
      </c>
      <c r="M3" s="50" t="s">
        <v>961</v>
      </c>
      <c r="N3" s="50" t="s">
        <v>961</v>
      </c>
      <c r="O3" s="50" t="s">
        <v>961</v>
      </c>
      <c r="P3" s="50" t="s">
        <v>961</v>
      </c>
      <c r="Q3" s="50" t="s">
        <v>961</v>
      </c>
      <c r="R3" s="50" t="s">
        <v>961</v>
      </c>
      <c r="S3" s="50" t="s">
        <v>961</v>
      </c>
      <c r="T3" s="50" t="s">
        <v>961</v>
      </c>
      <c r="U3" s="50" t="s">
        <v>961</v>
      </c>
      <c r="V3" s="50" t="s">
        <v>961</v>
      </c>
      <c r="W3" s="50" t="s">
        <v>961</v>
      </c>
    </row>
    <row r="4" spans="2:23">
      <c r="B4" s="50" t="s">
        <v>909</v>
      </c>
      <c r="C4" s="50">
        <v>2</v>
      </c>
      <c r="D4" s="50" t="s">
        <v>1584</v>
      </c>
      <c r="E4" s="95">
        <v>45492</v>
      </c>
      <c r="F4" s="50">
        <v>1</v>
      </c>
      <c r="G4" s="192">
        <v>1</v>
      </c>
      <c r="H4" s="50">
        <v>0</v>
      </c>
      <c r="I4" s="50" t="s">
        <v>961</v>
      </c>
      <c r="J4" s="50" t="s">
        <v>961</v>
      </c>
      <c r="K4" s="50" t="s">
        <v>961</v>
      </c>
      <c r="L4" s="50" t="s">
        <v>961</v>
      </c>
      <c r="M4" s="50" t="s">
        <v>961</v>
      </c>
      <c r="N4" s="50" t="s">
        <v>961</v>
      </c>
      <c r="O4" s="50" t="s">
        <v>961</v>
      </c>
      <c r="P4" s="50" t="s">
        <v>961</v>
      </c>
      <c r="Q4" s="50" t="s">
        <v>961</v>
      </c>
      <c r="R4" s="50" t="s">
        <v>961</v>
      </c>
      <c r="S4" s="50" t="s">
        <v>961</v>
      </c>
      <c r="T4" s="50" t="s">
        <v>961</v>
      </c>
      <c r="U4" s="50" t="s">
        <v>961</v>
      </c>
      <c r="V4" s="50" t="s">
        <v>961</v>
      </c>
      <c r="W4" s="50" t="s">
        <v>961</v>
      </c>
    </row>
    <row r="5" spans="2:23">
      <c r="B5" s="50" t="s">
        <v>911</v>
      </c>
      <c r="C5" s="50">
        <v>3</v>
      </c>
      <c r="D5" s="50" t="s">
        <v>1585</v>
      </c>
      <c r="E5" s="95">
        <v>45492</v>
      </c>
      <c r="F5" s="50">
        <v>1</v>
      </c>
      <c r="G5" s="192">
        <v>1</v>
      </c>
      <c r="H5" s="50">
        <v>0</v>
      </c>
      <c r="I5" s="50">
        <v>0</v>
      </c>
      <c r="J5" s="50">
        <v>0</v>
      </c>
      <c r="K5" s="50" t="s">
        <v>961</v>
      </c>
      <c r="L5" s="50" t="s">
        <v>961</v>
      </c>
      <c r="M5" s="50" t="s">
        <v>961</v>
      </c>
      <c r="N5" s="50" t="s">
        <v>961</v>
      </c>
      <c r="O5" s="50" t="s">
        <v>961</v>
      </c>
      <c r="P5" s="50" t="s">
        <v>961</v>
      </c>
      <c r="Q5" s="50" t="s">
        <v>961</v>
      </c>
      <c r="R5" s="50" t="s">
        <v>961</v>
      </c>
      <c r="S5" s="50" t="s">
        <v>961</v>
      </c>
      <c r="T5" s="50" t="s">
        <v>961</v>
      </c>
      <c r="U5" s="50" t="s">
        <v>961</v>
      </c>
      <c r="V5" s="50">
        <v>0</v>
      </c>
      <c r="W5" s="50" t="s">
        <v>961</v>
      </c>
    </row>
    <row r="6" spans="2:23">
      <c r="B6" s="97" t="s">
        <v>913</v>
      </c>
      <c r="C6" s="50">
        <v>4</v>
      </c>
      <c r="D6" s="50" t="s">
        <v>964</v>
      </c>
      <c r="E6" s="95" t="s">
        <v>961</v>
      </c>
      <c r="F6" s="50">
        <v>1</v>
      </c>
      <c r="G6" s="50" t="s">
        <v>961</v>
      </c>
      <c r="H6" s="50" t="s">
        <v>961</v>
      </c>
      <c r="I6" s="50" t="s">
        <v>961</v>
      </c>
      <c r="J6" s="50" t="s">
        <v>961</v>
      </c>
      <c r="K6" s="50" t="s">
        <v>961</v>
      </c>
      <c r="L6" s="50" t="s">
        <v>961</v>
      </c>
      <c r="M6" s="50" t="s">
        <v>961</v>
      </c>
      <c r="N6" s="50" t="s">
        <v>961</v>
      </c>
      <c r="O6" s="50" t="s">
        <v>961</v>
      </c>
      <c r="P6" s="50" t="s">
        <v>961</v>
      </c>
      <c r="Q6" s="50" t="s">
        <v>961</v>
      </c>
      <c r="R6" s="50" t="s">
        <v>961</v>
      </c>
      <c r="S6" s="50" t="s">
        <v>961</v>
      </c>
      <c r="T6" s="50" t="s">
        <v>961</v>
      </c>
      <c r="U6" s="50" t="s">
        <v>961</v>
      </c>
      <c r="V6" s="50" t="s">
        <v>961</v>
      </c>
      <c r="W6" s="50" t="s">
        <v>961</v>
      </c>
    </row>
    <row r="7" spans="2:23">
      <c r="B7" s="50" t="s">
        <v>915</v>
      </c>
      <c r="C7" s="50">
        <v>5</v>
      </c>
      <c r="D7" s="50" t="s">
        <v>964</v>
      </c>
      <c r="E7" s="95" t="s">
        <v>961</v>
      </c>
      <c r="F7" s="50">
        <v>1</v>
      </c>
      <c r="G7" s="50" t="s">
        <v>961</v>
      </c>
      <c r="H7" s="50" t="s">
        <v>961</v>
      </c>
      <c r="I7" s="50" t="s">
        <v>961</v>
      </c>
      <c r="J7" s="50" t="s">
        <v>961</v>
      </c>
      <c r="K7" s="50" t="s">
        <v>961</v>
      </c>
      <c r="L7" s="50" t="s">
        <v>961</v>
      </c>
      <c r="M7" s="50" t="s">
        <v>961</v>
      </c>
      <c r="N7" s="50" t="s">
        <v>961</v>
      </c>
      <c r="O7" s="50" t="s">
        <v>961</v>
      </c>
      <c r="P7" s="50" t="s">
        <v>961</v>
      </c>
      <c r="Q7" s="50" t="s">
        <v>961</v>
      </c>
      <c r="R7" s="50" t="s">
        <v>961</v>
      </c>
      <c r="S7" s="50" t="s">
        <v>961</v>
      </c>
      <c r="T7" s="50" t="s">
        <v>961</v>
      </c>
      <c r="U7" s="50" t="s">
        <v>961</v>
      </c>
      <c r="V7" s="50" t="s">
        <v>961</v>
      </c>
      <c r="W7" s="50" t="s">
        <v>961</v>
      </c>
    </row>
    <row r="8" spans="2:23">
      <c r="B8" s="97" t="s">
        <v>916</v>
      </c>
      <c r="C8" s="50">
        <v>6</v>
      </c>
      <c r="D8" s="50" t="s">
        <v>1586</v>
      </c>
      <c r="E8" s="95">
        <v>45492</v>
      </c>
      <c r="F8" s="50">
        <v>1</v>
      </c>
      <c r="G8" s="19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919</v>
      </c>
      <c r="C9" s="50">
        <v>7</v>
      </c>
      <c r="D9" s="50" t="s">
        <v>1587</v>
      </c>
      <c r="E9" s="95">
        <v>45492</v>
      </c>
      <c r="F9" s="50">
        <v>1</v>
      </c>
      <c r="G9" s="192" t="e" cm="1">
        <f t="array" aca="1" ref="G9" ca="1">SUMPRODUCT(--(I9:W9&lt;=I26:W26))/COUNTA(I26:W26)</f>
        <v>#NAME?</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922</v>
      </c>
      <c r="C10" s="50">
        <v>8</v>
      </c>
      <c r="D10" s="50" t="s">
        <v>1588</v>
      </c>
      <c r="E10" s="95">
        <v>45492</v>
      </c>
      <c r="F10" s="50">
        <v>1</v>
      </c>
      <c r="G10" s="50" t="s">
        <v>961</v>
      </c>
      <c r="H10" s="50">
        <v>0</v>
      </c>
      <c r="I10" s="50">
        <v>31</v>
      </c>
      <c r="J10" s="50">
        <v>1104388490010</v>
      </c>
      <c r="K10" s="50" t="s">
        <v>1039</v>
      </c>
      <c r="L10" s="50">
        <v>10</v>
      </c>
      <c r="M10" s="50">
        <v>10</v>
      </c>
      <c r="N10" s="50">
        <v>31</v>
      </c>
      <c r="O10" s="50">
        <v>0</v>
      </c>
      <c r="P10" s="95">
        <v>37403</v>
      </c>
      <c r="Q10" s="95">
        <v>2958465</v>
      </c>
      <c r="R10" s="95">
        <v>978</v>
      </c>
      <c r="S10" s="50" t="s">
        <v>1039</v>
      </c>
      <c r="T10" s="50" t="s">
        <v>1039</v>
      </c>
      <c r="U10" s="95" t="s">
        <v>1092</v>
      </c>
      <c r="V10" s="95">
        <v>45492</v>
      </c>
      <c r="W10" s="50" t="s">
        <v>1589</v>
      </c>
    </row>
    <row r="11" spans="2:23">
      <c r="B11" s="50" t="s">
        <v>924</v>
      </c>
      <c r="C11" s="50">
        <v>9</v>
      </c>
      <c r="D11" s="50" t="s">
        <v>1590</v>
      </c>
      <c r="E11" s="95">
        <v>45492</v>
      </c>
      <c r="F11" s="50">
        <v>1</v>
      </c>
      <c r="G11" s="50" t="s">
        <v>961</v>
      </c>
      <c r="H11" s="50">
        <v>0</v>
      </c>
      <c r="I11" s="50">
        <v>31</v>
      </c>
      <c r="J11" s="50">
        <v>1104388490010</v>
      </c>
      <c r="K11" s="50">
        <v>31</v>
      </c>
      <c r="L11" s="50">
        <v>10</v>
      </c>
      <c r="M11" s="50">
        <v>10</v>
      </c>
      <c r="N11" s="95">
        <v>31</v>
      </c>
      <c r="O11" s="50">
        <v>0</v>
      </c>
      <c r="P11" s="95">
        <v>37403</v>
      </c>
      <c r="Q11" s="95">
        <v>2958465</v>
      </c>
      <c r="R11" s="95">
        <v>978</v>
      </c>
      <c r="S11" s="50">
        <v>0</v>
      </c>
      <c r="T11" s="50" t="s">
        <v>1591</v>
      </c>
      <c r="U11" s="95" t="s">
        <v>1092</v>
      </c>
      <c r="V11" s="95">
        <v>45492</v>
      </c>
      <c r="W11" s="50" t="s">
        <v>1592</v>
      </c>
    </row>
    <row r="12" spans="2:23">
      <c r="B12" s="97" t="s">
        <v>926</v>
      </c>
      <c r="C12" s="50">
        <v>10</v>
      </c>
      <c r="D12" s="50" t="s">
        <v>1593</v>
      </c>
      <c r="E12" s="95">
        <v>45492</v>
      </c>
      <c r="F12" s="50">
        <v>1</v>
      </c>
      <c r="G12" s="50" t="s">
        <v>961</v>
      </c>
      <c r="H12" s="50">
        <v>0</v>
      </c>
      <c r="I12" s="50">
        <v>31</v>
      </c>
      <c r="J12" s="184">
        <v>5131680060010</v>
      </c>
      <c r="K12" s="50" t="s">
        <v>1039</v>
      </c>
      <c r="L12" s="50">
        <v>11</v>
      </c>
      <c r="M12" s="95" t="s">
        <v>1594</v>
      </c>
      <c r="N12" s="50">
        <v>31</v>
      </c>
      <c r="O12" s="98">
        <v>999999999999999</v>
      </c>
      <c r="P12" s="192">
        <v>45495</v>
      </c>
      <c r="Q12" s="95">
        <v>2958465</v>
      </c>
      <c r="R12" s="95">
        <v>978</v>
      </c>
      <c r="S12" s="50" t="s">
        <v>1039</v>
      </c>
      <c r="T12" s="50" t="s">
        <v>1039</v>
      </c>
      <c r="U12" s="95" t="s">
        <v>1092</v>
      </c>
      <c r="V12" s="95">
        <v>45492</v>
      </c>
      <c r="W12" s="50" t="s">
        <v>1589</v>
      </c>
    </row>
    <row r="13" spans="2:23">
      <c r="B13" s="50" t="s">
        <v>928</v>
      </c>
      <c r="C13" s="50">
        <v>11</v>
      </c>
      <c r="D13" s="50" t="s">
        <v>1595</v>
      </c>
      <c r="E13" s="95">
        <v>45492</v>
      </c>
      <c r="F13" s="50">
        <v>1</v>
      </c>
      <c r="G13" s="50" t="s">
        <v>961</v>
      </c>
      <c r="H13" s="50">
        <v>0</v>
      </c>
      <c r="I13" s="50">
        <v>31</v>
      </c>
      <c r="J13" s="184">
        <v>5131680060010</v>
      </c>
      <c r="K13" s="50">
        <v>31</v>
      </c>
      <c r="L13" s="50">
        <v>11</v>
      </c>
      <c r="M13" s="95" t="s">
        <v>1594</v>
      </c>
      <c r="N13" s="95">
        <v>31</v>
      </c>
      <c r="O13" s="50">
        <v>999999999999999</v>
      </c>
      <c r="P13" s="95">
        <v>45495</v>
      </c>
      <c r="Q13" s="95">
        <v>2958465</v>
      </c>
      <c r="R13" s="95">
        <v>978</v>
      </c>
      <c r="S13" s="50">
        <v>0</v>
      </c>
      <c r="T13" s="50" t="s">
        <v>1596</v>
      </c>
      <c r="U13" s="95" t="s">
        <v>1092</v>
      </c>
      <c r="V13" s="95">
        <v>45492</v>
      </c>
      <c r="W13" s="50" t="s">
        <v>1597</v>
      </c>
    </row>
    <row r="14" spans="2:23">
      <c r="B14" s="50" t="s">
        <v>930</v>
      </c>
      <c r="C14" s="50">
        <v>12</v>
      </c>
      <c r="D14" s="50" t="s">
        <v>1598</v>
      </c>
      <c r="E14" s="95">
        <v>45492</v>
      </c>
      <c r="F14" s="50">
        <v>1</v>
      </c>
      <c r="G14" s="19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932</v>
      </c>
      <c r="C15" s="50">
        <v>13</v>
      </c>
      <c r="D15" s="50" t="s">
        <v>1599</v>
      </c>
      <c r="E15" s="95">
        <v>45492</v>
      </c>
      <c r="F15" s="50">
        <v>1</v>
      </c>
      <c r="G15" s="192">
        <v>1</v>
      </c>
      <c r="H15" s="50">
        <v>0</v>
      </c>
      <c r="I15" s="50" t="s">
        <v>961</v>
      </c>
      <c r="J15" s="50" t="s">
        <v>961</v>
      </c>
      <c r="K15" s="50" t="s">
        <v>961</v>
      </c>
      <c r="L15" s="50" t="s">
        <v>961</v>
      </c>
      <c r="M15" s="50" t="s">
        <v>961</v>
      </c>
      <c r="N15" s="50" t="s">
        <v>961</v>
      </c>
      <c r="O15" s="50" t="s">
        <v>961</v>
      </c>
      <c r="P15" s="50">
        <v>0</v>
      </c>
      <c r="Q15" s="50">
        <v>0</v>
      </c>
      <c r="R15" s="50" t="s">
        <v>961</v>
      </c>
      <c r="S15" s="50" t="s">
        <v>961</v>
      </c>
      <c r="T15" s="50" t="s">
        <v>961</v>
      </c>
      <c r="U15" s="50" t="s">
        <v>961</v>
      </c>
      <c r="V15" s="50" t="s">
        <v>961</v>
      </c>
      <c r="W15" s="50" t="s">
        <v>961</v>
      </c>
    </row>
    <row r="16" spans="2:23">
      <c r="B16" s="50" t="s">
        <v>934</v>
      </c>
      <c r="C16" s="50">
        <v>14</v>
      </c>
      <c r="D16" s="50" t="s">
        <v>1600</v>
      </c>
      <c r="E16" s="95">
        <v>45492</v>
      </c>
      <c r="F16" s="50">
        <v>1</v>
      </c>
      <c r="G16" s="192">
        <v>1</v>
      </c>
      <c r="H16" s="50">
        <v>0</v>
      </c>
      <c r="I16" s="50">
        <v>0</v>
      </c>
      <c r="J16" s="50">
        <v>0</v>
      </c>
      <c r="K16" s="50">
        <v>0</v>
      </c>
      <c r="L16" s="50">
        <v>0</v>
      </c>
      <c r="M16" s="50">
        <v>0</v>
      </c>
      <c r="N16" s="50">
        <v>0</v>
      </c>
      <c r="O16" s="50">
        <v>0</v>
      </c>
      <c r="P16" s="50" t="s">
        <v>961</v>
      </c>
      <c r="Q16" s="50" t="s">
        <v>961</v>
      </c>
      <c r="R16" s="50">
        <v>0</v>
      </c>
      <c r="S16" s="50">
        <v>0</v>
      </c>
      <c r="T16" s="50">
        <v>0</v>
      </c>
      <c r="U16" s="50">
        <v>0</v>
      </c>
      <c r="V16" s="50" t="s">
        <v>961</v>
      </c>
      <c r="W16" s="50" t="s">
        <v>961</v>
      </c>
    </row>
    <row r="17" spans="2:24">
      <c r="B17" s="50" t="s">
        <v>936</v>
      </c>
      <c r="C17" s="50">
        <v>15</v>
      </c>
      <c r="D17" s="50" t="s">
        <v>1601</v>
      </c>
      <c r="E17" s="95">
        <v>45492</v>
      </c>
      <c r="F17" s="50">
        <v>1</v>
      </c>
      <c r="G17" s="192">
        <v>1</v>
      </c>
      <c r="H17" s="50">
        <v>0</v>
      </c>
      <c r="I17" s="50" t="s">
        <v>961</v>
      </c>
      <c r="J17" s="50" t="s">
        <v>961</v>
      </c>
      <c r="K17" s="50" t="s">
        <v>961</v>
      </c>
      <c r="L17" s="50" t="s">
        <v>961</v>
      </c>
      <c r="M17" s="50" t="s">
        <v>961</v>
      </c>
      <c r="N17" s="50" t="s">
        <v>961</v>
      </c>
      <c r="O17" s="50" t="s">
        <v>961</v>
      </c>
      <c r="P17" s="50" t="s">
        <v>961</v>
      </c>
      <c r="Q17" s="50" t="s">
        <v>961</v>
      </c>
      <c r="R17" s="50" t="s">
        <v>961</v>
      </c>
      <c r="S17" s="50" t="s">
        <v>961</v>
      </c>
      <c r="T17" s="50" t="s">
        <v>961</v>
      </c>
      <c r="U17" s="50" t="s">
        <v>961</v>
      </c>
      <c r="V17" s="50" t="s">
        <v>961</v>
      </c>
      <c r="W17" s="50" t="s">
        <v>961</v>
      </c>
    </row>
    <row r="18" spans="2:24">
      <c r="B18" s="50" t="s">
        <v>938</v>
      </c>
      <c r="C18" s="50">
        <v>16</v>
      </c>
      <c r="D18" s="50" t="s">
        <v>1601</v>
      </c>
      <c r="E18" s="95">
        <v>45492</v>
      </c>
      <c r="F18" s="50">
        <v>1</v>
      </c>
      <c r="G18" s="192">
        <v>1</v>
      </c>
      <c r="H18" s="50">
        <v>0</v>
      </c>
      <c r="I18" s="50" t="s">
        <v>961</v>
      </c>
      <c r="J18" s="50" t="s">
        <v>961</v>
      </c>
      <c r="K18" s="50" t="s">
        <v>961</v>
      </c>
      <c r="L18" s="50" t="s">
        <v>961</v>
      </c>
      <c r="M18" s="50" t="s">
        <v>961</v>
      </c>
      <c r="N18" s="50" t="s">
        <v>961</v>
      </c>
      <c r="O18" s="50" t="s">
        <v>961</v>
      </c>
      <c r="P18" s="50" t="s">
        <v>961</v>
      </c>
      <c r="Q18" s="50" t="s">
        <v>961</v>
      </c>
      <c r="R18" s="50" t="s">
        <v>961</v>
      </c>
      <c r="S18" s="50" t="s">
        <v>961</v>
      </c>
      <c r="T18" s="50" t="s">
        <v>961</v>
      </c>
      <c r="U18" s="50" t="s">
        <v>961</v>
      </c>
      <c r="V18" s="50" t="s">
        <v>961</v>
      </c>
      <c r="W18" s="50" t="s">
        <v>961</v>
      </c>
    </row>
    <row r="19" spans="2:24">
      <c r="B19" s="50" t="s">
        <v>944</v>
      </c>
      <c r="C19" s="50">
        <v>19</v>
      </c>
      <c r="D19" s="50" t="s">
        <v>1602</v>
      </c>
      <c r="E19" s="95">
        <v>45492</v>
      </c>
      <c r="F19" s="50">
        <v>1</v>
      </c>
      <c r="G19" s="192" t="e" cm="1">
        <f t="array" aca="1" ref="G19" ca="1">SUM(IF(I2:V2 = I24:V24, 1, 0))/ COUNTA(I2:V2)</f>
        <v>#NAME?</v>
      </c>
      <c r="H19" s="50" t="s">
        <v>961</v>
      </c>
      <c r="I19" s="50" t="s">
        <v>995</v>
      </c>
      <c r="J19" s="50" t="s">
        <v>995</v>
      </c>
      <c r="K19" s="50" t="s">
        <v>995</v>
      </c>
      <c r="L19" s="50" t="s">
        <v>995</v>
      </c>
      <c r="M19" s="50" t="s">
        <v>995</v>
      </c>
      <c r="N19" s="50" t="s">
        <v>995</v>
      </c>
      <c r="O19" s="50" t="s">
        <v>995</v>
      </c>
      <c r="P19" s="50" t="s">
        <v>995</v>
      </c>
      <c r="Q19" s="50" t="s">
        <v>995</v>
      </c>
      <c r="R19" s="50" t="s">
        <v>995</v>
      </c>
      <c r="S19" s="50" t="s">
        <v>995</v>
      </c>
      <c r="T19" s="50" t="s">
        <v>995</v>
      </c>
      <c r="U19" s="50" t="s">
        <v>995</v>
      </c>
      <c r="V19" s="50" t="s">
        <v>995</v>
      </c>
      <c r="W19" s="50" t="s">
        <v>997</v>
      </c>
    </row>
    <row r="20" spans="2:24">
      <c r="B20" s="50" t="s">
        <v>947</v>
      </c>
      <c r="C20" s="50">
        <v>20</v>
      </c>
      <c r="D20" s="50" t="s">
        <v>1603</v>
      </c>
      <c r="E20" s="95">
        <v>45492</v>
      </c>
      <c r="F20" s="50">
        <v>1</v>
      </c>
      <c r="G20" s="192" t="e" cm="1">
        <f t="array" aca="1" ref="G20" ca="1">SUM(IF(I2:W2 = I24:W24, 1, 0))/ COUNTA(I2:W2)</f>
        <v>#NAME?</v>
      </c>
      <c r="H20" s="50" t="s">
        <v>961</v>
      </c>
      <c r="I20" s="50"/>
      <c r="J20" s="50"/>
      <c r="K20" s="50"/>
      <c r="L20" s="50"/>
      <c r="M20" s="50"/>
      <c r="N20" s="50"/>
      <c r="O20" s="50"/>
      <c r="P20" s="50"/>
      <c r="Q20" s="50"/>
      <c r="R20" s="50"/>
      <c r="S20" s="50"/>
      <c r="T20" s="50"/>
      <c r="U20" s="50"/>
      <c r="V20" s="50"/>
      <c r="W20" s="50"/>
    </row>
    <row r="21" spans="2:24">
      <c r="B21" s="50" t="s">
        <v>950</v>
      </c>
      <c r="C21" s="50">
        <v>21</v>
      </c>
      <c r="D21" s="50" t="s">
        <v>1604</v>
      </c>
      <c r="E21" s="95">
        <v>45492</v>
      </c>
      <c r="F21" s="50">
        <v>1</v>
      </c>
      <c r="G21" s="192" t="e" cm="1">
        <f t="array" aca="1" ref="G21" ca="1">SUM(IF(IF(G3:G20="null",1,G3:G20)=1,1,0))/COUNT(IF(G3:G20="null",1,1))</f>
        <v>#NAME?</v>
      </c>
      <c r="H21" s="50" t="s">
        <v>961</v>
      </c>
      <c r="I21" s="50"/>
      <c r="J21" s="50"/>
      <c r="K21" s="50"/>
      <c r="L21" s="50"/>
      <c r="M21" s="50"/>
      <c r="N21" s="50"/>
      <c r="O21" s="50"/>
      <c r="P21" s="50"/>
      <c r="Q21" s="50"/>
      <c r="R21" s="50"/>
      <c r="S21" s="50"/>
      <c r="T21" s="50"/>
      <c r="U21" s="50"/>
      <c r="V21" s="50"/>
      <c r="W21" s="50"/>
    </row>
    <row r="22" spans="2:24">
      <c r="B22" s="50"/>
      <c r="C22" s="50"/>
      <c r="D22" s="50"/>
      <c r="E22" s="95"/>
      <c r="F22" s="50"/>
      <c r="G22" s="50"/>
      <c r="H22" s="50"/>
      <c r="I22" s="50"/>
      <c r="J22" s="50"/>
      <c r="K22" s="50"/>
      <c r="L22" s="50"/>
      <c r="M22" s="50"/>
      <c r="N22" s="50"/>
      <c r="O22" s="50"/>
      <c r="P22" s="50"/>
      <c r="Q22" s="50"/>
      <c r="R22" s="50"/>
      <c r="S22" s="50"/>
    </row>
    <row r="23" spans="2:24">
      <c r="B23" s="130" t="s">
        <v>1067</v>
      </c>
    </row>
    <row r="24" spans="2:24">
      <c r="B24" s="128" t="s">
        <v>953</v>
      </c>
      <c r="C24" s="129" t="s">
        <v>954</v>
      </c>
      <c r="D24" s="129" t="s">
        <v>955</v>
      </c>
      <c r="E24" s="129" t="s">
        <v>956</v>
      </c>
      <c r="F24" s="129" t="s">
        <v>957</v>
      </c>
      <c r="G24" s="129" t="s">
        <v>958</v>
      </c>
      <c r="H24" s="129" t="s">
        <v>959</v>
      </c>
      <c r="I24" s="129" t="e" cm="1">
        <f t="array" aca="1" ref="I24:W24" ca="1">TRANSPOSE(_xlfn.SORTBY(_xlfn._xlws.FILTER(Table3[NOME FÍSICO CAMPO],Table3[NOME FÍSICO TABELA]="prepaid_card_account"), _xlfn._xlws.FILTER(Table3[ORDEM], Table3[NOME FÍSICO TABELA]="prepaid_card_account"), 1))</f>
        <v>#NAME?</v>
      </c>
      <c r="J24" s="129" t="e">
        <f ca="1"/>
        <v>#NAME?</v>
      </c>
      <c r="K24" s="129" t="e">
        <f ca="1"/>
        <v>#NAME?</v>
      </c>
      <c r="L24" s="129" t="e">
        <f ca="1"/>
        <v>#NAME?</v>
      </c>
      <c r="M24" s="129" t="e">
        <f ca="1"/>
        <v>#NAME?</v>
      </c>
      <c r="N24" s="129" t="e">
        <f ca="1"/>
        <v>#NAME?</v>
      </c>
      <c r="O24" s="129" t="e">
        <f ca="1"/>
        <v>#NAME?</v>
      </c>
      <c r="P24" s="129" t="e">
        <f ca="1"/>
        <v>#NAME?</v>
      </c>
      <c r="Q24" s="129" t="e">
        <f ca="1"/>
        <v>#NAME?</v>
      </c>
      <c r="R24" s="129" t="e">
        <f ca="1"/>
        <v>#NAME?</v>
      </c>
      <c r="S24" s="129" t="e">
        <f ca="1"/>
        <v>#NAME?</v>
      </c>
      <c r="T24" s="129" t="e">
        <f ca="1"/>
        <v>#NAME?</v>
      </c>
      <c r="U24" s="129" t="e">
        <f ca="1"/>
        <v>#NAME?</v>
      </c>
      <c r="V24" s="129" t="e">
        <f ca="1"/>
        <v>#NAME?</v>
      </c>
      <c r="W24" s="126" t="e">
        <f ca="1"/>
        <v>#NAME?</v>
      </c>
      <c r="X24" s="216"/>
    </row>
    <row r="25" spans="2:24">
      <c r="B25" s="107" t="s">
        <v>998</v>
      </c>
      <c r="C25" s="110">
        <v>21</v>
      </c>
      <c r="D25" s="104" t="s">
        <v>999</v>
      </c>
      <c r="E25" s="103" t="s">
        <v>1000</v>
      </c>
      <c r="F25" s="103" t="s">
        <v>206</v>
      </c>
      <c r="G25" s="103" t="s">
        <v>206</v>
      </c>
      <c r="H25" s="103" t="s">
        <v>206</v>
      </c>
      <c r="I25" s="103" t="e" cm="1">
        <f t="array" aca="1" ref="I25:W26" ca="1">TRANSPOSE(_xlfn.SORTBY(_xlfn._xlws.FILTER(IF(Table3[FORMATO]:Table3[COMP_ CAMPO]&lt;&gt;"",Table3[FORMATO]:Table3[COMP_ CAMPO],9999999),Table3[NOME FÍSICO TABELA]="prepaid_card_account"), _xlfn._xlws.FILTER(Table3[ORDEM], Table3[NOME FÍSICO TABELA]="prepaid_card_account"), 1))</f>
        <v>#NAME?</v>
      </c>
      <c r="J25" s="103" t="e">
        <f ca="1"/>
        <v>#NAME?</v>
      </c>
      <c r="K25" s="103" t="e">
        <f ca="1"/>
        <v>#NAME?</v>
      </c>
      <c r="L25" s="103" t="e">
        <f ca="1"/>
        <v>#NAME?</v>
      </c>
      <c r="M25" s="103" t="e">
        <f ca="1"/>
        <v>#NAME?</v>
      </c>
      <c r="N25" s="103" t="e">
        <f ca="1"/>
        <v>#NAME?</v>
      </c>
      <c r="O25" s="103" t="e">
        <f ca="1"/>
        <v>#NAME?</v>
      </c>
      <c r="P25" s="103" t="e">
        <f ca="1"/>
        <v>#NAME?</v>
      </c>
      <c r="Q25" s="103" t="e">
        <f ca="1"/>
        <v>#NAME?</v>
      </c>
      <c r="R25" s="103" t="e">
        <f ca="1"/>
        <v>#NAME?</v>
      </c>
      <c r="S25" s="103" t="e">
        <f ca="1"/>
        <v>#NAME?</v>
      </c>
      <c r="T25" s="103" t="e">
        <f ca="1"/>
        <v>#NAME?</v>
      </c>
      <c r="U25" s="103" t="e">
        <f ca="1"/>
        <v>#NAME?</v>
      </c>
      <c r="V25" s="103" t="e">
        <f ca="1"/>
        <v>#NAME?</v>
      </c>
      <c r="W25" s="109" t="e">
        <f ca="1"/>
        <v>#NAME?</v>
      </c>
    </row>
    <row r="26" spans="2:24">
      <c r="B26" s="107" t="s">
        <v>1001</v>
      </c>
      <c r="C26" s="110">
        <v>7</v>
      </c>
      <c r="D26" s="104" t="s">
        <v>999</v>
      </c>
      <c r="E26" s="103" t="s">
        <v>1000</v>
      </c>
      <c r="F26" s="105" t="s">
        <v>206</v>
      </c>
      <c r="G26" s="105" t="s">
        <v>206</v>
      </c>
      <c r="H26" s="105" t="s">
        <v>206</v>
      </c>
      <c r="I26" s="151" t="e">
        <f ca="1"/>
        <v>#NAME?</v>
      </c>
      <c r="J26" s="151" t="e">
        <f ca="1"/>
        <v>#NAME?</v>
      </c>
      <c r="K26" s="151" t="e">
        <f ca="1"/>
        <v>#NAME?</v>
      </c>
      <c r="L26" s="151" t="e">
        <f ca="1"/>
        <v>#NAME?</v>
      </c>
      <c r="M26" s="151" t="e">
        <f ca="1"/>
        <v>#NAME?</v>
      </c>
      <c r="N26" s="151" t="e">
        <f ca="1"/>
        <v>#NAME?</v>
      </c>
      <c r="O26" s="151" t="e">
        <f ca="1"/>
        <v>#NAME?</v>
      </c>
      <c r="P26" s="151" t="e">
        <f ca="1"/>
        <v>#NAME?</v>
      </c>
      <c r="Q26" s="151" t="e">
        <f ca="1"/>
        <v>#NAME?</v>
      </c>
      <c r="R26" s="151" t="e">
        <f ca="1"/>
        <v>#NAME?</v>
      </c>
      <c r="S26" s="151" t="e">
        <f ca="1"/>
        <v>#NAME?</v>
      </c>
      <c r="T26" s="151" t="e">
        <f ca="1"/>
        <v>#NAME?</v>
      </c>
      <c r="U26" s="151" t="e">
        <f ca="1"/>
        <v>#NAME?</v>
      </c>
      <c r="V26" s="151" t="e">
        <f ca="1"/>
        <v>#NAME?</v>
      </c>
      <c r="W26" s="152" t="e">
        <f ca="1"/>
        <v>#NAME?</v>
      </c>
      <c r="X26" s="93"/>
    </row>
    <row r="28" spans="2:24">
      <c r="B28" s="140" t="s">
        <v>1002</v>
      </c>
    </row>
    <row r="29" spans="2:24">
      <c r="B29" s="134" t="s">
        <v>1003</v>
      </c>
      <c r="C29" s="134" t="s">
        <v>1004</v>
      </c>
      <c r="D29" s="135" t="s">
        <v>1005</v>
      </c>
      <c r="E29" s="134" t="s">
        <v>1006</v>
      </c>
      <c r="F29" s="134" t="s">
        <v>1007</v>
      </c>
    </row>
    <row r="30" spans="2:24" ht="43.5">
      <c r="B30" s="118" t="s">
        <v>1008</v>
      </c>
      <c r="C30" s="117" t="s">
        <v>196</v>
      </c>
      <c r="D30" s="123" t="s">
        <v>1605</v>
      </c>
      <c r="E30" s="146" t="s">
        <v>1606</v>
      </c>
      <c r="F30" s="136" t="s">
        <v>1014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Y49"/>
  <sheetViews>
    <sheetView showGridLines="0" topLeftCell="A44" workbookViewId="0">
      <selection activeCell="A14" sqref="A14"/>
    </sheetView>
  </sheetViews>
  <sheetFormatPr defaultRowHeight="14.5"/>
  <cols>
    <col min="2" max="2" width="30.7265625" bestFit="1" customWidth="1"/>
    <col min="3" max="3" width="35"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0" width="32.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31.453125" bestFit="1"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s>
  <sheetData>
    <row r="1" spans="2:51" ht="26.25" customHeight="1"/>
    <row r="2" spans="2:51">
      <c r="B2" s="76" t="s">
        <v>953</v>
      </c>
      <c r="C2" s="76" t="s">
        <v>954</v>
      </c>
      <c r="D2" s="76" t="s">
        <v>955</v>
      </c>
      <c r="E2" s="76" t="s">
        <v>956</v>
      </c>
      <c r="F2" s="76" t="s">
        <v>957</v>
      </c>
      <c r="G2" s="76" t="s">
        <v>958</v>
      </c>
      <c r="H2" s="76" t="s">
        <v>959</v>
      </c>
      <c r="I2" s="76" t="s">
        <v>102</v>
      </c>
      <c r="J2" s="76" t="s">
        <v>112</v>
      </c>
      <c r="K2" s="76" t="s">
        <v>116</v>
      </c>
      <c r="L2" s="76" t="s">
        <v>121</v>
      </c>
      <c r="M2" s="76" t="s">
        <v>127</v>
      </c>
      <c r="N2" s="76" t="s">
        <v>132</v>
      </c>
      <c r="O2" s="76" t="s">
        <v>135</v>
      </c>
      <c r="P2" s="76" t="s">
        <v>1502</v>
      </c>
      <c r="Q2" s="76" t="s">
        <v>1503</v>
      </c>
      <c r="R2" s="76" t="s">
        <v>138</v>
      </c>
      <c r="S2" s="76" t="s">
        <v>144</v>
      </c>
      <c r="T2" s="76" t="s">
        <v>149</v>
      </c>
      <c r="U2" s="76" t="s">
        <v>155</v>
      </c>
      <c r="V2" s="76" t="s">
        <v>504</v>
      </c>
      <c r="W2" s="76" t="s">
        <v>505</v>
      </c>
      <c r="X2" s="76" t="s">
        <v>506</v>
      </c>
      <c r="Y2" s="76" t="s">
        <v>507</v>
      </c>
      <c r="Z2" s="76" t="s">
        <v>160</v>
      </c>
      <c r="AA2" s="76" t="s">
        <v>169</v>
      </c>
      <c r="AB2" s="76" t="s">
        <v>508</v>
      </c>
      <c r="AC2" s="76" t="s">
        <v>509</v>
      </c>
      <c r="AD2" s="76" t="s">
        <v>319</v>
      </c>
      <c r="AE2" s="76" t="s">
        <v>175</v>
      </c>
      <c r="AF2" s="76" t="s">
        <v>183</v>
      </c>
      <c r="AG2" s="76" t="s">
        <v>362</v>
      </c>
      <c r="AH2" s="76" t="s">
        <v>510</v>
      </c>
      <c r="AI2" s="76" t="s">
        <v>511</v>
      </c>
      <c r="AJ2" s="76" t="s">
        <v>512</v>
      </c>
      <c r="AK2" s="76" t="s">
        <v>513</v>
      </c>
      <c r="AL2" s="76" t="s">
        <v>514</v>
      </c>
      <c r="AM2" s="76" t="s">
        <v>226</v>
      </c>
      <c r="AN2" s="76" t="s">
        <v>229</v>
      </c>
      <c r="AO2" s="76" t="s">
        <v>515</v>
      </c>
      <c r="AP2" s="76" t="s">
        <v>516</v>
      </c>
      <c r="AQ2" s="76" t="s">
        <v>517</v>
      </c>
      <c r="AR2" s="76" t="s">
        <v>392</v>
      </c>
      <c r="AS2" s="76" t="s">
        <v>432</v>
      </c>
      <c r="AT2" s="76" t="s">
        <v>518</v>
      </c>
      <c r="AU2" s="76" t="s">
        <v>190</v>
      </c>
      <c r="AV2" s="76" t="s">
        <v>196</v>
      </c>
      <c r="AW2" s="76" t="s">
        <v>202</v>
      </c>
      <c r="AX2" s="76" t="s">
        <v>208</v>
      </c>
      <c r="AY2" s="76" t="s">
        <v>213</v>
      </c>
    </row>
    <row r="3" spans="2:51">
      <c r="B3" s="50" t="s">
        <v>907</v>
      </c>
      <c r="C3" s="50">
        <v>1</v>
      </c>
      <c r="D3" s="50" t="s">
        <v>1607</v>
      </c>
      <c r="E3" s="95">
        <v>45485</v>
      </c>
      <c r="F3" s="50">
        <v>2</v>
      </c>
      <c r="G3" s="208" t="s">
        <v>1608</v>
      </c>
      <c r="H3" s="181" t="s">
        <v>1609</v>
      </c>
      <c r="I3" s="50" t="s">
        <v>961</v>
      </c>
      <c r="J3" s="50" t="s">
        <v>961</v>
      </c>
      <c r="K3" s="50" t="s">
        <v>961</v>
      </c>
      <c r="L3" s="50" t="s">
        <v>961</v>
      </c>
      <c r="M3" s="50" t="s">
        <v>961</v>
      </c>
      <c r="N3" s="50" t="s">
        <v>961</v>
      </c>
      <c r="O3" s="50" t="s">
        <v>961</v>
      </c>
      <c r="P3" s="50" t="s">
        <v>961</v>
      </c>
      <c r="Q3" s="50" t="s">
        <v>961</v>
      </c>
      <c r="R3" s="50" t="s">
        <v>961</v>
      </c>
      <c r="S3" s="50" t="s">
        <v>961</v>
      </c>
      <c r="T3" s="50" t="s">
        <v>961</v>
      </c>
      <c r="U3" s="50" t="s">
        <v>961</v>
      </c>
      <c r="V3" s="50" t="s">
        <v>961</v>
      </c>
      <c r="W3" s="50" t="s">
        <v>961</v>
      </c>
      <c r="X3" s="50" t="s">
        <v>961</v>
      </c>
      <c r="Y3" s="50" t="s">
        <v>961</v>
      </c>
      <c r="Z3" s="50" t="s">
        <v>961</v>
      </c>
      <c r="AA3" s="50" t="s">
        <v>961</v>
      </c>
      <c r="AB3" s="50" t="s">
        <v>961</v>
      </c>
      <c r="AC3" s="50" t="s">
        <v>961</v>
      </c>
      <c r="AD3" s="50" t="s">
        <v>961</v>
      </c>
      <c r="AE3" s="50" t="s">
        <v>961</v>
      </c>
      <c r="AF3" s="50" t="s">
        <v>961</v>
      </c>
      <c r="AG3" s="50" t="s">
        <v>961</v>
      </c>
      <c r="AH3" s="50" t="s">
        <v>961</v>
      </c>
      <c r="AI3" s="50" t="s">
        <v>961</v>
      </c>
      <c r="AJ3" s="50" t="s">
        <v>961</v>
      </c>
      <c r="AK3" s="50" t="s">
        <v>961</v>
      </c>
      <c r="AL3" s="50" t="s">
        <v>961</v>
      </c>
      <c r="AM3" s="50" t="s">
        <v>961</v>
      </c>
      <c r="AN3" s="50" t="s">
        <v>961</v>
      </c>
      <c r="AO3" s="50" t="s">
        <v>961</v>
      </c>
      <c r="AP3" s="50" t="s">
        <v>961</v>
      </c>
      <c r="AQ3" s="50" t="s">
        <v>961</v>
      </c>
      <c r="AR3" s="50" t="s">
        <v>961</v>
      </c>
      <c r="AS3" s="50" t="s">
        <v>961</v>
      </c>
      <c r="AT3" s="50" t="s">
        <v>961</v>
      </c>
      <c r="AU3" s="50" t="s">
        <v>961</v>
      </c>
      <c r="AV3" s="50" t="s">
        <v>961</v>
      </c>
      <c r="AW3" s="50" t="s">
        <v>961</v>
      </c>
      <c r="AX3" s="50" t="s">
        <v>961</v>
      </c>
      <c r="AY3" s="50" t="s">
        <v>961</v>
      </c>
    </row>
    <row r="4" spans="2:51">
      <c r="B4" s="50" t="s">
        <v>909</v>
      </c>
      <c r="C4" s="50">
        <v>2</v>
      </c>
      <c r="D4" s="50" t="s">
        <v>1610</v>
      </c>
      <c r="E4" s="95">
        <v>45485</v>
      </c>
      <c r="F4" s="50">
        <v>2</v>
      </c>
      <c r="G4" s="208">
        <v>1</v>
      </c>
      <c r="H4" s="50" t="s">
        <v>970</v>
      </c>
      <c r="I4" s="50" t="s">
        <v>961</v>
      </c>
      <c r="J4" s="50" t="s">
        <v>961</v>
      </c>
      <c r="K4" s="50" t="s">
        <v>961</v>
      </c>
      <c r="L4" s="50" t="s">
        <v>961</v>
      </c>
      <c r="M4" s="50" t="s">
        <v>961</v>
      </c>
      <c r="N4" s="50" t="s">
        <v>961</v>
      </c>
      <c r="O4" s="50" t="s">
        <v>961</v>
      </c>
      <c r="P4" s="50" t="s">
        <v>961</v>
      </c>
      <c r="Q4" s="50" t="s">
        <v>961</v>
      </c>
      <c r="R4" s="50" t="s">
        <v>961</v>
      </c>
      <c r="S4" s="50" t="s">
        <v>961</v>
      </c>
      <c r="T4" s="50" t="s">
        <v>961</v>
      </c>
      <c r="U4" s="50" t="s">
        <v>961</v>
      </c>
      <c r="V4" s="50" t="s">
        <v>961</v>
      </c>
      <c r="W4" s="50" t="s">
        <v>961</v>
      </c>
      <c r="X4" s="50" t="s">
        <v>961</v>
      </c>
      <c r="Y4" s="50" t="s">
        <v>961</v>
      </c>
      <c r="Z4" s="50" t="s">
        <v>961</v>
      </c>
      <c r="AA4" s="50" t="s">
        <v>961</v>
      </c>
      <c r="AB4" s="50" t="s">
        <v>961</v>
      </c>
      <c r="AC4" s="50" t="s">
        <v>961</v>
      </c>
      <c r="AD4" s="50" t="s">
        <v>961</v>
      </c>
      <c r="AE4" s="50" t="s">
        <v>961</v>
      </c>
      <c r="AF4" s="50" t="s">
        <v>961</v>
      </c>
      <c r="AG4" s="50" t="s">
        <v>961</v>
      </c>
      <c r="AH4" s="50" t="s">
        <v>961</v>
      </c>
      <c r="AI4" s="50" t="s">
        <v>961</v>
      </c>
      <c r="AJ4" s="50" t="s">
        <v>961</v>
      </c>
      <c r="AK4" s="50" t="s">
        <v>961</v>
      </c>
      <c r="AL4" s="50" t="s">
        <v>961</v>
      </c>
      <c r="AM4" s="50" t="s">
        <v>961</v>
      </c>
      <c r="AN4" s="50" t="s">
        <v>961</v>
      </c>
      <c r="AO4" s="50" t="s">
        <v>961</v>
      </c>
      <c r="AP4" s="50" t="s">
        <v>961</v>
      </c>
      <c r="AQ4" s="50" t="s">
        <v>961</v>
      </c>
      <c r="AR4" s="50" t="s">
        <v>961</v>
      </c>
      <c r="AS4" s="50" t="s">
        <v>961</v>
      </c>
      <c r="AT4" s="50" t="s">
        <v>961</v>
      </c>
      <c r="AU4" s="50" t="s">
        <v>961</v>
      </c>
      <c r="AV4" s="50" t="s">
        <v>961</v>
      </c>
      <c r="AW4" s="50" t="s">
        <v>961</v>
      </c>
      <c r="AX4" s="50" t="s">
        <v>961</v>
      </c>
      <c r="AY4" s="50" t="s">
        <v>961</v>
      </c>
    </row>
    <row r="5" spans="2:51">
      <c r="B5" s="50" t="s">
        <v>911</v>
      </c>
      <c r="C5" s="50">
        <v>3</v>
      </c>
      <c r="D5" s="50" t="s">
        <v>1611</v>
      </c>
      <c r="E5" s="95">
        <v>45485</v>
      </c>
      <c r="F5" s="50">
        <v>2</v>
      </c>
      <c r="G5" s="208">
        <v>1</v>
      </c>
      <c r="H5" s="50" t="s">
        <v>970</v>
      </c>
      <c r="I5" s="50">
        <v>0</v>
      </c>
      <c r="J5" s="50">
        <v>0</v>
      </c>
      <c r="K5" s="50" t="s">
        <v>961</v>
      </c>
      <c r="L5" s="50" t="s">
        <v>961</v>
      </c>
      <c r="M5" s="50" t="s">
        <v>961</v>
      </c>
      <c r="N5" s="50" t="s">
        <v>961</v>
      </c>
      <c r="O5" s="50" t="s">
        <v>961</v>
      </c>
      <c r="P5" s="50" t="s">
        <v>961</v>
      </c>
      <c r="Q5" s="50" t="s">
        <v>961</v>
      </c>
      <c r="R5" s="50" t="s">
        <v>961</v>
      </c>
      <c r="S5" s="50" t="s">
        <v>961</v>
      </c>
      <c r="T5" s="50" t="s">
        <v>961</v>
      </c>
      <c r="U5" s="50" t="s">
        <v>961</v>
      </c>
      <c r="V5" s="50" t="s">
        <v>961</v>
      </c>
      <c r="W5" s="50" t="s">
        <v>961</v>
      </c>
      <c r="X5" s="50" t="s">
        <v>961</v>
      </c>
      <c r="Y5" s="50" t="s">
        <v>961</v>
      </c>
      <c r="Z5" s="50" t="s">
        <v>961</v>
      </c>
      <c r="AA5" s="50" t="s">
        <v>961</v>
      </c>
      <c r="AB5" s="50" t="s">
        <v>961</v>
      </c>
      <c r="AC5" s="50" t="s">
        <v>961</v>
      </c>
      <c r="AD5" s="50" t="s">
        <v>961</v>
      </c>
      <c r="AE5" s="50" t="s">
        <v>961</v>
      </c>
      <c r="AF5" s="50" t="s">
        <v>961</v>
      </c>
      <c r="AG5" s="50" t="s">
        <v>961</v>
      </c>
      <c r="AH5" s="50" t="s">
        <v>961</v>
      </c>
      <c r="AI5" s="50" t="s">
        <v>961</v>
      </c>
      <c r="AJ5" s="50" t="s">
        <v>961</v>
      </c>
      <c r="AK5" s="50" t="s">
        <v>961</v>
      </c>
      <c r="AL5" s="50" t="s">
        <v>961</v>
      </c>
      <c r="AM5" s="50" t="s">
        <v>961</v>
      </c>
      <c r="AN5" s="50" t="s">
        <v>961</v>
      </c>
      <c r="AO5" s="50" t="s">
        <v>961</v>
      </c>
      <c r="AP5" s="50" t="s">
        <v>961</v>
      </c>
      <c r="AQ5" s="50" t="s">
        <v>961</v>
      </c>
      <c r="AR5" s="50" t="s">
        <v>961</v>
      </c>
      <c r="AS5" s="50" t="s">
        <v>961</v>
      </c>
      <c r="AT5" s="50" t="s">
        <v>961</v>
      </c>
      <c r="AU5" s="50" t="s">
        <v>961</v>
      </c>
      <c r="AV5" s="50" t="s">
        <v>961</v>
      </c>
      <c r="AW5" s="50" t="s">
        <v>961</v>
      </c>
      <c r="AX5" s="50">
        <v>0</v>
      </c>
      <c r="AY5" s="50" t="s">
        <v>961</v>
      </c>
    </row>
    <row r="6" spans="2:51">
      <c r="B6" s="97" t="s">
        <v>913</v>
      </c>
      <c r="C6" s="50">
        <v>4</v>
      </c>
      <c r="D6" s="50" t="s">
        <v>964</v>
      </c>
      <c r="E6" s="95" t="s">
        <v>961</v>
      </c>
      <c r="F6" s="50">
        <v>2</v>
      </c>
      <c r="G6" s="95" t="s">
        <v>961</v>
      </c>
      <c r="H6" s="50"/>
      <c r="I6" s="50" t="s">
        <v>961</v>
      </c>
      <c r="J6" s="50" t="s">
        <v>961</v>
      </c>
      <c r="K6" s="50" t="s">
        <v>961</v>
      </c>
      <c r="L6" s="50" t="s">
        <v>961</v>
      </c>
      <c r="M6" s="50" t="s">
        <v>961</v>
      </c>
      <c r="N6" s="50" t="s">
        <v>961</v>
      </c>
      <c r="O6" s="50" t="s">
        <v>961</v>
      </c>
      <c r="P6" s="50" t="s">
        <v>961</v>
      </c>
      <c r="Q6" s="50" t="s">
        <v>961</v>
      </c>
      <c r="R6" s="50" t="s">
        <v>961</v>
      </c>
      <c r="S6" s="50" t="s">
        <v>961</v>
      </c>
      <c r="T6" s="50" t="s">
        <v>961</v>
      </c>
      <c r="U6" s="50" t="s">
        <v>961</v>
      </c>
      <c r="V6" s="50" t="s">
        <v>961</v>
      </c>
      <c r="W6" s="50" t="s">
        <v>961</v>
      </c>
      <c r="X6" s="50" t="s">
        <v>961</v>
      </c>
      <c r="Y6" s="50" t="s">
        <v>961</v>
      </c>
      <c r="Z6" s="50" t="s">
        <v>961</v>
      </c>
      <c r="AA6" s="50" t="s">
        <v>961</v>
      </c>
      <c r="AB6" s="50" t="s">
        <v>961</v>
      </c>
      <c r="AC6" s="50" t="s">
        <v>961</v>
      </c>
      <c r="AD6" s="50" t="s">
        <v>961</v>
      </c>
      <c r="AE6" s="50" t="s">
        <v>961</v>
      </c>
      <c r="AF6" s="50" t="s">
        <v>961</v>
      </c>
      <c r="AG6" s="50" t="s">
        <v>961</v>
      </c>
      <c r="AH6" s="50" t="s">
        <v>961</v>
      </c>
      <c r="AI6" s="50" t="s">
        <v>961</v>
      </c>
      <c r="AJ6" s="50" t="s">
        <v>961</v>
      </c>
      <c r="AK6" s="50" t="s">
        <v>961</v>
      </c>
      <c r="AL6" s="50" t="s">
        <v>961</v>
      </c>
      <c r="AM6" s="50" t="s">
        <v>961</v>
      </c>
      <c r="AN6" s="50" t="s">
        <v>961</v>
      </c>
      <c r="AO6" s="50" t="s">
        <v>961</v>
      </c>
      <c r="AP6" s="50" t="s">
        <v>961</v>
      </c>
      <c r="AQ6" s="50" t="s">
        <v>961</v>
      </c>
      <c r="AR6" s="50" t="s">
        <v>961</v>
      </c>
      <c r="AS6" s="50" t="s">
        <v>961</v>
      </c>
      <c r="AT6" s="50" t="s">
        <v>961</v>
      </c>
      <c r="AU6" s="50" t="s">
        <v>961</v>
      </c>
      <c r="AV6" s="50" t="s">
        <v>961</v>
      </c>
      <c r="AW6" s="50" t="s">
        <v>961</v>
      </c>
      <c r="AX6" s="50" t="s">
        <v>961</v>
      </c>
      <c r="AY6" s="50" t="s">
        <v>961</v>
      </c>
    </row>
    <row r="7" spans="2:51">
      <c r="B7" s="50" t="s">
        <v>915</v>
      </c>
      <c r="C7" s="50">
        <v>5</v>
      </c>
      <c r="D7" s="50" t="s">
        <v>964</v>
      </c>
      <c r="E7" s="95" t="s">
        <v>961</v>
      </c>
      <c r="F7" s="50">
        <v>2</v>
      </c>
      <c r="G7" s="95" t="s">
        <v>961</v>
      </c>
      <c r="H7" s="50"/>
      <c r="I7" s="50" t="s">
        <v>961</v>
      </c>
      <c r="J7" s="50" t="s">
        <v>961</v>
      </c>
      <c r="K7" s="50" t="s">
        <v>961</v>
      </c>
      <c r="L7" s="50" t="s">
        <v>961</v>
      </c>
      <c r="M7" s="50" t="s">
        <v>961</v>
      </c>
      <c r="N7" s="50" t="s">
        <v>961</v>
      </c>
      <c r="O7" s="50" t="s">
        <v>961</v>
      </c>
      <c r="P7" s="50" t="s">
        <v>961</v>
      </c>
      <c r="Q7" s="50" t="s">
        <v>961</v>
      </c>
      <c r="R7" s="50" t="s">
        <v>961</v>
      </c>
      <c r="S7" s="50" t="s">
        <v>961</v>
      </c>
      <c r="T7" s="50" t="s">
        <v>961</v>
      </c>
      <c r="U7" s="50" t="s">
        <v>961</v>
      </c>
      <c r="V7" s="50" t="s">
        <v>961</v>
      </c>
      <c r="W7" s="50" t="s">
        <v>961</v>
      </c>
      <c r="X7" s="50" t="s">
        <v>961</v>
      </c>
      <c r="Y7" s="50" t="s">
        <v>961</v>
      </c>
      <c r="Z7" s="50" t="s">
        <v>961</v>
      </c>
      <c r="AA7" s="50" t="s">
        <v>961</v>
      </c>
      <c r="AB7" s="50" t="s">
        <v>961</v>
      </c>
      <c r="AC7" s="50" t="s">
        <v>961</v>
      </c>
      <c r="AD7" s="50" t="s">
        <v>961</v>
      </c>
      <c r="AE7" s="50" t="s">
        <v>961</v>
      </c>
      <c r="AF7" s="50" t="s">
        <v>961</v>
      </c>
      <c r="AG7" s="50" t="s">
        <v>961</v>
      </c>
      <c r="AH7" s="50" t="s">
        <v>961</v>
      </c>
      <c r="AI7" s="50" t="s">
        <v>961</v>
      </c>
      <c r="AJ7" s="50" t="s">
        <v>961</v>
      </c>
      <c r="AK7" s="50" t="s">
        <v>961</v>
      </c>
      <c r="AL7" s="50" t="s">
        <v>961</v>
      </c>
      <c r="AM7" s="50" t="s">
        <v>961</v>
      </c>
      <c r="AN7" s="50" t="s">
        <v>961</v>
      </c>
      <c r="AO7" s="50" t="s">
        <v>961</v>
      </c>
      <c r="AP7" s="50" t="s">
        <v>961</v>
      </c>
      <c r="AQ7" s="50" t="s">
        <v>961</v>
      </c>
      <c r="AR7" s="50" t="s">
        <v>961</v>
      </c>
      <c r="AS7" s="50" t="s">
        <v>961</v>
      </c>
      <c r="AT7" s="50" t="s">
        <v>961</v>
      </c>
      <c r="AU7" s="50" t="s">
        <v>961</v>
      </c>
      <c r="AV7" s="50" t="s">
        <v>961</v>
      </c>
      <c r="AW7" s="50" t="s">
        <v>961</v>
      </c>
      <c r="AX7" s="50" t="s">
        <v>961</v>
      </c>
      <c r="AY7" s="50" t="s">
        <v>961</v>
      </c>
    </row>
    <row r="8" spans="2:51">
      <c r="B8" s="97" t="s">
        <v>916</v>
      </c>
      <c r="C8" s="50">
        <v>6</v>
      </c>
      <c r="D8" s="50" t="s">
        <v>1612</v>
      </c>
      <c r="E8" s="95">
        <v>45485</v>
      </c>
      <c r="F8" s="50">
        <v>2</v>
      </c>
      <c r="G8" s="208" cm="1">
        <f t="array" ref="G8">SUMPRODUCT(--(I8:AY8&gt;0))/COUNTA(I8:AY8)</f>
        <v>1</v>
      </c>
      <c r="H8" s="50" t="s">
        <v>970</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919</v>
      </c>
      <c r="C9" s="50">
        <v>7</v>
      </c>
      <c r="D9" s="50" t="s">
        <v>1613</v>
      </c>
      <c r="E9" s="95">
        <v>45485</v>
      </c>
      <c r="F9" s="50">
        <v>2</v>
      </c>
      <c r="G9" s="208" t="e" cm="1">
        <f t="array" ref="G9">SUMPRODUCT(--(I9:AY9&lt;=I26:AY26))/COUNTA(I26:AY26)</f>
        <v>#DIV/0!</v>
      </c>
      <c r="H9" s="50" t="s">
        <v>970</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922</v>
      </c>
      <c r="C10" s="50">
        <v>8</v>
      </c>
      <c r="D10" s="50" t="s">
        <v>1614</v>
      </c>
      <c r="E10" s="95">
        <v>45485</v>
      </c>
      <c r="F10" s="50">
        <v>2</v>
      </c>
      <c r="G10" s="95" t="s">
        <v>961</v>
      </c>
      <c r="H10" s="50" t="s">
        <v>970</v>
      </c>
      <c r="I10" s="50">
        <v>31</v>
      </c>
      <c r="J10" s="50">
        <v>3.1101216902910999E+26</v>
      </c>
      <c r="K10" s="50" t="s">
        <v>1615</v>
      </c>
      <c r="L10" s="50">
        <v>11</v>
      </c>
      <c r="M10" s="50" t="s">
        <v>1570</v>
      </c>
      <c r="N10" s="95" t="e">
        <v>#N/A</v>
      </c>
      <c r="O10" s="50" t="e">
        <v>#N/A</v>
      </c>
      <c r="P10" s="95" t="e">
        <v>#N/A</v>
      </c>
      <c r="Q10" s="95" t="e">
        <v>#N/A</v>
      </c>
      <c r="R10" s="95">
        <v>35711</v>
      </c>
      <c r="S10" s="98">
        <v>39366</v>
      </c>
      <c r="T10" s="50">
        <v>978</v>
      </c>
      <c r="U10" s="50">
        <v>0</v>
      </c>
      <c r="V10" s="50" t="e">
        <v>#N/A</v>
      </c>
      <c r="W10" s="50" t="e">
        <v>#N/A</v>
      </c>
      <c r="X10" s="50" t="e">
        <v>#N/A</v>
      </c>
      <c r="Y10" s="50" t="e">
        <v>#N/A</v>
      </c>
      <c r="Z10" s="50" t="s">
        <v>970</v>
      </c>
      <c r="AA10" s="50" t="s">
        <v>970</v>
      </c>
      <c r="AB10" s="50" t="s">
        <v>970</v>
      </c>
      <c r="AC10" s="98">
        <v>-8696880000</v>
      </c>
      <c r="AD10" s="50" t="s">
        <v>970</v>
      </c>
      <c r="AE10" s="98">
        <v>-199340000</v>
      </c>
      <c r="AF10" s="50" t="s">
        <v>970</v>
      </c>
      <c r="AG10" s="50" t="e">
        <v>#N/A</v>
      </c>
      <c r="AH10" s="50" t="e">
        <v>#N/A</v>
      </c>
      <c r="AI10" s="50" t="e">
        <v>#N/A</v>
      </c>
      <c r="AJ10" s="98" t="e">
        <v>#N/A</v>
      </c>
      <c r="AK10" s="50" t="e">
        <v>#N/A</v>
      </c>
      <c r="AL10" s="50" t="e">
        <v>#N/A</v>
      </c>
      <c r="AM10" s="50" t="e">
        <v>#N/A</v>
      </c>
      <c r="AN10" s="50" t="e">
        <v>#N/A</v>
      </c>
      <c r="AO10" s="50" t="e">
        <v>#N/A</v>
      </c>
      <c r="AP10" s="50" t="s">
        <v>1616</v>
      </c>
      <c r="AQ10" s="50" t="s">
        <v>970</v>
      </c>
      <c r="AR10" s="50" t="s">
        <v>1616</v>
      </c>
      <c r="AS10" s="50" t="s">
        <v>970</v>
      </c>
      <c r="AT10" s="50">
        <v>0</v>
      </c>
      <c r="AU10" s="50" t="s">
        <v>971</v>
      </c>
      <c r="AV10" s="50" t="s">
        <v>1617</v>
      </c>
      <c r="AW10" s="50" t="s">
        <v>1092</v>
      </c>
      <c r="AX10" s="95">
        <v>45503</v>
      </c>
      <c r="AY10" s="50" t="s">
        <v>1618</v>
      </c>
    </row>
    <row r="11" spans="2:51">
      <c r="B11" s="50" t="s">
        <v>924</v>
      </c>
      <c r="C11" s="50">
        <v>9</v>
      </c>
      <c r="D11" s="50" t="s">
        <v>1619</v>
      </c>
      <c r="E11" s="95">
        <v>45485</v>
      </c>
      <c r="F11" s="50">
        <v>2</v>
      </c>
      <c r="G11" s="95" t="s">
        <v>961</v>
      </c>
      <c r="H11" s="50" t="s">
        <v>970</v>
      </c>
      <c r="I11" s="50">
        <v>31</v>
      </c>
      <c r="J11" s="50">
        <v>3.1101216902910999E+26</v>
      </c>
      <c r="K11" s="50"/>
      <c r="L11" s="50">
        <v>11</v>
      </c>
      <c r="M11" s="50" t="s">
        <v>1570</v>
      </c>
      <c r="N11" s="95"/>
      <c r="O11" s="50" t="e">
        <v>#N/A</v>
      </c>
      <c r="P11" s="50"/>
      <c r="Q11" s="50" t="e">
        <v>#N/A</v>
      </c>
      <c r="R11" s="95">
        <v>35711</v>
      </c>
      <c r="S11" s="95">
        <v>39366</v>
      </c>
      <c r="T11" s="50">
        <v>978</v>
      </c>
      <c r="U11" s="50">
        <v>0</v>
      </c>
      <c r="V11" s="50" t="e">
        <v>#N/A</v>
      </c>
      <c r="W11" s="50">
        <v>0</v>
      </c>
      <c r="X11" s="50" t="s">
        <v>1620</v>
      </c>
      <c r="Y11" s="50">
        <v>3</v>
      </c>
      <c r="Z11" s="50">
        <v>0</v>
      </c>
      <c r="AA11" s="50">
        <v>0</v>
      </c>
      <c r="AB11" s="98" t="s">
        <v>970</v>
      </c>
      <c r="AC11" s="50" t="s">
        <v>1621</v>
      </c>
      <c r="AD11" s="98" t="s">
        <v>970</v>
      </c>
      <c r="AE11" s="98">
        <v>-199340000</v>
      </c>
      <c r="AF11" s="50" t="s">
        <v>970</v>
      </c>
      <c r="AG11" s="50" t="e">
        <v>#N/A</v>
      </c>
      <c r="AH11" s="50" t="s">
        <v>970</v>
      </c>
      <c r="AI11" s="50" t="e">
        <v>#N/A</v>
      </c>
      <c r="AJ11" s="98">
        <v>5300000</v>
      </c>
      <c r="AK11" s="50" t="e">
        <v>#N/A</v>
      </c>
      <c r="AL11" s="50" t="s">
        <v>970</v>
      </c>
      <c r="AM11" s="50" t="e">
        <v>#N/A</v>
      </c>
      <c r="AN11" s="50" t="s">
        <v>970</v>
      </c>
      <c r="AO11" s="50">
        <v>1</v>
      </c>
      <c r="AP11" s="50" t="e">
        <v>#N/A</v>
      </c>
      <c r="AQ11" s="50" t="s">
        <v>1620</v>
      </c>
      <c r="AR11" s="50" t="e">
        <v>#N/A</v>
      </c>
      <c r="AS11" s="50" t="s">
        <v>1620</v>
      </c>
      <c r="AT11" s="50">
        <v>0</v>
      </c>
      <c r="AU11" s="50">
        <v>0</v>
      </c>
      <c r="AV11" s="50" t="s">
        <v>976</v>
      </c>
      <c r="AW11" s="50" t="s">
        <v>1092</v>
      </c>
      <c r="AX11" s="95">
        <v>45503</v>
      </c>
      <c r="AY11" s="50" t="s">
        <v>1622</v>
      </c>
    </row>
    <row r="12" spans="2:51">
      <c r="B12" s="97" t="s">
        <v>926</v>
      </c>
      <c r="C12" s="50">
        <v>10</v>
      </c>
      <c r="D12" s="50" t="s">
        <v>1623</v>
      </c>
      <c r="E12" s="95">
        <v>45485</v>
      </c>
      <c r="F12" s="50">
        <v>2</v>
      </c>
      <c r="G12" s="95" t="s">
        <v>961</v>
      </c>
      <c r="H12" s="50" t="s">
        <v>970</v>
      </c>
      <c r="I12" s="50">
        <v>31</v>
      </c>
      <c r="J12" s="184">
        <v>5.1317900200110001E+27</v>
      </c>
      <c r="K12" s="50" t="s">
        <v>1615</v>
      </c>
      <c r="L12" s="50">
        <v>29</v>
      </c>
      <c r="M12" s="95" t="s">
        <v>1575</v>
      </c>
      <c r="N12" s="95">
        <v>31</v>
      </c>
      <c r="O12" s="98">
        <v>9.9999999999999903E+29</v>
      </c>
      <c r="P12" s="192">
        <v>31</v>
      </c>
      <c r="Q12" s="95">
        <v>5131790020011</v>
      </c>
      <c r="R12" s="95">
        <v>45504</v>
      </c>
      <c r="S12" s="157" t="s">
        <v>1624</v>
      </c>
      <c r="T12" s="50">
        <v>978</v>
      </c>
      <c r="U12" s="50">
        <v>1</v>
      </c>
      <c r="V12" s="50">
        <v>3</v>
      </c>
      <c r="W12" s="98">
        <v>93000000</v>
      </c>
      <c r="X12" s="98">
        <v>95000000</v>
      </c>
      <c r="Y12" s="50">
        <v>9</v>
      </c>
      <c r="Z12" s="95">
        <v>500000000000</v>
      </c>
      <c r="AA12" s="95">
        <v>500000000000</v>
      </c>
      <c r="AB12" s="98">
        <v>494947820000</v>
      </c>
      <c r="AC12" s="98">
        <v>69623160000</v>
      </c>
      <c r="AD12" s="98">
        <v>9727520000</v>
      </c>
      <c r="AE12" s="98">
        <v>67544900000</v>
      </c>
      <c r="AF12" s="98">
        <v>20457260000</v>
      </c>
      <c r="AG12" s="95" t="e">
        <v>#N/A</v>
      </c>
      <c r="AH12" s="98">
        <v>998700000</v>
      </c>
      <c r="AI12" s="95">
        <v>45504</v>
      </c>
      <c r="AJ12" s="98">
        <v>998700000</v>
      </c>
      <c r="AK12" s="95">
        <v>45504</v>
      </c>
      <c r="AL12" s="98">
        <v>9998590000</v>
      </c>
      <c r="AM12" s="95">
        <v>45504</v>
      </c>
      <c r="AN12" s="98">
        <v>9999300000</v>
      </c>
      <c r="AO12" s="50">
        <v>9</v>
      </c>
      <c r="AP12" s="50" t="s">
        <v>1616</v>
      </c>
      <c r="AQ12" s="98">
        <v>28000000</v>
      </c>
      <c r="AR12" s="50" t="s">
        <v>1616</v>
      </c>
      <c r="AS12" s="98">
        <v>28000000</v>
      </c>
      <c r="AT12" s="50">
        <v>1</v>
      </c>
      <c r="AU12" s="50" t="s">
        <v>980</v>
      </c>
      <c r="AV12" s="50" t="s">
        <v>1625</v>
      </c>
      <c r="AW12" s="50" t="s">
        <v>981</v>
      </c>
      <c r="AX12" s="95">
        <v>45503</v>
      </c>
      <c r="AY12" s="50" t="s">
        <v>1618</v>
      </c>
    </row>
    <row r="13" spans="2:51">
      <c r="B13" s="50" t="s">
        <v>928</v>
      </c>
      <c r="C13" s="50">
        <v>11</v>
      </c>
      <c r="D13" s="50" t="s">
        <v>1626</v>
      </c>
      <c r="E13" s="95">
        <v>45485</v>
      </c>
      <c r="F13" s="50">
        <v>2</v>
      </c>
      <c r="G13" s="95" t="s">
        <v>961</v>
      </c>
      <c r="H13" s="50" t="s">
        <v>970</v>
      </c>
      <c r="I13" s="50">
        <v>31</v>
      </c>
      <c r="J13" s="184">
        <v>5.1317900200110001E+27</v>
      </c>
      <c r="K13" s="50"/>
      <c r="L13" s="50">
        <v>29</v>
      </c>
      <c r="M13" s="95" t="s">
        <v>1575</v>
      </c>
      <c r="N13" s="95">
        <v>31</v>
      </c>
      <c r="O13" s="98">
        <v>9.9999999999999903E+29</v>
      </c>
      <c r="P13" s="95">
        <v>31</v>
      </c>
      <c r="Q13" s="50">
        <v>5131790020011</v>
      </c>
      <c r="R13" s="95">
        <v>45504</v>
      </c>
      <c r="S13" s="95">
        <v>2958465</v>
      </c>
      <c r="T13" s="50" t="s">
        <v>979</v>
      </c>
      <c r="U13" s="50">
        <v>1</v>
      </c>
      <c r="V13" s="50">
        <v>3</v>
      </c>
      <c r="W13" s="50">
        <v>93</v>
      </c>
      <c r="X13" s="50" t="s">
        <v>1627</v>
      </c>
      <c r="Y13" s="98">
        <v>36</v>
      </c>
      <c r="Z13" s="95" t="s">
        <v>1628</v>
      </c>
      <c r="AA13" s="95" t="s">
        <v>1628</v>
      </c>
      <c r="AB13" s="98">
        <v>494947820000</v>
      </c>
      <c r="AC13" s="50" t="s">
        <v>1629</v>
      </c>
      <c r="AD13" s="98">
        <v>9727520000</v>
      </c>
      <c r="AE13" s="98">
        <v>67544900000</v>
      </c>
      <c r="AF13" s="98">
        <v>20457260000</v>
      </c>
      <c r="AG13" s="95" t="e">
        <v>#N/A</v>
      </c>
      <c r="AH13" s="98">
        <v>2096690000</v>
      </c>
      <c r="AI13" s="98">
        <v>45488</v>
      </c>
      <c r="AJ13" s="98">
        <v>2093980000</v>
      </c>
      <c r="AK13" s="50" t="e">
        <v>#N/A</v>
      </c>
      <c r="AL13" s="98" t="s">
        <v>970</v>
      </c>
      <c r="AM13" s="95">
        <v>45504</v>
      </c>
      <c r="AN13" s="98">
        <v>2093980000</v>
      </c>
      <c r="AO13" s="98">
        <v>36</v>
      </c>
      <c r="AP13" s="50" t="s">
        <v>1616</v>
      </c>
      <c r="AQ13" s="50" t="s">
        <v>1630</v>
      </c>
      <c r="AR13" s="50" t="s">
        <v>1616</v>
      </c>
      <c r="AS13" s="50" t="s">
        <v>1630</v>
      </c>
      <c r="AT13" s="50">
        <v>1</v>
      </c>
      <c r="AU13" s="50" t="s">
        <v>1631</v>
      </c>
      <c r="AV13" s="50" t="s">
        <v>976</v>
      </c>
      <c r="AW13" s="50" t="s">
        <v>981</v>
      </c>
      <c r="AX13" s="95">
        <v>45503</v>
      </c>
      <c r="AY13" s="50" t="s">
        <v>1632</v>
      </c>
    </row>
    <row r="14" spans="2:51">
      <c r="B14" s="50" t="s">
        <v>930</v>
      </c>
      <c r="C14" s="50">
        <v>12</v>
      </c>
      <c r="D14" s="50" t="s">
        <v>1633</v>
      </c>
      <c r="E14" s="95">
        <v>45485</v>
      </c>
      <c r="F14" s="50">
        <v>2</v>
      </c>
      <c r="G14" s="208" t="s">
        <v>1634</v>
      </c>
      <c r="H14" s="50" t="s">
        <v>970</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932</v>
      </c>
      <c r="C15" s="50">
        <v>13</v>
      </c>
      <c r="D15" s="50" t="s">
        <v>1635</v>
      </c>
      <c r="E15" s="95">
        <v>45485</v>
      </c>
      <c r="F15" s="50">
        <v>2</v>
      </c>
      <c r="G15" s="208">
        <v>1</v>
      </c>
      <c r="H15" s="50" t="s">
        <v>970</v>
      </c>
      <c r="I15" s="50" t="s">
        <v>961</v>
      </c>
      <c r="J15" s="50" t="s">
        <v>961</v>
      </c>
      <c r="K15" s="50" t="s">
        <v>961</v>
      </c>
      <c r="L15" s="50" t="s">
        <v>961</v>
      </c>
      <c r="M15" s="50" t="s">
        <v>961</v>
      </c>
      <c r="N15" s="50" t="s">
        <v>961</v>
      </c>
      <c r="O15" s="50" t="s">
        <v>961</v>
      </c>
      <c r="P15" s="50" t="s">
        <v>961</v>
      </c>
      <c r="Q15" s="50" t="s">
        <v>961</v>
      </c>
      <c r="R15" s="50">
        <v>0</v>
      </c>
      <c r="S15" s="50">
        <v>0</v>
      </c>
      <c r="T15" s="50" t="s">
        <v>961</v>
      </c>
      <c r="U15" s="50" t="s">
        <v>961</v>
      </c>
      <c r="V15" s="50" t="s">
        <v>961</v>
      </c>
      <c r="W15" s="50" t="s">
        <v>961</v>
      </c>
      <c r="X15" s="50" t="s">
        <v>961</v>
      </c>
      <c r="Y15" s="50" t="s">
        <v>961</v>
      </c>
      <c r="Z15" s="50" t="s">
        <v>961</v>
      </c>
      <c r="AA15" s="50" t="s">
        <v>961</v>
      </c>
      <c r="AB15" s="50" t="s">
        <v>961</v>
      </c>
      <c r="AC15" s="50" t="s">
        <v>961</v>
      </c>
      <c r="AD15" s="50" t="s">
        <v>961</v>
      </c>
      <c r="AE15" s="50" t="s">
        <v>961</v>
      </c>
      <c r="AF15" s="50" t="s">
        <v>961</v>
      </c>
      <c r="AG15" s="50">
        <v>0</v>
      </c>
      <c r="AH15" s="50" t="s">
        <v>961</v>
      </c>
      <c r="AI15" s="50">
        <v>0</v>
      </c>
      <c r="AJ15" s="50" t="s">
        <v>961</v>
      </c>
      <c r="AK15" s="50">
        <v>0</v>
      </c>
      <c r="AL15" s="50" t="s">
        <v>961</v>
      </c>
      <c r="AM15" s="50">
        <v>0</v>
      </c>
      <c r="AN15" s="50" t="s">
        <v>961</v>
      </c>
      <c r="AO15" s="50" t="s">
        <v>961</v>
      </c>
      <c r="AP15" s="50" t="s">
        <v>961</v>
      </c>
      <c r="AQ15" s="50" t="s">
        <v>961</v>
      </c>
      <c r="AR15" s="50" t="s">
        <v>961</v>
      </c>
      <c r="AS15" s="50" t="s">
        <v>961</v>
      </c>
      <c r="AT15" s="50" t="s">
        <v>961</v>
      </c>
      <c r="AU15" s="50" t="s">
        <v>961</v>
      </c>
      <c r="AV15" s="50" t="s">
        <v>961</v>
      </c>
      <c r="AW15" s="50" t="s">
        <v>961</v>
      </c>
      <c r="AX15" s="50">
        <v>0</v>
      </c>
      <c r="AY15" s="50" t="s">
        <v>961</v>
      </c>
    </row>
    <row r="16" spans="2:51">
      <c r="B16" s="50" t="s">
        <v>934</v>
      </c>
      <c r="C16" s="50">
        <v>14</v>
      </c>
      <c r="D16" s="50" t="s">
        <v>1636</v>
      </c>
      <c r="E16" s="95">
        <v>45485</v>
      </c>
      <c r="F16" s="50">
        <v>2</v>
      </c>
      <c r="G16" s="208">
        <v>1</v>
      </c>
      <c r="H16" s="50" t="s">
        <v>970</v>
      </c>
      <c r="I16" s="50" t="s">
        <v>961</v>
      </c>
      <c r="J16" s="50" t="s">
        <v>961</v>
      </c>
      <c r="K16" s="50">
        <v>0</v>
      </c>
      <c r="L16" s="50">
        <v>0</v>
      </c>
      <c r="M16" s="50">
        <v>0</v>
      </c>
      <c r="N16" s="50">
        <v>0</v>
      </c>
      <c r="O16" s="50">
        <v>0</v>
      </c>
      <c r="P16" s="50">
        <v>0</v>
      </c>
      <c r="Q16" s="50">
        <v>0</v>
      </c>
      <c r="R16" s="50">
        <v>0</v>
      </c>
      <c r="S16" s="50">
        <v>0</v>
      </c>
      <c r="T16" s="50">
        <v>0</v>
      </c>
      <c r="U16" s="50" t="s">
        <v>961</v>
      </c>
      <c r="V16" s="50">
        <v>0</v>
      </c>
      <c r="W16" s="50" t="s">
        <v>961</v>
      </c>
      <c r="X16" s="50" t="s">
        <v>961</v>
      </c>
      <c r="Y16" s="50" t="s">
        <v>961</v>
      </c>
      <c r="Z16" s="50" t="s">
        <v>961</v>
      </c>
      <c r="AA16" s="50" t="s">
        <v>961</v>
      </c>
      <c r="AB16" s="50" t="s">
        <v>961</v>
      </c>
      <c r="AC16" s="50" t="s">
        <v>961</v>
      </c>
      <c r="AD16" s="50" t="s">
        <v>961</v>
      </c>
      <c r="AE16" s="50" t="s">
        <v>961</v>
      </c>
      <c r="AF16" s="50" t="s">
        <v>961</v>
      </c>
      <c r="AG16" s="50">
        <v>0</v>
      </c>
      <c r="AH16" s="50" t="s">
        <v>961</v>
      </c>
      <c r="AI16" s="50">
        <v>0</v>
      </c>
      <c r="AJ16" s="50" t="s">
        <v>961</v>
      </c>
      <c r="AK16" s="50">
        <v>0</v>
      </c>
      <c r="AL16" s="50" t="s">
        <v>961</v>
      </c>
      <c r="AM16" s="50">
        <v>0</v>
      </c>
      <c r="AN16" s="50" t="s">
        <v>961</v>
      </c>
      <c r="AO16" s="50" t="s">
        <v>961</v>
      </c>
      <c r="AP16" s="50">
        <v>0</v>
      </c>
      <c r="AQ16" s="50" t="s">
        <v>961</v>
      </c>
      <c r="AR16" s="50">
        <v>0</v>
      </c>
      <c r="AS16" s="50" t="s">
        <v>961</v>
      </c>
      <c r="AT16" s="50" t="s">
        <v>961</v>
      </c>
      <c r="AU16" s="50">
        <v>0</v>
      </c>
      <c r="AV16" s="50">
        <v>0</v>
      </c>
      <c r="AW16" s="50">
        <v>0</v>
      </c>
      <c r="AX16" s="50" t="s">
        <v>961</v>
      </c>
      <c r="AY16" s="50" t="s">
        <v>961</v>
      </c>
    </row>
    <row r="17" spans="2:51">
      <c r="B17" s="50" t="s">
        <v>936</v>
      </c>
      <c r="C17" s="50">
        <v>15</v>
      </c>
      <c r="D17" s="50" t="s">
        <v>1637</v>
      </c>
      <c r="E17" s="95">
        <v>45485</v>
      </c>
      <c r="F17" s="50">
        <v>2</v>
      </c>
      <c r="G17" s="208" t="s">
        <v>1608</v>
      </c>
      <c r="H17" s="181" t="s">
        <v>1638</v>
      </c>
      <c r="I17" s="50" t="s">
        <v>961</v>
      </c>
      <c r="J17" s="50" t="s">
        <v>961</v>
      </c>
      <c r="K17" s="50" t="s">
        <v>961</v>
      </c>
      <c r="L17" s="50" t="s">
        <v>961</v>
      </c>
      <c r="M17" s="50" t="s">
        <v>961</v>
      </c>
      <c r="N17" s="50" t="s">
        <v>961</v>
      </c>
      <c r="O17" s="50" t="s">
        <v>961</v>
      </c>
      <c r="P17" s="50" t="s">
        <v>961</v>
      </c>
      <c r="Q17" s="50" t="s">
        <v>961</v>
      </c>
      <c r="R17" s="50" t="s">
        <v>961</v>
      </c>
      <c r="S17" s="50" t="s">
        <v>961</v>
      </c>
      <c r="T17" s="50" t="s">
        <v>961</v>
      </c>
      <c r="U17" s="50" t="s">
        <v>961</v>
      </c>
      <c r="V17" s="50" t="s">
        <v>961</v>
      </c>
      <c r="W17" s="50" t="s">
        <v>961</v>
      </c>
      <c r="X17" s="50" t="s">
        <v>961</v>
      </c>
      <c r="Y17" s="50" t="s">
        <v>961</v>
      </c>
      <c r="Z17" s="50" t="s">
        <v>961</v>
      </c>
      <c r="AA17" s="50" t="s">
        <v>961</v>
      </c>
      <c r="AB17" s="50" t="s">
        <v>961</v>
      </c>
      <c r="AC17" s="50" t="s">
        <v>961</v>
      </c>
      <c r="AD17" s="50" t="s">
        <v>961</v>
      </c>
      <c r="AE17" s="50" t="s">
        <v>961</v>
      </c>
      <c r="AF17" s="50" t="s">
        <v>961</v>
      </c>
      <c r="AG17" s="50" t="s">
        <v>961</v>
      </c>
      <c r="AH17" s="50" t="s">
        <v>961</v>
      </c>
      <c r="AI17" s="50" t="s">
        <v>961</v>
      </c>
      <c r="AJ17" s="50" t="s">
        <v>961</v>
      </c>
      <c r="AK17" s="50" t="s">
        <v>961</v>
      </c>
      <c r="AL17" s="50" t="s">
        <v>961</v>
      </c>
      <c r="AM17" s="50" t="s">
        <v>961</v>
      </c>
      <c r="AN17" s="50" t="s">
        <v>961</v>
      </c>
      <c r="AO17" s="50" t="s">
        <v>961</v>
      </c>
      <c r="AP17" s="50" t="s">
        <v>961</v>
      </c>
      <c r="AQ17" s="50" t="s">
        <v>961</v>
      </c>
      <c r="AR17" s="50" t="s">
        <v>961</v>
      </c>
      <c r="AS17" s="50" t="s">
        <v>961</v>
      </c>
      <c r="AT17" s="50" t="s">
        <v>961</v>
      </c>
      <c r="AU17" s="50" t="s">
        <v>961</v>
      </c>
      <c r="AV17" s="50" t="s">
        <v>961</v>
      </c>
      <c r="AW17" s="50" t="s">
        <v>961</v>
      </c>
      <c r="AX17" s="50" t="s">
        <v>961</v>
      </c>
      <c r="AY17" s="50" t="s">
        <v>961</v>
      </c>
    </row>
    <row r="18" spans="2:51">
      <c r="B18" s="50" t="s">
        <v>938</v>
      </c>
      <c r="C18" s="50">
        <v>16</v>
      </c>
      <c r="D18" s="50" t="s">
        <v>1637</v>
      </c>
      <c r="E18" s="95">
        <v>45485</v>
      </c>
      <c r="F18" s="50">
        <v>2</v>
      </c>
      <c r="G18" s="208">
        <v>1</v>
      </c>
      <c r="H18" s="50" t="s">
        <v>970</v>
      </c>
      <c r="I18" s="50" t="s">
        <v>961</v>
      </c>
      <c r="J18" s="50" t="s">
        <v>961</v>
      </c>
      <c r="K18" s="50" t="s">
        <v>961</v>
      </c>
      <c r="L18" s="50" t="s">
        <v>961</v>
      </c>
      <c r="M18" s="50" t="s">
        <v>961</v>
      </c>
      <c r="N18" s="50" t="s">
        <v>961</v>
      </c>
      <c r="O18" s="50" t="s">
        <v>961</v>
      </c>
      <c r="P18" s="50" t="s">
        <v>961</v>
      </c>
      <c r="Q18" s="50" t="s">
        <v>961</v>
      </c>
      <c r="R18" s="50" t="s">
        <v>961</v>
      </c>
      <c r="S18" s="50" t="s">
        <v>961</v>
      </c>
      <c r="T18" s="50" t="s">
        <v>961</v>
      </c>
      <c r="U18" s="50" t="s">
        <v>961</v>
      </c>
      <c r="V18" s="50" t="s">
        <v>961</v>
      </c>
      <c r="W18" s="50" t="s">
        <v>961</v>
      </c>
      <c r="X18" s="50" t="s">
        <v>961</v>
      </c>
      <c r="Y18" s="50" t="s">
        <v>961</v>
      </c>
      <c r="Z18" s="50" t="s">
        <v>961</v>
      </c>
      <c r="AA18" s="50" t="s">
        <v>961</v>
      </c>
      <c r="AB18" s="50" t="s">
        <v>961</v>
      </c>
      <c r="AC18" s="50" t="s">
        <v>961</v>
      </c>
      <c r="AD18" s="50" t="s">
        <v>961</v>
      </c>
      <c r="AE18" s="50" t="s">
        <v>961</v>
      </c>
      <c r="AF18" s="50" t="s">
        <v>961</v>
      </c>
      <c r="AG18" s="50" t="s">
        <v>961</v>
      </c>
      <c r="AH18" s="50" t="s">
        <v>961</v>
      </c>
      <c r="AI18" s="50" t="s">
        <v>961</v>
      </c>
      <c r="AJ18" s="50" t="s">
        <v>961</v>
      </c>
      <c r="AK18" s="50" t="s">
        <v>961</v>
      </c>
      <c r="AL18" s="50" t="s">
        <v>961</v>
      </c>
      <c r="AM18" s="50" t="s">
        <v>961</v>
      </c>
      <c r="AN18" s="50" t="s">
        <v>961</v>
      </c>
      <c r="AO18" s="50" t="s">
        <v>961</v>
      </c>
      <c r="AP18" s="50" t="s">
        <v>961</v>
      </c>
      <c r="AQ18" s="50" t="s">
        <v>961</v>
      </c>
      <c r="AR18" s="50" t="s">
        <v>961</v>
      </c>
      <c r="AS18" s="50" t="s">
        <v>961</v>
      </c>
      <c r="AT18" s="50" t="s">
        <v>961</v>
      </c>
      <c r="AU18" s="50" t="s">
        <v>961</v>
      </c>
      <c r="AV18" s="50" t="s">
        <v>961</v>
      </c>
      <c r="AW18" s="50" t="s">
        <v>961</v>
      </c>
      <c r="AX18" s="50" t="s">
        <v>961</v>
      </c>
      <c r="AY18" s="50" t="s">
        <v>961</v>
      </c>
    </row>
    <row r="19" spans="2:51">
      <c r="B19" s="212" t="s">
        <v>1639</v>
      </c>
      <c r="C19" s="50">
        <v>19</v>
      </c>
      <c r="D19" s="50" t="s">
        <v>1640</v>
      </c>
      <c r="E19" s="95">
        <v>45485</v>
      </c>
      <c r="F19" s="50">
        <v>2</v>
      </c>
      <c r="G19" s="208" t="e" cm="1">
        <f t="array" aca="1" ref="G19" ca="1">SUM(IF(I2:AY2 = I24:AY24, 1, 0))/ COUNTA(I2:AY2)</f>
        <v>#NAME?</v>
      </c>
      <c r="H19" s="50" t="s">
        <v>970</v>
      </c>
      <c r="I19" s="50" t="s">
        <v>995</v>
      </c>
      <c r="J19" s="50" t="s">
        <v>995</v>
      </c>
      <c r="K19" s="50" t="s">
        <v>995</v>
      </c>
      <c r="L19" s="50" t="s">
        <v>995</v>
      </c>
      <c r="M19" s="50" t="s">
        <v>995</v>
      </c>
      <c r="N19" s="50" t="s">
        <v>995</v>
      </c>
      <c r="O19" s="50" t="s">
        <v>995</v>
      </c>
      <c r="P19" s="50" t="s">
        <v>995</v>
      </c>
      <c r="Q19" s="50" t="s">
        <v>995</v>
      </c>
      <c r="R19" s="50" t="s">
        <v>995</v>
      </c>
      <c r="S19" s="50" t="s">
        <v>995</v>
      </c>
      <c r="T19" s="50" t="s">
        <v>995</v>
      </c>
      <c r="U19" s="50" t="s">
        <v>995</v>
      </c>
      <c r="V19" s="50" t="s">
        <v>995</v>
      </c>
      <c r="W19" s="50" t="s">
        <v>995</v>
      </c>
      <c r="X19" s="50" t="s">
        <v>995</v>
      </c>
      <c r="Y19" s="50" t="s">
        <v>995</v>
      </c>
      <c r="Z19" s="50" t="s">
        <v>996</v>
      </c>
      <c r="AA19" s="50" t="s">
        <v>996</v>
      </c>
      <c r="AB19" s="50" t="s">
        <v>996</v>
      </c>
      <c r="AC19" s="50" t="s">
        <v>996</v>
      </c>
      <c r="AD19" s="50" t="s">
        <v>996</v>
      </c>
      <c r="AE19" s="50" t="s">
        <v>996</v>
      </c>
      <c r="AF19" s="50" t="s">
        <v>996</v>
      </c>
      <c r="AG19" s="50" t="s">
        <v>995</v>
      </c>
      <c r="AH19" s="50" t="s">
        <v>995</v>
      </c>
      <c r="AI19" s="50" t="s">
        <v>995</v>
      </c>
      <c r="AJ19" s="50" t="s">
        <v>995</v>
      </c>
      <c r="AK19" s="50" t="s">
        <v>995</v>
      </c>
      <c r="AL19" s="50" t="s">
        <v>995</v>
      </c>
      <c r="AM19" s="50" t="s">
        <v>995</v>
      </c>
      <c r="AN19" s="50" t="s">
        <v>995</v>
      </c>
      <c r="AO19" s="50" t="s">
        <v>995</v>
      </c>
      <c r="AP19" s="50" t="s">
        <v>995</v>
      </c>
      <c r="AQ19" s="50" t="s">
        <v>996</v>
      </c>
      <c r="AR19" s="50" t="s">
        <v>995</v>
      </c>
      <c r="AS19" s="50" t="s">
        <v>996</v>
      </c>
      <c r="AT19" s="50" t="s">
        <v>995</v>
      </c>
      <c r="AU19" s="50" t="s">
        <v>995</v>
      </c>
      <c r="AV19" s="50" t="s">
        <v>995</v>
      </c>
      <c r="AW19" s="50" t="s">
        <v>995</v>
      </c>
      <c r="AX19" s="50" t="s">
        <v>995</v>
      </c>
      <c r="AY19" s="50" t="s">
        <v>997</v>
      </c>
    </row>
    <row r="20" spans="2:51">
      <c r="B20" s="50" t="s">
        <v>947</v>
      </c>
      <c r="C20" s="50">
        <v>20</v>
      </c>
      <c r="D20" s="50" t="s">
        <v>1641</v>
      </c>
      <c r="E20" s="95">
        <v>45503</v>
      </c>
      <c r="F20" s="50">
        <v>2</v>
      </c>
      <c r="G20" s="192" t="e" cm="1">
        <f t="array" aca="1" ref="G20" ca="1">SUM(IF(I2:AY2 = I24:AY24, 1, 0))/ COUNTA(I2:AY2)</f>
        <v>#NAME?</v>
      </c>
      <c r="H20" s="50" t="s">
        <v>961</v>
      </c>
      <c r="I20" s="50" t="s">
        <v>961</v>
      </c>
      <c r="J20" s="50" t="s">
        <v>961</v>
      </c>
      <c r="K20" s="50" t="s">
        <v>961</v>
      </c>
      <c r="L20" s="50" t="s">
        <v>961</v>
      </c>
      <c r="M20" s="50" t="s">
        <v>961</v>
      </c>
      <c r="N20" s="50" t="s">
        <v>961</v>
      </c>
      <c r="O20" s="50" t="s">
        <v>961</v>
      </c>
      <c r="P20" s="50" t="s">
        <v>961</v>
      </c>
      <c r="Q20" s="50" t="s">
        <v>961</v>
      </c>
      <c r="R20" s="50" t="s">
        <v>961</v>
      </c>
      <c r="S20" s="50" t="s">
        <v>961</v>
      </c>
      <c r="T20" s="50" t="s">
        <v>961</v>
      </c>
      <c r="U20" s="50" t="s">
        <v>961</v>
      </c>
      <c r="V20" s="50" t="s">
        <v>961</v>
      </c>
      <c r="W20" s="50" t="s">
        <v>961</v>
      </c>
      <c r="X20" s="50" t="s">
        <v>961</v>
      </c>
      <c r="Y20" s="50" t="s">
        <v>961</v>
      </c>
      <c r="Z20" s="50" t="s">
        <v>961</v>
      </c>
      <c r="AA20" s="50" t="s">
        <v>961</v>
      </c>
      <c r="AB20" s="50" t="s">
        <v>961</v>
      </c>
      <c r="AC20" s="50" t="s">
        <v>961</v>
      </c>
      <c r="AD20" s="50" t="s">
        <v>961</v>
      </c>
      <c r="AE20" s="50" t="s">
        <v>961</v>
      </c>
      <c r="AF20" s="50" t="s">
        <v>961</v>
      </c>
      <c r="AG20" s="50" t="s">
        <v>961</v>
      </c>
      <c r="AH20" s="50" t="s">
        <v>961</v>
      </c>
      <c r="AI20" s="50" t="s">
        <v>961</v>
      </c>
      <c r="AJ20" s="50" t="s">
        <v>961</v>
      </c>
      <c r="AK20" s="50" t="s">
        <v>961</v>
      </c>
      <c r="AL20" s="50" t="s">
        <v>961</v>
      </c>
      <c r="AM20" s="50" t="s">
        <v>961</v>
      </c>
      <c r="AN20" s="50" t="s">
        <v>961</v>
      </c>
      <c r="AO20" s="50" t="s">
        <v>961</v>
      </c>
      <c r="AP20" s="50" t="s">
        <v>961</v>
      </c>
      <c r="AQ20" s="50" t="s">
        <v>961</v>
      </c>
      <c r="AR20" s="50" t="s">
        <v>961</v>
      </c>
      <c r="AS20" s="50" t="s">
        <v>961</v>
      </c>
      <c r="AT20" s="50" t="s">
        <v>961</v>
      </c>
      <c r="AU20" s="50" t="s">
        <v>961</v>
      </c>
      <c r="AV20" s="50" t="s">
        <v>961</v>
      </c>
      <c r="AW20" s="50" t="s">
        <v>961</v>
      </c>
      <c r="AX20" s="50" t="s">
        <v>961</v>
      </c>
      <c r="AY20" s="50" t="s">
        <v>961</v>
      </c>
    </row>
    <row r="21" spans="2:51">
      <c r="B21" s="50" t="s">
        <v>950</v>
      </c>
      <c r="C21" s="50">
        <v>21</v>
      </c>
      <c r="D21" s="50" t="s">
        <v>1641</v>
      </c>
      <c r="E21" s="95">
        <v>45503</v>
      </c>
      <c r="F21" s="50">
        <v>2</v>
      </c>
      <c r="G21" s="192" t="e" cm="1">
        <f t="array" aca="1" ref="G21" ca="1">SUM(IF(IF(G3:G20="null",1,G3:G20)=1,1,0))/COUNT(IF(G3:G20="null",1,1))</f>
        <v>#DIV/0!</v>
      </c>
      <c r="H21" s="50" t="s">
        <v>961</v>
      </c>
      <c r="I21" s="50" t="s">
        <v>961</v>
      </c>
      <c r="J21" s="50" t="s">
        <v>961</v>
      </c>
      <c r="K21" s="50" t="s">
        <v>961</v>
      </c>
      <c r="L21" s="50" t="s">
        <v>961</v>
      </c>
      <c r="M21" s="50" t="s">
        <v>961</v>
      </c>
      <c r="N21" s="50" t="s">
        <v>961</v>
      </c>
      <c r="O21" s="50" t="s">
        <v>961</v>
      </c>
      <c r="P21" s="50" t="s">
        <v>961</v>
      </c>
      <c r="Q21" s="50" t="s">
        <v>961</v>
      </c>
      <c r="R21" s="50" t="s">
        <v>961</v>
      </c>
      <c r="S21" s="50" t="s">
        <v>961</v>
      </c>
      <c r="T21" s="50" t="s">
        <v>961</v>
      </c>
      <c r="U21" s="50" t="s">
        <v>961</v>
      </c>
      <c r="V21" s="50" t="s">
        <v>961</v>
      </c>
      <c r="W21" s="50" t="s">
        <v>961</v>
      </c>
      <c r="X21" s="50" t="s">
        <v>961</v>
      </c>
      <c r="Y21" s="50" t="s">
        <v>961</v>
      </c>
      <c r="Z21" s="50" t="s">
        <v>961</v>
      </c>
      <c r="AA21" s="50" t="s">
        <v>961</v>
      </c>
      <c r="AB21" s="50" t="s">
        <v>961</v>
      </c>
      <c r="AC21" s="50" t="s">
        <v>961</v>
      </c>
      <c r="AD21" s="50" t="s">
        <v>961</v>
      </c>
      <c r="AE21" s="50" t="s">
        <v>961</v>
      </c>
      <c r="AF21" s="50" t="s">
        <v>961</v>
      </c>
      <c r="AG21" s="50" t="s">
        <v>961</v>
      </c>
      <c r="AH21" s="50" t="s">
        <v>961</v>
      </c>
      <c r="AI21" s="50" t="s">
        <v>961</v>
      </c>
      <c r="AJ21" s="50" t="s">
        <v>961</v>
      </c>
      <c r="AK21" s="50" t="s">
        <v>961</v>
      </c>
      <c r="AL21" s="50" t="s">
        <v>961</v>
      </c>
      <c r="AM21" s="50" t="s">
        <v>961</v>
      </c>
      <c r="AN21" s="50" t="s">
        <v>961</v>
      </c>
      <c r="AO21" s="50" t="s">
        <v>961</v>
      </c>
      <c r="AP21" s="50" t="s">
        <v>961</v>
      </c>
      <c r="AQ21" s="50" t="s">
        <v>961</v>
      </c>
      <c r="AR21" s="50" t="s">
        <v>961</v>
      </c>
      <c r="AS21" s="50" t="s">
        <v>961</v>
      </c>
      <c r="AT21" s="50" t="s">
        <v>961</v>
      </c>
      <c r="AU21" s="50" t="s">
        <v>961</v>
      </c>
      <c r="AV21" s="50" t="s">
        <v>961</v>
      </c>
      <c r="AW21" s="50" t="s">
        <v>961</v>
      </c>
      <c r="AX21" s="50" t="s">
        <v>961</v>
      </c>
      <c r="AY21" s="50" t="s">
        <v>961</v>
      </c>
    </row>
    <row r="22" spans="2:51">
      <c r="B22" s="50"/>
      <c r="C22" s="50"/>
      <c r="D22" s="50"/>
      <c r="E22" s="95"/>
      <c r="F22" s="50"/>
      <c r="G22" s="50"/>
      <c r="H22" s="50"/>
      <c r="I22" s="50"/>
      <c r="J22" s="50"/>
      <c r="K22" s="50"/>
      <c r="L22" s="50"/>
      <c r="M22" s="50"/>
      <c r="N22" s="50"/>
      <c r="O22" s="50"/>
      <c r="P22" s="50"/>
      <c r="Q22" s="50"/>
      <c r="R22" s="50"/>
      <c r="S22" s="50"/>
    </row>
    <row r="23" spans="2:51">
      <c r="B23" s="130" t="s">
        <v>1067</v>
      </c>
    </row>
    <row r="24" spans="2:51">
      <c r="B24" s="128" t="s">
        <v>953</v>
      </c>
      <c r="C24" s="129" t="s">
        <v>954</v>
      </c>
      <c r="D24" s="129" t="s">
        <v>955</v>
      </c>
      <c r="E24" s="129" t="s">
        <v>956</v>
      </c>
      <c r="F24" s="129" t="s">
        <v>957</v>
      </c>
      <c r="G24" s="129" t="s">
        <v>958</v>
      </c>
      <c r="H24" s="129" t="s">
        <v>959</v>
      </c>
      <c r="I24" s="129" t="e" cm="1">
        <f t="array" aca="1" ref="I24" ca="1">TRANSPOSE(_xlfn.SORTBY(_xlfn._xlws.FILTER(Table3[NOME FÍSICO CAMPO],Table3[NOME FÍSICO TABELA]="credit_card_account_plan"), _xlfn._xlws.FILTER(Table3[ORDEM], Table3[NOME FÍSICO TABELA]="credit_card_account_plan"), 1))</f>
        <v>#NAME?</v>
      </c>
      <c r="J24" s="129"/>
      <c r="K24" s="129"/>
      <c r="L24" s="129"/>
      <c r="M24" s="129"/>
      <c r="N24" s="129"/>
      <c r="O24" s="129"/>
      <c r="P24" s="129"/>
      <c r="Q24" s="129"/>
      <c r="R24" s="129"/>
      <c r="S24" s="129"/>
      <c r="T24" s="129"/>
      <c r="U24" s="129"/>
      <c r="V24" s="129"/>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c r="AV24" s="129"/>
      <c r="AW24" s="129"/>
      <c r="AX24" s="129"/>
      <c r="AY24" s="126"/>
    </row>
    <row r="25" spans="2:51">
      <c r="B25" s="107" t="s">
        <v>998</v>
      </c>
      <c r="C25" s="110">
        <v>21</v>
      </c>
      <c r="D25" s="104" t="s">
        <v>999</v>
      </c>
      <c r="E25" s="103" t="s">
        <v>1000</v>
      </c>
      <c r="F25" s="103" t="s">
        <v>206</v>
      </c>
      <c r="G25" s="103" t="s">
        <v>206</v>
      </c>
      <c r="H25" s="103" t="s">
        <v>206</v>
      </c>
      <c r="I25" s="103" t="e" cm="1">
        <f t="array" aca="1" ref="I25" ca="1">TRANSPOSE(_xlfn.SORTBY(_xlfn._xlws.FILTER(IF(Table3[FORMATO]:Table3[COMP_ CAMPO]&lt;&gt;"",Table3[FORMATO]:Table3[COMP_ CAMPO],9999999),Table3[NOME FÍSICO TABELA]="credit_card_account_plan"), _xlfn._xlws.FILTER(Table3[ORDEM], Table3[NOME FÍSICO TABELA]="credit_card_account_plan"), 1))</f>
        <v>#NAME?</v>
      </c>
      <c r="J25" s="103"/>
      <c r="K25" s="103"/>
      <c r="L25" s="103"/>
      <c r="M25" s="103"/>
      <c r="N25" s="103"/>
      <c r="O25" s="103"/>
      <c r="P25" s="103"/>
      <c r="Q25" s="103"/>
      <c r="R25" s="103"/>
      <c r="S25" s="103"/>
      <c r="T25" s="103"/>
      <c r="U25" s="103"/>
      <c r="V25" s="103"/>
      <c r="W25" s="103"/>
      <c r="X25" s="103"/>
      <c r="Y25" s="103"/>
      <c r="Z25" s="103"/>
      <c r="AA25" s="103"/>
      <c r="AB25" s="103"/>
      <c r="AC25" s="103"/>
      <c r="AD25" s="103"/>
      <c r="AE25" s="103"/>
      <c r="AF25" s="103"/>
      <c r="AG25" s="225"/>
      <c r="AH25" s="225"/>
      <c r="AI25" s="103"/>
      <c r="AJ25" s="103"/>
      <c r="AK25" s="103"/>
      <c r="AL25" s="103"/>
      <c r="AM25" s="103"/>
      <c r="AN25" s="103"/>
      <c r="AO25" s="103"/>
      <c r="AP25" s="103"/>
      <c r="AQ25" s="103"/>
      <c r="AR25" s="103"/>
      <c r="AS25" s="103"/>
      <c r="AT25" s="103"/>
      <c r="AU25" s="103"/>
      <c r="AV25" s="103"/>
      <c r="AW25" s="103"/>
      <c r="AX25" s="103"/>
      <c r="AY25" s="109"/>
    </row>
    <row r="26" spans="2:51">
      <c r="B26" s="107" t="s">
        <v>1001</v>
      </c>
      <c r="C26" s="110">
        <v>7</v>
      </c>
      <c r="D26" s="104" t="s">
        <v>999</v>
      </c>
      <c r="E26" s="103" t="s">
        <v>1000</v>
      </c>
      <c r="F26" s="105" t="s">
        <v>206</v>
      </c>
      <c r="G26" s="105" t="s">
        <v>206</v>
      </c>
      <c r="H26" s="105" t="s">
        <v>206</v>
      </c>
      <c r="I26" s="151"/>
      <c r="J26" s="151"/>
      <c r="K26" s="151"/>
      <c r="L26" s="151"/>
      <c r="M26" s="151"/>
      <c r="N26" s="151"/>
      <c r="O26" s="151"/>
      <c r="P26" s="151"/>
      <c r="Q26" s="151"/>
      <c r="R26" s="151"/>
      <c r="S26" s="151"/>
      <c r="T26" s="151"/>
      <c r="U26" s="151"/>
      <c r="V26" s="151"/>
      <c r="W26" s="151"/>
      <c r="X26" s="151"/>
      <c r="Y26" s="151"/>
      <c r="Z26" s="151"/>
      <c r="AA26" s="151"/>
      <c r="AB26" s="151"/>
      <c r="AC26" s="151"/>
      <c r="AD26" s="151"/>
      <c r="AE26" s="151"/>
      <c r="AF26" s="151"/>
      <c r="AG26" s="151"/>
      <c r="AH26" s="151"/>
      <c r="AI26" s="151"/>
      <c r="AJ26" s="151"/>
      <c r="AK26" s="151"/>
      <c r="AL26" s="151"/>
      <c r="AM26" s="151"/>
      <c r="AN26" s="151"/>
      <c r="AO26" s="151"/>
      <c r="AP26" s="151"/>
      <c r="AQ26" s="151"/>
      <c r="AR26" s="151"/>
      <c r="AS26" s="151"/>
      <c r="AT26" s="151"/>
      <c r="AU26" s="151"/>
      <c r="AV26" s="151"/>
      <c r="AW26" s="151"/>
      <c r="AX26" s="151"/>
      <c r="AY26" s="152"/>
    </row>
    <row r="28" spans="2:51">
      <c r="B28" s="140" t="s">
        <v>1002</v>
      </c>
    </row>
    <row r="29" spans="2:51">
      <c r="B29" s="134" t="s">
        <v>1003</v>
      </c>
      <c r="C29" s="134" t="s">
        <v>1004</v>
      </c>
      <c r="D29" s="135" t="s">
        <v>1005</v>
      </c>
      <c r="E29" s="134" t="s">
        <v>1006</v>
      </c>
      <c r="F29" s="134" t="s">
        <v>1007</v>
      </c>
    </row>
    <row r="30" spans="2:51" ht="43.5">
      <c r="B30" s="137" t="s">
        <v>1008</v>
      </c>
      <c r="C30" s="138" t="s">
        <v>1642</v>
      </c>
      <c r="D30" s="228" t="s">
        <v>1643</v>
      </c>
      <c r="E30" s="229" t="s">
        <v>1644</v>
      </c>
      <c r="F30" s="188" t="s">
        <v>1017</v>
      </c>
      <c r="H30" s="226"/>
      <c r="J30" t="s">
        <v>1645</v>
      </c>
      <c r="K30">
        <v>20748</v>
      </c>
    </row>
    <row r="31" spans="2:51" ht="43.5">
      <c r="B31" s="137" t="s">
        <v>1008</v>
      </c>
      <c r="C31" s="138" t="s">
        <v>319</v>
      </c>
      <c r="D31" s="228" t="s">
        <v>1646</v>
      </c>
      <c r="E31" s="229" t="s">
        <v>1647</v>
      </c>
      <c r="F31" s="188" t="s">
        <v>1014</v>
      </c>
      <c r="H31" s="227"/>
      <c r="J31" t="s">
        <v>1648</v>
      </c>
      <c r="K31">
        <v>760260</v>
      </c>
      <c r="L31">
        <f>K31+K30</f>
        <v>781008</v>
      </c>
    </row>
    <row r="32" spans="2:51" ht="29">
      <c r="B32" s="137" t="s">
        <v>1008</v>
      </c>
      <c r="C32" s="115" t="s">
        <v>362</v>
      </c>
      <c r="D32" s="230" t="s">
        <v>1649</v>
      </c>
      <c r="E32" s="146" t="s">
        <v>1650</v>
      </c>
      <c r="F32" s="136" t="s">
        <v>1014</v>
      </c>
      <c r="J32" t="s">
        <v>1651</v>
      </c>
      <c r="K32">
        <v>8461</v>
      </c>
      <c r="L32">
        <f>K31+K32</f>
        <v>768721</v>
      </c>
      <c r="M32">
        <f>L31+K32</f>
        <v>789469</v>
      </c>
    </row>
    <row r="33" spans="2:12" ht="72.5">
      <c r="B33" s="137" t="s">
        <v>1008</v>
      </c>
      <c r="C33" s="115" t="s">
        <v>511</v>
      </c>
      <c r="D33" s="230" t="s">
        <v>1652</v>
      </c>
      <c r="E33" s="146" t="s">
        <v>1653</v>
      </c>
      <c r="F33" s="188" t="s">
        <v>1011</v>
      </c>
      <c r="J33" t="s">
        <v>1654</v>
      </c>
      <c r="K33">
        <v>26</v>
      </c>
    </row>
    <row r="34" spans="2:12" ht="101.5">
      <c r="B34" s="137" t="s">
        <v>1008</v>
      </c>
      <c r="C34" s="115" t="s">
        <v>512</v>
      </c>
      <c r="D34" s="230" t="s">
        <v>1655</v>
      </c>
      <c r="E34" s="146" t="s">
        <v>1656</v>
      </c>
      <c r="F34" s="136" t="s">
        <v>1011</v>
      </c>
      <c r="J34" t="s">
        <v>1657</v>
      </c>
      <c r="K34">
        <v>478</v>
      </c>
      <c r="L34">
        <f>K32+K34</f>
        <v>8939</v>
      </c>
    </row>
    <row r="35" spans="2:12" ht="72.5">
      <c r="B35" s="111" t="s">
        <v>1008</v>
      </c>
      <c r="C35" s="115" t="s">
        <v>513</v>
      </c>
      <c r="D35" s="230" t="s">
        <v>1658</v>
      </c>
      <c r="E35" s="146" t="s">
        <v>1659</v>
      </c>
      <c r="F35" s="136" t="s">
        <v>1181</v>
      </c>
      <c r="K35">
        <f>SUM(K30:K34)</f>
        <v>789973</v>
      </c>
    </row>
    <row r="36" spans="2:12" ht="72.5">
      <c r="B36" s="111" t="s">
        <v>1008</v>
      </c>
      <c r="C36" s="115" t="s">
        <v>514</v>
      </c>
      <c r="D36" s="230" t="s">
        <v>1658</v>
      </c>
      <c r="E36" s="146" t="s">
        <v>1660</v>
      </c>
      <c r="F36" s="136" t="s">
        <v>1181</v>
      </c>
    </row>
    <row r="37" spans="2:12" ht="116">
      <c r="B37" s="111" t="s">
        <v>1008</v>
      </c>
      <c r="C37" s="115" t="s">
        <v>226</v>
      </c>
      <c r="D37" s="230" t="s">
        <v>1661</v>
      </c>
      <c r="E37" s="146" t="s">
        <v>1662</v>
      </c>
      <c r="F37" s="136" t="s">
        <v>1011</v>
      </c>
    </row>
    <row r="38" spans="2:12" ht="116">
      <c r="B38" s="111" t="s">
        <v>1008</v>
      </c>
      <c r="C38" s="115" t="s">
        <v>229</v>
      </c>
      <c r="D38" s="230" t="s">
        <v>1661</v>
      </c>
      <c r="E38" s="146" t="s">
        <v>1662</v>
      </c>
      <c r="F38" s="136" t="s">
        <v>1663</v>
      </c>
    </row>
    <row r="39" spans="2:12" ht="43.5">
      <c r="B39" s="118" t="s">
        <v>1008</v>
      </c>
      <c r="C39" s="117" t="s">
        <v>515</v>
      </c>
      <c r="D39" s="231" t="s">
        <v>1664</v>
      </c>
      <c r="E39" s="146" t="s">
        <v>1665</v>
      </c>
      <c r="F39" s="136" t="s">
        <v>1014</v>
      </c>
    </row>
    <row r="40" spans="2:12" ht="87">
      <c r="B40" s="111" t="s">
        <v>1008</v>
      </c>
      <c r="C40" s="115" t="s">
        <v>516</v>
      </c>
      <c r="D40" s="231" t="s">
        <v>1666</v>
      </c>
      <c r="E40" s="146" t="s">
        <v>1667</v>
      </c>
      <c r="F40" s="188" t="s">
        <v>1011</v>
      </c>
    </row>
    <row r="41" spans="2:12" ht="87">
      <c r="B41" s="111" t="s">
        <v>1008</v>
      </c>
      <c r="C41" s="115" t="s">
        <v>517</v>
      </c>
      <c r="D41" s="231" t="s">
        <v>1668</v>
      </c>
      <c r="E41" s="146" t="s">
        <v>1667</v>
      </c>
      <c r="F41" s="188" t="s">
        <v>1011</v>
      </c>
    </row>
    <row r="42" spans="2:12" ht="87">
      <c r="B42" s="111" t="s">
        <v>1008</v>
      </c>
      <c r="C42" s="115" t="s">
        <v>392</v>
      </c>
      <c r="D42" s="231" t="s">
        <v>1669</v>
      </c>
      <c r="E42" s="146" t="s">
        <v>1667</v>
      </c>
      <c r="F42" s="188" t="s">
        <v>1011</v>
      </c>
    </row>
    <row r="43" spans="2:12" ht="87">
      <c r="B43" s="111" t="s">
        <v>1008</v>
      </c>
      <c r="C43" s="115" t="s">
        <v>432</v>
      </c>
      <c r="D43" s="231" t="s">
        <v>1670</v>
      </c>
      <c r="E43" s="146" t="s">
        <v>1667</v>
      </c>
      <c r="F43" s="188" t="s">
        <v>1011</v>
      </c>
    </row>
    <row r="44" spans="2:12" ht="101.5">
      <c r="B44" s="137" t="s">
        <v>1008</v>
      </c>
      <c r="C44" s="138" t="s">
        <v>196</v>
      </c>
      <c r="D44" s="232" t="s">
        <v>1671</v>
      </c>
      <c r="E44" s="147" t="s">
        <v>1672</v>
      </c>
      <c r="F44" s="188" t="s">
        <v>1017</v>
      </c>
    </row>
    <row r="45" spans="2:12" ht="29">
      <c r="B45" s="111" t="s">
        <v>1018</v>
      </c>
      <c r="C45" s="115" t="s">
        <v>1241</v>
      </c>
      <c r="D45" s="123" t="s">
        <v>1673</v>
      </c>
      <c r="E45" s="146" t="s">
        <v>1674</v>
      </c>
      <c r="F45" s="188" t="s">
        <v>1017</v>
      </c>
    </row>
    <row r="46" spans="2:12" ht="72.5">
      <c r="B46" s="137" t="s">
        <v>1076</v>
      </c>
      <c r="C46" s="115" t="s">
        <v>1241</v>
      </c>
      <c r="D46" s="232" t="s">
        <v>1675</v>
      </c>
      <c r="E46" s="147" t="s">
        <v>1676</v>
      </c>
      <c r="F46" s="188" t="s">
        <v>1677</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BB56"/>
  <sheetViews>
    <sheetView showGridLines="0" topLeftCell="B55" workbookViewId="0">
      <selection activeCell="I14" sqref="I14"/>
    </sheetView>
  </sheetViews>
  <sheetFormatPr defaultRowHeight="14.5"/>
  <cols>
    <col min="2" max="2" width="30.7265625" bestFit="1" customWidth="1"/>
    <col min="3" max="3" width="35" customWidth="1"/>
    <col min="4" max="4" width="48.453125" customWidth="1"/>
    <col min="5" max="5" width="35.7265625" customWidth="1"/>
    <col min="6" max="6" width="20.26953125" customWidth="1"/>
    <col min="7" max="7" width="16.1796875" customWidth="1"/>
    <col min="8" max="8" width="16.453125" bestFit="1" customWidth="1"/>
    <col min="9" max="9" width="18.453125" bestFit="1" customWidth="1"/>
    <col min="10" max="11" width="30.7265625" bestFit="1" customWidth="1"/>
    <col min="12" max="12" width="34" customWidth="1"/>
    <col min="13" max="13" width="27.7265625" bestFit="1" customWidth="1"/>
    <col min="14"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24.7265625"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 min="54" max="54" width="19.26953125" customWidth="1"/>
  </cols>
  <sheetData>
    <row r="1" spans="2:54" ht="26.25" customHeight="1"/>
    <row r="2" spans="2:54">
      <c r="B2" s="76" t="s">
        <v>953</v>
      </c>
      <c r="C2" s="76" t="s">
        <v>954</v>
      </c>
      <c r="D2" s="76" t="s">
        <v>955</v>
      </c>
      <c r="E2" s="76" t="s">
        <v>1678</v>
      </c>
      <c r="F2" s="76" t="s">
        <v>957</v>
      </c>
      <c r="G2" s="76" t="s">
        <v>958</v>
      </c>
      <c r="H2" s="76" t="s">
        <v>959</v>
      </c>
      <c r="I2" s="76" t="s">
        <v>102</v>
      </c>
      <c r="J2" s="76" t="s">
        <v>112</v>
      </c>
      <c r="K2" s="76" t="s">
        <v>116</v>
      </c>
      <c r="L2" s="76" t="s">
        <v>121</v>
      </c>
      <c r="M2" s="76" t="s">
        <v>127</v>
      </c>
      <c r="N2" s="76" t="s">
        <v>132</v>
      </c>
      <c r="O2" s="76" t="s">
        <v>135</v>
      </c>
      <c r="P2" s="76" t="s">
        <v>138</v>
      </c>
      <c r="Q2" s="76" t="s">
        <v>144</v>
      </c>
      <c r="R2" s="76" t="s">
        <v>149</v>
      </c>
      <c r="S2" s="76" t="s">
        <v>155</v>
      </c>
      <c r="T2" s="76" t="s">
        <v>1679</v>
      </c>
      <c r="U2" s="76" t="s">
        <v>1680</v>
      </c>
      <c r="V2" s="76" t="s">
        <v>169</v>
      </c>
      <c r="W2" s="76" t="s">
        <v>544</v>
      </c>
      <c r="X2" s="76" t="s">
        <v>319</v>
      </c>
      <c r="Y2" s="76" t="s">
        <v>175</v>
      </c>
      <c r="Z2" s="76" t="s">
        <v>183</v>
      </c>
      <c r="AA2" s="76" t="s">
        <v>362</v>
      </c>
      <c r="AB2" s="76" t="s">
        <v>510</v>
      </c>
      <c r="AC2" s="76" t="s">
        <v>1681</v>
      </c>
      <c r="AD2" s="76" t="s">
        <v>511</v>
      </c>
      <c r="AE2" s="76" t="s">
        <v>512</v>
      </c>
      <c r="AF2" s="76" t="s">
        <v>513</v>
      </c>
      <c r="AG2" s="76" t="s">
        <v>514</v>
      </c>
      <c r="AH2" s="76" t="s">
        <v>226</v>
      </c>
      <c r="AI2" s="76" t="s">
        <v>229</v>
      </c>
      <c r="AJ2" s="76" t="s">
        <v>515</v>
      </c>
      <c r="AK2" s="76" t="s">
        <v>1682</v>
      </c>
      <c r="AL2" s="76" t="s">
        <v>545</v>
      </c>
      <c r="AM2" s="76" t="s">
        <v>546</v>
      </c>
      <c r="AN2" s="76" t="s">
        <v>547</v>
      </c>
      <c r="AO2" s="76" t="s">
        <v>548</v>
      </c>
      <c r="AP2" s="76" t="s">
        <v>517</v>
      </c>
      <c r="AQ2" s="76" t="s">
        <v>1683</v>
      </c>
      <c r="AR2" s="76" t="s">
        <v>392</v>
      </c>
      <c r="AS2" s="76" t="s">
        <v>404</v>
      </c>
      <c r="AT2" s="76" t="s">
        <v>414</v>
      </c>
      <c r="AU2" s="76" t="s">
        <v>424</v>
      </c>
      <c r="AV2" s="76" t="s">
        <v>432</v>
      </c>
      <c r="AW2" s="76" t="s">
        <v>1684</v>
      </c>
      <c r="AX2" s="76" t="s">
        <v>190</v>
      </c>
      <c r="AY2" s="76" t="s">
        <v>196</v>
      </c>
      <c r="AZ2" s="76" t="s">
        <v>202</v>
      </c>
      <c r="BA2" s="76" t="s">
        <v>208</v>
      </c>
      <c r="BB2" s="76" t="s">
        <v>213</v>
      </c>
    </row>
    <row r="3" spans="2:54">
      <c r="B3" s="50" t="s">
        <v>907</v>
      </c>
      <c r="C3" s="50">
        <v>1</v>
      </c>
      <c r="D3" s="50" t="s">
        <v>1685</v>
      </c>
      <c r="E3" s="95">
        <v>45492</v>
      </c>
      <c r="F3" s="50">
        <v>6</v>
      </c>
      <c r="G3" s="208">
        <v>1</v>
      </c>
      <c r="H3" s="98">
        <v>994692</v>
      </c>
      <c r="I3" s="50" t="s">
        <v>961</v>
      </c>
      <c r="J3" s="50" t="s">
        <v>961</v>
      </c>
      <c r="K3" s="50" t="s">
        <v>961</v>
      </c>
      <c r="L3" s="50" t="s">
        <v>961</v>
      </c>
      <c r="M3" s="50" t="s">
        <v>961</v>
      </c>
      <c r="N3" s="50" t="s">
        <v>961</v>
      </c>
      <c r="O3" s="50" t="s">
        <v>961</v>
      </c>
      <c r="P3" s="50" t="s">
        <v>961</v>
      </c>
      <c r="Q3" s="50" t="s">
        <v>961</v>
      </c>
      <c r="R3" s="50" t="s">
        <v>961</v>
      </c>
      <c r="S3" s="50" t="s">
        <v>961</v>
      </c>
      <c r="T3" s="50" t="s">
        <v>961</v>
      </c>
      <c r="U3" s="50" t="s">
        <v>961</v>
      </c>
      <c r="V3" s="50" t="s">
        <v>961</v>
      </c>
      <c r="W3" s="50" t="s">
        <v>961</v>
      </c>
      <c r="X3" s="50" t="s">
        <v>961</v>
      </c>
      <c r="Y3" s="50" t="s">
        <v>961</v>
      </c>
      <c r="Z3" s="50" t="s">
        <v>961</v>
      </c>
      <c r="AA3" s="50" t="s">
        <v>961</v>
      </c>
      <c r="AB3" s="50" t="s">
        <v>961</v>
      </c>
      <c r="AC3" s="50" t="s">
        <v>961</v>
      </c>
      <c r="AD3" s="50" t="s">
        <v>961</v>
      </c>
      <c r="AE3" s="50" t="s">
        <v>961</v>
      </c>
      <c r="AF3" s="50" t="s">
        <v>961</v>
      </c>
      <c r="AG3" s="50" t="s">
        <v>961</v>
      </c>
      <c r="AH3" s="50" t="s">
        <v>961</v>
      </c>
      <c r="AI3" s="50" t="s">
        <v>961</v>
      </c>
      <c r="AJ3" s="50" t="s">
        <v>961</v>
      </c>
      <c r="AK3" s="50" t="s">
        <v>961</v>
      </c>
      <c r="AL3" s="50" t="s">
        <v>961</v>
      </c>
      <c r="AM3" s="50" t="s">
        <v>961</v>
      </c>
      <c r="AN3" s="50" t="s">
        <v>961</v>
      </c>
      <c r="AO3" s="50" t="s">
        <v>961</v>
      </c>
      <c r="AP3" s="50" t="s">
        <v>961</v>
      </c>
      <c r="AQ3" s="50" t="s">
        <v>961</v>
      </c>
      <c r="AR3" s="50" t="s">
        <v>961</v>
      </c>
      <c r="AS3" s="50" t="s">
        <v>961</v>
      </c>
      <c r="AT3" s="50" t="s">
        <v>961</v>
      </c>
      <c r="AU3" s="50" t="s">
        <v>961</v>
      </c>
      <c r="AV3" s="50" t="s">
        <v>961</v>
      </c>
      <c r="AW3" s="50" t="s">
        <v>961</v>
      </c>
      <c r="AX3" s="50" t="s">
        <v>961</v>
      </c>
      <c r="AY3" s="50" t="s">
        <v>961</v>
      </c>
      <c r="AZ3" s="50" t="s">
        <v>961</v>
      </c>
      <c r="BA3" s="50" t="s">
        <v>961</v>
      </c>
      <c r="BB3" s="50" t="s">
        <v>961</v>
      </c>
    </row>
    <row r="4" spans="2:54">
      <c r="B4" s="50" t="s">
        <v>909</v>
      </c>
      <c r="C4" s="50">
        <v>2</v>
      </c>
      <c r="D4" s="50" t="s">
        <v>1686</v>
      </c>
      <c r="E4" s="95">
        <v>45492</v>
      </c>
      <c r="F4" s="50">
        <v>6</v>
      </c>
      <c r="G4" s="208">
        <v>1</v>
      </c>
      <c r="H4" s="50">
        <v>0</v>
      </c>
      <c r="I4" s="50" t="s">
        <v>961</v>
      </c>
      <c r="J4" s="50" t="s">
        <v>961</v>
      </c>
      <c r="K4" s="50" t="s">
        <v>961</v>
      </c>
      <c r="L4" s="50" t="s">
        <v>961</v>
      </c>
      <c r="M4" s="50" t="s">
        <v>961</v>
      </c>
      <c r="N4" s="50" t="s">
        <v>961</v>
      </c>
      <c r="O4" s="50" t="s">
        <v>961</v>
      </c>
      <c r="P4" s="50" t="s">
        <v>961</v>
      </c>
      <c r="Q4" s="50" t="s">
        <v>961</v>
      </c>
      <c r="R4" s="50" t="s">
        <v>961</v>
      </c>
      <c r="S4" s="50" t="s">
        <v>961</v>
      </c>
      <c r="T4" s="50" t="s">
        <v>961</v>
      </c>
      <c r="U4" s="50" t="s">
        <v>961</v>
      </c>
      <c r="V4" s="50" t="s">
        <v>961</v>
      </c>
      <c r="W4" s="50" t="s">
        <v>961</v>
      </c>
      <c r="X4" s="50" t="s">
        <v>961</v>
      </c>
      <c r="Y4" s="50" t="s">
        <v>961</v>
      </c>
      <c r="Z4" s="50" t="s">
        <v>961</v>
      </c>
      <c r="AA4" s="50" t="s">
        <v>961</v>
      </c>
      <c r="AB4" s="50" t="s">
        <v>961</v>
      </c>
      <c r="AC4" s="50" t="s">
        <v>961</v>
      </c>
      <c r="AD4" s="50" t="s">
        <v>961</v>
      </c>
      <c r="AE4" s="50" t="s">
        <v>961</v>
      </c>
      <c r="AF4" s="50" t="s">
        <v>961</v>
      </c>
      <c r="AG4" s="50" t="s">
        <v>961</v>
      </c>
      <c r="AH4" s="50" t="s">
        <v>961</v>
      </c>
      <c r="AI4" s="50" t="s">
        <v>961</v>
      </c>
      <c r="AJ4" s="50" t="s">
        <v>961</v>
      </c>
      <c r="AK4" s="50" t="s">
        <v>961</v>
      </c>
      <c r="AL4" s="50" t="s">
        <v>961</v>
      </c>
      <c r="AM4" s="50" t="s">
        <v>961</v>
      </c>
      <c r="AN4" s="50" t="s">
        <v>961</v>
      </c>
      <c r="AO4" s="50" t="s">
        <v>961</v>
      </c>
      <c r="AP4" s="50" t="s">
        <v>961</v>
      </c>
      <c r="AQ4" s="50" t="s">
        <v>961</v>
      </c>
      <c r="AR4" s="50" t="s">
        <v>961</v>
      </c>
      <c r="AS4" s="50" t="s">
        <v>961</v>
      </c>
      <c r="AT4" s="50" t="s">
        <v>961</v>
      </c>
      <c r="AU4" s="50" t="s">
        <v>961</v>
      </c>
      <c r="AV4" s="50" t="s">
        <v>961</v>
      </c>
      <c r="AW4" s="50" t="s">
        <v>961</v>
      </c>
      <c r="AX4" s="50" t="s">
        <v>961</v>
      </c>
      <c r="AY4" s="50" t="s">
        <v>961</v>
      </c>
      <c r="AZ4" s="50" t="s">
        <v>961</v>
      </c>
      <c r="BA4" s="50" t="s">
        <v>961</v>
      </c>
      <c r="BB4" s="50" t="s">
        <v>961</v>
      </c>
    </row>
    <row r="5" spans="2:54">
      <c r="B5" s="50" t="s">
        <v>911</v>
      </c>
      <c r="C5" s="50">
        <v>3</v>
      </c>
      <c r="D5" s="50" t="s">
        <v>1687</v>
      </c>
      <c r="E5" s="95">
        <v>45492</v>
      </c>
      <c r="F5" s="50">
        <v>6</v>
      </c>
      <c r="G5" s="208">
        <v>1</v>
      </c>
      <c r="H5" s="50">
        <v>0</v>
      </c>
      <c r="I5" s="50">
        <v>0</v>
      </c>
      <c r="J5" s="50">
        <v>0</v>
      </c>
      <c r="K5" s="50" t="s">
        <v>961</v>
      </c>
      <c r="L5" s="50" t="s">
        <v>961</v>
      </c>
      <c r="M5" s="50" t="s">
        <v>961</v>
      </c>
      <c r="N5" s="50" t="s">
        <v>961</v>
      </c>
      <c r="O5" s="50" t="s">
        <v>961</v>
      </c>
      <c r="P5" s="50" t="s">
        <v>961</v>
      </c>
      <c r="Q5" s="50" t="s">
        <v>961</v>
      </c>
      <c r="R5" s="50" t="s">
        <v>961</v>
      </c>
      <c r="S5" s="50" t="s">
        <v>961</v>
      </c>
      <c r="T5" s="50" t="s">
        <v>961</v>
      </c>
      <c r="U5" s="50" t="s">
        <v>961</v>
      </c>
      <c r="V5" s="50" t="s">
        <v>961</v>
      </c>
      <c r="W5" s="50" t="s">
        <v>961</v>
      </c>
      <c r="X5" s="50" t="s">
        <v>961</v>
      </c>
      <c r="Y5" s="50" t="s">
        <v>961</v>
      </c>
      <c r="Z5" s="50" t="s">
        <v>961</v>
      </c>
      <c r="AA5" s="50" t="s">
        <v>961</v>
      </c>
      <c r="AB5" s="50" t="s">
        <v>961</v>
      </c>
      <c r="AC5" s="50" t="s">
        <v>961</v>
      </c>
      <c r="AD5" s="50" t="s">
        <v>961</v>
      </c>
      <c r="AE5" s="50" t="s">
        <v>961</v>
      </c>
      <c r="AF5" s="50" t="s">
        <v>961</v>
      </c>
      <c r="AG5" s="50" t="s">
        <v>961</v>
      </c>
      <c r="AH5" s="50" t="s">
        <v>961</v>
      </c>
      <c r="AI5" s="50" t="s">
        <v>961</v>
      </c>
      <c r="AJ5" s="50" t="s">
        <v>961</v>
      </c>
      <c r="AK5" s="50" t="s">
        <v>961</v>
      </c>
      <c r="AL5" s="50" t="s">
        <v>961</v>
      </c>
      <c r="AM5" s="50" t="s">
        <v>961</v>
      </c>
      <c r="AN5" s="50" t="s">
        <v>961</v>
      </c>
      <c r="AO5" s="50" t="s">
        <v>961</v>
      </c>
      <c r="AP5" s="50" t="s">
        <v>961</v>
      </c>
      <c r="AQ5" s="50" t="s">
        <v>961</v>
      </c>
      <c r="AR5" s="50" t="s">
        <v>961</v>
      </c>
      <c r="AS5" s="50" t="s">
        <v>961</v>
      </c>
      <c r="AT5" s="50" t="s">
        <v>961</v>
      </c>
      <c r="AU5" s="50" t="s">
        <v>961</v>
      </c>
      <c r="AV5" s="50" t="s">
        <v>961</v>
      </c>
      <c r="AW5" s="50" t="s">
        <v>961</v>
      </c>
      <c r="AX5" s="50" t="s">
        <v>961</v>
      </c>
      <c r="AY5" s="50" t="s">
        <v>961</v>
      </c>
      <c r="AZ5" s="50" t="s">
        <v>961</v>
      </c>
      <c r="BA5" s="50">
        <v>0</v>
      </c>
      <c r="BB5" s="50" t="s">
        <v>961</v>
      </c>
    </row>
    <row r="6" spans="2:54">
      <c r="B6" s="97" t="s">
        <v>913</v>
      </c>
      <c r="C6" s="50">
        <v>4</v>
      </c>
      <c r="D6" s="50" t="s">
        <v>964</v>
      </c>
      <c r="E6" s="95" t="s">
        <v>961</v>
      </c>
      <c r="F6" s="50">
        <v>6</v>
      </c>
      <c r="G6" s="50" t="s">
        <v>961</v>
      </c>
      <c r="H6" s="50" t="s">
        <v>961</v>
      </c>
      <c r="I6" s="50" t="s">
        <v>961</v>
      </c>
      <c r="J6" s="50" t="s">
        <v>961</v>
      </c>
      <c r="K6" s="50" t="s">
        <v>961</v>
      </c>
      <c r="L6" s="50" t="s">
        <v>961</v>
      </c>
      <c r="M6" s="50" t="s">
        <v>961</v>
      </c>
      <c r="N6" s="50" t="s">
        <v>961</v>
      </c>
      <c r="O6" s="50" t="s">
        <v>961</v>
      </c>
      <c r="P6" s="50" t="s">
        <v>961</v>
      </c>
      <c r="Q6" s="50" t="s">
        <v>961</v>
      </c>
      <c r="R6" s="50" t="s">
        <v>961</v>
      </c>
      <c r="S6" s="50" t="s">
        <v>961</v>
      </c>
      <c r="T6" s="50" t="s">
        <v>961</v>
      </c>
      <c r="U6" s="50" t="s">
        <v>961</v>
      </c>
      <c r="V6" s="50" t="s">
        <v>961</v>
      </c>
      <c r="W6" s="50" t="s">
        <v>961</v>
      </c>
      <c r="X6" s="50" t="s">
        <v>961</v>
      </c>
      <c r="Y6" s="50" t="s">
        <v>961</v>
      </c>
      <c r="Z6" s="50" t="s">
        <v>961</v>
      </c>
      <c r="AA6" s="50" t="s">
        <v>961</v>
      </c>
      <c r="AB6" s="50" t="s">
        <v>961</v>
      </c>
      <c r="AC6" s="50" t="s">
        <v>961</v>
      </c>
      <c r="AD6" s="50" t="s">
        <v>961</v>
      </c>
      <c r="AE6" s="50" t="s">
        <v>961</v>
      </c>
      <c r="AF6" s="50" t="s">
        <v>961</v>
      </c>
      <c r="AG6" s="50" t="s">
        <v>961</v>
      </c>
      <c r="AH6" s="50" t="s">
        <v>961</v>
      </c>
      <c r="AI6" s="50" t="s">
        <v>961</v>
      </c>
      <c r="AJ6" s="50" t="s">
        <v>961</v>
      </c>
      <c r="AK6" s="50" t="s">
        <v>961</v>
      </c>
      <c r="AL6" s="50" t="s">
        <v>961</v>
      </c>
      <c r="AM6" s="50" t="s">
        <v>961</v>
      </c>
      <c r="AN6" s="50" t="s">
        <v>961</v>
      </c>
      <c r="AO6" s="50" t="s">
        <v>961</v>
      </c>
      <c r="AP6" s="50" t="s">
        <v>961</v>
      </c>
      <c r="AQ6" s="50" t="s">
        <v>961</v>
      </c>
      <c r="AR6" s="50" t="s">
        <v>961</v>
      </c>
      <c r="AS6" s="50" t="s">
        <v>961</v>
      </c>
      <c r="AT6" s="50" t="s">
        <v>961</v>
      </c>
      <c r="AU6" s="50" t="s">
        <v>961</v>
      </c>
      <c r="AV6" s="50" t="s">
        <v>961</v>
      </c>
      <c r="AW6" s="50" t="s">
        <v>961</v>
      </c>
      <c r="AX6" s="50" t="s">
        <v>961</v>
      </c>
      <c r="AY6" s="50" t="s">
        <v>961</v>
      </c>
      <c r="AZ6" s="50" t="s">
        <v>961</v>
      </c>
      <c r="BA6" s="50" t="s">
        <v>961</v>
      </c>
      <c r="BB6" s="50" t="s">
        <v>961</v>
      </c>
    </row>
    <row r="7" spans="2:54">
      <c r="B7" s="50" t="s">
        <v>915</v>
      </c>
      <c r="C7" s="50">
        <v>5</v>
      </c>
      <c r="D7" s="50" t="s">
        <v>964</v>
      </c>
      <c r="E7" s="95" t="s">
        <v>961</v>
      </c>
      <c r="F7" s="50">
        <v>6</v>
      </c>
      <c r="G7" s="50" t="s">
        <v>961</v>
      </c>
      <c r="H7" s="50" t="s">
        <v>961</v>
      </c>
      <c r="I7" s="50" t="s">
        <v>961</v>
      </c>
      <c r="J7" s="50" t="s">
        <v>961</v>
      </c>
      <c r="K7" s="50" t="s">
        <v>961</v>
      </c>
      <c r="L7" s="50" t="s">
        <v>961</v>
      </c>
      <c r="M7" s="50" t="s">
        <v>961</v>
      </c>
      <c r="N7" s="50" t="s">
        <v>961</v>
      </c>
      <c r="O7" s="50" t="s">
        <v>961</v>
      </c>
      <c r="P7" s="50" t="s">
        <v>961</v>
      </c>
      <c r="Q7" s="50" t="s">
        <v>961</v>
      </c>
      <c r="R7" s="50" t="s">
        <v>961</v>
      </c>
      <c r="S7" s="50" t="s">
        <v>961</v>
      </c>
      <c r="T7" s="50" t="s">
        <v>961</v>
      </c>
      <c r="U7" s="50" t="s">
        <v>961</v>
      </c>
      <c r="V7" s="50" t="s">
        <v>961</v>
      </c>
      <c r="W7" s="50" t="s">
        <v>961</v>
      </c>
      <c r="X7" s="50" t="s">
        <v>961</v>
      </c>
      <c r="Y7" s="50" t="s">
        <v>961</v>
      </c>
      <c r="Z7" s="50" t="s">
        <v>961</v>
      </c>
      <c r="AA7" s="50" t="s">
        <v>961</v>
      </c>
      <c r="AB7" s="50" t="s">
        <v>961</v>
      </c>
      <c r="AC7" s="50" t="s">
        <v>961</v>
      </c>
      <c r="AD7" s="50" t="s">
        <v>961</v>
      </c>
      <c r="AE7" s="50" t="s">
        <v>961</v>
      </c>
      <c r="AF7" s="50" t="s">
        <v>961</v>
      </c>
      <c r="AG7" s="50" t="s">
        <v>961</v>
      </c>
      <c r="AH7" s="50" t="s">
        <v>961</v>
      </c>
      <c r="AI7" s="50" t="s">
        <v>961</v>
      </c>
      <c r="AJ7" s="50" t="s">
        <v>961</v>
      </c>
      <c r="AK7" s="50" t="s">
        <v>961</v>
      </c>
      <c r="AL7" s="50" t="s">
        <v>961</v>
      </c>
      <c r="AM7" s="50" t="s">
        <v>961</v>
      </c>
      <c r="AN7" s="50" t="s">
        <v>961</v>
      </c>
      <c r="AO7" s="50" t="s">
        <v>961</v>
      </c>
      <c r="AP7" s="50" t="s">
        <v>961</v>
      </c>
      <c r="AQ7" s="50" t="s">
        <v>961</v>
      </c>
      <c r="AR7" s="50" t="s">
        <v>961</v>
      </c>
      <c r="AS7" s="50" t="s">
        <v>961</v>
      </c>
      <c r="AT7" s="50" t="s">
        <v>961</v>
      </c>
      <c r="AU7" s="50" t="s">
        <v>961</v>
      </c>
      <c r="AV7" s="50" t="s">
        <v>961</v>
      </c>
      <c r="AW7" s="50" t="s">
        <v>961</v>
      </c>
      <c r="AX7" s="50" t="s">
        <v>961</v>
      </c>
      <c r="AY7" s="50" t="s">
        <v>961</v>
      </c>
      <c r="AZ7" s="50" t="s">
        <v>961</v>
      </c>
      <c r="BA7" s="50" t="s">
        <v>961</v>
      </c>
      <c r="BB7" s="50" t="s">
        <v>961</v>
      </c>
    </row>
    <row r="8" spans="2:54">
      <c r="B8" s="97" t="s">
        <v>916</v>
      </c>
      <c r="C8" s="50">
        <v>6</v>
      </c>
      <c r="D8" s="50" t="s">
        <v>1688</v>
      </c>
      <c r="E8" s="95">
        <v>45492</v>
      </c>
      <c r="F8" s="50">
        <v>6</v>
      </c>
      <c r="G8" s="20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919</v>
      </c>
      <c r="C9" s="50">
        <v>7</v>
      </c>
      <c r="D9" s="50" t="s">
        <v>1689</v>
      </c>
      <c r="E9" s="95">
        <v>45492</v>
      </c>
      <c r="F9" s="50">
        <v>6</v>
      </c>
      <c r="G9" s="208" t="e" cm="1">
        <f t="array" ref="G9">SUMPRODUCT(--(I9:BB9 &lt;= I28:BB28))/COUNTA(I28:BB28)</f>
        <v>#DIV/0!</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922</v>
      </c>
      <c r="C10" s="50">
        <v>8</v>
      </c>
      <c r="D10" s="50" t="s">
        <v>1690</v>
      </c>
      <c r="E10" s="95">
        <v>45492</v>
      </c>
      <c r="F10" s="50">
        <v>6</v>
      </c>
      <c r="G10" s="50" t="s">
        <v>961</v>
      </c>
      <c r="H10" s="50" t="s">
        <v>961</v>
      </c>
      <c r="I10" s="50">
        <v>31</v>
      </c>
      <c r="J10" s="50">
        <v>2.317541E+21</v>
      </c>
      <c r="K10" s="50" t="s">
        <v>1691</v>
      </c>
      <c r="L10" s="50">
        <v>96</v>
      </c>
      <c r="M10" s="50">
        <v>1</v>
      </c>
      <c r="N10" s="95">
        <v>31</v>
      </c>
      <c r="O10" s="50">
        <v>1.3033148999999999E+22</v>
      </c>
      <c r="P10" s="95" t="s">
        <v>969</v>
      </c>
      <c r="Q10" s="95" t="s">
        <v>969</v>
      </c>
      <c r="R10" s="95">
        <v>578</v>
      </c>
      <c r="S10" s="98">
        <v>0</v>
      </c>
      <c r="T10" s="50">
        <v>0</v>
      </c>
      <c r="U10" s="50" t="s">
        <v>970</v>
      </c>
      <c r="V10" s="50" t="s">
        <v>970</v>
      </c>
      <c r="W10" s="50" t="s">
        <v>970</v>
      </c>
      <c r="X10" s="50" t="s">
        <v>970</v>
      </c>
      <c r="Y10" s="50" t="s">
        <v>970</v>
      </c>
      <c r="Z10" s="50" t="s">
        <v>970</v>
      </c>
      <c r="AA10" s="95" t="s">
        <v>969</v>
      </c>
      <c r="AB10" s="98">
        <v>-28990000</v>
      </c>
      <c r="AC10" s="98" t="s">
        <v>970</v>
      </c>
      <c r="AD10" s="95">
        <v>35480</v>
      </c>
      <c r="AE10" s="98">
        <v>-81710000</v>
      </c>
      <c r="AF10" s="95">
        <v>36984</v>
      </c>
      <c r="AG10" s="50" t="s">
        <v>970</v>
      </c>
      <c r="AH10" s="95">
        <v>38499</v>
      </c>
      <c r="AI10" s="50" t="s">
        <v>1692</v>
      </c>
      <c r="AJ10" s="98">
        <v>1</v>
      </c>
      <c r="AK10" s="50"/>
      <c r="AL10" s="50" t="s">
        <v>1616</v>
      </c>
      <c r="AM10" s="50" t="e">
        <v>#N/A</v>
      </c>
      <c r="AN10" s="98">
        <v>-10000000</v>
      </c>
      <c r="AO10" s="50" t="s">
        <v>970</v>
      </c>
      <c r="AP10" s="50" t="s">
        <v>970</v>
      </c>
      <c r="AQ10" s="50" t="s">
        <v>970</v>
      </c>
      <c r="AR10" s="50" t="s">
        <v>1616</v>
      </c>
      <c r="AS10" s="50" t="e">
        <v>#N/A</v>
      </c>
      <c r="AT10" s="98">
        <v>-11000000</v>
      </c>
      <c r="AU10" s="50" t="s">
        <v>1693</v>
      </c>
      <c r="AV10" s="50" t="s">
        <v>1694</v>
      </c>
      <c r="AW10" s="50" t="s">
        <v>970</v>
      </c>
      <c r="AX10" s="95" t="s">
        <v>971</v>
      </c>
      <c r="AY10" s="50" t="s">
        <v>1617</v>
      </c>
      <c r="AZ10" s="50" t="s">
        <v>1695</v>
      </c>
      <c r="BA10" s="95">
        <v>45491</v>
      </c>
      <c r="BB10" s="50" t="s">
        <v>1696</v>
      </c>
    </row>
    <row r="11" spans="2:54">
      <c r="B11" s="50" t="s">
        <v>924</v>
      </c>
      <c r="C11" s="50">
        <v>9</v>
      </c>
      <c r="D11" s="50" t="s">
        <v>1697</v>
      </c>
      <c r="E11" s="95">
        <v>45492</v>
      </c>
      <c r="F11" s="50">
        <v>6</v>
      </c>
      <c r="G11" s="50" t="s">
        <v>961</v>
      </c>
      <c r="H11" s="50" t="s">
        <v>961</v>
      </c>
      <c r="I11" s="50">
        <v>31</v>
      </c>
      <c r="J11" s="50">
        <v>2.317541E+21</v>
      </c>
      <c r="K11" s="50"/>
      <c r="L11" s="50">
        <v>96</v>
      </c>
      <c r="M11" s="50">
        <v>1</v>
      </c>
      <c r="N11" s="95"/>
      <c r="O11" s="50">
        <v>1.3033148999999999E+22</v>
      </c>
      <c r="P11" s="95" t="s">
        <v>969</v>
      </c>
      <c r="Q11" s="95" t="s">
        <v>969</v>
      </c>
      <c r="R11" s="95">
        <v>578</v>
      </c>
      <c r="S11" s="95">
        <v>0</v>
      </c>
      <c r="T11" s="50">
        <v>0</v>
      </c>
      <c r="U11" s="50" t="s">
        <v>970</v>
      </c>
      <c r="V11" s="50" t="s">
        <v>970</v>
      </c>
      <c r="W11" s="50" t="s">
        <v>970</v>
      </c>
      <c r="X11" s="50" t="s">
        <v>970</v>
      </c>
      <c r="Y11" s="50" t="s">
        <v>970</v>
      </c>
      <c r="Z11" s="50" t="s">
        <v>970</v>
      </c>
      <c r="AA11" s="95" t="s">
        <v>969</v>
      </c>
      <c r="AB11" s="98">
        <v>-28990000</v>
      </c>
      <c r="AC11" s="50" t="s">
        <v>970</v>
      </c>
      <c r="AD11" s="98">
        <v>35480</v>
      </c>
      <c r="AE11" s="98">
        <v>-81710000</v>
      </c>
      <c r="AF11" s="95">
        <v>36984</v>
      </c>
      <c r="AG11" s="50" t="s">
        <v>970</v>
      </c>
      <c r="AH11" s="95">
        <v>38499</v>
      </c>
      <c r="AI11" s="50" t="s">
        <v>1692</v>
      </c>
      <c r="AJ11" s="98">
        <v>1</v>
      </c>
      <c r="AK11" s="50"/>
      <c r="AL11" s="50" t="s">
        <v>1616</v>
      </c>
      <c r="AM11" s="50" t="e">
        <v>#N/A</v>
      </c>
      <c r="AN11" s="98">
        <v>-10000000</v>
      </c>
      <c r="AO11" s="50" t="s">
        <v>970</v>
      </c>
      <c r="AP11" s="50" t="s">
        <v>970</v>
      </c>
      <c r="AQ11" s="50" t="s">
        <v>970</v>
      </c>
      <c r="AR11" s="50" t="s">
        <v>1616</v>
      </c>
      <c r="AS11" s="50" t="e">
        <v>#N/A</v>
      </c>
      <c r="AT11" s="98">
        <v>-11000000</v>
      </c>
      <c r="AU11" s="50" t="s">
        <v>1693</v>
      </c>
      <c r="AV11" s="50" t="s">
        <v>1694</v>
      </c>
      <c r="AW11" s="50" t="s">
        <v>970</v>
      </c>
      <c r="AX11" s="95">
        <v>0</v>
      </c>
      <c r="AY11" s="50" t="s">
        <v>1084</v>
      </c>
      <c r="AZ11" s="50" t="s">
        <v>1695</v>
      </c>
      <c r="BA11" s="95">
        <v>45491</v>
      </c>
      <c r="BB11" s="50" t="s">
        <v>1698</v>
      </c>
    </row>
    <row r="12" spans="2:54">
      <c r="B12" s="97" t="s">
        <v>926</v>
      </c>
      <c r="C12" s="50">
        <v>10</v>
      </c>
      <c r="D12" s="50" t="s">
        <v>1699</v>
      </c>
      <c r="E12" s="95">
        <v>45492</v>
      </c>
      <c r="F12" s="50">
        <v>6</v>
      </c>
      <c r="G12" s="50" t="s">
        <v>961</v>
      </c>
      <c r="H12" s="50" t="s">
        <v>961</v>
      </c>
      <c r="I12" s="50">
        <v>31</v>
      </c>
      <c r="J12" s="184">
        <v>6.8350096000050594E+29</v>
      </c>
      <c r="K12" s="50" t="s">
        <v>1691</v>
      </c>
      <c r="L12" s="50">
        <v>96</v>
      </c>
      <c r="M12" s="95" t="s">
        <v>1700</v>
      </c>
      <c r="N12" s="95">
        <v>31</v>
      </c>
      <c r="O12" s="98">
        <v>2.3950569509102E+29</v>
      </c>
      <c r="P12" s="192">
        <v>110541</v>
      </c>
      <c r="Q12" s="95">
        <v>100616</v>
      </c>
      <c r="R12" s="95">
        <v>978</v>
      </c>
      <c r="S12" s="157" t="s">
        <v>1701</v>
      </c>
      <c r="T12" s="50">
        <v>1122</v>
      </c>
      <c r="U12" s="98">
        <v>2300000000000000</v>
      </c>
      <c r="V12" s="98">
        <v>2300000000000000</v>
      </c>
      <c r="W12" s="98">
        <v>2300000000000000</v>
      </c>
      <c r="X12" s="98">
        <v>2300000000000000</v>
      </c>
      <c r="Y12" s="98">
        <v>1642170000000</v>
      </c>
      <c r="Z12" s="95">
        <v>12775341410000</v>
      </c>
      <c r="AA12" s="95">
        <v>2958465</v>
      </c>
      <c r="AB12" s="98">
        <v>320000000000</v>
      </c>
      <c r="AC12" s="98">
        <v>500000000000</v>
      </c>
      <c r="AD12" s="98">
        <v>45493</v>
      </c>
      <c r="AE12" s="98">
        <v>84490862880000</v>
      </c>
      <c r="AF12" s="98">
        <v>45491</v>
      </c>
      <c r="AG12" s="95">
        <v>2026000000000</v>
      </c>
      <c r="AH12" s="98">
        <v>45492</v>
      </c>
      <c r="AI12" s="95">
        <v>10900000000000</v>
      </c>
      <c r="AJ12" s="98">
        <v>1001</v>
      </c>
      <c r="AK12" s="95" t="s">
        <v>1215</v>
      </c>
      <c r="AL12" s="98" t="s">
        <v>1040</v>
      </c>
      <c r="AM12" s="95" t="s">
        <v>1702</v>
      </c>
      <c r="AN12" s="98">
        <v>2480712000</v>
      </c>
      <c r="AO12" s="98">
        <v>126000000</v>
      </c>
      <c r="AP12" s="98">
        <v>99999999</v>
      </c>
      <c r="AQ12" s="98">
        <v>13241605</v>
      </c>
      <c r="AR12" s="50" t="s">
        <v>1040</v>
      </c>
      <c r="AS12" s="98" t="s">
        <v>1702</v>
      </c>
      <c r="AT12" s="98">
        <v>2431200000</v>
      </c>
      <c r="AU12" s="98">
        <v>120000000</v>
      </c>
      <c r="AV12" s="98">
        <v>20722600</v>
      </c>
      <c r="AW12" s="98">
        <v>13241605</v>
      </c>
      <c r="AX12" s="95" t="s">
        <v>1206</v>
      </c>
      <c r="AY12" s="50" t="s">
        <v>1625</v>
      </c>
      <c r="AZ12" s="50" t="s">
        <v>981</v>
      </c>
      <c r="BA12" s="95">
        <v>45492</v>
      </c>
      <c r="BB12" s="50" t="s">
        <v>1696</v>
      </c>
    </row>
    <row r="13" spans="2:54">
      <c r="B13" s="50" t="s">
        <v>928</v>
      </c>
      <c r="C13" s="50">
        <v>11</v>
      </c>
      <c r="D13" s="50" t="s">
        <v>1703</v>
      </c>
      <c r="E13" s="95">
        <v>45492</v>
      </c>
      <c r="F13" s="50">
        <v>6</v>
      </c>
      <c r="G13" s="50" t="s">
        <v>961</v>
      </c>
      <c r="H13" s="50" t="s">
        <v>961</v>
      </c>
      <c r="I13" s="50">
        <v>31</v>
      </c>
      <c r="J13" s="184">
        <v>6.8350096000050594E+29</v>
      </c>
      <c r="K13" s="50"/>
      <c r="L13" s="50">
        <v>96</v>
      </c>
      <c r="M13" s="95" t="s">
        <v>1700</v>
      </c>
      <c r="N13" s="95"/>
      <c r="O13" s="98">
        <v>2.3950569509102E+29</v>
      </c>
      <c r="P13" s="95">
        <v>110541</v>
      </c>
      <c r="Q13" s="95">
        <v>100616</v>
      </c>
      <c r="R13" s="95">
        <v>978</v>
      </c>
      <c r="S13" s="95">
        <v>1</v>
      </c>
      <c r="T13" s="50">
        <v>1122</v>
      </c>
      <c r="U13" s="98">
        <v>2300000000000000</v>
      </c>
      <c r="V13" s="98">
        <v>2300000000000000</v>
      </c>
      <c r="W13" s="98">
        <v>2300000000000000</v>
      </c>
      <c r="X13" s="98">
        <v>2300000000000000</v>
      </c>
      <c r="Y13" s="98">
        <v>1642170000000</v>
      </c>
      <c r="Z13" s="95">
        <v>12775341410000</v>
      </c>
      <c r="AA13" s="95">
        <v>2958465</v>
      </c>
      <c r="AB13" s="98">
        <v>320000000000</v>
      </c>
      <c r="AC13" s="98">
        <v>500000000000</v>
      </c>
      <c r="AD13" s="98">
        <v>45493</v>
      </c>
      <c r="AE13" s="98">
        <v>84490862880000</v>
      </c>
      <c r="AF13" s="98">
        <v>45491</v>
      </c>
      <c r="AG13" s="95">
        <v>2026000000000</v>
      </c>
      <c r="AH13" s="98">
        <v>45492</v>
      </c>
      <c r="AI13" s="98">
        <v>10900000000000</v>
      </c>
      <c r="AJ13" s="98">
        <v>99</v>
      </c>
      <c r="AK13" s="50" t="s">
        <v>1215</v>
      </c>
      <c r="AL13" s="98" t="s">
        <v>1040</v>
      </c>
      <c r="AM13" s="95" t="s">
        <v>1702</v>
      </c>
      <c r="AN13" s="98">
        <v>2480712000</v>
      </c>
      <c r="AO13" s="98">
        <v>126000000</v>
      </c>
      <c r="AP13" s="98">
        <v>99999999</v>
      </c>
      <c r="AQ13" s="98">
        <v>13241605</v>
      </c>
      <c r="AR13" s="50" t="s">
        <v>1040</v>
      </c>
      <c r="AS13" s="50" t="s">
        <v>1702</v>
      </c>
      <c r="AT13" s="98">
        <v>2431200000</v>
      </c>
      <c r="AU13" s="98">
        <v>120000000</v>
      </c>
      <c r="AV13" s="98">
        <v>20722600</v>
      </c>
      <c r="AW13" s="98">
        <v>13241605</v>
      </c>
      <c r="AX13" s="95" t="s">
        <v>1704</v>
      </c>
      <c r="AY13" s="50" t="s">
        <v>1084</v>
      </c>
      <c r="AZ13" s="50" t="s">
        <v>981</v>
      </c>
      <c r="BA13" s="95">
        <v>45492</v>
      </c>
      <c r="BB13" s="50" t="s">
        <v>1705</v>
      </c>
    </row>
    <row r="14" spans="2:54">
      <c r="B14" s="50" t="s">
        <v>930</v>
      </c>
      <c r="C14" s="50">
        <v>12</v>
      </c>
      <c r="D14" s="50" t="s">
        <v>1706</v>
      </c>
      <c r="E14" s="95">
        <v>45492</v>
      </c>
      <c r="F14" s="50">
        <v>6</v>
      </c>
      <c r="G14" s="20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932</v>
      </c>
      <c r="C15" s="50">
        <v>13</v>
      </c>
      <c r="D15" s="50" t="s">
        <v>1707</v>
      </c>
      <c r="E15" s="95">
        <v>45492</v>
      </c>
      <c r="F15" s="50">
        <v>6</v>
      </c>
      <c r="G15" s="208">
        <v>1</v>
      </c>
      <c r="H15" s="50">
        <v>0</v>
      </c>
      <c r="I15" s="50" t="s">
        <v>961</v>
      </c>
      <c r="J15" s="50" t="s">
        <v>961</v>
      </c>
      <c r="K15" s="50" t="s">
        <v>961</v>
      </c>
      <c r="L15" s="50" t="s">
        <v>961</v>
      </c>
      <c r="M15" s="50" t="s">
        <v>961</v>
      </c>
      <c r="N15" s="50" t="s">
        <v>961</v>
      </c>
      <c r="O15" s="50" t="s">
        <v>961</v>
      </c>
      <c r="P15" s="50">
        <v>0</v>
      </c>
      <c r="Q15" s="50">
        <v>0</v>
      </c>
      <c r="R15" s="50" t="s">
        <v>961</v>
      </c>
      <c r="S15" s="50" t="s">
        <v>961</v>
      </c>
      <c r="T15" s="50" t="s">
        <v>961</v>
      </c>
      <c r="U15" s="50" t="s">
        <v>961</v>
      </c>
      <c r="V15" s="50" t="s">
        <v>961</v>
      </c>
      <c r="W15" s="50" t="s">
        <v>961</v>
      </c>
      <c r="X15" s="50" t="s">
        <v>961</v>
      </c>
      <c r="Y15" s="50" t="s">
        <v>961</v>
      </c>
      <c r="Z15" s="50" t="s">
        <v>961</v>
      </c>
      <c r="AA15" s="50">
        <v>0</v>
      </c>
      <c r="AB15" s="50" t="s">
        <v>961</v>
      </c>
      <c r="AC15" s="50" t="s">
        <v>961</v>
      </c>
      <c r="AD15" s="50">
        <v>0</v>
      </c>
      <c r="AE15" s="50" t="s">
        <v>961</v>
      </c>
      <c r="AF15" s="50">
        <v>0</v>
      </c>
      <c r="AG15" s="50" t="s">
        <v>961</v>
      </c>
      <c r="AH15" s="50">
        <v>0</v>
      </c>
      <c r="AI15" s="50" t="s">
        <v>961</v>
      </c>
      <c r="AJ15" s="50" t="s">
        <v>961</v>
      </c>
      <c r="AK15" s="50" t="s">
        <v>961</v>
      </c>
      <c r="AL15" s="50" t="s">
        <v>961</v>
      </c>
      <c r="AM15" s="50" t="s">
        <v>961</v>
      </c>
      <c r="AN15" s="50" t="s">
        <v>961</v>
      </c>
      <c r="AO15" s="50" t="s">
        <v>961</v>
      </c>
      <c r="AP15" s="50" t="s">
        <v>961</v>
      </c>
      <c r="AQ15" s="50" t="s">
        <v>961</v>
      </c>
      <c r="AR15" s="50" t="s">
        <v>961</v>
      </c>
      <c r="AS15" s="50" t="s">
        <v>961</v>
      </c>
      <c r="AT15" s="50" t="s">
        <v>961</v>
      </c>
      <c r="AU15" s="50" t="s">
        <v>961</v>
      </c>
      <c r="AV15" s="50" t="s">
        <v>961</v>
      </c>
      <c r="AW15" s="50" t="s">
        <v>961</v>
      </c>
      <c r="AX15" s="50" t="s">
        <v>961</v>
      </c>
      <c r="AY15" s="50" t="s">
        <v>961</v>
      </c>
      <c r="AZ15" s="50" t="s">
        <v>961</v>
      </c>
      <c r="BA15" s="50" t="s">
        <v>961</v>
      </c>
      <c r="BB15" s="50" t="s">
        <v>961</v>
      </c>
    </row>
    <row r="16" spans="2:54">
      <c r="B16" s="50" t="s">
        <v>934</v>
      </c>
      <c r="C16" s="50">
        <v>14</v>
      </c>
      <c r="D16" s="50" t="s">
        <v>1708</v>
      </c>
      <c r="E16" s="95">
        <v>45492</v>
      </c>
      <c r="F16" s="50">
        <v>6</v>
      </c>
      <c r="G16" s="208">
        <v>1</v>
      </c>
      <c r="H16" s="50">
        <v>0</v>
      </c>
      <c r="I16" s="50" t="s">
        <v>961</v>
      </c>
      <c r="J16" s="50" t="s">
        <v>961</v>
      </c>
      <c r="K16" s="50">
        <v>0</v>
      </c>
      <c r="L16" s="50">
        <v>0</v>
      </c>
      <c r="M16" s="50">
        <v>0</v>
      </c>
      <c r="N16" s="50" t="s">
        <v>961</v>
      </c>
      <c r="O16" s="50" t="s">
        <v>961</v>
      </c>
      <c r="P16" s="50" t="s">
        <v>961</v>
      </c>
      <c r="Q16" s="50" t="s">
        <v>961</v>
      </c>
      <c r="R16" s="50">
        <v>0</v>
      </c>
      <c r="S16" s="50" t="s">
        <v>961</v>
      </c>
      <c r="T16" s="50" t="s">
        <v>961</v>
      </c>
      <c r="U16" s="50" t="s">
        <v>961</v>
      </c>
      <c r="V16" s="50" t="s">
        <v>961</v>
      </c>
      <c r="W16" s="50" t="s">
        <v>961</v>
      </c>
      <c r="X16" s="50" t="s">
        <v>961</v>
      </c>
      <c r="Y16" s="50" t="s">
        <v>961</v>
      </c>
      <c r="Z16" s="50" t="s">
        <v>961</v>
      </c>
      <c r="AA16" s="50" t="s">
        <v>961</v>
      </c>
      <c r="AB16" s="50" t="s">
        <v>961</v>
      </c>
      <c r="AC16" s="50" t="s">
        <v>961</v>
      </c>
      <c r="AD16" s="50" t="s">
        <v>961</v>
      </c>
      <c r="AE16" s="50" t="s">
        <v>961</v>
      </c>
      <c r="AF16" s="50" t="s">
        <v>961</v>
      </c>
      <c r="AG16" s="50" t="s">
        <v>961</v>
      </c>
      <c r="AH16" s="50" t="s">
        <v>961</v>
      </c>
      <c r="AI16" s="50" t="s">
        <v>961</v>
      </c>
      <c r="AJ16" s="50" t="s">
        <v>961</v>
      </c>
      <c r="AK16" s="50" t="s">
        <v>961</v>
      </c>
      <c r="AL16" s="50" t="s">
        <v>961</v>
      </c>
      <c r="AM16" s="50">
        <v>0</v>
      </c>
      <c r="AN16" s="50" t="s">
        <v>961</v>
      </c>
      <c r="AO16" s="50" t="s">
        <v>961</v>
      </c>
      <c r="AP16" s="50" t="s">
        <v>961</v>
      </c>
      <c r="AQ16" s="50" t="s">
        <v>961</v>
      </c>
      <c r="AR16" s="50">
        <v>0</v>
      </c>
      <c r="AS16" s="50">
        <v>0</v>
      </c>
      <c r="AT16" s="50" t="s">
        <v>961</v>
      </c>
      <c r="AU16" s="50" t="s">
        <v>961</v>
      </c>
      <c r="AV16" s="50" t="s">
        <v>961</v>
      </c>
      <c r="AW16" s="50" t="s">
        <v>961</v>
      </c>
      <c r="AX16" s="50">
        <v>0</v>
      </c>
      <c r="AY16" s="50">
        <v>0</v>
      </c>
      <c r="AZ16" s="50">
        <v>0</v>
      </c>
      <c r="BA16" s="50">
        <v>0</v>
      </c>
      <c r="BB16" s="50" t="s">
        <v>961</v>
      </c>
    </row>
    <row r="17" spans="2:54">
      <c r="B17" s="50" t="s">
        <v>936</v>
      </c>
      <c r="C17" s="50">
        <v>15</v>
      </c>
      <c r="D17" s="50" t="s">
        <v>1709</v>
      </c>
      <c r="E17" s="95">
        <v>45492</v>
      </c>
      <c r="F17" s="50">
        <v>6</v>
      </c>
      <c r="G17" s="208">
        <v>1</v>
      </c>
      <c r="H17" s="50">
        <v>0</v>
      </c>
      <c r="I17" s="50" t="s">
        <v>961</v>
      </c>
      <c r="J17" s="50" t="s">
        <v>961</v>
      </c>
      <c r="K17" s="50" t="s">
        <v>961</v>
      </c>
      <c r="L17" s="50" t="s">
        <v>961</v>
      </c>
      <c r="M17" s="50" t="s">
        <v>961</v>
      </c>
      <c r="N17" s="50" t="s">
        <v>961</v>
      </c>
      <c r="O17" s="50" t="s">
        <v>961</v>
      </c>
      <c r="P17" s="50" t="s">
        <v>961</v>
      </c>
      <c r="Q17" s="50" t="s">
        <v>961</v>
      </c>
      <c r="R17" s="50" t="s">
        <v>961</v>
      </c>
      <c r="S17" s="50" t="s">
        <v>961</v>
      </c>
      <c r="T17" s="50" t="s">
        <v>961</v>
      </c>
      <c r="U17" s="50" t="s">
        <v>961</v>
      </c>
      <c r="V17" s="50" t="s">
        <v>961</v>
      </c>
      <c r="W17" s="50" t="s">
        <v>961</v>
      </c>
      <c r="X17" s="50" t="s">
        <v>961</v>
      </c>
      <c r="Y17" s="50" t="s">
        <v>961</v>
      </c>
      <c r="Z17" s="50" t="s">
        <v>961</v>
      </c>
      <c r="AA17" s="50" t="s">
        <v>961</v>
      </c>
      <c r="AB17" s="50" t="s">
        <v>961</v>
      </c>
      <c r="AC17" s="50" t="s">
        <v>961</v>
      </c>
      <c r="AD17" s="50" t="s">
        <v>961</v>
      </c>
      <c r="AE17" s="50" t="s">
        <v>961</v>
      </c>
      <c r="AF17" s="50" t="s">
        <v>961</v>
      </c>
      <c r="AG17" s="50" t="s">
        <v>961</v>
      </c>
      <c r="AH17" s="50" t="s">
        <v>961</v>
      </c>
      <c r="AI17" s="50" t="s">
        <v>961</v>
      </c>
      <c r="AJ17" s="50" t="s">
        <v>961</v>
      </c>
      <c r="AK17" s="50" t="s">
        <v>961</v>
      </c>
      <c r="AL17" s="50" t="s">
        <v>961</v>
      </c>
      <c r="AM17" s="50" t="s">
        <v>961</v>
      </c>
      <c r="AN17" s="50" t="s">
        <v>961</v>
      </c>
      <c r="AO17" s="50" t="s">
        <v>961</v>
      </c>
      <c r="AP17" s="50" t="s">
        <v>961</v>
      </c>
      <c r="AQ17" s="50" t="s">
        <v>961</v>
      </c>
      <c r="AR17" s="50" t="s">
        <v>961</v>
      </c>
      <c r="AS17" s="50" t="s">
        <v>961</v>
      </c>
      <c r="AT17" s="50" t="s">
        <v>961</v>
      </c>
      <c r="AU17" s="50" t="s">
        <v>961</v>
      </c>
      <c r="AV17" s="50" t="s">
        <v>961</v>
      </c>
      <c r="AW17" s="50" t="s">
        <v>961</v>
      </c>
      <c r="AX17" s="50" t="s">
        <v>961</v>
      </c>
      <c r="AY17" s="50" t="s">
        <v>961</v>
      </c>
      <c r="AZ17" s="50" t="s">
        <v>961</v>
      </c>
      <c r="BA17" s="50" t="s">
        <v>961</v>
      </c>
      <c r="BB17" s="50" t="s">
        <v>961</v>
      </c>
    </row>
    <row r="18" spans="2:54">
      <c r="B18" s="50" t="s">
        <v>938</v>
      </c>
      <c r="C18" s="50">
        <v>16</v>
      </c>
      <c r="D18" s="50" t="s">
        <v>1709</v>
      </c>
      <c r="E18" s="95">
        <v>45492</v>
      </c>
      <c r="F18" s="50">
        <v>6</v>
      </c>
      <c r="G18" s="208">
        <v>1</v>
      </c>
      <c r="H18" s="50">
        <v>0</v>
      </c>
      <c r="I18" s="50" t="s">
        <v>961</v>
      </c>
      <c r="J18" s="50" t="s">
        <v>961</v>
      </c>
      <c r="K18" s="50" t="s">
        <v>961</v>
      </c>
      <c r="L18" s="50" t="s">
        <v>961</v>
      </c>
      <c r="M18" s="50" t="s">
        <v>961</v>
      </c>
      <c r="N18" s="50" t="s">
        <v>961</v>
      </c>
      <c r="O18" s="50" t="s">
        <v>961</v>
      </c>
      <c r="P18" s="50" t="s">
        <v>961</v>
      </c>
      <c r="Q18" s="50" t="s">
        <v>961</v>
      </c>
      <c r="R18" s="50" t="s">
        <v>961</v>
      </c>
      <c r="S18" s="50" t="s">
        <v>961</v>
      </c>
      <c r="T18" s="50" t="s">
        <v>961</v>
      </c>
      <c r="U18" s="50" t="s">
        <v>961</v>
      </c>
      <c r="V18" s="50" t="s">
        <v>961</v>
      </c>
      <c r="W18" s="50" t="s">
        <v>961</v>
      </c>
      <c r="X18" s="50" t="s">
        <v>961</v>
      </c>
      <c r="Y18" s="50" t="s">
        <v>961</v>
      </c>
      <c r="Z18" s="50" t="s">
        <v>961</v>
      </c>
      <c r="AA18" s="50" t="s">
        <v>961</v>
      </c>
      <c r="AB18" s="50" t="s">
        <v>961</v>
      </c>
      <c r="AC18" s="50" t="s">
        <v>961</v>
      </c>
      <c r="AD18" s="50" t="s">
        <v>961</v>
      </c>
      <c r="AE18" s="50" t="s">
        <v>961</v>
      </c>
      <c r="AF18" s="50" t="s">
        <v>961</v>
      </c>
      <c r="AG18" s="50" t="s">
        <v>961</v>
      </c>
      <c r="AH18" s="50" t="s">
        <v>961</v>
      </c>
      <c r="AI18" s="50" t="s">
        <v>961</v>
      </c>
      <c r="AJ18" s="50" t="s">
        <v>961</v>
      </c>
      <c r="AK18" s="50" t="s">
        <v>961</v>
      </c>
      <c r="AL18" s="50" t="s">
        <v>961</v>
      </c>
      <c r="AM18" s="50" t="s">
        <v>961</v>
      </c>
      <c r="AN18" s="50" t="s">
        <v>961</v>
      </c>
      <c r="AO18" s="50" t="s">
        <v>961</v>
      </c>
      <c r="AP18" s="50" t="s">
        <v>961</v>
      </c>
      <c r="AQ18" s="50" t="s">
        <v>961</v>
      </c>
      <c r="AR18" s="50" t="s">
        <v>961</v>
      </c>
      <c r="AS18" s="50" t="s">
        <v>961</v>
      </c>
      <c r="AT18" s="50" t="s">
        <v>961</v>
      </c>
      <c r="AU18" s="50" t="s">
        <v>961</v>
      </c>
      <c r="AV18" s="50" t="s">
        <v>961</v>
      </c>
      <c r="AW18" s="50" t="s">
        <v>961</v>
      </c>
      <c r="AX18" s="50" t="s">
        <v>961</v>
      </c>
      <c r="AY18" s="50" t="s">
        <v>961</v>
      </c>
      <c r="AZ18" s="50" t="s">
        <v>961</v>
      </c>
      <c r="BA18" s="50" t="s">
        <v>961</v>
      </c>
      <c r="BB18" s="50" t="s">
        <v>961</v>
      </c>
    </row>
    <row r="19" spans="2:54">
      <c r="B19" s="50" t="s">
        <v>940</v>
      </c>
      <c r="C19" s="50">
        <v>17</v>
      </c>
      <c r="D19" s="50" t="s">
        <v>1710</v>
      </c>
      <c r="E19" s="95">
        <v>45492</v>
      </c>
      <c r="F19" s="50">
        <v>6</v>
      </c>
      <c r="G19" s="192">
        <v>0.72939600000000004</v>
      </c>
      <c r="H19" s="184">
        <v>269168</v>
      </c>
      <c r="I19" s="50" t="s">
        <v>961</v>
      </c>
      <c r="J19" s="50" t="s">
        <v>961</v>
      </c>
      <c r="K19" s="50" t="s">
        <v>961</v>
      </c>
      <c r="L19" s="50" t="s">
        <v>961</v>
      </c>
      <c r="M19" s="50" t="s">
        <v>961</v>
      </c>
      <c r="N19" s="50" t="s">
        <v>961</v>
      </c>
      <c r="O19" s="50" t="s">
        <v>961</v>
      </c>
      <c r="P19" s="50" t="s">
        <v>961</v>
      </c>
      <c r="Q19" s="50" t="s">
        <v>961</v>
      </c>
      <c r="R19" s="50" t="s">
        <v>961</v>
      </c>
      <c r="S19" s="50" t="s">
        <v>961</v>
      </c>
      <c r="T19" s="50" t="s">
        <v>961</v>
      </c>
      <c r="U19" s="50" t="s">
        <v>961</v>
      </c>
      <c r="V19" s="50" t="s">
        <v>961</v>
      </c>
      <c r="W19" s="50" t="s">
        <v>961</v>
      </c>
      <c r="X19" s="50" t="s">
        <v>961</v>
      </c>
      <c r="Y19" s="50" t="s">
        <v>961</v>
      </c>
      <c r="Z19" s="50" t="s">
        <v>961</v>
      </c>
      <c r="AA19" s="50" t="s">
        <v>961</v>
      </c>
      <c r="AB19" s="50" t="s">
        <v>961</v>
      </c>
      <c r="AC19" s="50" t="s">
        <v>961</v>
      </c>
      <c r="AD19" s="50" t="s">
        <v>961</v>
      </c>
      <c r="AE19" s="50" t="s">
        <v>961</v>
      </c>
      <c r="AF19" s="50" t="s">
        <v>961</v>
      </c>
      <c r="AG19" s="50" t="s">
        <v>961</v>
      </c>
      <c r="AH19" s="50" t="s">
        <v>961</v>
      </c>
      <c r="AI19" s="50" t="s">
        <v>961</v>
      </c>
      <c r="AJ19" s="50" t="s">
        <v>961</v>
      </c>
      <c r="AK19" s="50" t="s">
        <v>961</v>
      </c>
      <c r="AL19" s="50" t="s">
        <v>961</v>
      </c>
      <c r="AM19" s="50" t="s">
        <v>961</v>
      </c>
      <c r="AN19" s="50" t="s">
        <v>961</v>
      </c>
      <c r="AO19" s="50" t="s">
        <v>961</v>
      </c>
      <c r="AP19" s="50" t="s">
        <v>961</v>
      </c>
      <c r="AQ19" s="50" t="s">
        <v>961</v>
      </c>
      <c r="AR19" s="50" t="s">
        <v>961</v>
      </c>
      <c r="AS19" s="50" t="s">
        <v>961</v>
      </c>
      <c r="AT19" s="50" t="s">
        <v>961</v>
      </c>
      <c r="AU19" s="50" t="s">
        <v>961</v>
      </c>
      <c r="AV19" s="50" t="s">
        <v>961</v>
      </c>
      <c r="AW19" s="50" t="s">
        <v>961</v>
      </c>
      <c r="AX19" s="50" t="s">
        <v>961</v>
      </c>
      <c r="AY19" s="50" t="s">
        <v>961</v>
      </c>
      <c r="AZ19" s="50" t="s">
        <v>961</v>
      </c>
      <c r="BA19" s="50" t="s">
        <v>961</v>
      </c>
      <c r="BB19" s="50" t="s">
        <v>961</v>
      </c>
    </row>
    <row r="20" spans="2:54">
      <c r="B20" s="50" t="s">
        <v>942</v>
      </c>
      <c r="C20" s="97">
        <v>18</v>
      </c>
      <c r="D20" s="50" t="s">
        <v>1710</v>
      </c>
      <c r="E20" s="95">
        <v>45492</v>
      </c>
      <c r="F20" s="50">
        <v>6</v>
      </c>
      <c r="G20" s="192">
        <v>0.99998100000000001</v>
      </c>
      <c r="H20" s="98">
        <v>27</v>
      </c>
      <c r="I20" s="50" t="s">
        <v>961</v>
      </c>
      <c r="J20" s="50" t="s">
        <v>961</v>
      </c>
      <c r="K20" s="50" t="s">
        <v>961</v>
      </c>
      <c r="L20" s="50" t="s">
        <v>961</v>
      </c>
      <c r="M20" s="50" t="s">
        <v>961</v>
      </c>
      <c r="N20" s="50" t="s">
        <v>961</v>
      </c>
      <c r="O20" s="50" t="s">
        <v>961</v>
      </c>
      <c r="P20" s="50" t="s">
        <v>961</v>
      </c>
      <c r="Q20" s="50" t="s">
        <v>961</v>
      </c>
      <c r="R20" s="50" t="s">
        <v>961</v>
      </c>
      <c r="S20" s="50" t="s">
        <v>961</v>
      </c>
      <c r="T20" s="50" t="s">
        <v>961</v>
      </c>
      <c r="U20" s="50" t="s">
        <v>961</v>
      </c>
      <c r="V20" s="50" t="s">
        <v>961</v>
      </c>
      <c r="W20" s="50" t="s">
        <v>961</v>
      </c>
      <c r="X20" s="50" t="s">
        <v>961</v>
      </c>
      <c r="Y20" s="50" t="s">
        <v>961</v>
      </c>
      <c r="Z20" s="50" t="s">
        <v>961</v>
      </c>
      <c r="AA20" s="50" t="s">
        <v>961</v>
      </c>
      <c r="AB20" s="50" t="s">
        <v>961</v>
      </c>
      <c r="AC20" s="50" t="s">
        <v>961</v>
      </c>
      <c r="AD20" s="50" t="s">
        <v>961</v>
      </c>
      <c r="AE20" s="50" t="s">
        <v>961</v>
      </c>
      <c r="AF20" s="50" t="s">
        <v>961</v>
      </c>
      <c r="AG20" s="50" t="s">
        <v>961</v>
      </c>
      <c r="AH20" s="50" t="s">
        <v>961</v>
      </c>
      <c r="AI20" s="50" t="s">
        <v>961</v>
      </c>
      <c r="AJ20" s="50" t="s">
        <v>961</v>
      </c>
      <c r="AK20" s="50" t="s">
        <v>961</v>
      </c>
      <c r="AL20" s="50" t="s">
        <v>961</v>
      </c>
      <c r="AM20" s="50" t="s">
        <v>961</v>
      </c>
      <c r="AN20" s="50" t="s">
        <v>961</v>
      </c>
      <c r="AO20" s="50" t="s">
        <v>961</v>
      </c>
      <c r="AP20" s="50" t="s">
        <v>961</v>
      </c>
      <c r="AQ20" s="50" t="s">
        <v>961</v>
      </c>
      <c r="AR20" s="50" t="s">
        <v>961</v>
      </c>
      <c r="AS20" s="50" t="s">
        <v>961</v>
      </c>
      <c r="AT20" s="50" t="s">
        <v>961</v>
      </c>
      <c r="AU20" s="50" t="s">
        <v>961</v>
      </c>
      <c r="AV20" s="50" t="s">
        <v>961</v>
      </c>
      <c r="AW20" s="50" t="s">
        <v>961</v>
      </c>
      <c r="AX20" s="50" t="s">
        <v>961</v>
      </c>
      <c r="AY20" s="50" t="s">
        <v>961</v>
      </c>
      <c r="AZ20" s="50" t="s">
        <v>961</v>
      </c>
      <c r="BA20" s="50" t="s">
        <v>961</v>
      </c>
      <c r="BB20" s="50" t="s">
        <v>961</v>
      </c>
    </row>
    <row r="21" spans="2:54">
      <c r="B21" s="212" t="s">
        <v>1639</v>
      </c>
      <c r="C21" s="50">
        <v>19</v>
      </c>
      <c r="D21" s="50" t="s">
        <v>1710</v>
      </c>
      <c r="E21" s="95">
        <v>45492</v>
      </c>
      <c r="F21" s="50">
        <v>6</v>
      </c>
      <c r="G21" s="208" cm="1">
        <f t="array" aca="1" ref="G21" ca="1">SUMPRODUCT(--(ISNUMBER((SEARCH(I27:BB27,I21:BB21)))))/COUNTA(I21:BB21)</f>
        <v>0.97826086956521741</v>
      </c>
      <c r="H21" s="50">
        <v>0</v>
      </c>
      <c r="I21" s="50" t="s">
        <v>995</v>
      </c>
      <c r="J21" s="50" t="s">
        <v>995</v>
      </c>
      <c r="K21" s="50" t="s">
        <v>995</v>
      </c>
      <c r="L21" s="50" t="s">
        <v>995</v>
      </c>
      <c r="M21" s="50" t="s">
        <v>995</v>
      </c>
      <c r="N21" s="50" t="s">
        <v>995</v>
      </c>
      <c r="O21" s="50" t="s">
        <v>995</v>
      </c>
      <c r="P21" s="50" t="s">
        <v>995</v>
      </c>
      <c r="Q21" s="50" t="s">
        <v>995</v>
      </c>
      <c r="R21" s="50" t="s">
        <v>995</v>
      </c>
      <c r="S21" s="50" t="s">
        <v>995</v>
      </c>
      <c r="T21" s="50" t="s">
        <v>1385</v>
      </c>
      <c r="U21" s="50" t="s">
        <v>996</v>
      </c>
      <c r="V21" s="50" t="s">
        <v>996</v>
      </c>
      <c r="W21" s="50" t="s">
        <v>996</v>
      </c>
      <c r="X21" s="50" t="s">
        <v>996</v>
      </c>
      <c r="Y21" s="50" t="s">
        <v>996</v>
      </c>
      <c r="Z21" s="50" t="s">
        <v>996</v>
      </c>
      <c r="AA21" s="50" t="s">
        <v>995</v>
      </c>
      <c r="AB21" s="50" t="s">
        <v>996</v>
      </c>
      <c r="AC21" s="50" t="s">
        <v>996</v>
      </c>
      <c r="AD21" s="50" t="s">
        <v>995</v>
      </c>
      <c r="AE21" s="50" t="s">
        <v>996</v>
      </c>
      <c r="AF21" s="50" t="s">
        <v>995</v>
      </c>
      <c r="AG21" s="50" t="s">
        <v>996</v>
      </c>
      <c r="AH21" s="50" t="s">
        <v>995</v>
      </c>
      <c r="AI21" s="50" t="s">
        <v>996</v>
      </c>
      <c r="AJ21" s="50" t="s">
        <v>1385</v>
      </c>
      <c r="AK21" s="50" t="s">
        <v>995</v>
      </c>
      <c r="AL21" s="50" t="s">
        <v>995</v>
      </c>
      <c r="AM21" s="50" t="s">
        <v>995</v>
      </c>
      <c r="AN21" s="50" t="s">
        <v>996</v>
      </c>
      <c r="AO21" s="50" t="s">
        <v>996</v>
      </c>
      <c r="AP21" s="50" t="s">
        <v>996</v>
      </c>
      <c r="AQ21" s="50" t="s">
        <v>996</v>
      </c>
      <c r="AR21" s="50" t="s">
        <v>995</v>
      </c>
      <c r="AS21" s="50" t="s">
        <v>995</v>
      </c>
      <c r="AT21" s="50" t="s">
        <v>996</v>
      </c>
      <c r="AU21" s="50" t="s">
        <v>996</v>
      </c>
      <c r="AV21" s="50" t="s">
        <v>996</v>
      </c>
      <c r="AW21" s="50" t="s">
        <v>996</v>
      </c>
      <c r="AX21" s="50" t="s">
        <v>995</v>
      </c>
      <c r="AY21" s="50" t="s">
        <v>995</v>
      </c>
      <c r="AZ21" s="50" t="s">
        <v>995</v>
      </c>
      <c r="BA21" s="50" t="s">
        <v>995</v>
      </c>
      <c r="BB21" s="50" t="s">
        <v>997</v>
      </c>
    </row>
    <row r="22" spans="2:54">
      <c r="B22" s="50" t="s">
        <v>947</v>
      </c>
      <c r="C22" s="50">
        <v>20</v>
      </c>
      <c r="D22" s="50" t="s">
        <v>1710</v>
      </c>
      <c r="E22" s="95">
        <v>45492</v>
      </c>
      <c r="F22" s="50">
        <v>6</v>
      </c>
      <c r="G22" s="192" t="e" cm="1">
        <f t="array" aca="1" ref="G22" ca="1">SUM(IF(I2:BB2 = I26:BB26, 1, 0))/ COUNTA(I2:BB2)</f>
        <v>#NAME?</v>
      </c>
      <c r="H22" s="50" t="s">
        <v>961</v>
      </c>
      <c r="I22" s="50" t="s">
        <v>961</v>
      </c>
      <c r="J22" s="50" t="s">
        <v>961</v>
      </c>
      <c r="K22" s="50" t="s">
        <v>961</v>
      </c>
      <c r="L22" s="50" t="s">
        <v>961</v>
      </c>
      <c r="M22" s="50" t="s">
        <v>961</v>
      </c>
      <c r="N22" s="50" t="s">
        <v>961</v>
      </c>
      <c r="O22" s="50" t="s">
        <v>961</v>
      </c>
      <c r="P22" s="50" t="s">
        <v>961</v>
      </c>
      <c r="Q22" s="50" t="s">
        <v>961</v>
      </c>
      <c r="R22" s="50" t="s">
        <v>961</v>
      </c>
      <c r="S22" s="50" t="s">
        <v>961</v>
      </c>
      <c r="T22" s="50" t="s">
        <v>961</v>
      </c>
      <c r="U22" s="50" t="s">
        <v>961</v>
      </c>
      <c r="V22" s="50" t="s">
        <v>961</v>
      </c>
      <c r="W22" s="50" t="s">
        <v>961</v>
      </c>
      <c r="X22" s="50" t="s">
        <v>961</v>
      </c>
      <c r="Y22" s="50" t="s">
        <v>961</v>
      </c>
      <c r="Z22" s="50" t="s">
        <v>961</v>
      </c>
      <c r="AA22" s="50" t="s">
        <v>961</v>
      </c>
      <c r="AB22" s="50" t="s">
        <v>961</v>
      </c>
      <c r="AC22" s="50" t="s">
        <v>961</v>
      </c>
      <c r="AD22" s="50" t="s">
        <v>961</v>
      </c>
      <c r="AE22" s="50" t="s">
        <v>961</v>
      </c>
      <c r="AF22" s="50" t="s">
        <v>961</v>
      </c>
      <c r="AG22" s="50" t="s">
        <v>961</v>
      </c>
      <c r="AH22" s="50" t="s">
        <v>961</v>
      </c>
      <c r="AI22" s="50" t="s">
        <v>961</v>
      </c>
      <c r="AJ22" s="50" t="s">
        <v>961</v>
      </c>
      <c r="AK22" s="50" t="s">
        <v>961</v>
      </c>
      <c r="AL22" s="50" t="s">
        <v>961</v>
      </c>
      <c r="AM22" s="50" t="s">
        <v>961</v>
      </c>
      <c r="AN22" s="50" t="s">
        <v>961</v>
      </c>
      <c r="AO22" s="50" t="s">
        <v>961</v>
      </c>
      <c r="AP22" s="50" t="s">
        <v>961</v>
      </c>
      <c r="AQ22" s="50" t="s">
        <v>961</v>
      </c>
      <c r="AR22" s="50" t="s">
        <v>961</v>
      </c>
      <c r="AS22" s="50" t="s">
        <v>961</v>
      </c>
      <c r="AT22" s="50" t="s">
        <v>961</v>
      </c>
      <c r="AU22" s="50" t="s">
        <v>961</v>
      </c>
      <c r="AV22" s="50" t="s">
        <v>961</v>
      </c>
      <c r="AW22" s="50" t="s">
        <v>961</v>
      </c>
      <c r="AX22" s="50" t="s">
        <v>961</v>
      </c>
      <c r="AY22" s="50" t="s">
        <v>961</v>
      </c>
      <c r="AZ22" s="50" t="s">
        <v>961</v>
      </c>
      <c r="BA22" s="50" t="s">
        <v>961</v>
      </c>
      <c r="BB22" s="50" t="s">
        <v>961</v>
      </c>
    </row>
    <row r="23" spans="2:54">
      <c r="B23" s="50" t="s">
        <v>950</v>
      </c>
      <c r="C23" s="50">
        <v>21</v>
      </c>
      <c r="D23" s="50" t="s">
        <v>1710</v>
      </c>
      <c r="E23" s="95">
        <v>45492</v>
      </c>
      <c r="F23" s="50">
        <v>6</v>
      </c>
      <c r="G23" s="192" t="e" cm="1">
        <f t="array" aca="1" ref="G23" ca="1">SUM(IF(IF(G3:G22="null",1,G3:G22)=1,1,0))/COUNT(IF(G3:G22="null",1,1))</f>
        <v>#DIV/0!</v>
      </c>
      <c r="H23" s="50" t="s">
        <v>961</v>
      </c>
      <c r="I23" s="50" t="s">
        <v>961</v>
      </c>
      <c r="J23" s="50" t="s">
        <v>961</v>
      </c>
      <c r="K23" s="50" t="s">
        <v>961</v>
      </c>
      <c r="L23" s="50" t="s">
        <v>961</v>
      </c>
      <c r="M23" s="50" t="s">
        <v>961</v>
      </c>
      <c r="N23" s="50" t="s">
        <v>961</v>
      </c>
      <c r="O23" s="50" t="s">
        <v>961</v>
      </c>
      <c r="P23" s="50" t="s">
        <v>961</v>
      </c>
      <c r="Q23" s="50" t="s">
        <v>961</v>
      </c>
      <c r="R23" s="50" t="s">
        <v>961</v>
      </c>
      <c r="S23" s="50" t="s">
        <v>961</v>
      </c>
      <c r="T23" s="50" t="s">
        <v>961</v>
      </c>
      <c r="U23" s="50" t="s">
        <v>961</v>
      </c>
      <c r="V23" s="50" t="s">
        <v>961</v>
      </c>
      <c r="W23" s="50" t="s">
        <v>961</v>
      </c>
      <c r="X23" s="50" t="s">
        <v>961</v>
      </c>
      <c r="Y23" s="50" t="s">
        <v>961</v>
      </c>
      <c r="Z23" s="50" t="s">
        <v>961</v>
      </c>
      <c r="AA23" s="50" t="s">
        <v>961</v>
      </c>
      <c r="AB23" s="50" t="s">
        <v>961</v>
      </c>
      <c r="AC23" s="50" t="s">
        <v>961</v>
      </c>
      <c r="AD23" s="50" t="s">
        <v>961</v>
      </c>
      <c r="AE23" s="50" t="s">
        <v>961</v>
      </c>
      <c r="AF23" s="50" t="s">
        <v>961</v>
      </c>
      <c r="AG23" s="50" t="s">
        <v>961</v>
      </c>
      <c r="AH23" s="50" t="s">
        <v>961</v>
      </c>
      <c r="AI23" s="50" t="s">
        <v>961</v>
      </c>
      <c r="AJ23" s="50" t="s">
        <v>961</v>
      </c>
      <c r="AK23" s="50" t="s">
        <v>961</v>
      </c>
      <c r="AL23" s="50" t="s">
        <v>961</v>
      </c>
      <c r="AM23" s="50" t="s">
        <v>961</v>
      </c>
      <c r="AN23" s="50" t="s">
        <v>961</v>
      </c>
      <c r="AO23" s="50" t="s">
        <v>961</v>
      </c>
      <c r="AP23" s="50" t="s">
        <v>961</v>
      </c>
      <c r="AQ23" s="50" t="s">
        <v>961</v>
      </c>
      <c r="AR23" s="50" t="s">
        <v>961</v>
      </c>
      <c r="AS23" s="50" t="s">
        <v>961</v>
      </c>
      <c r="AT23" s="50" t="s">
        <v>961</v>
      </c>
      <c r="AU23" s="50" t="s">
        <v>961</v>
      </c>
      <c r="AV23" s="50" t="s">
        <v>961</v>
      </c>
      <c r="AW23" s="50" t="s">
        <v>961</v>
      </c>
      <c r="AX23" s="50" t="s">
        <v>961</v>
      </c>
      <c r="AY23" s="50" t="s">
        <v>961</v>
      </c>
      <c r="AZ23" s="50" t="s">
        <v>961</v>
      </c>
      <c r="BA23" s="50" t="s">
        <v>961</v>
      </c>
      <c r="BB23" s="50" t="s">
        <v>961</v>
      </c>
    </row>
    <row r="24" spans="2:54">
      <c r="B24" s="50"/>
      <c r="C24" s="50"/>
      <c r="D24" s="50"/>
      <c r="E24" s="95"/>
      <c r="F24" s="50"/>
      <c r="G24" s="50"/>
      <c r="H24" s="50"/>
      <c r="I24" s="50"/>
      <c r="J24" s="50"/>
      <c r="K24" s="50"/>
      <c r="L24" s="50"/>
      <c r="M24" s="50"/>
      <c r="N24" s="50"/>
      <c r="O24" s="50"/>
      <c r="P24" s="50"/>
      <c r="Q24" s="50"/>
      <c r="R24" s="50"/>
      <c r="S24" s="50"/>
    </row>
    <row r="25" spans="2:54">
      <c r="B25" s="130" t="s">
        <v>1067</v>
      </c>
    </row>
    <row r="26" spans="2:54">
      <c r="B26" s="128" t="s">
        <v>953</v>
      </c>
      <c r="C26" s="129" t="s">
        <v>954</v>
      </c>
      <c r="D26" s="129" t="s">
        <v>955</v>
      </c>
      <c r="E26" s="129" t="s">
        <v>956</v>
      </c>
      <c r="F26" s="129" t="s">
        <v>957</v>
      </c>
      <c r="G26" s="129" t="s">
        <v>958</v>
      </c>
      <c r="H26" s="129" t="s">
        <v>959</v>
      </c>
      <c r="I26" s="129" t="e" cm="1">
        <f t="array" aca="1" ref="I26" ca="1">TRANSPOSE(_xlfn.SORTBY(_xlfn._xlws.FILTER(Table3[NOME FÍSICO CAMPO],Table3[NOME FÍSICO TABELA]="loan"), _xlfn._xlws.FILTER(Table3[ORDEM], Table3[NOME FÍSICO TABELA]="loan"), 1))</f>
        <v>#NAME?</v>
      </c>
      <c r="J26" s="129"/>
      <c r="K26" s="129"/>
      <c r="L26" s="129"/>
      <c r="M26" s="129"/>
      <c r="N26" s="129"/>
      <c r="O26" s="129"/>
      <c r="P26" s="129"/>
      <c r="Q26" s="129"/>
      <c r="R26" s="129"/>
      <c r="S26" s="129"/>
      <c r="T26" s="129"/>
      <c r="U26" s="129"/>
      <c r="V26" s="129"/>
      <c r="W26" s="129"/>
      <c r="X26" s="129"/>
      <c r="Y26" s="129"/>
      <c r="Z26" s="129"/>
      <c r="AA26" s="129"/>
      <c r="AB26" s="129"/>
      <c r="AC26" s="129"/>
      <c r="AD26" s="233"/>
      <c r="AE26" s="129"/>
      <c r="AF26" s="129"/>
      <c r="AG26" s="129"/>
      <c r="AH26" s="129"/>
      <c r="AI26" s="129"/>
      <c r="AJ26" s="129"/>
      <c r="AK26" s="129"/>
      <c r="AL26" s="129"/>
      <c r="AM26" s="129"/>
      <c r="AN26" s="129"/>
      <c r="AO26" s="129"/>
      <c r="AP26" s="129"/>
      <c r="AQ26" s="129"/>
      <c r="AR26" s="129"/>
      <c r="AS26" s="129"/>
      <c r="AT26" s="129"/>
      <c r="AU26" s="129"/>
      <c r="AV26" s="129"/>
      <c r="AW26" s="129"/>
      <c r="AX26" s="129"/>
      <c r="AY26" s="129"/>
      <c r="AZ26" s="129"/>
      <c r="BA26" s="129"/>
      <c r="BB26" s="126"/>
    </row>
    <row r="27" spans="2:54">
      <c r="B27" s="107" t="s">
        <v>998</v>
      </c>
      <c r="C27" s="110">
        <v>21</v>
      </c>
      <c r="D27" s="104" t="s">
        <v>999</v>
      </c>
      <c r="E27" s="103" t="s">
        <v>1000</v>
      </c>
      <c r="F27" s="103" t="s">
        <v>206</v>
      </c>
      <c r="G27" s="103" t="s">
        <v>206</v>
      </c>
      <c r="H27" s="103" t="s">
        <v>206</v>
      </c>
      <c r="I27" s="103" t="e" cm="1">
        <f t="array" aca="1" ref="I27" ca="1">TRANSPOSE(_xlfn.SORTBY(_xlfn._xlws.FILTER(IF(Table3[FORMATO]:Table3[COMP_ CAMPO]&lt;&gt;"",Table3[FORMATO]:Table3[COMP_ CAMPO],9999999),Table3[NOME FÍSICO TABELA]="loan"), _xlfn._xlws.FILTER(Table3[ORDEM], Table3[NOME FÍSICO TABELA]="loan"), 1))</f>
        <v>#NAME?</v>
      </c>
      <c r="J27" s="103"/>
      <c r="K27" s="103"/>
      <c r="L27" s="103"/>
      <c r="M27" s="103"/>
      <c r="N27" s="103"/>
      <c r="O27" s="103"/>
      <c r="P27" s="103"/>
      <c r="Q27" s="103"/>
      <c r="R27" s="103"/>
      <c r="S27" s="103"/>
      <c r="T27" s="103"/>
      <c r="U27" s="103"/>
      <c r="V27" s="103"/>
      <c r="W27" s="103"/>
      <c r="X27" s="103"/>
      <c r="Y27" s="103"/>
      <c r="Z27" s="103"/>
      <c r="AA27" s="103"/>
      <c r="AB27" s="103"/>
      <c r="AC27" s="103"/>
      <c r="AD27" s="234"/>
      <c r="AE27" s="103"/>
      <c r="AF27" s="103"/>
      <c r="AG27" s="225"/>
      <c r="AH27" s="225"/>
      <c r="AI27" s="103"/>
      <c r="AJ27" s="103"/>
      <c r="AK27" s="103"/>
      <c r="AL27" s="103"/>
      <c r="AM27" s="103"/>
      <c r="AN27" s="103"/>
      <c r="AO27" s="103"/>
      <c r="AP27" s="103"/>
      <c r="AQ27" s="103"/>
      <c r="AR27" s="103"/>
      <c r="AS27" s="103"/>
      <c r="AT27" s="103"/>
      <c r="AU27" s="103"/>
      <c r="AV27" s="103"/>
      <c r="AW27" s="103"/>
      <c r="AX27" s="103"/>
      <c r="AY27" s="105"/>
      <c r="AZ27" s="105"/>
      <c r="BA27" s="105"/>
      <c r="BB27" s="109"/>
    </row>
    <row r="28" spans="2:54">
      <c r="B28" s="107" t="s">
        <v>1001</v>
      </c>
      <c r="C28" s="110">
        <v>7</v>
      </c>
      <c r="D28" s="104" t="s">
        <v>999</v>
      </c>
      <c r="E28" s="103" t="s">
        <v>1000</v>
      </c>
      <c r="F28" s="105" t="s">
        <v>206</v>
      </c>
      <c r="G28" s="105" t="s">
        <v>206</v>
      </c>
      <c r="H28" s="105" t="s">
        <v>206</v>
      </c>
      <c r="I28" s="151"/>
      <c r="J28" s="151"/>
      <c r="K28" s="151"/>
      <c r="L28" s="151"/>
      <c r="M28" s="151"/>
      <c r="N28" s="151"/>
      <c r="O28" s="151"/>
      <c r="P28" s="151"/>
      <c r="Q28" s="151"/>
      <c r="R28" s="151"/>
      <c r="S28" s="151"/>
      <c r="T28" s="151"/>
      <c r="U28" s="151"/>
      <c r="V28" s="151"/>
      <c r="W28" s="151"/>
      <c r="X28" s="151"/>
      <c r="Y28" s="151"/>
      <c r="Z28" s="151"/>
      <c r="AA28" s="151"/>
      <c r="AB28" s="151"/>
      <c r="AC28" s="151"/>
      <c r="AD28" s="235"/>
      <c r="AE28" s="151"/>
      <c r="AF28" s="151"/>
      <c r="AG28" s="151"/>
      <c r="AH28" s="151"/>
      <c r="AI28" s="151"/>
      <c r="AJ28" s="151"/>
      <c r="AK28" s="151"/>
      <c r="AL28" s="151"/>
      <c r="AM28" s="151"/>
      <c r="AN28" s="151"/>
      <c r="AO28" s="151"/>
      <c r="AP28" s="151"/>
      <c r="AQ28" s="151"/>
      <c r="AR28" s="151"/>
      <c r="AS28" s="151"/>
      <c r="AT28" s="151"/>
      <c r="AU28" s="151"/>
      <c r="AV28" s="151"/>
      <c r="AW28" s="151"/>
      <c r="AX28" s="151"/>
      <c r="AY28" s="151"/>
      <c r="AZ28" s="151"/>
      <c r="BA28" s="151"/>
      <c r="BB28" s="152"/>
    </row>
    <row r="30" spans="2:54">
      <c r="B30" s="140" t="s">
        <v>1002</v>
      </c>
    </row>
    <row r="31" spans="2:54">
      <c r="B31" s="134" t="s">
        <v>1003</v>
      </c>
      <c r="C31" s="134" t="s">
        <v>1004</v>
      </c>
      <c r="D31" s="135" t="s">
        <v>1005</v>
      </c>
      <c r="E31" s="134" t="s">
        <v>1006</v>
      </c>
      <c r="F31" s="134" t="s">
        <v>1007</v>
      </c>
      <c r="H31" t="s">
        <v>1711</v>
      </c>
    </row>
    <row r="32" spans="2:54" ht="43.5">
      <c r="B32" s="137" t="s">
        <v>1008</v>
      </c>
      <c r="C32" s="138" t="s">
        <v>135</v>
      </c>
      <c r="D32" s="228" t="s">
        <v>1712</v>
      </c>
      <c r="E32" s="229" t="s">
        <v>1713</v>
      </c>
      <c r="F32" s="188" t="s">
        <v>1017</v>
      </c>
      <c r="H32" s="243" t="s">
        <v>1714</v>
      </c>
      <c r="J32" s="49"/>
      <c r="L32" s="49"/>
    </row>
    <row r="33" spans="2:12" ht="29">
      <c r="B33" s="137" t="s">
        <v>1008</v>
      </c>
      <c r="C33" s="115" t="s">
        <v>1679</v>
      </c>
      <c r="D33" s="230" t="s">
        <v>1715</v>
      </c>
      <c r="E33" s="146" t="s">
        <v>1716</v>
      </c>
      <c r="F33" s="136" t="s">
        <v>1014</v>
      </c>
      <c r="H33" s="227"/>
      <c r="J33" s="49"/>
      <c r="L33" s="49"/>
    </row>
    <row r="34" spans="2:12" ht="101.5">
      <c r="B34" s="137" t="s">
        <v>1008</v>
      </c>
      <c r="C34" s="115" t="s">
        <v>1717</v>
      </c>
      <c r="D34" s="230" t="s">
        <v>1718</v>
      </c>
      <c r="E34" s="146" t="s">
        <v>1719</v>
      </c>
      <c r="F34" s="188" t="s">
        <v>1184</v>
      </c>
    </row>
    <row r="35" spans="2:12" ht="43.5">
      <c r="B35" s="137" t="s">
        <v>1008</v>
      </c>
      <c r="C35" s="115" t="s">
        <v>1720</v>
      </c>
      <c r="D35" s="230" t="s">
        <v>1721</v>
      </c>
      <c r="E35" s="146" t="s">
        <v>1457</v>
      </c>
      <c r="F35" s="136" t="s">
        <v>1017</v>
      </c>
    </row>
    <row r="36" spans="2:12" ht="116">
      <c r="B36" s="244" t="s">
        <v>1008</v>
      </c>
      <c r="C36" s="173" t="s">
        <v>1722</v>
      </c>
      <c r="D36" s="245" t="s">
        <v>1723</v>
      </c>
      <c r="E36" s="246" t="s">
        <v>1724</v>
      </c>
      <c r="F36" s="176" t="s">
        <v>1725</v>
      </c>
    </row>
    <row r="37" spans="2:12" ht="43.5">
      <c r="B37" s="137" t="s">
        <v>1008</v>
      </c>
      <c r="C37" s="173" t="s">
        <v>1681</v>
      </c>
      <c r="D37" s="245" t="s">
        <v>1726</v>
      </c>
      <c r="E37" s="246" t="s">
        <v>1713</v>
      </c>
      <c r="F37" s="176" t="s">
        <v>1017</v>
      </c>
    </row>
    <row r="38" spans="2:12" ht="101.5">
      <c r="B38" s="137" t="s">
        <v>1008</v>
      </c>
      <c r="C38" s="115" t="s">
        <v>511</v>
      </c>
      <c r="D38" s="230" t="s">
        <v>1727</v>
      </c>
      <c r="E38" s="146" t="s">
        <v>1728</v>
      </c>
      <c r="F38" s="136" t="s">
        <v>1729</v>
      </c>
    </row>
    <row r="39" spans="2:12" ht="101.5">
      <c r="B39" s="137" t="s">
        <v>1008</v>
      </c>
      <c r="C39" s="115" t="s">
        <v>512</v>
      </c>
      <c r="D39" s="230" t="s">
        <v>1727</v>
      </c>
      <c r="E39" s="146" t="s">
        <v>1728</v>
      </c>
      <c r="F39" s="136" t="s">
        <v>1729</v>
      </c>
    </row>
    <row r="40" spans="2:12" ht="87">
      <c r="B40" s="137" t="s">
        <v>1008</v>
      </c>
      <c r="C40" s="115" t="s">
        <v>513</v>
      </c>
      <c r="D40" s="230" t="s">
        <v>1730</v>
      </c>
      <c r="E40" s="146" t="s">
        <v>1731</v>
      </c>
      <c r="F40" s="136" t="s">
        <v>1011</v>
      </c>
    </row>
    <row r="41" spans="2:12" ht="145">
      <c r="B41" s="137" t="s">
        <v>1008</v>
      </c>
      <c r="C41" s="117" t="s">
        <v>514</v>
      </c>
      <c r="D41" s="231" t="s">
        <v>1732</v>
      </c>
      <c r="E41" s="146" t="s">
        <v>1733</v>
      </c>
      <c r="F41" s="136" t="s">
        <v>1462</v>
      </c>
      <c r="H41" s="50"/>
    </row>
    <row r="42" spans="2:12" ht="130.5">
      <c r="B42" s="137" t="s">
        <v>1008</v>
      </c>
      <c r="C42" s="115" t="s">
        <v>226</v>
      </c>
      <c r="D42" s="241" t="s">
        <v>1734</v>
      </c>
      <c r="E42" s="97" t="s">
        <v>1735</v>
      </c>
      <c r="F42" s="188" t="s">
        <v>1462</v>
      </c>
    </row>
    <row r="43" spans="2:12" ht="246.5">
      <c r="B43" s="137" t="s">
        <v>1008</v>
      </c>
      <c r="C43" s="115" t="s">
        <v>229</v>
      </c>
      <c r="D43" s="241" t="s">
        <v>1736</v>
      </c>
      <c r="E43" s="146" t="s">
        <v>1737</v>
      </c>
      <c r="F43" s="188" t="s">
        <v>1390</v>
      </c>
    </row>
    <row r="44" spans="2:12" ht="261">
      <c r="B44" s="137" t="s">
        <v>1008</v>
      </c>
      <c r="C44" s="115" t="s">
        <v>515</v>
      </c>
      <c r="D44" s="241" t="s">
        <v>1738</v>
      </c>
      <c r="E44" s="247" t="s">
        <v>1739</v>
      </c>
      <c r="F44" s="188" t="s">
        <v>1740</v>
      </c>
    </row>
    <row r="45" spans="2:12" ht="87">
      <c r="B45" s="137" t="s">
        <v>1008</v>
      </c>
      <c r="C45" s="115" t="s">
        <v>547</v>
      </c>
      <c r="D45" s="231" t="s">
        <v>1741</v>
      </c>
      <c r="E45" s="146" t="s">
        <v>1742</v>
      </c>
      <c r="F45" s="188" t="s">
        <v>1743</v>
      </c>
      <c r="I45" s="240"/>
    </row>
    <row r="46" spans="2:12" ht="87">
      <c r="B46" s="137" t="s">
        <v>1008</v>
      </c>
      <c r="C46" s="138" t="s">
        <v>548</v>
      </c>
      <c r="D46" s="232" t="s">
        <v>1744</v>
      </c>
      <c r="E46" s="147" t="s">
        <v>1745</v>
      </c>
      <c r="F46" s="188" t="s">
        <v>1181</v>
      </c>
      <c r="I46" s="240"/>
    </row>
    <row r="47" spans="2:12" ht="72.5">
      <c r="B47" s="137" t="s">
        <v>1008</v>
      </c>
      <c r="C47" s="115" t="s">
        <v>517</v>
      </c>
      <c r="D47" s="232" t="s">
        <v>1746</v>
      </c>
      <c r="E47" s="146" t="s">
        <v>1747</v>
      </c>
      <c r="F47" s="188" t="s">
        <v>1743</v>
      </c>
      <c r="I47" s="50"/>
      <c r="J47" s="50"/>
      <c r="K47" s="50"/>
    </row>
    <row r="48" spans="2:12" ht="43.5">
      <c r="B48" s="137" t="s">
        <v>1008</v>
      </c>
      <c r="C48" s="115" t="s">
        <v>1683</v>
      </c>
      <c r="D48" s="232" t="s">
        <v>1748</v>
      </c>
      <c r="E48" s="147" t="s">
        <v>1749</v>
      </c>
      <c r="F48" s="188" t="s">
        <v>1017</v>
      </c>
      <c r="I48" s="240"/>
    </row>
    <row r="49" spans="2:11" ht="130.5">
      <c r="B49" s="137" t="s">
        <v>1008</v>
      </c>
      <c r="C49" s="115" t="s">
        <v>414</v>
      </c>
      <c r="D49" s="231" t="s">
        <v>1750</v>
      </c>
      <c r="E49" s="146" t="s">
        <v>1751</v>
      </c>
      <c r="F49" s="188" t="s">
        <v>1752</v>
      </c>
      <c r="I49" s="240"/>
    </row>
    <row r="50" spans="2:11" ht="87">
      <c r="B50" s="137" t="s">
        <v>1008</v>
      </c>
      <c r="C50" s="115" t="s">
        <v>424</v>
      </c>
      <c r="D50" s="232" t="s">
        <v>1744</v>
      </c>
      <c r="E50" s="147" t="s">
        <v>1753</v>
      </c>
      <c r="F50" s="188" t="s">
        <v>1181</v>
      </c>
    </row>
    <row r="51" spans="2:11" ht="87">
      <c r="B51" s="137" t="s">
        <v>1008</v>
      </c>
      <c r="C51" s="115" t="s">
        <v>432</v>
      </c>
      <c r="D51" s="232" t="s">
        <v>1754</v>
      </c>
      <c r="E51" s="146" t="s">
        <v>1755</v>
      </c>
      <c r="F51" s="188" t="s">
        <v>1181</v>
      </c>
      <c r="I51" s="50"/>
      <c r="J51" s="50"/>
    </row>
    <row r="52" spans="2:11" ht="43.5">
      <c r="B52" s="137" t="s">
        <v>1008</v>
      </c>
      <c r="C52" s="138" t="s">
        <v>1684</v>
      </c>
      <c r="D52" s="232" t="s">
        <v>1756</v>
      </c>
      <c r="E52" s="147" t="s">
        <v>1757</v>
      </c>
      <c r="F52" s="188" t="s">
        <v>1017</v>
      </c>
      <c r="K52" s="49"/>
    </row>
    <row r="53" spans="2:11" ht="29">
      <c r="B53" s="137" t="s">
        <v>1008</v>
      </c>
      <c r="C53" s="138" t="s">
        <v>196</v>
      </c>
      <c r="D53" s="232" t="s">
        <v>1758</v>
      </c>
      <c r="E53" s="147" t="s">
        <v>1759</v>
      </c>
      <c r="F53" s="188" t="s">
        <v>1017</v>
      </c>
    </row>
    <row r="54" spans="2:11" ht="58">
      <c r="B54" s="172" t="s">
        <v>1008</v>
      </c>
      <c r="C54" s="173" t="s">
        <v>190</v>
      </c>
      <c r="D54" s="248" t="s">
        <v>1760</v>
      </c>
      <c r="E54" s="246" t="s">
        <v>1761</v>
      </c>
      <c r="F54" s="176" t="s">
        <v>1017</v>
      </c>
    </row>
    <row r="55" spans="2:11" ht="304.5">
      <c r="B55" s="244" t="s">
        <v>1018</v>
      </c>
      <c r="C55" s="249" t="s">
        <v>1762</v>
      </c>
      <c r="D55" s="250" t="s">
        <v>1763</v>
      </c>
      <c r="E55" s="251" t="s">
        <v>1764</v>
      </c>
      <c r="F55" s="252" t="s">
        <v>1765</v>
      </c>
    </row>
    <row r="56" spans="2:11" ht="116">
      <c r="B56" s="244" t="s">
        <v>1076</v>
      </c>
      <c r="C56" s="253" t="s">
        <v>1766</v>
      </c>
      <c r="D56" s="250" t="s">
        <v>1767</v>
      </c>
      <c r="E56" s="251" t="s">
        <v>1768</v>
      </c>
      <c r="F56" s="252" t="s">
        <v>1011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O38"/>
  <sheetViews>
    <sheetView showGridLines="0" topLeftCell="Q19" workbookViewId="0">
      <selection activeCell="T31" sqref="T31"/>
    </sheetView>
  </sheetViews>
  <sheetFormatPr defaultRowHeight="14.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row r="2" spans="2:40">
      <c r="B2" s="76" t="s">
        <v>1078</v>
      </c>
      <c r="C2" s="76" t="s">
        <v>954</v>
      </c>
      <c r="D2" s="76" t="s">
        <v>955</v>
      </c>
      <c r="E2" s="76" t="s">
        <v>956</v>
      </c>
      <c r="F2" s="76" t="s">
        <v>957</v>
      </c>
      <c r="G2" s="76" t="s">
        <v>958</v>
      </c>
      <c r="H2" s="76" t="s">
        <v>959</v>
      </c>
      <c r="I2" s="76" t="s">
        <v>102</v>
      </c>
      <c r="J2" s="76" t="s">
        <v>112</v>
      </c>
      <c r="K2" s="76" t="s">
        <v>116</v>
      </c>
      <c r="L2" s="76" t="s">
        <v>121</v>
      </c>
      <c r="M2" s="76" t="s">
        <v>127</v>
      </c>
      <c r="N2" s="76" t="s">
        <v>132</v>
      </c>
      <c r="O2" s="76" t="s">
        <v>135</v>
      </c>
      <c r="P2" s="76" t="s">
        <v>138</v>
      </c>
      <c r="Q2" s="76" t="s">
        <v>144</v>
      </c>
      <c r="R2" s="76" t="s">
        <v>149</v>
      </c>
      <c r="S2" s="76" t="s">
        <v>562</v>
      </c>
      <c r="T2" s="76" t="s">
        <v>526</v>
      </c>
      <c r="U2" s="76" t="s">
        <v>563</v>
      </c>
      <c r="V2" s="76" t="s">
        <v>551</v>
      </c>
      <c r="W2" s="76" t="s">
        <v>552</v>
      </c>
      <c r="X2" s="76" t="s">
        <v>553</v>
      </c>
      <c r="Y2" s="76" t="s">
        <v>554</v>
      </c>
      <c r="Z2" s="76" t="s">
        <v>555</v>
      </c>
      <c r="AA2" s="76" t="s">
        <v>556</v>
      </c>
      <c r="AB2" s="76" t="s">
        <v>557</v>
      </c>
      <c r="AC2" s="76" t="s">
        <v>558</v>
      </c>
      <c r="AD2" s="76" t="s">
        <v>559</v>
      </c>
      <c r="AE2" s="76" t="s">
        <v>560</v>
      </c>
      <c r="AF2" s="76" t="s">
        <v>190</v>
      </c>
      <c r="AG2" s="76" t="s">
        <v>196</v>
      </c>
      <c r="AH2" s="76" t="s">
        <v>202</v>
      </c>
      <c r="AI2" s="76" t="s">
        <v>208</v>
      </c>
      <c r="AJ2" s="76" t="s">
        <v>213</v>
      </c>
      <c r="AK2" s="76"/>
      <c r="AL2" s="76"/>
      <c r="AM2" s="76"/>
      <c r="AN2" s="76"/>
    </row>
    <row r="3" spans="2:40">
      <c r="B3" s="50" t="s">
        <v>907</v>
      </c>
      <c r="C3" s="50">
        <v>1</v>
      </c>
      <c r="D3" s="50" t="s">
        <v>1769</v>
      </c>
      <c r="E3" s="95">
        <v>45495</v>
      </c>
      <c r="F3" s="50">
        <v>3</v>
      </c>
      <c r="G3" s="98">
        <v>1</v>
      </c>
      <c r="H3" s="50">
        <v>269078</v>
      </c>
      <c r="I3" s="50" t="s">
        <v>961</v>
      </c>
      <c r="J3" s="50" t="s">
        <v>961</v>
      </c>
      <c r="K3" s="50" t="s">
        <v>961</v>
      </c>
      <c r="L3" s="50" t="s">
        <v>961</v>
      </c>
      <c r="M3" s="50" t="s">
        <v>961</v>
      </c>
      <c r="N3" s="50" t="s">
        <v>961</v>
      </c>
      <c r="O3" s="50" t="s">
        <v>961</v>
      </c>
      <c r="P3" s="50" t="s">
        <v>961</v>
      </c>
      <c r="Q3" s="50" t="s">
        <v>961</v>
      </c>
      <c r="R3" s="50" t="s">
        <v>961</v>
      </c>
      <c r="S3" s="50" t="s">
        <v>961</v>
      </c>
      <c r="T3" s="50" t="s">
        <v>961</v>
      </c>
      <c r="U3" s="237" t="s">
        <v>961</v>
      </c>
      <c r="V3" s="237" t="s">
        <v>961</v>
      </c>
      <c r="W3" s="237" t="s">
        <v>961</v>
      </c>
      <c r="X3" s="237" t="s">
        <v>961</v>
      </c>
      <c r="Y3" s="237" t="s">
        <v>961</v>
      </c>
      <c r="Z3" s="237" t="s">
        <v>961</v>
      </c>
      <c r="AA3" s="237" t="s">
        <v>961</v>
      </c>
      <c r="AB3" s="237" t="s">
        <v>961</v>
      </c>
      <c r="AC3" s="237" t="s">
        <v>961</v>
      </c>
      <c r="AD3" s="237" t="s">
        <v>961</v>
      </c>
      <c r="AE3" s="237" t="s">
        <v>961</v>
      </c>
      <c r="AF3" s="50" t="s">
        <v>961</v>
      </c>
      <c r="AG3" s="50" t="s">
        <v>961</v>
      </c>
      <c r="AH3" s="50" t="s">
        <v>961</v>
      </c>
      <c r="AI3" s="50" t="s">
        <v>961</v>
      </c>
      <c r="AJ3" s="50" t="s">
        <v>961</v>
      </c>
      <c r="AK3" s="50"/>
      <c r="AL3" s="50"/>
      <c r="AM3" s="50"/>
      <c r="AN3" s="50"/>
    </row>
    <row r="4" spans="2:40">
      <c r="B4" s="50" t="s">
        <v>909</v>
      </c>
      <c r="C4" s="50">
        <v>2</v>
      </c>
      <c r="D4" s="50" t="s">
        <v>1770</v>
      </c>
      <c r="E4" s="95">
        <v>45495</v>
      </c>
      <c r="F4" s="50">
        <v>3</v>
      </c>
      <c r="G4" s="50">
        <v>0.99996300000000005</v>
      </c>
      <c r="H4" s="98">
        <v>10</v>
      </c>
      <c r="I4" s="50" t="s">
        <v>961</v>
      </c>
      <c r="J4" s="50" t="s">
        <v>961</v>
      </c>
      <c r="K4" s="50" t="s">
        <v>961</v>
      </c>
      <c r="L4" s="50" t="s">
        <v>961</v>
      </c>
      <c r="M4" s="50" t="s">
        <v>961</v>
      </c>
      <c r="N4" s="50" t="s">
        <v>961</v>
      </c>
      <c r="O4" s="50" t="s">
        <v>961</v>
      </c>
      <c r="P4" s="50" t="s">
        <v>961</v>
      </c>
      <c r="Q4" s="50" t="s">
        <v>961</v>
      </c>
      <c r="R4" s="50" t="s">
        <v>961</v>
      </c>
      <c r="S4" s="50" t="s">
        <v>961</v>
      </c>
      <c r="T4" s="50" t="s">
        <v>961</v>
      </c>
      <c r="U4" s="237" t="s">
        <v>961</v>
      </c>
      <c r="V4" s="237" t="s">
        <v>961</v>
      </c>
      <c r="W4" s="237" t="s">
        <v>961</v>
      </c>
      <c r="X4" s="237" t="s">
        <v>961</v>
      </c>
      <c r="Y4" s="237" t="s">
        <v>961</v>
      </c>
      <c r="Z4" s="237" t="s">
        <v>961</v>
      </c>
      <c r="AA4" s="237" t="s">
        <v>961</v>
      </c>
      <c r="AB4" s="237" t="s">
        <v>961</v>
      </c>
      <c r="AC4" s="237" t="s">
        <v>961</v>
      </c>
      <c r="AD4" s="237" t="s">
        <v>961</v>
      </c>
      <c r="AE4" s="237" t="s">
        <v>961</v>
      </c>
      <c r="AF4" s="50" t="s">
        <v>961</v>
      </c>
      <c r="AG4" s="50" t="s">
        <v>961</v>
      </c>
      <c r="AH4" s="50" t="s">
        <v>961</v>
      </c>
      <c r="AI4" s="50" t="s">
        <v>961</v>
      </c>
      <c r="AJ4" s="50" t="s">
        <v>961</v>
      </c>
      <c r="AK4" s="50"/>
      <c r="AL4" s="50"/>
      <c r="AM4" s="50"/>
      <c r="AN4" s="50"/>
    </row>
    <row r="5" spans="2:40">
      <c r="B5" s="50" t="s">
        <v>911</v>
      </c>
      <c r="C5" s="50">
        <v>3</v>
      </c>
      <c r="D5" s="50" t="s">
        <v>1771</v>
      </c>
      <c r="E5" s="95">
        <v>45495</v>
      </c>
      <c r="F5" s="50">
        <v>3</v>
      </c>
      <c r="G5" s="98">
        <v>1</v>
      </c>
      <c r="H5" s="50" t="s">
        <v>970</v>
      </c>
      <c r="I5" s="50">
        <v>0</v>
      </c>
      <c r="J5" s="50">
        <v>0</v>
      </c>
      <c r="K5" s="50" t="s">
        <v>961</v>
      </c>
      <c r="L5" s="50" t="s">
        <v>961</v>
      </c>
      <c r="M5" s="50" t="s">
        <v>961</v>
      </c>
      <c r="N5" s="50" t="s">
        <v>961</v>
      </c>
      <c r="O5" s="50" t="s">
        <v>961</v>
      </c>
      <c r="P5" s="50" t="s">
        <v>961</v>
      </c>
      <c r="Q5" s="50" t="s">
        <v>961</v>
      </c>
      <c r="R5" s="50" t="s">
        <v>961</v>
      </c>
      <c r="S5" s="50" t="s">
        <v>961</v>
      </c>
      <c r="T5" s="50" t="s">
        <v>961</v>
      </c>
      <c r="U5" s="237" t="s">
        <v>961</v>
      </c>
      <c r="V5" s="237" t="s">
        <v>961</v>
      </c>
      <c r="W5" s="237" t="s">
        <v>961</v>
      </c>
      <c r="X5" s="237" t="s">
        <v>961</v>
      </c>
      <c r="Y5" s="237" t="s">
        <v>961</v>
      </c>
      <c r="Z5" s="237" t="s">
        <v>961</v>
      </c>
      <c r="AA5" s="237" t="s">
        <v>961</v>
      </c>
      <c r="AB5" s="237" t="s">
        <v>961</v>
      </c>
      <c r="AC5" s="237" t="s">
        <v>961</v>
      </c>
      <c r="AD5" s="237" t="s">
        <v>961</v>
      </c>
      <c r="AE5" s="237" t="s">
        <v>961</v>
      </c>
      <c r="AF5" s="50" t="s">
        <v>961</v>
      </c>
      <c r="AG5" s="50" t="s">
        <v>961</v>
      </c>
      <c r="AH5" s="50" t="s">
        <v>961</v>
      </c>
      <c r="AI5" s="50">
        <v>0</v>
      </c>
      <c r="AJ5" s="50" t="s">
        <v>961</v>
      </c>
      <c r="AK5" s="50"/>
      <c r="AL5" s="50"/>
      <c r="AM5" s="50"/>
      <c r="AN5" s="50"/>
    </row>
    <row r="6" spans="2:40">
      <c r="B6" s="97" t="s">
        <v>913</v>
      </c>
      <c r="C6" s="50">
        <v>4</v>
      </c>
      <c r="D6" s="50" t="s">
        <v>964</v>
      </c>
      <c r="E6" s="95" t="s">
        <v>961</v>
      </c>
      <c r="F6" s="50">
        <v>3</v>
      </c>
      <c r="G6" s="50" t="s">
        <v>961</v>
      </c>
      <c r="H6" s="50"/>
      <c r="I6" s="50" t="s">
        <v>961</v>
      </c>
      <c r="J6" s="50" t="s">
        <v>961</v>
      </c>
      <c r="K6" s="50" t="s">
        <v>961</v>
      </c>
      <c r="L6" s="50" t="s">
        <v>961</v>
      </c>
      <c r="M6" s="50" t="s">
        <v>961</v>
      </c>
      <c r="N6" s="50" t="s">
        <v>961</v>
      </c>
      <c r="O6" s="50" t="s">
        <v>961</v>
      </c>
      <c r="P6" s="50" t="s">
        <v>961</v>
      </c>
      <c r="Q6" s="50" t="s">
        <v>961</v>
      </c>
      <c r="R6" s="50" t="s">
        <v>961</v>
      </c>
      <c r="S6" s="50" t="s">
        <v>961</v>
      </c>
      <c r="T6" s="50" t="s">
        <v>961</v>
      </c>
      <c r="U6" s="237" t="s">
        <v>961</v>
      </c>
      <c r="V6" s="237" t="s">
        <v>961</v>
      </c>
      <c r="W6" s="237" t="s">
        <v>961</v>
      </c>
      <c r="X6" s="237" t="s">
        <v>961</v>
      </c>
      <c r="Y6" s="237" t="s">
        <v>961</v>
      </c>
      <c r="Z6" s="237" t="s">
        <v>961</v>
      </c>
      <c r="AA6" s="237" t="s">
        <v>961</v>
      </c>
      <c r="AB6" s="237" t="s">
        <v>961</v>
      </c>
      <c r="AC6" s="237" t="s">
        <v>961</v>
      </c>
      <c r="AD6" s="237" t="s">
        <v>961</v>
      </c>
      <c r="AE6" s="237" t="s">
        <v>961</v>
      </c>
      <c r="AF6" s="50" t="s">
        <v>961</v>
      </c>
      <c r="AG6" s="50" t="s">
        <v>961</v>
      </c>
      <c r="AH6" s="50" t="s">
        <v>961</v>
      </c>
      <c r="AI6" s="50" t="s">
        <v>961</v>
      </c>
      <c r="AJ6" s="50" t="s">
        <v>961</v>
      </c>
      <c r="AK6" s="50"/>
      <c r="AL6" s="50"/>
      <c r="AM6" s="50"/>
      <c r="AN6" s="50"/>
    </row>
    <row r="7" spans="2:40">
      <c r="B7" s="50" t="s">
        <v>915</v>
      </c>
      <c r="C7" s="50">
        <v>5</v>
      </c>
      <c r="D7" s="50" t="s">
        <v>964</v>
      </c>
      <c r="E7" s="95" t="s">
        <v>961</v>
      </c>
      <c r="F7" s="50">
        <v>3</v>
      </c>
      <c r="G7" s="50" t="s">
        <v>961</v>
      </c>
      <c r="H7" s="50"/>
      <c r="I7" s="50" t="s">
        <v>961</v>
      </c>
      <c r="J7" s="50" t="s">
        <v>961</v>
      </c>
      <c r="K7" s="50" t="s">
        <v>961</v>
      </c>
      <c r="L7" s="50" t="s">
        <v>961</v>
      </c>
      <c r="M7" s="50" t="s">
        <v>961</v>
      </c>
      <c r="N7" s="50" t="s">
        <v>961</v>
      </c>
      <c r="O7" s="50" t="s">
        <v>961</v>
      </c>
      <c r="P7" s="50" t="s">
        <v>961</v>
      </c>
      <c r="Q7" s="50" t="s">
        <v>961</v>
      </c>
      <c r="R7" s="50" t="s">
        <v>961</v>
      </c>
      <c r="S7" s="50" t="s">
        <v>961</v>
      </c>
      <c r="T7" s="50" t="s">
        <v>961</v>
      </c>
      <c r="U7" s="237" t="s">
        <v>961</v>
      </c>
      <c r="V7" s="237" t="s">
        <v>961</v>
      </c>
      <c r="W7" s="237" t="s">
        <v>961</v>
      </c>
      <c r="X7" s="237" t="s">
        <v>961</v>
      </c>
      <c r="Y7" s="237" t="s">
        <v>961</v>
      </c>
      <c r="Z7" s="237" t="s">
        <v>961</v>
      </c>
      <c r="AA7" s="237" t="s">
        <v>961</v>
      </c>
      <c r="AB7" s="237" t="s">
        <v>961</v>
      </c>
      <c r="AC7" s="237" t="s">
        <v>961</v>
      </c>
      <c r="AD7" s="237" t="s">
        <v>961</v>
      </c>
      <c r="AE7" s="237" t="s">
        <v>961</v>
      </c>
      <c r="AF7" s="50" t="s">
        <v>961</v>
      </c>
      <c r="AG7" s="50" t="s">
        <v>961</v>
      </c>
      <c r="AH7" s="50" t="s">
        <v>961</v>
      </c>
      <c r="AI7" s="50" t="s">
        <v>961</v>
      </c>
      <c r="AJ7" s="50" t="s">
        <v>961</v>
      </c>
      <c r="AK7" s="50"/>
      <c r="AL7" s="50"/>
      <c r="AM7" s="50"/>
      <c r="AN7" s="50"/>
    </row>
    <row r="8" spans="2:40">
      <c r="B8" s="97" t="s">
        <v>916</v>
      </c>
      <c r="C8" s="50">
        <v>6</v>
      </c>
      <c r="D8" s="50" t="s">
        <v>1772</v>
      </c>
      <c r="E8" s="95">
        <v>45495</v>
      </c>
      <c r="F8" s="50">
        <v>3</v>
      </c>
      <c r="G8" s="208" cm="1">
        <f t="array" ref="G8">SUMPRODUCT(--(I8:AJ8&gt;0))/COUNTA(I8:AJ8)</f>
        <v>1</v>
      </c>
      <c r="H8" s="50" t="s">
        <v>970</v>
      </c>
      <c r="I8" s="50">
        <v>2</v>
      </c>
      <c r="J8" s="50">
        <v>30</v>
      </c>
      <c r="K8" s="50">
        <v>3</v>
      </c>
      <c r="L8" s="50">
        <v>3</v>
      </c>
      <c r="M8" s="50">
        <v>3</v>
      </c>
      <c r="N8" s="50">
        <v>2</v>
      </c>
      <c r="O8" s="50">
        <v>30</v>
      </c>
      <c r="P8" s="50">
        <v>10</v>
      </c>
      <c r="Q8" s="50">
        <v>10</v>
      </c>
      <c r="R8" s="50">
        <v>3</v>
      </c>
      <c r="S8" s="98">
        <v>8</v>
      </c>
      <c r="T8" s="98">
        <v>8</v>
      </c>
      <c r="U8" s="237">
        <v>26</v>
      </c>
      <c r="V8" s="237">
        <v>27</v>
      </c>
      <c r="W8" s="237">
        <v>24</v>
      </c>
      <c r="X8" s="237">
        <v>26</v>
      </c>
      <c r="Y8" s="237">
        <v>22</v>
      </c>
      <c r="Z8" s="237">
        <v>29</v>
      </c>
      <c r="AA8" s="237">
        <v>26</v>
      </c>
      <c r="AB8" s="237">
        <v>24</v>
      </c>
      <c r="AC8" s="237">
        <v>26</v>
      </c>
      <c r="AD8" s="237">
        <v>22</v>
      </c>
      <c r="AE8" s="237">
        <v>29</v>
      </c>
      <c r="AF8" s="50">
        <v>3</v>
      </c>
      <c r="AG8" s="50" t="s">
        <v>1084</v>
      </c>
      <c r="AH8" s="50">
        <v>2</v>
      </c>
      <c r="AI8" s="50">
        <v>10</v>
      </c>
      <c r="AJ8" s="50">
        <v>22</v>
      </c>
      <c r="AK8" s="50"/>
      <c r="AL8" s="50"/>
      <c r="AM8" s="50"/>
      <c r="AN8" s="50"/>
    </row>
    <row r="9" spans="2:40">
      <c r="B9" s="50" t="s">
        <v>919</v>
      </c>
      <c r="C9" s="50">
        <v>7</v>
      </c>
      <c r="D9" s="50" t="s">
        <v>1773</v>
      </c>
      <c r="E9" s="95">
        <v>45495</v>
      </c>
      <c r="F9" s="50">
        <v>3</v>
      </c>
      <c r="G9" s="208" t="e" cm="1">
        <f t="array" aca="1" ref="G9" ca="1">SUMPRODUCT(--(I9:AJ9 &lt;= I28:AJ28))/COUNTA(I28:AJ28)</f>
        <v>#NAME?</v>
      </c>
      <c r="H9" s="50" t="s">
        <v>970</v>
      </c>
      <c r="I9" s="50">
        <v>2</v>
      </c>
      <c r="J9" s="50">
        <v>30</v>
      </c>
      <c r="K9" s="50">
        <v>3</v>
      </c>
      <c r="L9" s="50">
        <v>3</v>
      </c>
      <c r="M9" s="50">
        <v>3</v>
      </c>
      <c r="N9" s="50">
        <v>2</v>
      </c>
      <c r="O9" s="50">
        <v>30</v>
      </c>
      <c r="P9" s="50">
        <v>10</v>
      </c>
      <c r="Q9" s="50">
        <v>10</v>
      </c>
      <c r="R9" s="50">
        <v>3</v>
      </c>
      <c r="S9" s="50">
        <v>16</v>
      </c>
      <c r="T9" s="50">
        <v>16</v>
      </c>
      <c r="U9" s="237">
        <v>26</v>
      </c>
      <c r="V9" s="237">
        <v>27</v>
      </c>
      <c r="W9" s="237">
        <v>24</v>
      </c>
      <c r="X9" s="237">
        <v>26</v>
      </c>
      <c r="Y9" s="237">
        <v>22</v>
      </c>
      <c r="Z9" s="237">
        <v>29</v>
      </c>
      <c r="AA9" s="237">
        <v>26</v>
      </c>
      <c r="AB9" s="237">
        <v>24</v>
      </c>
      <c r="AC9" s="237">
        <v>26</v>
      </c>
      <c r="AD9" s="237">
        <v>22</v>
      </c>
      <c r="AE9" s="237">
        <v>29</v>
      </c>
      <c r="AF9" s="50">
        <v>3</v>
      </c>
      <c r="AG9" s="50" t="s">
        <v>1084</v>
      </c>
      <c r="AH9" s="50">
        <v>2</v>
      </c>
      <c r="AI9" s="50">
        <v>10</v>
      </c>
      <c r="AJ9" s="50">
        <v>22</v>
      </c>
      <c r="AK9" s="50"/>
      <c r="AL9" s="50"/>
      <c r="AM9" s="50"/>
      <c r="AN9" s="50"/>
    </row>
    <row r="10" spans="2:40">
      <c r="B10" s="50" t="s">
        <v>922</v>
      </c>
      <c r="C10" s="50">
        <v>8</v>
      </c>
      <c r="D10" s="50" t="s">
        <v>1774</v>
      </c>
      <c r="E10" s="95">
        <v>45495</v>
      </c>
      <c r="F10" s="50">
        <v>3</v>
      </c>
      <c r="G10" s="50" t="s">
        <v>961</v>
      </c>
      <c r="H10" s="50" t="s">
        <v>970</v>
      </c>
      <c r="I10" s="50">
        <v>31</v>
      </c>
      <c r="J10" s="50">
        <v>2.4845061000001999E+22</v>
      </c>
      <c r="K10" s="50" t="s">
        <v>1775</v>
      </c>
      <c r="L10" s="50">
        <v>61</v>
      </c>
      <c r="M10" s="50">
        <v>0</v>
      </c>
      <c r="N10" s="50">
        <v>31</v>
      </c>
      <c r="O10" s="50">
        <v>2.1208001000000002E+22</v>
      </c>
      <c r="P10" s="95">
        <v>26384</v>
      </c>
      <c r="Q10" s="95">
        <v>40121</v>
      </c>
      <c r="R10" s="98">
        <v>36</v>
      </c>
      <c r="S10" s="98" t="s">
        <v>970</v>
      </c>
      <c r="T10" s="98" t="s">
        <v>970</v>
      </c>
      <c r="U10" s="238" t="s">
        <v>563</v>
      </c>
      <c r="V10" s="238" t="s">
        <v>551</v>
      </c>
      <c r="W10" s="237" t="s">
        <v>552</v>
      </c>
      <c r="X10" s="238" t="s">
        <v>553</v>
      </c>
      <c r="Y10" s="238" t="s">
        <v>554</v>
      </c>
      <c r="Z10" s="237" t="s">
        <v>555</v>
      </c>
      <c r="AA10" s="237" t="s">
        <v>556</v>
      </c>
      <c r="AB10" s="237" t="s">
        <v>557</v>
      </c>
      <c r="AC10" s="237" t="s">
        <v>558</v>
      </c>
      <c r="AD10" s="237" t="s">
        <v>559</v>
      </c>
      <c r="AE10" s="237" t="s">
        <v>560</v>
      </c>
      <c r="AF10" s="50" t="s">
        <v>971</v>
      </c>
      <c r="AG10" s="50" t="s">
        <v>1084</v>
      </c>
      <c r="AH10" s="50" t="s">
        <v>1776</v>
      </c>
      <c r="AI10" s="95">
        <v>45495</v>
      </c>
      <c r="AJ10" s="50" t="s">
        <v>1777</v>
      </c>
      <c r="AK10" s="50"/>
      <c r="AL10" s="50"/>
      <c r="AM10" s="95"/>
      <c r="AN10" s="95"/>
    </row>
    <row r="11" spans="2:40">
      <c r="B11" s="50" t="s">
        <v>924</v>
      </c>
      <c r="C11" s="50">
        <v>9</v>
      </c>
      <c r="D11" s="50" t="s">
        <v>1778</v>
      </c>
      <c r="E11" s="95">
        <v>45495</v>
      </c>
      <c r="F11" s="50">
        <v>3</v>
      </c>
      <c r="G11" s="50" t="s">
        <v>961</v>
      </c>
      <c r="H11" s="50" t="s">
        <v>970</v>
      </c>
      <c r="I11" s="50">
        <v>31</v>
      </c>
      <c r="J11" s="50">
        <v>2.4845061000001999E+22</v>
      </c>
      <c r="K11" s="50"/>
      <c r="L11" s="50">
        <v>61</v>
      </c>
      <c r="M11" s="50">
        <v>0</v>
      </c>
      <c r="N11" s="95"/>
      <c r="O11" s="50">
        <v>2.1208001000000002E+22</v>
      </c>
      <c r="P11" s="95">
        <v>26384</v>
      </c>
      <c r="Q11" s="95">
        <v>40121</v>
      </c>
      <c r="R11" s="50">
        <v>36</v>
      </c>
      <c r="S11" s="50" t="s">
        <v>1046</v>
      </c>
      <c r="T11" s="50" t="s">
        <v>1046</v>
      </c>
      <c r="U11" s="237" t="s">
        <v>563</v>
      </c>
      <c r="V11" s="237" t="s">
        <v>551</v>
      </c>
      <c r="W11" s="237" t="s">
        <v>552</v>
      </c>
      <c r="X11" s="238" t="s">
        <v>553</v>
      </c>
      <c r="Y11" s="238" t="s">
        <v>554</v>
      </c>
      <c r="Z11" s="237" t="s">
        <v>555</v>
      </c>
      <c r="AA11" s="237" t="s">
        <v>556</v>
      </c>
      <c r="AB11" s="237" t="s">
        <v>557</v>
      </c>
      <c r="AC11" s="237" t="s">
        <v>558</v>
      </c>
      <c r="AD11" s="237" t="s">
        <v>559</v>
      </c>
      <c r="AE11" s="237" t="s">
        <v>560</v>
      </c>
      <c r="AF11" s="50" t="s">
        <v>986</v>
      </c>
      <c r="AG11" s="50" t="s">
        <v>1084</v>
      </c>
      <c r="AH11" s="50" t="s">
        <v>1776</v>
      </c>
      <c r="AI11" s="95">
        <v>45495</v>
      </c>
      <c r="AJ11" s="50" t="s">
        <v>1779</v>
      </c>
      <c r="AK11" s="50"/>
      <c r="AL11" s="50"/>
      <c r="AM11" s="95"/>
      <c r="AN11" s="95"/>
    </row>
    <row r="12" spans="2:40">
      <c r="B12" s="97" t="s">
        <v>926</v>
      </c>
      <c r="C12" s="50">
        <v>10</v>
      </c>
      <c r="D12" s="50" t="s">
        <v>1780</v>
      </c>
      <c r="E12" s="95">
        <v>45495</v>
      </c>
      <c r="F12" s="50">
        <v>3</v>
      </c>
      <c r="G12" s="50" t="s">
        <v>961</v>
      </c>
      <c r="H12" s="50" t="s">
        <v>970</v>
      </c>
      <c r="I12" s="50">
        <v>31</v>
      </c>
      <c r="J12" s="50">
        <v>5.4060000086906101E+29</v>
      </c>
      <c r="K12" s="50" t="s">
        <v>1775</v>
      </c>
      <c r="L12" s="50">
        <v>269</v>
      </c>
      <c r="M12" s="50" t="s">
        <v>1781</v>
      </c>
      <c r="N12" s="50">
        <v>31</v>
      </c>
      <c r="O12" s="50">
        <v>2.39700506824024E+29</v>
      </c>
      <c r="P12" s="95">
        <v>45495</v>
      </c>
      <c r="Q12" s="95">
        <v>50908</v>
      </c>
      <c r="R12" s="50">
        <v>978</v>
      </c>
      <c r="S12" s="192">
        <v>99995000000</v>
      </c>
      <c r="T12" s="98">
        <v>120000000000000</v>
      </c>
      <c r="U12" s="238" t="s">
        <v>563</v>
      </c>
      <c r="V12" s="238" t="s">
        <v>551</v>
      </c>
      <c r="W12" s="238" t="s">
        <v>552</v>
      </c>
      <c r="X12" s="238" t="s">
        <v>553</v>
      </c>
      <c r="Y12" s="238" t="s">
        <v>554</v>
      </c>
      <c r="Z12" s="238" t="s">
        <v>555</v>
      </c>
      <c r="AA12" s="237" t="s">
        <v>556</v>
      </c>
      <c r="AB12" s="237" t="s">
        <v>557</v>
      </c>
      <c r="AC12" s="239" t="s">
        <v>558</v>
      </c>
      <c r="AD12" s="237" t="s">
        <v>559</v>
      </c>
      <c r="AE12" s="237" t="s">
        <v>560</v>
      </c>
      <c r="AF12" s="50" t="s">
        <v>971</v>
      </c>
      <c r="AG12" s="50" t="s">
        <v>1084</v>
      </c>
      <c r="AH12" s="95" t="s">
        <v>1776</v>
      </c>
      <c r="AI12" s="95">
        <v>45495</v>
      </c>
      <c r="AJ12" s="50" t="s">
        <v>1777</v>
      </c>
      <c r="AK12" s="50"/>
      <c r="AL12" s="50"/>
      <c r="AM12" s="95"/>
      <c r="AN12" s="95"/>
    </row>
    <row r="13" spans="2:40">
      <c r="B13" s="50" t="s">
        <v>928</v>
      </c>
      <c r="C13" s="50">
        <v>11</v>
      </c>
      <c r="D13" s="50" t="s">
        <v>1782</v>
      </c>
      <c r="E13" s="95">
        <v>45495</v>
      </c>
      <c r="F13" s="50">
        <v>3</v>
      </c>
      <c r="G13" s="50" t="s">
        <v>961</v>
      </c>
      <c r="H13" s="50" t="s">
        <v>970</v>
      </c>
      <c r="I13" s="50">
        <v>31</v>
      </c>
      <c r="J13" s="50">
        <v>5.4060000086906101E+29</v>
      </c>
      <c r="K13" s="50"/>
      <c r="L13" s="50">
        <v>269</v>
      </c>
      <c r="M13" s="50" t="s">
        <v>1781</v>
      </c>
      <c r="N13" s="95"/>
      <c r="O13" s="50">
        <v>2.39700506824024E+29</v>
      </c>
      <c r="P13" s="95">
        <v>45495</v>
      </c>
      <c r="Q13" s="95">
        <v>50908</v>
      </c>
      <c r="R13" s="50">
        <v>978</v>
      </c>
      <c r="S13" s="95" t="s">
        <v>1783</v>
      </c>
      <c r="T13" s="98" t="s">
        <v>1783</v>
      </c>
      <c r="U13" s="237" t="s">
        <v>563</v>
      </c>
      <c r="V13" s="237" t="s">
        <v>551</v>
      </c>
      <c r="W13" s="237" t="s">
        <v>552</v>
      </c>
      <c r="X13" s="238" t="s">
        <v>553</v>
      </c>
      <c r="Y13" s="238" t="s">
        <v>554</v>
      </c>
      <c r="Z13" s="238" t="s">
        <v>555</v>
      </c>
      <c r="AA13" s="237" t="s">
        <v>556</v>
      </c>
      <c r="AB13" s="237" t="s">
        <v>557</v>
      </c>
      <c r="AC13" s="239" t="s">
        <v>558</v>
      </c>
      <c r="AD13" s="237" t="s">
        <v>559</v>
      </c>
      <c r="AE13" s="237" t="s">
        <v>560</v>
      </c>
      <c r="AF13" s="50" t="s">
        <v>986</v>
      </c>
      <c r="AG13" s="50" t="s">
        <v>1084</v>
      </c>
      <c r="AH13" s="95" t="s">
        <v>1776</v>
      </c>
      <c r="AI13" s="95">
        <v>45495</v>
      </c>
      <c r="AJ13" s="50" t="s">
        <v>1784</v>
      </c>
      <c r="AK13" s="50"/>
      <c r="AL13" s="50"/>
      <c r="AM13" s="95"/>
      <c r="AN13" s="95"/>
    </row>
    <row r="14" spans="2:40">
      <c r="B14" s="50" t="s">
        <v>930</v>
      </c>
      <c r="C14" s="50">
        <v>12</v>
      </c>
      <c r="D14" s="50" t="s">
        <v>1785</v>
      </c>
      <c r="E14" s="95">
        <v>45495</v>
      </c>
      <c r="F14" s="50">
        <v>3</v>
      </c>
      <c r="G14" s="50">
        <v>0.89285700000000001</v>
      </c>
      <c r="H14" s="50" t="s">
        <v>970</v>
      </c>
      <c r="I14" s="50">
        <v>0</v>
      </c>
      <c r="J14" s="50">
        <v>0</v>
      </c>
      <c r="K14" s="50">
        <v>0</v>
      </c>
      <c r="L14" s="50">
        <v>0</v>
      </c>
      <c r="M14" s="50">
        <v>0</v>
      </c>
      <c r="N14" s="50">
        <v>0</v>
      </c>
      <c r="O14" s="50">
        <v>6</v>
      </c>
      <c r="P14" s="50">
        <v>0</v>
      </c>
      <c r="Q14" s="50">
        <v>0</v>
      </c>
      <c r="R14" s="50">
        <v>251</v>
      </c>
      <c r="S14" s="50">
        <v>251</v>
      </c>
      <c r="T14" s="50">
        <v>251</v>
      </c>
      <c r="U14" s="238">
        <v>0</v>
      </c>
      <c r="V14" s="238">
        <v>0</v>
      </c>
      <c r="W14" s="238">
        <v>0</v>
      </c>
      <c r="X14" s="237">
        <v>0</v>
      </c>
      <c r="Y14" s="237">
        <v>0</v>
      </c>
      <c r="Z14" s="237">
        <v>0</v>
      </c>
      <c r="AA14" s="237">
        <v>0</v>
      </c>
      <c r="AB14" s="237">
        <v>0</v>
      </c>
      <c r="AC14" s="237">
        <v>0</v>
      </c>
      <c r="AD14" s="237">
        <v>0</v>
      </c>
      <c r="AE14" s="237">
        <v>0</v>
      </c>
      <c r="AF14" s="50">
        <v>0</v>
      </c>
      <c r="AG14" s="50">
        <v>269078</v>
      </c>
      <c r="AH14" s="50">
        <v>0</v>
      </c>
      <c r="AI14" s="50">
        <v>0</v>
      </c>
      <c r="AJ14" s="50">
        <v>0</v>
      </c>
      <c r="AK14" s="50"/>
      <c r="AL14" s="50"/>
      <c r="AM14" s="50"/>
      <c r="AN14" s="50"/>
    </row>
    <row r="15" spans="2:40">
      <c r="B15" s="50" t="s">
        <v>932</v>
      </c>
      <c r="C15" s="50">
        <v>13</v>
      </c>
      <c r="D15" s="50" t="s">
        <v>1786</v>
      </c>
      <c r="E15" s="95">
        <v>45495</v>
      </c>
      <c r="F15" s="50">
        <v>3</v>
      </c>
      <c r="G15" s="98">
        <v>1</v>
      </c>
      <c r="H15" s="50" t="s">
        <v>970</v>
      </c>
      <c r="I15" s="50" t="s">
        <v>961</v>
      </c>
      <c r="J15" s="50" t="s">
        <v>961</v>
      </c>
      <c r="K15" s="50" t="s">
        <v>961</v>
      </c>
      <c r="L15" s="50" t="s">
        <v>961</v>
      </c>
      <c r="M15" s="50" t="s">
        <v>961</v>
      </c>
      <c r="N15" s="95" t="s">
        <v>961</v>
      </c>
      <c r="O15" s="95" t="s">
        <v>961</v>
      </c>
      <c r="P15" s="50">
        <v>0</v>
      </c>
      <c r="Q15" s="50">
        <v>0</v>
      </c>
      <c r="R15" s="50" t="s">
        <v>961</v>
      </c>
      <c r="S15" s="95" t="s">
        <v>961</v>
      </c>
      <c r="T15" s="95" t="s">
        <v>961</v>
      </c>
      <c r="U15" s="237" t="s">
        <v>961</v>
      </c>
      <c r="V15" s="237" t="s">
        <v>961</v>
      </c>
      <c r="W15" s="237" t="s">
        <v>961</v>
      </c>
      <c r="X15" s="237" t="s">
        <v>961</v>
      </c>
      <c r="Y15" s="237" t="s">
        <v>961</v>
      </c>
      <c r="Z15" s="237" t="s">
        <v>961</v>
      </c>
      <c r="AA15" s="237" t="s">
        <v>961</v>
      </c>
      <c r="AB15" s="237" t="s">
        <v>961</v>
      </c>
      <c r="AC15" s="239" t="s">
        <v>961</v>
      </c>
      <c r="AD15" s="237" t="s">
        <v>961</v>
      </c>
      <c r="AE15" s="237" t="s">
        <v>961</v>
      </c>
      <c r="AF15" s="50" t="s">
        <v>961</v>
      </c>
      <c r="AG15" s="50" t="s">
        <v>961</v>
      </c>
      <c r="AH15" s="95" t="s">
        <v>961</v>
      </c>
      <c r="AI15" s="50" t="s">
        <v>961</v>
      </c>
      <c r="AJ15" s="50" t="s">
        <v>961</v>
      </c>
      <c r="AK15" s="50"/>
      <c r="AL15" s="50"/>
      <c r="AM15" s="50"/>
      <c r="AN15" s="95"/>
    </row>
    <row r="16" spans="2:40">
      <c r="B16" s="50" t="s">
        <v>934</v>
      </c>
      <c r="C16" s="50">
        <v>14</v>
      </c>
      <c r="D16" s="50" t="s">
        <v>1787</v>
      </c>
      <c r="E16" s="95">
        <v>45495</v>
      </c>
      <c r="F16" s="50">
        <v>3</v>
      </c>
      <c r="G16" s="98">
        <v>1</v>
      </c>
      <c r="H16" s="50" t="s">
        <v>970</v>
      </c>
      <c r="I16" s="50">
        <v>0</v>
      </c>
      <c r="J16" s="50">
        <v>0</v>
      </c>
      <c r="K16" s="50">
        <v>0</v>
      </c>
      <c r="L16" s="50">
        <v>0</v>
      </c>
      <c r="M16" s="50">
        <v>0</v>
      </c>
      <c r="N16" s="50">
        <v>0</v>
      </c>
      <c r="O16" s="50">
        <v>0</v>
      </c>
      <c r="P16" s="50" t="s">
        <v>961</v>
      </c>
      <c r="Q16" s="50" t="s">
        <v>961</v>
      </c>
      <c r="R16" s="50">
        <v>0</v>
      </c>
      <c r="S16" s="50" t="s">
        <v>961</v>
      </c>
      <c r="T16" s="50" t="s">
        <v>961</v>
      </c>
      <c r="U16" s="237" t="s">
        <v>961</v>
      </c>
      <c r="V16" s="237" t="s">
        <v>961</v>
      </c>
      <c r="W16" s="237" t="s">
        <v>961</v>
      </c>
      <c r="X16" s="237" t="s">
        <v>961</v>
      </c>
      <c r="Y16" s="237" t="s">
        <v>961</v>
      </c>
      <c r="Z16" s="237" t="s">
        <v>961</v>
      </c>
      <c r="AA16" s="237" t="s">
        <v>961</v>
      </c>
      <c r="AB16" s="237" t="s">
        <v>961</v>
      </c>
      <c r="AC16" s="237" t="s">
        <v>961</v>
      </c>
      <c r="AD16" s="237" t="s">
        <v>961</v>
      </c>
      <c r="AE16" s="237" t="s">
        <v>961</v>
      </c>
      <c r="AF16" s="50">
        <v>0</v>
      </c>
      <c r="AG16" s="50">
        <v>0</v>
      </c>
      <c r="AH16" s="50">
        <v>0</v>
      </c>
      <c r="AI16" s="50" t="s">
        <v>961</v>
      </c>
      <c r="AJ16" s="50" t="s">
        <v>961</v>
      </c>
      <c r="AK16" s="50"/>
      <c r="AL16" s="50"/>
      <c r="AM16" s="50"/>
      <c r="AN16" s="50"/>
    </row>
    <row r="17" spans="2:41">
      <c r="B17" s="50" t="s">
        <v>936</v>
      </c>
      <c r="C17" s="50">
        <v>15</v>
      </c>
      <c r="D17" s="50" t="s">
        <v>1788</v>
      </c>
      <c r="E17" s="95">
        <v>45495</v>
      </c>
      <c r="F17" s="50">
        <v>3</v>
      </c>
      <c r="G17" s="98">
        <v>1</v>
      </c>
      <c r="H17" s="98" t="s">
        <v>970</v>
      </c>
      <c r="I17" s="50" t="s">
        <v>961</v>
      </c>
      <c r="J17" s="50" t="s">
        <v>961</v>
      </c>
      <c r="K17" s="50" t="s">
        <v>961</v>
      </c>
      <c r="L17" s="50" t="s">
        <v>961</v>
      </c>
      <c r="M17" s="50" t="s">
        <v>961</v>
      </c>
      <c r="N17" s="97" t="s">
        <v>961</v>
      </c>
      <c r="O17" s="97" t="s">
        <v>961</v>
      </c>
      <c r="P17" s="97" t="s">
        <v>961</v>
      </c>
      <c r="Q17" s="97" t="s">
        <v>961</v>
      </c>
      <c r="R17" s="97" t="s">
        <v>961</v>
      </c>
      <c r="S17" s="50" t="s">
        <v>961</v>
      </c>
      <c r="T17" s="97" t="s">
        <v>961</v>
      </c>
      <c r="U17" s="237" t="s">
        <v>961</v>
      </c>
      <c r="V17" s="237" t="s">
        <v>961</v>
      </c>
      <c r="W17" s="237" t="s">
        <v>961</v>
      </c>
      <c r="X17" s="237" t="s">
        <v>961</v>
      </c>
      <c r="Y17" s="237" t="s">
        <v>961</v>
      </c>
      <c r="Z17" s="237" t="s">
        <v>961</v>
      </c>
      <c r="AA17" s="237" t="s">
        <v>961</v>
      </c>
      <c r="AB17" s="237" t="s">
        <v>961</v>
      </c>
      <c r="AC17" s="237" t="s">
        <v>961</v>
      </c>
      <c r="AD17" s="237" t="s">
        <v>961</v>
      </c>
      <c r="AE17" s="237" t="s">
        <v>961</v>
      </c>
      <c r="AF17" s="50" t="s">
        <v>961</v>
      </c>
      <c r="AG17" s="50" t="s">
        <v>961</v>
      </c>
      <c r="AH17" s="50" t="s">
        <v>961</v>
      </c>
      <c r="AI17" s="50" t="s">
        <v>961</v>
      </c>
      <c r="AJ17" s="50" t="s">
        <v>961</v>
      </c>
      <c r="AK17" s="50"/>
      <c r="AL17" s="50"/>
      <c r="AM17" s="50"/>
      <c r="AN17" s="50"/>
    </row>
    <row r="18" spans="2:41">
      <c r="B18" s="50" t="s">
        <v>938</v>
      </c>
      <c r="C18" s="50">
        <v>16</v>
      </c>
      <c r="D18" s="50" t="s">
        <v>1788</v>
      </c>
      <c r="E18" s="95">
        <v>45495</v>
      </c>
      <c r="F18" s="50">
        <v>3</v>
      </c>
      <c r="G18" s="98">
        <v>1</v>
      </c>
      <c r="H18" s="98" t="s">
        <v>970</v>
      </c>
      <c r="I18" s="50" t="s">
        <v>961</v>
      </c>
      <c r="J18" s="50" t="s">
        <v>961</v>
      </c>
      <c r="K18" s="50" t="s">
        <v>961</v>
      </c>
      <c r="L18" s="50" t="s">
        <v>961</v>
      </c>
      <c r="M18" s="50" t="s">
        <v>961</v>
      </c>
      <c r="N18" s="97" t="s">
        <v>961</v>
      </c>
      <c r="O18" s="97" t="s">
        <v>961</v>
      </c>
      <c r="P18" s="50" t="s">
        <v>961</v>
      </c>
      <c r="Q18" s="50" t="s">
        <v>961</v>
      </c>
      <c r="R18" s="97" t="s">
        <v>961</v>
      </c>
      <c r="S18" s="97" t="s">
        <v>961</v>
      </c>
      <c r="T18" s="50" t="s">
        <v>961</v>
      </c>
      <c r="U18" s="237" t="s">
        <v>961</v>
      </c>
      <c r="V18" s="237" t="s">
        <v>961</v>
      </c>
      <c r="W18" s="237" t="s">
        <v>961</v>
      </c>
      <c r="X18" s="237" t="s">
        <v>961</v>
      </c>
      <c r="Y18" s="237" t="s">
        <v>961</v>
      </c>
      <c r="Z18" s="237" t="s">
        <v>961</v>
      </c>
      <c r="AA18" s="237" t="s">
        <v>961</v>
      </c>
      <c r="AB18" s="237" t="s">
        <v>961</v>
      </c>
      <c r="AC18" s="237" t="s">
        <v>961</v>
      </c>
      <c r="AD18" s="237" t="s">
        <v>961</v>
      </c>
      <c r="AE18" s="237" t="s">
        <v>961</v>
      </c>
      <c r="AF18" s="50" t="s">
        <v>961</v>
      </c>
      <c r="AG18" s="50" t="s">
        <v>961</v>
      </c>
      <c r="AH18" s="50" t="s">
        <v>961</v>
      </c>
      <c r="AI18" s="50" t="s">
        <v>961</v>
      </c>
      <c r="AJ18" s="50" t="s">
        <v>961</v>
      </c>
      <c r="AK18" s="50"/>
      <c r="AL18" s="50"/>
      <c r="AM18" s="50"/>
      <c r="AN18" s="50"/>
    </row>
    <row r="19" spans="2:41">
      <c r="B19" s="50" t="s">
        <v>940</v>
      </c>
      <c r="C19" s="50">
        <v>17</v>
      </c>
      <c r="D19" s="50" t="s">
        <v>1789</v>
      </c>
      <c r="E19" s="95">
        <v>45495</v>
      </c>
      <c r="F19" s="50">
        <v>3</v>
      </c>
      <c r="G19" s="50">
        <v>0.98260000000000003</v>
      </c>
      <c r="H19" s="211">
        <v>4682000000</v>
      </c>
      <c r="I19" s="50" t="s">
        <v>961</v>
      </c>
      <c r="J19" s="50" t="s">
        <v>961</v>
      </c>
      <c r="K19" s="50" t="s">
        <v>961</v>
      </c>
      <c r="L19" s="50" t="s">
        <v>961</v>
      </c>
      <c r="M19" s="50" t="s">
        <v>961</v>
      </c>
      <c r="N19" s="50" t="s">
        <v>961</v>
      </c>
      <c r="O19" s="50" t="s">
        <v>961</v>
      </c>
      <c r="P19" s="50" t="s">
        <v>961</v>
      </c>
      <c r="Q19" s="97" t="s">
        <v>961</v>
      </c>
      <c r="R19" s="50" t="s">
        <v>961</v>
      </c>
      <c r="S19" s="50" t="s">
        <v>961</v>
      </c>
      <c r="T19" s="50" t="s">
        <v>961</v>
      </c>
      <c r="U19" s="237" t="s">
        <v>961</v>
      </c>
      <c r="V19" s="237" t="s">
        <v>961</v>
      </c>
      <c r="W19" s="237" t="s">
        <v>961</v>
      </c>
      <c r="X19" s="237" t="s">
        <v>961</v>
      </c>
      <c r="Y19" s="237" t="s">
        <v>961</v>
      </c>
      <c r="Z19" s="237" t="s">
        <v>961</v>
      </c>
      <c r="AA19" s="237" t="s">
        <v>961</v>
      </c>
      <c r="AB19" s="237" t="s">
        <v>961</v>
      </c>
      <c r="AC19" s="237" t="s">
        <v>961</v>
      </c>
      <c r="AD19" s="237" t="s">
        <v>961</v>
      </c>
      <c r="AE19" s="237" t="s">
        <v>961</v>
      </c>
      <c r="AF19" s="50" t="s">
        <v>961</v>
      </c>
      <c r="AG19" s="50" t="s">
        <v>961</v>
      </c>
      <c r="AH19" s="50" t="s">
        <v>961</v>
      </c>
      <c r="AI19" s="50" t="s">
        <v>961</v>
      </c>
      <c r="AJ19" s="50" t="s">
        <v>961</v>
      </c>
      <c r="AK19" s="50"/>
      <c r="AL19" s="50"/>
      <c r="AM19" s="50"/>
      <c r="AN19" s="50"/>
    </row>
    <row r="20" spans="2:41">
      <c r="B20" s="50" t="s">
        <v>942</v>
      </c>
      <c r="C20" s="50">
        <v>18</v>
      </c>
      <c r="D20" s="50" t="s">
        <v>1789</v>
      </c>
      <c r="E20" s="95">
        <v>45495</v>
      </c>
      <c r="F20" s="50">
        <v>3</v>
      </c>
      <c r="G20" s="98">
        <v>1</v>
      </c>
      <c r="H20" s="192" t="s">
        <v>970</v>
      </c>
      <c r="I20" s="50" t="s">
        <v>961</v>
      </c>
      <c r="J20" s="50" t="s">
        <v>961</v>
      </c>
      <c r="K20" s="50" t="s">
        <v>961</v>
      </c>
      <c r="L20" s="50" t="s">
        <v>961</v>
      </c>
      <c r="M20" s="50" t="s">
        <v>961</v>
      </c>
      <c r="N20" s="50" t="s">
        <v>961</v>
      </c>
      <c r="O20" s="50" t="s">
        <v>961</v>
      </c>
      <c r="P20" s="50" t="s">
        <v>961</v>
      </c>
      <c r="Q20" s="50" t="s">
        <v>961</v>
      </c>
      <c r="R20" s="50" t="s">
        <v>961</v>
      </c>
      <c r="S20" s="50" t="s">
        <v>961</v>
      </c>
      <c r="T20" s="50" t="s">
        <v>961</v>
      </c>
      <c r="U20" s="237" t="s">
        <v>961</v>
      </c>
      <c r="V20" s="237" t="s">
        <v>961</v>
      </c>
      <c r="W20" s="237" t="s">
        <v>961</v>
      </c>
      <c r="X20" s="237" t="s">
        <v>961</v>
      </c>
      <c r="Y20" s="237" t="s">
        <v>961</v>
      </c>
      <c r="Z20" s="237" t="s">
        <v>961</v>
      </c>
      <c r="AA20" s="237" t="s">
        <v>961</v>
      </c>
      <c r="AB20" s="237" t="s">
        <v>961</v>
      </c>
      <c r="AC20" s="237" t="s">
        <v>961</v>
      </c>
      <c r="AD20" s="237" t="s">
        <v>961</v>
      </c>
      <c r="AE20" s="237" t="s">
        <v>961</v>
      </c>
      <c r="AF20" s="50" t="s">
        <v>961</v>
      </c>
      <c r="AG20" s="50" t="s">
        <v>961</v>
      </c>
      <c r="AH20" s="50" t="s">
        <v>961</v>
      </c>
      <c r="AI20" s="50" t="s">
        <v>961</v>
      </c>
      <c r="AJ20" s="50" t="s">
        <v>961</v>
      </c>
      <c r="AK20" s="50"/>
      <c r="AL20" s="50"/>
      <c r="AM20" s="50"/>
      <c r="AN20" s="50"/>
    </row>
    <row r="21" spans="2:41">
      <c r="B21" s="50" t="s">
        <v>944</v>
      </c>
      <c r="C21" s="50">
        <v>19</v>
      </c>
      <c r="D21" s="50" t="s">
        <v>1790</v>
      </c>
      <c r="E21" s="95">
        <v>45495</v>
      </c>
      <c r="F21" s="50">
        <v>3</v>
      </c>
      <c r="G21" s="208" cm="1">
        <f t="array" aca="1" ref="G21" ca="1">SUMPRODUCT(--(ISNUMBER((SEARCH(I27:AJ27,I21:AJ21)))))/COUNTA(I21:AJ21)</f>
        <v>0</v>
      </c>
      <c r="H21" s="50" t="s">
        <v>970</v>
      </c>
      <c r="I21" s="50" t="s">
        <v>995</v>
      </c>
      <c r="J21" s="50" t="s">
        <v>995</v>
      </c>
      <c r="K21" s="50" t="s">
        <v>995</v>
      </c>
      <c r="L21" s="50" t="s">
        <v>995</v>
      </c>
      <c r="M21" s="50" t="s">
        <v>995</v>
      </c>
      <c r="N21" s="50" t="s">
        <v>995</v>
      </c>
      <c r="O21" s="50" t="s">
        <v>995</v>
      </c>
      <c r="P21" s="97" t="s">
        <v>995</v>
      </c>
      <c r="Q21" s="97" t="s">
        <v>995</v>
      </c>
      <c r="R21" s="50" t="s">
        <v>995</v>
      </c>
      <c r="S21" s="50" t="s">
        <v>995</v>
      </c>
      <c r="T21" s="50" t="s">
        <v>996</v>
      </c>
      <c r="U21" s="237" t="s">
        <v>995</v>
      </c>
      <c r="V21" s="237" t="s">
        <v>995</v>
      </c>
      <c r="W21" s="237" t="s">
        <v>995</v>
      </c>
      <c r="X21" s="237" t="s">
        <v>995</v>
      </c>
      <c r="Y21" s="237" t="s">
        <v>995</v>
      </c>
      <c r="Z21" s="237" t="s">
        <v>995</v>
      </c>
      <c r="AA21" s="237" t="s">
        <v>995</v>
      </c>
      <c r="AB21" s="237" t="s">
        <v>995</v>
      </c>
      <c r="AC21" s="237" t="s">
        <v>995</v>
      </c>
      <c r="AD21" s="237" t="s">
        <v>995</v>
      </c>
      <c r="AE21" s="237" t="s">
        <v>995</v>
      </c>
      <c r="AF21" s="50" t="s">
        <v>995</v>
      </c>
      <c r="AG21" s="50" t="s">
        <v>995</v>
      </c>
      <c r="AH21" s="50" t="s">
        <v>995</v>
      </c>
      <c r="AI21" s="50" t="s">
        <v>995</v>
      </c>
      <c r="AJ21" s="50" t="s">
        <v>997</v>
      </c>
      <c r="AK21" s="50"/>
      <c r="AL21" s="50"/>
      <c r="AM21" s="50"/>
      <c r="AN21" s="50"/>
    </row>
    <row r="22" spans="2:41">
      <c r="B22" s="50" t="s">
        <v>947</v>
      </c>
      <c r="C22" s="50">
        <v>20</v>
      </c>
      <c r="D22" s="50"/>
      <c r="E22" s="95"/>
      <c r="F22" s="50"/>
      <c r="G22" s="192" t="e" cm="1">
        <f t="array" aca="1" ref="G22" ca="1">SUM(IF(I2:AJ2 = I26:AJ26, 1, 0))/ COUNTA(I2:AJ2)</f>
        <v>#NAME?</v>
      </c>
      <c r="H22" s="50"/>
      <c r="I22" s="50"/>
      <c r="J22" s="50"/>
      <c r="K22" s="50"/>
      <c r="L22" s="50"/>
      <c r="M22" s="50"/>
      <c r="N22" s="50"/>
      <c r="O22" s="50"/>
      <c r="P22" s="50"/>
      <c r="Q22" s="50"/>
      <c r="R22" s="50"/>
      <c r="S22" s="50"/>
      <c r="T22" s="50"/>
      <c r="U22" s="237"/>
      <c r="V22" s="237"/>
      <c r="W22" s="237"/>
      <c r="X22" s="237"/>
      <c r="Y22" s="237"/>
      <c r="Z22" s="237"/>
      <c r="AA22" s="237"/>
      <c r="AB22" s="237"/>
      <c r="AC22" s="237"/>
      <c r="AD22" s="237"/>
      <c r="AE22" s="237"/>
      <c r="AF22" s="50"/>
      <c r="AG22" s="50"/>
      <c r="AH22" s="50"/>
      <c r="AI22" s="50"/>
      <c r="AJ22" s="50"/>
      <c r="AK22" s="50"/>
      <c r="AL22" s="50"/>
      <c r="AM22" s="50"/>
      <c r="AN22" s="50"/>
    </row>
    <row r="23" spans="2:41">
      <c r="B23" s="50" t="s">
        <v>950</v>
      </c>
      <c r="C23" s="50">
        <v>21</v>
      </c>
      <c r="D23" s="50"/>
      <c r="E23" s="95"/>
      <c r="F23" s="50"/>
      <c r="G23" s="192" t="e" cm="1">
        <f t="array" aca="1" ref="G23" ca="1">SUM(IF(IF(G3:G22="null",1,G3:G22)=1,1,0))/COUNT(IF(G3:G22="null",1,1))</f>
        <v>#NAME?</v>
      </c>
      <c r="H23" s="50"/>
      <c r="I23" s="50"/>
      <c r="J23" s="50"/>
      <c r="K23" s="50"/>
      <c r="L23" s="50"/>
      <c r="M23" s="50"/>
      <c r="N23" s="50"/>
      <c r="O23" s="50"/>
      <c r="P23" s="50"/>
      <c r="Q23" s="50"/>
      <c r="R23" s="50"/>
      <c r="S23" s="50"/>
      <c r="T23" s="50"/>
      <c r="U23" s="237"/>
      <c r="V23" s="237"/>
      <c r="W23" s="237"/>
      <c r="X23" s="237"/>
      <c r="Y23" s="237"/>
      <c r="Z23" s="237"/>
      <c r="AA23" s="237"/>
      <c r="AB23" s="237"/>
      <c r="AC23" s="237"/>
      <c r="AD23" s="237"/>
      <c r="AE23" s="237"/>
      <c r="AF23" s="50"/>
      <c r="AG23" s="50"/>
      <c r="AH23" s="50"/>
      <c r="AI23" s="50"/>
      <c r="AJ23" s="50"/>
      <c r="AK23" s="50"/>
      <c r="AL23" s="50"/>
      <c r="AM23" s="50"/>
      <c r="AN23" s="50"/>
    </row>
    <row r="25" spans="2:41">
      <c r="B25" s="130" t="s">
        <v>1067</v>
      </c>
    </row>
    <row r="26" spans="2:41">
      <c r="B26" s="128" t="s">
        <v>953</v>
      </c>
      <c r="C26" s="129" t="s">
        <v>954</v>
      </c>
      <c r="D26" s="129" t="s">
        <v>955</v>
      </c>
      <c r="E26" s="129" t="s">
        <v>956</v>
      </c>
      <c r="F26" s="129" t="s">
        <v>957</v>
      </c>
      <c r="G26" s="129" t="s">
        <v>958</v>
      </c>
      <c r="H26" s="129" t="s">
        <v>959</v>
      </c>
      <c r="I26" s="129" t="e" cm="1">
        <f t="array" aca="1" ref="I26:AL26" ca="1">TRANSPOSE(_xlfn.SORTBY(_xlfn._xlws.FILTER(Table3[NOME FÍSICO CAMPO],Table3[NOME FÍSICO TABELA]="saving_account"), _xlfn._xlws.FILTER(Table3[ORDEM], Table3[NOME FÍSICO TABELA]="saving_account"), 1))</f>
        <v>#NAME?</v>
      </c>
      <c r="J26" s="129" t="e">
        <f ca="1"/>
        <v>#NAME?</v>
      </c>
      <c r="K26" s="129" t="e">
        <f ca="1"/>
        <v>#NAME?</v>
      </c>
      <c r="L26" s="129" t="e">
        <f ca="1"/>
        <v>#NAME?</v>
      </c>
      <c r="M26" s="129" t="e">
        <f ca="1"/>
        <v>#NAME?</v>
      </c>
      <c r="N26" s="129" t="e">
        <f ca="1"/>
        <v>#NAME?</v>
      </c>
      <c r="O26" s="129" t="e">
        <f ca="1"/>
        <v>#NAME?</v>
      </c>
      <c r="P26" s="129" t="e">
        <f ca="1"/>
        <v>#NAME?</v>
      </c>
      <c r="Q26" s="129" t="e">
        <f ca="1"/>
        <v>#NAME?</v>
      </c>
      <c r="R26" s="129" t="e">
        <f ca="1"/>
        <v>#NAME?</v>
      </c>
      <c r="S26" s="129" t="e">
        <f ca="1"/>
        <v>#NAME?</v>
      </c>
      <c r="T26" s="129" t="e">
        <f ca="1"/>
        <v>#NAME?</v>
      </c>
      <c r="U26" s="129" t="e">
        <f ca="1"/>
        <v>#NAME?</v>
      </c>
      <c r="V26" s="129" t="e">
        <f ca="1"/>
        <v>#NAME?</v>
      </c>
      <c r="W26" s="129" t="e">
        <f ca="1"/>
        <v>#NAME?</v>
      </c>
      <c r="X26" s="129" t="e">
        <f ca="1"/>
        <v>#NAME?</v>
      </c>
      <c r="Y26" s="129" t="e">
        <f ca="1"/>
        <v>#NAME?</v>
      </c>
      <c r="Z26" s="129" t="e">
        <f ca="1"/>
        <v>#NAME?</v>
      </c>
      <c r="AA26" s="129" t="e">
        <f ca="1"/>
        <v>#NAME?</v>
      </c>
      <c r="AB26" s="129" t="e">
        <f ca="1"/>
        <v>#NAME?</v>
      </c>
      <c r="AC26" s="129" t="e">
        <f ca="1"/>
        <v>#NAME?</v>
      </c>
      <c r="AD26" s="129" t="e">
        <f ca="1"/>
        <v>#NAME?</v>
      </c>
      <c r="AE26" s="129" t="e">
        <f ca="1"/>
        <v>#NAME?</v>
      </c>
      <c r="AF26" s="129" t="e">
        <f ca="1"/>
        <v>#NAME?</v>
      </c>
      <c r="AG26" s="129" t="e">
        <f ca="1"/>
        <v>#NAME?</v>
      </c>
      <c r="AH26" s="129" t="e">
        <f ca="1"/>
        <v>#NAME?</v>
      </c>
      <c r="AI26" s="129" t="e">
        <f ca="1"/>
        <v>#NAME?</v>
      </c>
      <c r="AJ26" s="126" t="e">
        <f ca="1"/>
        <v>#NAME?</v>
      </c>
      <c r="AK26" s="216" t="e">
        <f ca="1"/>
        <v>#NAME?</v>
      </c>
      <c r="AL26" s="216" t="e">
        <f ca="1"/>
        <v>#NAME?</v>
      </c>
      <c r="AM26" s="216"/>
      <c r="AN26" s="216"/>
      <c r="AO26" s="216"/>
    </row>
    <row r="27" spans="2:41">
      <c r="B27" s="107" t="s">
        <v>998</v>
      </c>
      <c r="C27" s="93">
        <v>21</v>
      </c>
      <c r="D27" s="92" t="s">
        <v>999</v>
      </c>
      <c r="E27" t="s">
        <v>1000</v>
      </c>
      <c r="F27" t="s">
        <v>206</v>
      </c>
      <c r="G27" t="s">
        <v>206</v>
      </c>
      <c r="H27" t="s">
        <v>206</v>
      </c>
      <c r="I27" t="e" cm="1">
        <f t="array" aca="1" ref="I27:AL28" ca="1">TRANSPOSE(_xlfn.SORTBY(_xlfn._xlws.FILTER(IF(Table3[FORMATO]:Table3[COMP_ CAMPO]&lt;&gt;"",Table3[FORMATO]:Table3[COMP_ CAMPO],9999999),Table3[NOME FÍSICO TABELA]="saving_account"), _xlfn._xlws.FILTER(Table3[ORDEM], Table3[NOME FÍSICO TABELA]="saving_account"), 1))</f>
        <v>#NAME?</v>
      </c>
      <c r="J27" t="e">
        <f ca="1"/>
        <v>#NAME?</v>
      </c>
      <c r="K27" t="e">
        <f ca="1"/>
        <v>#NAME?</v>
      </c>
      <c r="L27" t="e">
        <f ca="1"/>
        <v>#NAME?</v>
      </c>
      <c r="M27" t="e">
        <f ca="1"/>
        <v>#NAME?</v>
      </c>
      <c r="N27" t="e">
        <f ca="1"/>
        <v>#NAME?</v>
      </c>
      <c r="O27" t="e">
        <f ca="1"/>
        <v>#NAME?</v>
      </c>
      <c r="P27" t="e">
        <f ca="1"/>
        <v>#NAME?</v>
      </c>
      <c r="Q27" t="e">
        <f ca="1"/>
        <v>#NAME?</v>
      </c>
      <c r="R27" t="e">
        <f ca="1"/>
        <v>#NAME?</v>
      </c>
      <c r="S27" t="e">
        <f ca="1"/>
        <v>#NAME?</v>
      </c>
      <c r="T27" t="e">
        <f ca="1"/>
        <v>#NAME?</v>
      </c>
      <c r="U27" t="e">
        <f ca="1"/>
        <v>#NAME?</v>
      </c>
      <c r="V27" t="e">
        <f ca="1"/>
        <v>#NAME?</v>
      </c>
      <c r="W27" t="e">
        <f ca="1"/>
        <v>#NAME?</v>
      </c>
      <c r="X27" t="e">
        <f ca="1"/>
        <v>#NAME?</v>
      </c>
      <c r="Y27" t="e">
        <f ca="1"/>
        <v>#NAME?</v>
      </c>
      <c r="Z27" t="e">
        <f ca="1"/>
        <v>#NAME?</v>
      </c>
      <c r="AA27" t="e">
        <f ca="1"/>
        <v>#NAME?</v>
      </c>
      <c r="AB27" t="e">
        <f ca="1"/>
        <v>#NAME?</v>
      </c>
      <c r="AC27" t="e">
        <f ca="1"/>
        <v>#NAME?</v>
      </c>
      <c r="AD27" t="e">
        <f ca="1"/>
        <v>#NAME?</v>
      </c>
      <c r="AE27" t="e">
        <f ca="1"/>
        <v>#NAME?</v>
      </c>
      <c r="AF27" t="e">
        <f ca="1"/>
        <v>#NAME?</v>
      </c>
      <c r="AG27" t="e">
        <f ca="1"/>
        <v>#NAME?</v>
      </c>
      <c r="AH27" t="e">
        <f ca="1"/>
        <v>#NAME?</v>
      </c>
      <c r="AI27" t="e">
        <f ca="1"/>
        <v>#NAME?</v>
      </c>
      <c r="AJ27" s="236" t="e">
        <f ca="1"/>
        <v>#NAME?</v>
      </c>
      <c r="AK27" t="e">
        <f ca="1"/>
        <v>#NAME?</v>
      </c>
      <c r="AL27" t="e">
        <f ca="1"/>
        <v>#NAME?</v>
      </c>
    </row>
    <row r="28" spans="2:41">
      <c r="B28" s="107" t="s">
        <v>1001</v>
      </c>
      <c r="C28" s="151">
        <v>7</v>
      </c>
      <c r="D28" s="106" t="s">
        <v>999</v>
      </c>
      <c r="E28" s="105" t="s">
        <v>1000</v>
      </c>
      <c r="F28" s="105" t="s">
        <v>206</v>
      </c>
      <c r="G28" s="105" t="s">
        <v>206</v>
      </c>
      <c r="H28" s="105" t="s">
        <v>206</v>
      </c>
      <c r="I28" s="151" t="e">
        <f ca="1"/>
        <v>#NAME?</v>
      </c>
      <c r="J28" s="151" t="e">
        <f ca="1"/>
        <v>#NAME?</v>
      </c>
      <c r="K28" s="151" t="e">
        <f ca="1"/>
        <v>#NAME?</v>
      </c>
      <c r="L28" s="151" t="e">
        <f ca="1"/>
        <v>#NAME?</v>
      </c>
      <c r="M28" s="151" t="e">
        <f ca="1"/>
        <v>#NAME?</v>
      </c>
      <c r="N28" s="151" t="e">
        <f ca="1"/>
        <v>#NAME?</v>
      </c>
      <c r="O28" s="151" t="e">
        <f ca="1"/>
        <v>#NAME?</v>
      </c>
      <c r="P28" s="151" t="e">
        <f ca="1"/>
        <v>#NAME?</v>
      </c>
      <c r="Q28" s="151" t="e">
        <f ca="1"/>
        <v>#NAME?</v>
      </c>
      <c r="R28" s="151" t="e">
        <f ca="1"/>
        <v>#NAME?</v>
      </c>
      <c r="S28" s="151" t="e">
        <f ca="1"/>
        <v>#NAME?</v>
      </c>
      <c r="T28" s="151" t="e">
        <f ca="1"/>
        <v>#NAME?</v>
      </c>
      <c r="U28" s="151" t="e">
        <f ca="1"/>
        <v>#NAME?</v>
      </c>
      <c r="V28" s="151" t="e">
        <f ca="1"/>
        <v>#NAME?</v>
      </c>
      <c r="W28" s="151" t="e">
        <f ca="1"/>
        <v>#NAME?</v>
      </c>
      <c r="X28" s="151" t="e">
        <f ca="1"/>
        <v>#NAME?</v>
      </c>
      <c r="Y28" s="151" t="e">
        <f ca="1"/>
        <v>#NAME?</v>
      </c>
      <c r="Z28" s="151" t="e">
        <f ca="1"/>
        <v>#NAME?</v>
      </c>
      <c r="AA28" s="151" t="e">
        <f ca="1"/>
        <v>#NAME?</v>
      </c>
      <c r="AB28" s="151" t="e">
        <f ca="1"/>
        <v>#NAME?</v>
      </c>
      <c r="AC28" s="151" t="e">
        <f ca="1"/>
        <v>#NAME?</v>
      </c>
      <c r="AD28" s="151" t="e">
        <f ca="1"/>
        <v>#NAME?</v>
      </c>
      <c r="AE28" s="151" t="e">
        <f ca="1"/>
        <v>#NAME?</v>
      </c>
      <c r="AF28" s="151" t="e">
        <f ca="1"/>
        <v>#NAME?</v>
      </c>
      <c r="AG28" s="151" t="e">
        <f ca="1"/>
        <v>#NAME?</v>
      </c>
      <c r="AH28" s="151" t="e">
        <f ca="1"/>
        <v>#NAME?</v>
      </c>
      <c r="AI28" s="151" t="e">
        <f ca="1"/>
        <v>#NAME?</v>
      </c>
      <c r="AJ28" s="152" t="e">
        <f ca="1"/>
        <v>#NAME?</v>
      </c>
      <c r="AK28" s="93" t="e">
        <f ca="1"/>
        <v>#NAME?</v>
      </c>
      <c r="AL28" s="93" t="e">
        <f ca="1"/>
        <v>#NAME?</v>
      </c>
      <c r="AM28" s="93"/>
      <c r="AN28" s="93"/>
      <c r="AO28" s="93"/>
    </row>
    <row r="30" spans="2:41">
      <c r="B30" s="140" t="s">
        <v>1002</v>
      </c>
    </row>
    <row r="31" spans="2:41">
      <c r="B31" s="134" t="s">
        <v>1003</v>
      </c>
      <c r="C31" s="134" t="s">
        <v>1004</v>
      </c>
      <c r="D31" s="135" t="s">
        <v>1005</v>
      </c>
      <c r="E31" s="134" t="s">
        <v>1006</v>
      </c>
      <c r="F31" s="134" t="s">
        <v>1007</v>
      </c>
    </row>
    <row r="32" spans="2:41" ht="29">
      <c r="B32" s="111" t="s">
        <v>1008</v>
      </c>
      <c r="C32" s="115" t="s">
        <v>135</v>
      </c>
      <c r="D32" s="53" t="s">
        <v>1791</v>
      </c>
      <c r="E32" s="153" t="s">
        <v>1792</v>
      </c>
      <c r="F32" s="136" t="s">
        <v>1014</v>
      </c>
    </row>
    <row r="33" spans="2:16" ht="29">
      <c r="B33" s="111" t="s">
        <v>1008</v>
      </c>
      <c r="C33" s="115" t="s">
        <v>149</v>
      </c>
      <c r="D33" s="53" t="s">
        <v>1793</v>
      </c>
      <c r="E33" s="153" t="s">
        <v>1794</v>
      </c>
      <c r="F33" s="136" t="s">
        <v>1014</v>
      </c>
    </row>
    <row r="34" spans="2:16" ht="29">
      <c r="B34" s="111" t="s">
        <v>1008</v>
      </c>
      <c r="C34" s="115" t="s">
        <v>562</v>
      </c>
      <c r="D34" s="53" t="s">
        <v>1793</v>
      </c>
      <c r="E34" s="153" t="s">
        <v>1794</v>
      </c>
      <c r="F34" s="136" t="s">
        <v>1014</v>
      </c>
    </row>
    <row r="35" spans="2:16" ht="29">
      <c r="B35" s="111" t="s">
        <v>1008</v>
      </c>
      <c r="C35" s="115" t="s">
        <v>526</v>
      </c>
      <c r="D35" s="53" t="s">
        <v>1793</v>
      </c>
      <c r="E35" s="153" t="s">
        <v>1794</v>
      </c>
      <c r="F35" s="136" t="s">
        <v>1014</v>
      </c>
    </row>
    <row r="36" spans="2:16" ht="29">
      <c r="B36" s="111" t="s">
        <v>1008</v>
      </c>
      <c r="C36" s="115" t="s">
        <v>196</v>
      </c>
      <c r="D36" s="53" t="s">
        <v>1795</v>
      </c>
      <c r="E36" s="153" t="s">
        <v>1796</v>
      </c>
      <c r="F36" s="136" t="s">
        <v>1017</v>
      </c>
    </row>
    <row r="37" spans="2:16" ht="43.5">
      <c r="B37" s="111" t="s">
        <v>1023</v>
      </c>
      <c r="C37" s="115" t="s">
        <v>1797</v>
      </c>
      <c r="D37" s="53" t="s">
        <v>1798</v>
      </c>
      <c r="E37" s="153" t="s">
        <v>1799</v>
      </c>
      <c r="F37" s="136" t="s">
        <v>1017</v>
      </c>
      <c r="I37" s="158"/>
      <c r="J37" s="158"/>
      <c r="K37" s="158"/>
      <c r="L37" s="158"/>
      <c r="M37" s="158"/>
      <c r="N37" s="158"/>
      <c r="O37" s="158"/>
      <c r="P37" s="158"/>
    </row>
    <row r="38" spans="2:16" ht="29">
      <c r="B38" s="111" t="s">
        <v>1018</v>
      </c>
      <c r="C38" s="115" t="s">
        <v>1797</v>
      </c>
      <c r="D38" s="53" t="s">
        <v>1800</v>
      </c>
      <c r="E38" s="153" t="s">
        <v>1801</v>
      </c>
      <c r="F38" s="136" t="s">
        <v>1014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B1:AN46"/>
  <sheetViews>
    <sheetView showGridLines="0" workbookViewId="0">
      <selection activeCell="G9" sqref="G9"/>
    </sheetView>
  </sheetViews>
  <sheetFormatPr defaultRowHeight="14.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row r="2" spans="2:40">
      <c r="B2" s="76" t="s">
        <v>1078</v>
      </c>
      <c r="C2" s="76" t="s">
        <v>954</v>
      </c>
      <c r="D2" s="76" t="s">
        <v>955</v>
      </c>
      <c r="E2" s="76" t="s">
        <v>956</v>
      </c>
      <c r="F2" s="76" t="s">
        <v>957</v>
      </c>
      <c r="G2" s="76" t="s">
        <v>958</v>
      </c>
      <c r="H2" s="76" t="s">
        <v>959</v>
      </c>
      <c r="I2" s="76" t="s">
        <v>102</v>
      </c>
      <c r="J2" s="76" t="s">
        <v>112</v>
      </c>
      <c r="K2" s="76" t="s">
        <v>116</v>
      </c>
      <c r="L2" s="76" t="s">
        <v>121</v>
      </c>
      <c r="M2" s="76" t="s">
        <v>127</v>
      </c>
      <c r="N2" s="76" t="s">
        <v>138</v>
      </c>
      <c r="O2" s="76" t="s">
        <v>144</v>
      </c>
      <c r="P2" s="76" t="s">
        <v>149</v>
      </c>
      <c r="Q2" s="76" t="s">
        <v>155</v>
      </c>
      <c r="R2" s="76" t="s">
        <v>524</v>
      </c>
      <c r="S2" s="76" t="s">
        <v>525</v>
      </c>
      <c r="T2" s="76" t="s">
        <v>526</v>
      </c>
      <c r="U2" s="76" t="s">
        <v>183</v>
      </c>
      <c r="V2" s="76" t="s">
        <v>1472</v>
      </c>
      <c r="W2" s="76" t="s">
        <v>546</v>
      </c>
      <c r="X2" s="76" t="s">
        <v>547</v>
      </c>
      <c r="Y2" s="76" t="s">
        <v>548</v>
      </c>
      <c r="Z2" s="76" t="s">
        <v>517</v>
      </c>
      <c r="AA2" s="76" t="s">
        <v>392</v>
      </c>
      <c r="AB2" s="76" t="s">
        <v>404</v>
      </c>
      <c r="AC2" s="76" t="s">
        <v>414</v>
      </c>
      <c r="AD2" s="76" t="s">
        <v>424</v>
      </c>
      <c r="AE2" s="76" t="s">
        <v>432</v>
      </c>
      <c r="AF2" s="76" t="s">
        <v>190</v>
      </c>
      <c r="AG2" s="76" t="s">
        <v>196</v>
      </c>
      <c r="AH2" s="76" t="s">
        <v>202</v>
      </c>
      <c r="AI2" s="76" t="s">
        <v>208</v>
      </c>
      <c r="AJ2" s="76" t="s">
        <v>213</v>
      </c>
      <c r="AK2" s="76"/>
      <c r="AL2" s="76"/>
      <c r="AM2" s="76"/>
      <c r="AN2" s="76"/>
    </row>
    <row r="3" spans="2:40">
      <c r="B3" s="50" t="s">
        <v>907</v>
      </c>
      <c r="C3" s="50">
        <v>1</v>
      </c>
      <c r="D3" s="50" t="s">
        <v>1802</v>
      </c>
      <c r="E3" s="95">
        <v>45548</v>
      </c>
      <c r="F3" s="50">
        <v>1</v>
      </c>
      <c r="G3" s="254">
        <v>1</v>
      </c>
      <c r="H3" s="224">
        <v>956041</v>
      </c>
      <c r="I3" s="50" t="s">
        <v>961</v>
      </c>
      <c r="J3" s="50" t="s">
        <v>961</v>
      </c>
      <c r="K3" s="50" t="s">
        <v>961</v>
      </c>
      <c r="L3" s="50" t="s">
        <v>961</v>
      </c>
      <c r="M3" s="50" t="s">
        <v>961</v>
      </c>
      <c r="N3" s="50" t="s">
        <v>961</v>
      </c>
      <c r="O3" s="50" t="s">
        <v>961</v>
      </c>
      <c r="P3" s="50" t="s">
        <v>961</v>
      </c>
      <c r="Q3" s="50" t="s">
        <v>961</v>
      </c>
      <c r="R3" s="50" t="s">
        <v>961</v>
      </c>
      <c r="S3" s="50" t="s">
        <v>961</v>
      </c>
      <c r="T3" s="50" t="s">
        <v>961</v>
      </c>
      <c r="U3" s="50" t="s">
        <v>961</v>
      </c>
      <c r="V3" s="237" t="s">
        <v>961</v>
      </c>
      <c r="W3" s="237" t="s">
        <v>961</v>
      </c>
      <c r="X3" s="237" t="s">
        <v>961</v>
      </c>
      <c r="Y3" s="237" t="s">
        <v>961</v>
      </c>
      <c r="Z3" s="237" t="s">
        <v>961</v>
      </c>
      <c r="AA3" s="237" t="s">
        <v>961</v>
      </c>
      <c r="AB3" s="237" t="s">
        <v>961</v>
      </c>
      <c r="AC3" s="237" t="s">
        <v>961</v>
      </c>
      <c r="AD3" s="237" t="s">
        <v>961</v>
      </c>
      <c r="AE3" s="237" t="s">
        <v>961</v>
      </c>
      <c r="AF3" s="50" t="s">
        <v>961</v>
      </c>
      <c r="AG3" s="50" t="s">
        <v>961</v>
      </c>
      <c r="AH3" s="50" t="s">
        <v>961</v>
      </c>
      <c r="AI3" s="50" t="s">
        <v>961</v>
      </c>
      <c r="AJ3" s="50" t="s">
        <v>961</v>
      </c>
      <c r="AK3" s="50"/>
      <c r="AL3" s="50"/>
      <c r="AM3" s="50"/>
      <c r="AN3" s="50"/>
    </row>
    <row r="4" spans="2:40">
      <c r="B4" s="50" t="s">
        <v>909</v>
      </c>
      <c r="C4" s="50">
        <v>2</v>
      </c>
      <c r="D4" s="50" t="s">
        <v>1803</v>
      </c>
      <c r="E4" s="95">
        <v>45548</v>
      </c>
      <c r="F4" s="50">
        <v>1</v>
      </c>
      <c r="G4" s="254">
        <v>1</v>
      </c>
      <c r="H4" s="184">
        <v>0</v>
      </c>
      <c r="I4" s="50" t="s">
        <v>961</v>
      </c>
      <c r="J4" s="50" t="s">
        <v>961</v>
      </c>
      <c r="K4" s="50" t="s">
        <v>961</v>
      </c>
      <c r="L4" s="50" t="s">
        <v>961</v>
      </c>
      <c r="M4" s="50" t="s">
        <v>961</v>
      </c>
      <c r="N4" s="50" t="s">
        <v>961</v>
      </c>
      <c r="O4" s="50" t="s">
        <v>961</v>
      </c>
      <c r="P4" s="50" t="s">
        <v>961</v>
      </c>
      <c r="Q4" s="50" t="s">
        <v>961</v>
      </c>
      <c r="R4" s="50" t="s">
        <v>961</v>
      </c>
      <c r="S4" s="50" t="s">
        <v>961</v>
      </c>
      <c r="T4" s="50" t="s">
        <v>961</v>
      </c>
      <c r="U4" s="50" t="s">
        <v>961</v>
      </c>
      <c r="V4" s="237" t="s">
        <v>961</v>
      </c>
      <c r="W4" s="237" t="s">
        <v>961</v>
      </c>
      <c r="X4" s="237" t="s">
        <v>961</v>
      </c>
      <c r="Y4" s="237" t="s">
        <v>961</v>
      </c>
      <c r="Z4" s="237" t="s">
        <v>961</v>
      </c>
      <c r="AA4" s="237" t="s">
        <v>961</v>
      </c>
      <c r="AB4" s="237" t="s">
        <v>961</v>
      </c>
      <c r="AC4" s="237" t="s">
        <v>961</v>
      </c>
      <c r="AD4" s="237" t="s">
        <v>961</v>
      </c>
      <c r="AE4" s="237" t="s">
        <v>961</v>
      </c>
      <c r="AF4" s="50" t="s">
        <v>961</v>
      </c>
      <c r="AG4" s="50" t="s">
        <v>961</v>
      </c>
      <c r="AH4" s="50" t="s">
        <v>961</v>
      </c>
      <c r="AI4" s="50" t="s">
        <v>961</v>
      </c>
      <c r="AJ4" s="50" t="s">
        <v>961</v>
      </c>
      <c r="AK4" s="50"/>
      <c r="AL4" s="50"/>
      <c r="AM4" s="50"/>
      <c r="AN4" s="50"/>
    </row>
    <row r="5" spans="2:40">
      <c r="B5" s="50" t="s">
        <v>911</v>
      </c>
      <c r="C5" s="50">
        <v>3</v>
      </c>
      <c r="D5" s="50" t="s">
        <v>1804</v>
      </c>
      <c r="E5" s="95">
        <v>45548</v>
      </c>
      <c r="F5" s="50">
        <v>1</v>
      </c>
      <c r="G5" s="254">
        <v>1</v>
      </c>
      <c r="H5" s="184">
        <v>0</v>
      </c>
      <c r="I5" s="50">
        <v>0</v>
      </c>
      <c r="J5" s="50">
        <v>0</v>
      </c>
      <c r="K5" s="50" t="s">
        <v>961</v>
      </c>
      <c r="L5" s="50" t="s">
        <v>961</v>
      </c>
      <c r="M5" s="50" t="s">
        <v>961</v>
      </c>
      <c r="N5" s="50" t="s">
        <v>961</v>
      </c>
      <c r="O5" s="50" t="s">
        <v>961</v>
      </c>
      <c r="P5" s="50" t="s">
        <v>961</v>
      </c>
      <c r="Q5" s="50" t="s">
        <v>961</v>
      </c>
      <c r="R5" s="50" t="s">
        <v>961</v>
      </c>
      <c r="S5" s="50" t="s">
        <v>961</v>
      </c>
      <c r="T5" s="50" t="s">
        <v>961</v>
      </c>
      <c r="U5" s="50" t="s">
        <v>961</v>
      </c>
      <c r="V5" s="237" t="s">
        <v>961</v>
      </c>
      <c r="W5" s="237" t="s">
        <v>961</v>
      </c>
      <c r="X5" s="237" t="s">
        <v>961</v>
      </c>
      <c r="Y5" s="237" t="s">
        <v>961</v>
      </c>
      <c r="Z5" s="237" t="s">
        <v>961</v>
      </c>
      <c r="AA5" s="237" t="s">
        <v>961</v>
      </c>
      <c r="AB5" s="237" t="s">
        <v>961</v>
      </c>
      <c r="AC5" s="237" t="s">
        <v>961</v>
      </c>
      <c r="AD5" s="237" t="s">
        <v>961</v>
      </c>
      <c r="AE5" s="237" t="s">
        <v>961</v>
      </c>
      <c r="AF5" s="50" t="s">
        <v>961</v>
      </c>
      <c r="AG5" s="50" t="s">
        <v>961</v>
      </c>
      <c r="AH5" s="50" t="s">
        <v>961</v>
      </c>
      <c r="AI5" s="50">
        <v>0</v>
      </c>
      <c r="AJ5" s="50" t="s">
        <v>961</v>
      </c>
      <c r="AK5" s="50"/>
      <c r="AL5" s="50"/>
      <c r="AM5" s="50"/>
      <c r="AN5" s="50"/>
    </row>
    <row r="6" spans="2:40">
      <c r="B6" s="97" t="s">
        <v>913</v>
      </c>
      <c r="C6" s="50">
        <v>4</v>
      </c>
      <c r="D6" s="50" t="s">
        <v>964</v>
      </c>
      <c r="E6" s="95" t="s">
        <v>961</v>
      </c>
      <c r="F6" s="50">
        <v>1</v>
      </c>
      <c r="G6" s="95" t="s">
        <v>961</v>
      </c>
      <c r="H6" s="184" t="s">
        <v>961</v>
      </c>
      <c r="I6" s="50" t="s">
        <v>961</v>
      </c>
      <c r="J6" s="50" t="s">
        <v>961</v>
      </c>
      <c r="K6" s="50" t="s">
        <v>961</v>
      </c>
      <c r="L6" s="50" t="s">
        <v>961</v>
      </c>
      <c r="M6" s="50" t="s">
        <v>961</v>
      </c>
      <c r="N6" s="50" t="s">
        <v>961</v>
      </c>
      <c r="O6" s="50" t="s">
        <v>961</v>
      </c>
      <c r="P6" s="50" t="s">
        <v>961</v>
      </c>
      <c r="Q6" s="50" t="s">
        <v>961</v>
      </c>
      <c r="R6" s="50" t="s">
        <v>961</v>
      </c>
      <c r="S6" s="50" t="s">
        <v>961</v>
      </c>
      <c r="T6" s="50" t="s">
        <v>961</v>
      </c>
      <c r="U6" s="50" t="s">
        <v>961</v>
      </c>
      <c r="V6" s="237" t="s">
        <v>961</v>
      </c>
      <c r="W6" s="237" t="s">
        <v>961</v>
      </c>
      <c r="X6" s="237" t="s">
        <v>961</v>
      </c>
      <c r="Y6" s="237" t="s">
        <v>961</v>
      </c>
      <c r="Z6" s="237" t="s">
        <v>961</v>
      </c>
      <c r="AA6" s="237" t="s">
        <v>961</v>
      </c>
      <c r="AB6" s="237" t="s">
        <v>961</v>
      </c>
      <c r="AC6" s="237" t="s">
        <v>961</v>
      </c>
      <c r="AD6" s="237" t="s">
        <v>961</v>
      </c>
      <c r="AE6" s="237" t="s">
        <v>961</v>
      </c>
      <c r="AF6" s="50" t="s">
        <v>961</v>
      </c>
      <c r="AG6" s="50" t="s">
        <v>961</v>
      </c>
      <c r="AH6" s="50" t="s">
        <v>961</v>
      </c>
      <c r="AI6" s="50" t="s">
        <v>961</v>
      </c>
      <c r="AJ6" s="50" t="s">
        <v>961</v>
      </c>
      <c r="AK6" s="50"/>
      <c r="AL6" s="50"/>
      <c r="AM6" s="50"/>
      <c r="AN6" s="50"/>
    </row>
    <row r="7" spans="2:40">
      <c r="B7" s="50" t="s">
        <v>915</v>
      </c>
      <c r="C7" s="50">
        <v>5</v>
      </c>
      <c r="D7" s="50" t="s">
        <v>964</v>
      </c>
      <c r="E7" s="95" t="s">
        <v>961</v>
      </c>
      <c r="F7" s="50">
        <v>1</v>
      </c>
      <c r="G7" s="95" t="s">
        <v>961</v>
      </c>
      <c r="H7" s="184" t="s">
        <v>961</v>
      </c>
      <c r="I7" s="50" t="s">
        <v>961</v>
      </c>
      <c r="J7" s="50" t="s">
        <v>961</v>
      </c>
      <c r="K7" s="50" t="s">
        <v>961</v>
      </c>
      <c r="L7" s="50" t="s">
        <v>961</v>
      </c>
      <c r="M7" s="50" t="s">
        <v>961</v>
      </c>
      <c r="N7" s="50" t="s">
        <v>961</v>
      </c>
      <c r="O7" s="50" t="s">
        <v>961</v>
      </c>
      <c r="P7" s="50" t="s">
        <v>961</v>
      </c>
      <c r="Q7" s="50" t="s">
        <v>961</v>
      </c>
      <c r="R7" s="50" t="s">
        <v>961</v>
      </c>
      <c r="S7" s="50" t="s">
        <v>961</v>
      </c>
      <c r="T7" s="50" t="s">
        <v>961</v>
      </c>
      <c r="U7" s="50" t="s">
        <v>961</v>
      </c>
      <c r="V7" s="237" t="s">
        <v>961</v>
      </c>
      <c r="W7" s="237" t="s">
        <v>961</v>
      </c>
      <c r="X7" s="237" t="s">
        <v>961</v>
      </c>
      <c r="Y7" s="237" t="s">
        <v>961</v>
      </c>
      <c r="Z7" s="237" t="s">
        <v>961</v>
      </c>
      <c r="AA7" s="237" t="s">
        <v>961</v>
      </c>
      <c r="AB7" s="237" t="s">
        <v>961</v>
      </c>
      <c r="AC7" s="237" t="s">
        <v>961</v>
      </c>
      <c r="AD7" s="237" t="s">
        <v>961</v>
      </c>
      <c r="AE7" s="237" t="s">
        <v>961</v>
      </c>
      <c r="AF7" s="50" t="s">
        <v>961</v>
      </c>
      <c r="AG7" s="50" t="s">
        <v>961</v>
      </c>
      <c r="AH7" s="50" t="s">
        <v>961</v>
      </c>
      <c r="AI7" s="50" t="s">
        <v>961</v>
      </c>
      <c r="AJ7" s="50" t="s">
        <v>961</v>
      </c>
      <c r="AK7" s="50"/>
      <c r="AL7" s="50"/>
      <c r="AM7" s="50"/>
      <c r="AN7" s="50"/>
    </row>
    <row r="8" spans="2:40">
      <c r="B8" s="97" t="s">
        <v>916</v>
      </c>
      <c r="C8" s="50">
        <v>6</v>
      </c>
      <c r="D8" s="50" t="s">
        <v>1805</v>
      </c>
      <c r="E8" s="95">
        <v>45548</v>
      </c>
      <c r="F8" s="50">
        <v>1</v>
      </c>
      <c r="G8" s="208" cm="1">
        <f t="array" ref="G8">SUMPRODUCT(--(I8:AJ8&gt;0))/COUNTA(I8:AJ8)</f>
        <v>1</v>
      </c>
      <c r="H8" s="184">
        <v>0</v>
      </c>
      <c r="I8" s="50">
        <v>2</v>
      </c>
      <c r="J8" s="50">
        <v>30</v>
      </c>
      <c r="K8" s="50">
        <v>3</v>
      </c>
      <c r="L8" s="50">
        <v>3</v>
      </c>
      <c r="M8" s="50">
        <v>3</v>
      </c>
      <c r="N8" s="50">
        <v>10</v>
      </c>
      <c r="O8" s="50">
        <v>10</v>
      </c>
      <c r="P8" s="50">
        <v>3</v>
      </c>
      <c r="Q8" s="50">
        <v>1</v>
      </c>
      <c r="R8" s="50">
        <v>8</v>
      </c>
      <c r="S8" s="98">
        <v>8</v>
      </c>
      <c r="T8" s="98">
        <v>8</v>
      </c>
      <c r="U8" s="98">
        <v>8</v>
      </c>
      <c r="V8" s="237">
        <v>32</v>
      </c>
      <c r="W8" s="237">
        <v>23</v>
      </c>
      <c r="X8" s="237">
        <v>25</v>
      </c>
      <c r="Y8" s="237">
        <v>21</v>
      </c>
      <c r="Z8" s="237">
        <v>28</v>
      </c>
      <c r="AA8" s="237">
        <v>25</v>
      </c>
      <c r="AB8" s="237">
        <v>23</v>
      </c>
      <c r="AC8" s="237">
        <v>25</v>
      </c>
      <c r="AD8" s="237">
        <v>21</v>
      </c>
      <c r="AE8" s="237">
        <v>28</v>
      </c>
      <c r="AF8" s="50">
        <v>3</v>
      </c>
      <c r="AG8" s="50">
        <v>3</v>
      </c>
      <c r="AH8" s="50">
        <v>2</v>
      </c>
      <c r="AI8" s="50">
        <v>10</v>
      </c>
      <c r="AJ8" s="50">
        <v>23</v>
      </c>
      <c r="AK8" s="50"/>
      <c r="AL8" s="50"/>
      <c r="AM8" s="50"/>
      <c r="AN8" s="50"/>
    </row>
    <row r="9" spans="2:40">
      <c r="B9" s="50" t="s">
        <v>919</v>
      </c>
      <c r="C9" s="50">
        <v>7</v>
      </c>
      <c r="D9" s="50" t="s">
        <v>1806</v>
      </c>
      <c r="E9" s="95">
        <v>45548</v>
      </c>
      <c r="F9" s="50">
        <v>1</v>
      </c>
      <c r="G9" s="208" t="e" cm="1">
        <f t="array" aca="1" ref="G9" ca="1">SUMPRODUCT(--(I9:AJ9 &lt;= I28:AJ28))/COUNTA(I28:AJ28)</f>
        <v>#NAME?</v>
      </c>
      <c r="H9" s="184">
        <v>0</v>
      </c>
      <c r="I9" s="50">
        <v>2</v>
      </c>
      <c r="J9" s="50">
        <v>30</v>
      </c>
      <c r="K9" s="50">
        <v>3</v>
      </c>
      <c r="L9" s="50">
        <v>3</v>
      </c>
      <c r="M9" s="50">
        <v>3</v>
      </c>
      <c r="N9" s="50">
        <v>10</v>
      </c>
      <c r="O9" s="50">
        <v>10</v>
      </c>
      <c r="P9" s="50">
        <v>3</v>
      </c>
      <c r="Q9" s="50">
        <v>1</v>
      </c>
      <c r="R9" s="50">
        <v>17</v>
      </c>
      <c r="S9" s="50">
        <v>17</v>
      </c>
      <c r="T9" s="50">
        <v>18</v>
      </c>
      <c r="U9" s="50">
        <v>13</v>
      </c>
      <c r="V9" s="237">
        <v>32</v>
      </c>
      <c r="W9" s="237">
        <v>23</v>
      </c>
      <c r="X9" s="237">
        <v>25</v>
      </c>
      <c r="Y9" s="237">
        <v>21</v>
      </c>
      <c r="Z9" s="237">
        <v>28</v>
      </c>
      <c r="AA9" s="237">
        <v>25</v>
      </c>
      <c r="AB9" s="237">
        <v>23</v>
      </c>
      <c r="AC9" s="237">
        <v>25</v>
      </c>
      <c r="AD9" s="237">
        <v>21</v>
      </c>
      <c r="AE9" s="237">
        <v>28</v>
      </c>
      <c r="AF9" s="50">
        <v>3</v>
      </c>
      <c r="AG9" s="50">
        <v>3</v>
      </c>
      <c r="AH9" s="50">
        <v>2</v>
      </c>
      <c r="AI9" s="50">
        <v>10</v>
      </c>
      <c r="AJ9" s="50">
        <v>23</v>
      </c>
      <c r="AK9" s="50"/>
      <c r="AL9" s="50"/>
      <c r="AM9" s="50"/>
      <c r="AN9" s="50"/>
    </row>
    <row r="10" spans="2:40">
      <c r="B10" s="50" t="s">
        <v>922</v>
      </c>
      <c r="C10" s="50">
        <v>8</v>
      </c>
      <c r="D10" s="50" t="s">
        <v>1807</v>
      </c>
      <c r="E10" s="95">
        <v>45548</v>
      </c>
      <c r="F10" s="50">
        <v>1</v>
      </c>
      <c r="G10" s="95" t="s">
        <v>961</v>
      </c>
      <c r="H10" s="184">
        <v>0</v>
      </c>
      <c r="I10" s="50">
        <v>31</v>
      </c>
      <c r="J10" s="50">
        <v>1.3033148999999999E+22</v>
      </c>
      <c r="K10" s="50" t="s">
        <v>1808</v>
      </c>
      <c r="L10" s="50">
        <v>25</v>
      </c>
      <c r="M10" s="50">
        <v>0</v>
      </c>
      <c r="N10" s="95">
        <v>26456</v>
      </c>
      <c r="O10" s="95">
        <v>35577</v>
      </c>
      <c r="P10" s="50">
        <v>124</v>
      </c>
      <c r="Q10" s="50">
        <v>0</v>
      </c>
      <c r="R10" s="98">
        <v>-423629766230000</v>
      </c>
      <c r="S10" s="192" t="s">
        <v>970</v>
      </c>
      <c r="T10" s="98">
        <v>-2157898676640000</v>
      </c>
      <c r="U10" s="98" t="s">
        <v>970</v>
      </c>
      <c r="V10" s="238" t="s">
        <v>1472</v>
      </c>
      <c r="W10" s="238" t="s">
        <v>546</v>
      </c>
      <c r="X10" s="237" t="s">
        <v>547</v>
      </c>
      <c r="Y10" s="238" t="s">
        <v>548</v>
      </c>
      <c r="Z10" s="238" t="s">
        <v>517</v>
      </c>
      <c r="AA10" s="237" t="s">
        <v>392</v>
      </c>
      <c r="AB10" s="237" t="s">
        <v>404</v>
      </c>
      <c r="AC10" s="237" t="s">
        <v>414</v>
      </c>
      <c r="AD10" s="237" t="s">
        <v>424</v>
      </c>
      <c r="AE10" s="237" t="s">
        <v>432</v>
      </c>
      <c r="AF10" s="50" t="s">
        <v>971</v>
      </c>
      <c r="AG10" s="50" t="s">
        <v>972</v>
      </c>
      <c r="AH10" s="50" t="s">
        <v>1089</v>
      </c>
      <c r="AI10" s="95">
        <v>45548</v>
      </c>
      <c r="AJ10" s="95" t="s">
        <v>1809</v>
      </c>
      <c r="AK10" s="50"/>
      <c r="AL10" s="50"/>
      <c r="AM10" s="95"/>
      <c r="AN10" s="95"/>
    </row>
    <row r="11" spans="2:40">
      <c r="B11" s="50" t="s">
        <v>924</v>
      </c>
      <c r="C11" s="50">
        <v>9</v>
      </c>
      <c r="D11" s="50" t="s">
        <v>1810</v>
      </c>
      <c r="E11" s="95">
        <v>45548</v>
      </c>
      <c r="F11" s="50">
        <v>1</v>
      </c>
      <c r="G11" s="95" t="s">
        <v>961</v>
      </c>
      <c r="H11" s="184">
        <v>0</v>
      </c>
      <c r="I11" s="50">
        <v>31</v>
      </c>
      <c r="J11" s="50">
        <v>1.3033148999999999E+22</v>
      </c>
      <c r="K11" s="50" t="s">
        <v>1811</v>
      </c>
      <c r="L11" s="50">
        <v>25</v>
      </c>
      <c r="M11" s="50">
        <v>0</v>
      </c>
      <c r="N11" s="95">
        <v>26456</v>
      </c>
      <c r="O11" s="95">
        <v>35577</v>
      </c>
      <c r="P11" s="50">
        <v>124</v>
      </c>
      <c r="Q11" s="50">
        <v>0</v>
      </c>
      <c r="R11" s="98">
        <v>-423629766230000</v>
      </c>
      <c r="S11" s="50" t="s">
        <v>970</v>
      </c>
      <c r="T11" s="98">
        <v>-2157898676640000</v>
      </c>
      <c r="U11" s="50" t="s">
        <v>970</v>
      </c>
      <c r="V11" s="237" t="s">
        <v>1472</v>
      </c>
      <c r="W11" s="237" t="s">
        <v>546</v>
      </c>
      <c r="X11" s="237" t="s">
        <v>547</v>
      </c>
      <c r="Y11" s="238" t="s">
        <v>548</v>
      </c>
      <c r="Z11" s="238" t="s">
        <v>517</v>
      </c>
      <c r="AA11" s="237" t="s">
        <v>392</v>
      </c>
      <c r="AB11" s="237" t="s">
        <v>404</v>
      </c>
      <c r="AC11" s="237" t="s">
        <v>414</v>
      </c>
      <c r="AD11" s="237" t="s">
        <v>424</v>
      </c>
      <c r="AE11" s="237" t="s">
        <v>432</v>
      </c>
      <c r="AF11" s="50">
        <v>0</v>
      </c>
      <c r="AG11" s="50"/>
      <c r="AH11" s="50" t="s">
        <v>1089</v>
      </c>
      <c r="AI11" s="95">
        <v>45548</v>
      </c>
      <c r="AJ11" s="95" t="s">
        <v>1812</v>
      </c>
      <c r="AK11" s="50"/>
      <c r="AL11" s="50"/>
      <c r="AM11" s="95"/>
      <c r="AN11" s="95"/>
    </row>
    <row r="12" spans="2:40">
      <c r="B12" s="97" t="s">
        <v>926</v>
      </c>
      <c r="C12" s="50">
        <v>10</v>
      </c>
      <c r="D12" s="50" t="s">
        <v>1813</v>
      </c>
      <c r="E12" s="95">
        <v>45548</v>
      </c>
      <c r="F12" s="50">
        <v>1</v>
      </c>
      <c r="G12" s="95" t="s">
        <v>961</v>
      </c>
      <c r="H12" s="184">
        <v>0</v>
      </c>
      <c r="I12" s="50">
        <v>31</v>
      </c>
      <c r="J12" s="50">
        <v>5.3150000011502503E+29</v>
      </c>
      <c r="K12" s="50" t="s">
        <v>1808</v>
      </c>
      <c r="L12" s="50">
        <v>43</v>
      </c>
      <c r="M12" s="50" t="s">
        <v>1814</v>
      </c>
      <c r="N12" s="95">
        <v>45548</v>
      </c>
      <c r="O12" s="95">
        <v>2958465</v>
      </c>
      <c r="P12" s="50">
        <v>978</v>
      </c>
      <c r="Q12" s="50">
        <v>1</v>
      </c>
      <c r="R12" s="98">
        <v>423629766230000</v>
      </c>
      <c r="S12" s="192">
        <v>2134731276340000</v>
      </c>
      <c r="T12" s="98">
        <v>423629766230000</v>
      </c>
      <c r="U12" s="98">
        <v>328950890000</v>
      </c>
      <c r="V12" s="238" t="s">
        <v>1472</v>
      </c>
      <c r="W12" s="238" t="s">
        <v>546</v>
      </c>
      <c r="X12" s="238" t="s">
        <v>547</v>
      </c>
      <c r="Y12" s="238" t="s">
        <v>548</v>
      </c>
      <c r="Z12" s="238" t="s">
        <v>517</v>
      </c>
      <c r="AA12" s="238" t="s">
        <v>392</v>
      </c>
      <c r="AB12" s="237" t="s">
        <v>404</v>
      </c>
      <c r="AC12" s="237" t="s">
        <v>414</v>
      </c>
      <c r="AD12" s="239" t="s">
        <v>424</v>
      </c>
      <c r="AE12" s="237" t="s">
        <v>432</v>
      </c>
      <c r="AF12" s="50" t="s">
        <v>980</v>
      </c>
      <c r="AG12" s="50" t="s">
        <v>972</v>
      </c>
      <c r="AH12" s="50" t="s">
        <v>981</v>
      </c>
      <c r="AI12" s="95">
        <v>45548</v>
      </c>
      <c r="AJ12" s="95" t="s">
        <v>1809</v>
      </c>
      <c r="AK12" s="50"/>
      <c r="AL12" s="50"/>
      <c r="AM12" s="95"/>
      <c r="AN12" s="95"/>
    </row>
    <row r="13" spans="2:40">
      <c r="B13" s="50" t="s">
        <v>928</v>
      </c>
      <c r="C13" s="50">
        <v>11</v>
      </c>
      <c r="D13" s="50" t="s">
        <v>1815</v>
      </c>
      <c r="E13" s="95">
        <v>45548</v>
      </c>
      <c r="F13" s="50">
        <v>1</v>
      </c>
      <c r="G13" s="95" t="s">
        <v>961</v>
      </c>
      <c r="H13" s="184">
        <v>0</v>
      </c>
      <c r="I13" s="50">
        <v>31</v>
      </c>
      <c r="J13" s="50">
        <v>5.3150000011502503E+29</v>
      </c>
      <c r="K13" s="50" t="s">
        <v>1816</v>
      </c>
      <c r="L13" s="50">
        <v>43</v>
      </c>
      <c r="M13" s="50" t="s">
        <v>1814</v>
      </c>
      <c r="N13" s="95">
        <v>45548</v>
      </c>
      <c r="O13" s="95">
        <v>2958465</v>
      </c>
      <c r="P13" s="50">
        <v>978</v>
      </c>
      <c r="Q13" s="50">
        <v>1</v>
      </c>
      <c r="R13" s="98">
        <v>423629766230000</v>
      </c>
      <c r="S13" s="95">
        <v>2134731276340000</v>
      </c>
      <c r="T13" s="98">
        <v>423629766230000</v>
      </c>
      <c r="U13" s="98">
        <v>328950890000</v>
      </c>
      <c r="V13" s="237" t="s">
        <v>1472</v>
      </c>
      <c r="W13" s="237" t="s">
        <v>546</v>
      </c>
      <c r="X13" s="237" t="s">
        <v>547</v>
      </c>
      <c r="Y13" s="238" t="s">
        <v>548</v>
      </c>
      <c r="Z13" s="238" t="s">
        <v>517</v>
      </c>
      <c r="AA13" s="238" t="s">
        <v>392</v>
      </c>
      <c r="AB13" s="237" t="s">
        <v>404</v>
      </c>
      <c r="AC13" s="237" t="s">
        <v>414</v>
      </c>
      <c r="AD13" s="239" t="s">
        <v>424</v>
      </c>
      <c r="AE13" s="237" t="s">
        <v>432</v>
      </c>
      <c r="AF13" s="50">
        <v>5</v>
      </c>
      <c r="AG13" s="50"/>
      <c r="AH13" s="50" t="s">
        <v>981</v>
      </c>
      <c r="AI13" s="95">
        <v>45548</v>
      </c>
      <c r="AJ13" s="95" t="s">
        <v>1817</v>
      </c>
      <c r="AK13" s="50"/>
      <c r="AL13" s="50"/>
      <c r="AM13" s="95"/>
      <c r="AN13" s="95"/>
    </row>
    <row r="14" spans="2:40">
      <c r="B14" s="50" t="s">
        <v>930</v>
      </c>
      <c r="C14" s="50">
        <v>12</v>
      </c>
      <c r="D14" s="50" t="s">
        <v>1818</v>
      </c>
      <c r="E14" s="95">
        <v>45548</v>
      </c>
      <c r="F14" s="50">
        <v>1</v>
      </c>
      <c r="G14" s="254">
        <v>1</v>
      </c>
      <c r="H14" s="184">
        <v>0</v>
      </c>
      <c r="I14" s="50">
        <v>0</v>
      </c>
      <c r="J14" s="50">
        <v>0</v>
      </c>
      <c r="K14" s="50">
        <v>0</v>
      </c>
      <c r="L14" s="50">
        <v>0</v>
      </c>
      <c r="M14" s="50">
        <v>0</v>
      </c>
      <c r="N14" s="50">
        <v>0</v>
      </c>
      <c r="O14" s="50">
        <v>0</v>
      </c>
      <c r="P14" s="50">
        <v>0</v>
      </c>
      <c r="Q14" s="50">
        <v>0</v>
      </c>
      <c r="R14" s="50">
        <v>0</v>
      </c>
      <c r="S14" s="50">
        <v>0</v>
      </c>
      <c r="T14" s="50">
        <v>0</v>
      </c>
      <c r="U14" s="50">
        <v>0</v>
      </c>
      <c r="V14" s="238">
        <v>0</v>
      </c>
      <c r="W14" s="238">
        <v>0</v>
      </c>
      <c r="X14" s="238">
        <v>0</v>
      </c>
      <c r="Y14" s="237">
        <v>0</v>
      </c>
      <c r="Z14" s="237">
        <v>0</v>
      </c>
      <c r="AA14" s="237">
        <v>0</v>
      </c>
      <c r="AB14" s="237">
        <v>0</v>
      </c>
      <c r="AC14" s="237">
        <v>0</v>
      </c>
      <c r="AD14" s="237">
        <v>0</v>
      </c>
      <c r="AE14" s="237">
        <v>0</v>
      </c>
      <c r="AF14" s="50">
        <v>0</v>
      </c>
      <c r="AG14" s="50">
        <v>0</v>
      </c>
      <c r="AH14" s="50">
        <v>0</v>
      </c>
      <c r="AI14" s="50">
        <v>0</v>
      </c>
      <c r="AJ14" s="50">
        <v>0</v>
      </c>
      <c r="AK14" s="50"/>
      <c r="AL14" s="50"/>
      <c r="AM14" s="50"/>
      <c r="AN14" s="50"/>
    </row>
    <row r="15" spans="2:40">
      <c r="B15" s="50" t="s">
        <v>932</v>
      </c>
      <c r="C15" s="50">
        <v>13</v>
      </c>
      <c r="D15" s="50" t="s">
        <v>1819</v>
      </c>
      <c r="E15" s="95">
        <v>45548</v>
      </c>
      <c r="F15" s="50">
        <v>1</v>
      </c>
      <c r="G15" s="254">
        <v>1</v>
      </c>
      <c r="H15" s="184">
        <v>0</v>
      </c>
      <c r="I15" s="50" t="s">
        <v>961</v>
      </c>
      <c r="J15" s="50" t="s">
        <v>961</v>
      </c>
      <c r="K15" s="50" t="s">
        <v>961</v>
      </c>
      <c r="L15" s="50" t="s">
        <v>961</v>
      </c>
      <c r="M15" s="50" t="s">
        <v>961</v>
      </c>
      <c r="N15" s="95">
        <v>0</v>
      </c>
      <c r="O15" s="95">
        <v>0</v>
      </c>
      <c r="P15" s="50" t="s">
        <v>961</v>
      </c>
      <c r="Q15" s="50" t="s">
        <v>961</v>
      </c>
      <c r="R15" s="50" t="s">
        <v>961</v>
      </c>
      <c r="S15" s="95" t="s">
        <v>961</v>
      </c>
      <c r="T15" s="95" t="s">
        <v>961</v>
      </c>
      <c r="U15" s="95" t="s">
        <v>961</v>
      </c>
      <c r="V15" s="237" t="s">
        <v>961</v>
      </c>
      <c r="W15" s="237" t="s">
        <v>961</v>
      </c>
      <c r="X15" s="237" t="s">
        <v>961</v>
      </c>
      <c r="Y15" s="237" t="s">
        <v>961</v>
      </c>
      <c r="Z15" s="237" t="s">
        <v>961</v>
      </c>
      <c r="AA15" s="237" t="s">
        <v>961</v>
      </c>
      <c r="AB15" s="237" t="s">
        <v>961</v>
      </c>
      <c r="AC15" s="237" t="s">
        <v>961</v>
      </c>
      <c r="AD15" s="239" t="s">
        <v>961</v>
      </c>
      <c r="AE15" s="237" t="s">
        <v>961</v>
      </c>
      <c r="AF15" s="50" t="s">
        <v>961</v>
      </c>
      <c r="AG15" s="50" t="s">
        <v>961</v>
      </c>
      <c r="AH15" s="50" t="s">
        <v>961</v>
      </c>
      <c r="AI15" s="95" t="s">
        <v>961</v>
      </c>
      <c r="AJ15" s="50" t="s">
        <v>961</v>
      </c>
      <c r="AK15" s="50"/>
      <c r="AL15" s="50"/>
      <c r="AM15" s="50"/>
      <c r="AN15" s="95"/>
    </row>
    <row r="16" spans="2:40">
      <c r="B16" s="50" t="s">
        <v>934</v>
      </c>
      <c r="C16" s="50">
        <v>14</v>
      </c>
      <c r="D16" s="50" t="s">
        <v>1820</v>
      </c>
      <c r="E16" s="95">
        <v>45548</v>
      </c>
      <c r="F16" s="50">
        <v>1</v>
      </c>
      <c r="G16" s="254">
        <v>1</v>
      </c>
      <c r="H16" s="184">
        <v>0</v>
      </c>
      <c r="I16" s="50">
        <v>0</v>
      </c>
      <c r="J16" s="50">
        <v>0</v>
      </c>
      <c r="K16" s="50">
        <v>0</v>
      </c>
      <c r="L16" s="50">
        <v>0</v>
      </c>
      <c r="M16" s="50">
        <v>0</v>
      </c>
      <c r="N16" s="50" t="s">
        <v>961</v>
      </c>
      <c r="O16" s="50" t="s">
        <v>961</v>
      </c>
      <c r="P16" s="50">
        <v>0</v>
      </c>
      <c r="Q16" s="50" t="s">
        <v>961</v>
      </c>
      <c r="R16" s="50" t="s">
        <v>961</v>
      </c>
      <c r="S16" s="50" t="s">
        <v>961</v>
      </c>
      <c r="T16" s="50" t="s">
        <v>961</v>
      </c>
      <c r="U16" s="50" t="s">
        <v>961</v>
      </c>
      <c r="V16" s="237" t="s">
        <v>961</v>
      </c>
      <c r="W16" s="237" t="s">
        <v>961</v>
      </c>
      <c r="X16" s="237" t="s">
        <v>961</v>
      </c>
      <c r="Y16" s="237" t="s">
        <v>961</v>
      </c>
      <c r="Z16" s="237" t="s">
        <v>961</v>
      </c>
      <c r="AA16" s="237">
        <v>0</v>
      </c>
      <c r="AB16" s="237" t="s">
        <v>961</v>
      </c>
      <c r="AC16" s="237" t="s">
        <v>961</v>
      </c>
      <c r="AD16" s="237" t="s">
        <v>961</v>
      </c>
      <c r="AE16" s="237" t="s">
        <v>961</v>
      </c>
      <c r="AF16" s="50">
        <v>0</v>
      </c>
      <c r="AG16" s="50">
        <v>0</v>
      </c>
      <c r="AH16" s="50">
        <v>0</v>
      </c>
      <c r="AI16" s="50" t="s">
        <v>961</v>
      </c>
      <c r="AJ16" s="50" t="s">
        <v>961</v>
      </c>
      <c r="AK16" s="50"/>
      <c r="AL16" s="50"/>
      <c r="AM16" s="50"/>
      <c r="AN16" s="50"/>
    </row>
    <row r="17" spans="2:40">
      <c r="B17" s="50" t="s">
        <v>936</v>
      </c>
      <c r="C17" s="50">
        <v>15</v>
      </c>
      <c r="D17" s="50" t="s">
        <v>1821</v>
      </c>
      <c r="E17" s="95">
        <v>45548</v>
      </c>
      <c r="F17" s="50">
        <v>1</v>
      </c>
      <c r="G17" s="254">
        <v>1</v>
      </c>
      <c r="H17" s="184">
        <v>0</v>
      </c>
      <c r="I17" s="50" t="s">
        <v>961</v>
      </c>
      <c r="J17" s="50" t="s">
        <v>961</v>
      </c>
      <c r="K17" s="50" t="s">
        <v>961</v>
      </c>
      <c r="L17" s="50" t="s">
        <v>961</v>
      </c>
      <c r="M17" s="50" t="s">
        <v>961</v>
      </c>
      <c r="N17" s="97" t="s">
        <v>961</v>
      </c>
      <c r="O17" s="97" t="s">
        <v>961</v>
      </c>
      <c r="P17" s="97" t="s">
        <v>961</v>
      </c>
      <c r="Q17" s="97" t="s">
        <v>961</v>
      </c>
      <c r="R17" s="97" t="s">
        <v>961</v>
      </c>
      <c r="S17" s="50" t="s">
        <v>961</v>
      </c>
      <c r="T17" s="97" t="s">
        <v>961</v>
      </c>
      <c r="U17" s="97" t="s">
        <v>961</v>
      </c>
      <c r="V17" s="237" t="s">
        <v>961</v>
      </c>
      <c r="W17" s="237" t="s">
        <v>961</v>
      </c>
      <c r="X17" s="237" t="s">
        <v>961</v>
      </c>
      <c r="Y17" s="237" t="s">
        <v>961</v>
      </c>
      <c r="Z17" s="237" t="s">
        <v>961</v>
      </c>
      <c r="AA17" s="237" t="s">
        <v>961</v>
      </c>
      <c r="AB17" s="237" t="s">
        <v>961</v>
      </c>
      <c r="AC17" s="237" t="s">
        <v>961</v>
      </c>
      <c r="AD17" s="237" t="s">
        <v>961</v>
      </c>
      <c r="AE17" s="237" t="s">
        <v>961</v>
      </c>
      <c r="AF17" s="50" t="s">
        <v>961</v>
      </c>
      <c r="AG17" s="50" t="s">
        <v>961</v>
      </c>
      <c r="AH17" s="50" t="s">
        <v>961</v>
      </c>
      <c r="AI17" s="50" t="s">
        <v>961</v>
      </c>
      <c r="AJ17" s="50" t="s">
        <v>961</v>
      </c>
      <c r="AK17" s="50"/>
      <c r="AL17" s="50"/>
      <c r="AM17" s="50"/>
      <c r="AN17" s="50"/>
    </row>
    <row r="18" spans="2:40">
      <c r="B18" s="50" t="s">
        <v>938</v>
      </c>
      <c r="C18" s="50">
        <v>16</v>
      </c>
      <c r="D18" s="50" t="s">
        <v>1821</v>
      </c>
      <c r="E18" s="95">
        <v>45548</v>
      </c>
      <c r="F18" s="50">
        <v>1</v>
      </c>
      <c r="G18" s="254">
        <v>1</v>
      </c>
      <c r="H18" s="184">
        <v>0</v>
      </c>
      <c r="I18" s="50" t="s">
        <v>961</v>
      </c>
      <c r="J18" s="50" t="s">
        <v>961</v>
      </c>
      <c r="K18" s="50" t="s">
        <v>961</v>
      </c>
      <c r="L18" s="50" t="s">
        <v>961</v>
      </c>
      <c r="M18" s="50" t="s">
        <v>961</v>
      </c>
      <c r="N18" s="97" t="s">
        <v>961</v>
      </c>
      <c r="O18" s="97" t="s">
        <v>961</v>
      </c>
      <c r="P18" s="50" t="s">
        <v>961</v>
      </c>
      <c r="Q18" s="50" t="s">
        <v>961</v>
      </c>
      <c r="R18" s="97" t="s">
        <v>961</v>
      </c>
      <c r="S18" s="97" t="s">
        <v>961</v>
      </c>
      <c r="T18" s="50" t="s">
        <v>961</v>
      </c>
      <c r="U18" s="50" t="s">
        <v>961</v>
      </c>
      <c r="V18" s="237" t="s">
        <v>961</v>
      </c>
      <c r="W18" s="237" t="s">
        <v>961</v>
      </c>
      <c r="X18" s="237" t="s">
        <v>961</v>
      </c>
      <c r="Y18" s="237" t="s">
        <v>961</v>
      </c>
      <c r="Z18" s="237" t="s">
        <v>961</v>
      </c>
      <c r="AA18" s="237" t="s">
        <v>961</v>
      </c>
      <c r="AB18" s="237" t="s">
        <v>961</v>
      </c>
      <c r="AC18" s="237" t="s">
        <v>961</v>
      </c>
      <c r="AD18" s="237" t="s">
        <v>961</v>
      </c>
      <c r="AE18" s="237" t="s">
        <v>961</v>
      </c>
      <c r="AF18" s="50" t="s">
        <v>961</v>
      </c>
      <c r="AG18" s="50" t="s">
        <v>961</v>
      </c>
      <c r="AH18" s="50" t="s">
        <v>961</v>
      </c>
      <c r="AI18" s="50" t="s">
        <v>961</v>
      </c>
      <c r="AJ18" s="50" t="s">
        <v>961</v>
      </c>
      <c r="AK18" s="50"/>
      <c r="AL18" s="50"/>
      <c r="AM18" s="50"/>
      <c r="AN18" s="50"/>
    </row>
    <row r="19" spans="2:40">
      <c r="B19" s="50" t="s">
        <v>940</v>
      </c>
      <c r="C19" s="50">
        <v>17</v>
      </c>
      <c r="D19" s="50" t="s">
        <v>1822</v>
      </c>
      <c r="E19" s="95">
        <v>45548</v>
      </c>
      <c r="F19" s="50">
        <v>1</v>
      </c>
      <c r="G19" s="254">
        <v>0.61778200000000005</v>
      </c>
      <c r="H19" s="224">
        <v>365684</v>
      </c>
      <c r="I19" s="50" t="s">
        <v>961</v>
      </c>
      <c r="J19" s="50" t="s">
        <v>961</v>
      </c>
      <c r="K19" s="50" t="s">
        <v>961</v>
      </c>
      <c r="L19" s="50" t="s">
        <v>961</v>
      </c>
      <c r="M19" s="50" t="s">
        <v>961</v>
      </c>
      <c r="N19" s="50" t="s">
        <v>961</v>
      </c>
      <c r="O19" s="50" t="s">
        <v>961</v>
      </c>
      <c r="P19" s="50" t="s">
        <v>961</v>
      </c>
      <c r="Q19" s="97" t="s">
        <v>961</v>
      </c>
      <c r="R19" s="50" t="s">
        <v>961</v>
      </c>
      <c r="S19" s="50" t="s">
        <v>961</v>
      </c>
      <c r="T19" s="50" t="s">
        <v>961</v>
      </c>
      <c r="U19" s="50" t="s">
        <v>961</v>
      </c>
      <c r="V19" s="237" t="s">
        <v>961</v>
      </c>
      <c r="W19" s="237" t="s">
        <v>961</v>
      </c>
      <c r="X19" s="237" t="s">
        <v>961</v>
      </c>
      <c r="Y19" s="237" t="s">
        <v>961</v>
      </c>
      <c r="Z19" s="237" t="s">
        <v>961</v>
      </c>
      <c r="AA19" s="237" t="s">
        <v>961</v>
      </c>
      <c r="AB19" s="237" t="s">
        <v>961</v>
      </c>
      <c r="AC19" s="237" t="s">
        <v>961</v>
      </c>
      <c r="AD19" s="237" t="s">
        <v>961</v>
      </c>
      <c r="AE19" s="237" t="s">
        <v>961</v>
      </c>
      <c r="AF19" s="50" t="s">
        <v>961</v>
      </c>
      <c r="AG19" s="50" t="s">
        <v>961</v>
      </c>
      <c r="AH19" s="50" t="s">
        <v>961</v>
      </c>
      <c r="AI19" s="50" t="s">
        <v>961</v>
      </c>
      <c r="AJ19" s="50" t="s">
        <v>961</v>
      </c>
      <c r="AK19" s="50"/>
      <c r="AL19" s="50"/>
      <c r="AM19" s="50"/>
      <c r="AN19" s="50"/>
    </row>
    <row r="20" spans="2:40">
      <c r="B20" s="50" t="s">
        <v>942</v>
      </c>
      <c r="C20" s="50">
        <v>18</v>
      </c>
      <c r="D20" s="50" t="s">
        <v>1822</v>
      </c>
      <c r="E20" s="95">
        <v>45548</v>
      </c>
      <c r="F20" s="50">
        <v>1</v>
      </c>
      <c r="G20" s="254">
        <v>1</v>
      </c>
      <c r="H20" s="184">
        <v>0</v>
      </c>
      <c r="I20" s="50" t="s">
        <v>961</v>
      </c>
      <c r="J20" s="50" t="s">
        <v>961</v>
      </c>
      <c r="K20" s="50" t="s">
        <v>961</v>
      </c>
      <c r="L20" s="50" t="s">
        <v>961</v>
      </c>
      <c r="M20" s="50" t="s">
        <v>961</v>
      </c>
      <c r="N20" s="50" t="s">
        <v>961</v>
      </c>
      <c r="O20" s="50" t="s">
        <v>961</v>
      </c>
      <c r="P20" s="50" t="s">
        <v>961</v>
      </c>
      <c r="Q20" s="50" t="s">
        <v>961</v>
      </c>
      <c r="R20" s="50" t="s">
        <v>961</v>
      </c>
      <c r="S20" s="50" t="s">
        <v>961</v>
      </c>
      <c r="T20" s="50" t="s">
        <v>961</v>
      </c>
      <c r="U20" s="50" t="s">
        <v>961</v>
      </c>
      <c r="V20" s="237" t="s">
        <v>961</v>
      </c>
      <c r="W20" s="237" t="s">
        <v>961</v>
      </c>
      <c r="X20" s="237" t="s">
        <v>961</v>
      </c>
      <c r="Y20" s="237" t="s">
        <v>961</v>
      </c>
      <c r="Z20" s="237" t="s">
        <v>961</v>
      </c>
      <c r="AA20" s="237" t="s">
        <v>961</v>
      </c>
      <c r="AB20" s="237" t="s">
        <v>961</v>
      </c>
      <c r="AC20" s="237" t="s">
        <v>961</v>
      </c>
      <c r="AD20" s="237" t="s">
        <v>961</v>
      </c>
      <c r="AE20" s="237" t="s">
        <v>961</v>
      </c>
      <c r="AF20" s="50" t="s">
        <v>961</v>
      </c>
      <c r="AG20" s="50" t="s">
        <v>961</v>
      </c>
      <c r="AH20" s="50" t="s">
        <v>961</v>
      </c>
      <c r="AI20" s="50" t="s">
        <v>961</v>
      </c>
      <c r="AJ20" s="50" t="s">
        <v>961</v>
      </c>
      <c r="AK20" s="50"/>
      <c r="AL20" s="50"/>
      <c r="AM20" s="50"/>
      <c r="AN20" s="50"/>
    </row>
    <row r="21" spans="2:40">
      <c r="B21" s="50" t="s">
        <v>944</v>
      </c>
      <c r="C21" s="50">
        <v>19</v>
      </c>
      <c r="D21" s="50" t="s">
        <v>1823</v>
      </c>
      <c r="E21" s="95">
        <v>45548</v>
      </c>
      <c r="F21" s="50">
        <v>1</v>
      </c>
      <c r="G21" s="208" cm="1">
        <f t="array" aca="1" ref="G21" ca="1">SUMPRODUCT(--(ISNUMBER((SEARCH(I27:AJ27,I21:AJ21)))))/COUNTA(I21:AJ21)</f>
        <v>0</v>
      </c>
      <c r="H21" s="184">
        <v>0</v>
      </c>
      <c r="I21" s="50" t="s">
        <v>995</v>
      </c>
      <c r="J21" s="50" t="s">
        <v>995</v>
      </c>
      <c r="K21" s="50" t="s">
        <v>995</v>
      </c>
      <c r="L21" s="50" t="s">
        <v>995</v>
      </c>
      <c r="M21" s="50" t="s">
        <v>995</v>
      </c>
      <c r="N21" s="50" t="s">
        <v>995</v>
      </c>
      <c r="O21" s="50" t="s">
        <v>995</v>
      </c>
      <c r="P21" s="97" t="s">
        <v>995</v>
      </c>
      <c r="Q21" s="97" t="s">
        <v>995</v>
      </c>
      <c r="R21" s="50" t="s">
        <v>996</v>
      </c>
      <c r="S21" s="50" t="s">
        <v>996</v>
      </c>
      <c r="T21" s="50" t="s">
        <v>996</v>
      </c>
      <c r="U21" s="50" t="s">
        <v>996</v>
      </c>
      <c r="V21" s="237" t="s">
        <v>995</v>
      </c>
      <c r="W21" s="237" t="s">
        <v>995</v>
      </c>
      <c r="X21" s="237" t="s">
        <v>995</v>
      </c>
      <c r="Y21" s="237" t="s">
        <v>995</v>
      </c>
      <c r="Z21" s="237" t="s">
        <v>995</v>
      </c>
      <c r="AA21" s="237" t="s">
        <v>995</v>
      </c>
      <c r="AB21" s="237" t="s">
        <v>995</v>
      </c>
      <c r="AC21" s="237" t="s">
        <v>995</v>
      </c>
      <c r="AD21" s="237" t="s">
        <v>995</v>
      </c>
      <c r="AE21" s="237" t="s">
        <v>995</v>
      </c>
      <c r="AF21" s="50" t="s">
        <v>995</v>
      </c>
      <c r="AG21" s="50" t="s">
        <v>995</v>
      </c>
      <c r="AH21" s="50" t="s">
        <v>995</v>
      </c>
      <c r="AI21" s="50" t="s">
        <v>995</v>
      </c>
      <c r="AJ21" s="50" t="s">
        <v>997</v>
      </c>
      <c r="AK21" s="50"/>
      <c r="AL21" s="50"/>
      <c r="AM21" s="50"/>
      <c r="AN21" s="50"/>
    </row>
    <row r="22" spans="2:40">
      <c r="B22" s="50" t="s">
        <v>947</v>
      </c>
      <c r="C22" s="50">
        <v>20</v>
      </c>
      <c r="D22" s="50"/>
      <c r="E22" s="95"/>
      <c r="F22" s="50"/>
      <c r="G22" s="192" t="e" cm="1">
        <f t="array" aca="1" ref="G22" ca="1">SUM(IF(I2:AJ2 = I26:AJ26, 1, 0))/ COUNTA(I2:AJ2)</f>
        <v>#NAME?</v>
      </c>
      <c r="H22" s="50"/>
      <c r="I22" s="50"/>
      <c r="J22" s="50"/>
      <c r="K22" s="50"/>
      <c r="L22" s="50"/>
      <c r="M22" s="50"/>
      <c r="N22" s="50"/>
      <c r="O22" s="50"/>
      <c r="P22" s="50"/>
      <c r="Q22" s="50"/>
      <c r="R22" s="50"/>
      <c r="S22" s="50"/>
      <c r="T22" s="50"/>
      <c r="U22" s="50"/>
      <c r="V22" s="237"/>
      <c r="W22" s="237"/>
      <c r="X22" s="237"/>
      <c r="Y22" s="237"/>
      <c r="Z22" s="237"/>
      <c r="AA22" s="237"/>
      <c r="AB22" s="237"/>
      <c r="AC22" s="237"/>
      <c r="AD22" s="237"/>
      <c r="AE22" s="237"/>
      <c r="AF22" s="50"/>
      <c r="AG22" s="50"/>
      <c r="AH22" s="50"/>
      <c r="AI22" s="50"/>
      <c r="AJ22" s="50"/>
      <c r="AK22" s="50"/>
      <c r="AL22" s="50"/>
      <c r="AM22" s="50"/>
      <c r="AN22" s="50"/>
    </row>
    <row r="23" spans="2:40">
      <c r="B23" s="50" t="s">
        <v>950</v>
      </c>
      <c r="C23" s="50">
        <v>21</v>
      </c>
      <c r="D23" s="50"/>
      <c r="E23" s="95"/>
      <c r="F23" s="50"/>
      <c r="G23" s="192" t="e" cm="1">
        <f t="array" aca="1" ref="G23" ca="1">SUM(IF(IF(G3:G22="null",1,G3:G22)=1,1,0))/COUNT(IF(G3:G22="null",1,1))</f>
        <v>#NAME?</v>
      </c>
      <c r="H23" s="50"/>
      <c r="I23" s="50"/>
      <c r="J23" s="50"/>
      <c r="K23" s="50"/>
      <c r="L23" s="50"/>
      <c r="M23" s="50"/>
      <c r="N23" s="50"/>
      <c r="O23" s="50"/>
      <c r="P23" s="50"/>
      <c r="Q23" s="50"/>
      <c r="R23" s="50"/>
      <c r="S23" s="50"/>
      <c r="T23" s="50"/>
      <c r="U23" s="50"/>
      <c r="V23" s="237"/>
      <c r="W23" s="237"/>
      <c r="X23" s="237"/>
      <c r="Y23" s="237"/>
      <c r="Z23" s="237"/>
      <c r="AA23" s="237"/>
      <c r="AB23" s="237"/>
      <c r="AC23" s="237"/>
      <c r="AD23" s="237"/>
      <c r="AE23" s="237"/>
      <c r="AF23" s="50"/>
      <c r="AG23" s="50"/>
      <c r="AH23" s="50"/>
      <c r="AI23" s="50"/>
      <c r="AJ23" s="50"/>
      <c r="AK23" s="50"/>
      <c r="AL23" s="50"/>
      <c r="AM23" s="50"/>
      <c r="AN23" s="50"/>
    </row>
    <row r="25" spans="2:40">
      <c r="B25" s="130" t="s">
        <v>1067</v>
      </c>
    </row>
    <row r="26" spans="2:40">
      <c r="B26" s="128" t="s">
        <v>953</v>
      </c>
      <c r="C26" s="129" t="s">
        <v>954</v>
      </c>
      <c r="D26" s="129" t="s">
        <v>955</v>
      </c>
      <c r="E26" s="129" t="s">
        <v>956</v>
      </c>
      <c r="F26" s="129" t="s">
        <v>957</v>
      </c>
      <c r="G26" s="129" t="s">
        <v>958</v>
      </c>
      <c r="H26" s="129" t="s">
        <v>959</v>
      </c>
      <c r="I26" s="129" t="e" cm="1">
        <f t="array" aca="1" ref="I26:AM26" ca="1">TRANSPOSE(_xlfn.SORTBY(_xlfn._xlws.FILTER(Table3[NOME FÍSICO CAMPO],Table3[NOME FÍSICO TABELA]="nostrovostro_account"), _xlfn._xlws.FILTER(Table3[ORDEM], Table3[NOME FÍSICO TABELA]="nostrovostro_account"), 1))</f>
        <v>#NAME?</v>
      </c>
      <c r="J26" s="129" t="e">
        <f ca="1"/>
        <v>#NAME?</v>
      </c>
      <c r="K26" s="129" t="e">
        <f ca="1"/>
        <v>#NAME?</v>
      </c>
      <c r="L26" s="129" t="e">
        <f ca="1"/>
        <v>#NAME?</v>
      </c>
      <c r="M26" s="129" t="e">
        <f ca="1"/>
        <v>#NAME?</v>
      </c>
      <c r="N26" s="129" t="e">
        <f ca="1"/>
        <v>#NAME?</v>
      </c>
      <c r="O26" s="129" t="e">
        <f ca="1"/>
        <v>#NAME?</v>
      </c>
      <c r="P26" s="129" t="e">
        <f ca="1"/>
        <v>#NAME?</v>
      </c>
      <c r="Q26" s="129" t="e">
        <f ca="1"/>
        <v>#NAME?</v>
      </c>
      <c r="R26" s="129" t="e">
        <f ca="1"/>
        <v>#NAME?</v>
      </c>
      <c r="S26" s="129" t="e">
        <f ca="1"/>
        <v>#NAME?</v>
      </c>
      <c r="T26" s="129" t="e">
        <f ca="1"/>
        <v>#NAME?</v>
      </c>
      <c r="U26" s="129" t="e">
        <f ca="1"/>
        <v>#NAME?</v>
      </c>
      <c r="V26" s="129" t="e">
        <f ca="1"/>
        <v>#NAME?</v>
      </c>
      <c r="W26" s="129" t="e">
        <f ca="1"/>
        <v>#NAME?</v>
      </c>
      <c r="X26" s="129" t="e">
        <f ca="1"/>
        <v>#NAME?</v>
      </c>
      <c r="Y26" s="129" t="e">
        <f ca="1"/>
        <v>#NAME?</v>
      </c>
      <c r="Z26" s="129" t="e">
        <f ca="1"/>
        <v>#NAME?</v>
      </c>
      <c r="AA26" s="129" t="e">
        <f ca="1"/>
        <v>#NAME?</v>
      </c>
      <c r="AB26" s="129" t="e">
        <f ca="1"/>
        <v>#NAME?</v>
      </c>
      <c r="AC26" s="129" t="e">
        <f ca="1"/>
        <v>#NAME?</v>
      </c>
      <c r="AD26" s="129" t="e">
        <f ca="1"/>
        <v>#NAME?</v>
      </c>
      <c r="AE26" s="129" t="e">
        <f ca="1"/>
        <v>#NAME?</v>
      </c>
      <c r="AF26" s="129" t="e">
        <f ca="1"/>
        <v>#NAME?</v>
      </c>
      <c r="AG26" s="129" t="e">
        <f ca="1"/>
        <v>#NAME?</v>
      </c>
      <c r="AH26" s="129" t="e">
        <f ca="1"/>
        <v>#NAME?</v>
      </c>
      <c r="AI26" s="129" t="e">
        <f ca="1"/>
        <v>#NAME?</v>
      </c>
      <c r="AJ26" s="285" t="e">
        <f ca="1"/>
        <v>#NAME?</v>
      </c>
      <c r="AK26" s="216" t="e">
        <f ca="1"/>
        <v>#NAME?</v>
      </c>
      <c r="AL26" s="216" t="e">
        <f ca="1"/>
        <v>#NAME?</v>
      </c>
      <c r="AM26" s="216" t="e">
        <f ca="1"/>
        <v>#NAME?</v>
      </c>
      <c r="AN26" s="216"/>
    </row>
    <row r="27" spans="2:40">
      <c r="B27" s="107" t="s">
        <v>998</v>
      </c>
      <c r="C27" s="93">
        <v>21</v>
      </c>
      <c r="D27" s="92" t="s">
        <v>999</v>
      </c>
      <c r="E27" t="s">
        <v>1000</v>
      </c>
      <c r="F27" t="s">
        <v>206</v>
      </c>
      <c r="G27" t="s">
        <v>206</v>
      </c>
      <c r="H27" t="s">
        <v>206</v>
      </c>
      <c r="I27" t="e" cm="1">
        <f t="array" aca="1" ref="I27:AM28" ca="1">TRANSPOSE(_xlfn.SORTBY(_xlfn._xlws.FILTER(IF(Table3[FORMATO]:Table3[COMP_ CAMPO]&lt;&gt;"",Table3[FORMATO]:Table3[COMP_ CAMPO],9999999),Table3[NOME FÍSICO TABELA]="nostrovostro_account"), _xlfn._xlws.FILTER(Table3[ORDEM], Table3[NOME FÍSICO TABELA]="nostrovostro_account"), 1))</f>
        <v>#NAME?</v>
      </c>
      <c r="J27" t="e">
        <f ca="1"/>
        <v>#NAME?</v>
      </c>
      <c r="K27" t="e">
        <f ca="1"/>
        <v>#NAME?</v>
      </c>
      <c r="L27" t="e">
        <f ca="1"/>
        <v>#NAME?</v>
      </c>
      <c r="M27" t="e">
        <f ca="1"/>
        <v>#NAME?</v>
      </c>
      <c r="N27" t="e">
        <f ca="1"/>
        <v>#NAME?</v>
      </c>
      <c r="O27" t="e">
        <f ca="1"/>
        <v>#NAME?</v>
      </c>
      <c r="P27" t="e">
        <f ca="1"/>
        <v>#NAME?</v>
      </c>
      <c r="Q27" t="e">
        <f ca="1"/>
        <v>#NAME?</v>
      </c>
      <c r="R27" t="e">
        <f ca="1"/>
        <v>#NAME?</v>
      </c>
      <c r="S27" t="e">
        <f ca="1"/>
        <v>#NAME?</v>
      </c>
      <c r="T27" t="e">
        <f ca="1"/>
        <v>#NAME?</v>
      </c>
      <c r="U27" t="e">
        <f ca="1"/>
        <v>#NAME?</v>
      </c>
      <c r="V27" t="e">
        <f ca="1"/>
        <v>#NAME?</v>
      </c>
      <c r="W27" t="e">
        <f ca="1"/>
        <v>#NAME?</v>
      </c>
      <c r="X27" t="e">
        <f ca="1"/>
        <v>#NAME?</v>
      </c>
      <c r="Y27" t="e">
        <f ca="1"/>
        <v>#NAME?</v>
      </c>
      <c r="Z27" t="e">
        <f ca="1"/>
        <v>#NAME?</v>
      </c>
      <c r="AA27" t="e">
        <f ca="1"/>
        <v>#NAME?</v>
      </c>
      <c r="AB27" t="e">
        <f ca="1"/>
        <v>#NAME?</v>
      </c>
      <c r="AC27" t="e">
        <f ca="1"/>
        <v>#NAME?</v>
      </c>
      <c r="AD27" t="e">
        <f ca="1"/>
        <v>#NAME?</v>
      </c>
      <c r="AE27" t="e">
        <f ca="1"/>
        <v>#NAME?</v>
      </c>
      <c r="AF27" t="e">
        <f ca="1"/>
        <v>#NAME?</v>
      </c>
      <c r="AG27" t="e">
        <f ca="1"/>
        <v>#NAME?</v>
      </c>
      <c r="AH27" t="e">
        <f ca="1"/>
        <v>#NAME?</v>
      </c>
      <c r="AI27" t="e">
        <f ca="1"/>
        <v>#NAME?</v>
      </c>
      <c r="AJ27" s="286" t="e">
        <f ca="1"/>
        <v>#NAME?</v>
      </c>
      <c r="AK27" t="e">
        <f ca="1"/>
        <v>#NAME?</v>
      </c>
      <c r="AL27" t="e">
        <f ca="1"/>
        <v>#NAME?</v>
      </c>
      <c r="AM27" t="e">
        <f ca="1"/>
        <v>#NAME?</v>
      </c>
    </row>
    <row r="28" spans="2:40">
      <c r="B28" s="107" t="s">
        <v>1001</v>
      </c>
      <c r="C28" s="151">
        <v>7</v>
      </c>
      <c r="D28" s="106" t="s">
        <v>999</v>
      </c>
      <c r="E28" s="105" t="s">
        <v>1000</v>
      </c>
      <c r="F28" s="105" t="s">
        <v>206</v>
      </c>
      <c r="G28" s="105" t="s">
        <v>206</v>
      </c>
      <c r="H28" s="105" t="s">
        <v>206</v>
      </c>
      <c r="I28" s="151" t="e">
        <f ca="1"/>
        <v>#NAME?</v>
      </c>
      <c r="J28" s="151" t="e">
        <f ca="1"/>
        <v>#NAME?</v>
      </c>
      <c r="K28" s="151" t="e">
        <f ca="1"/>
        <v>#NAME?</v>
      </c>
      <c r="L28" s="151" t="e">
        <f ca="1"/>
        <v>#NAME?</v>
      </c>
      <c r="M28" s="151" t="e">
        <f ca="1"/>
        <v>#NAME?</v>
      </c>
      <c r="N28" s="151" t="e">
        <f ca="1"/>
        <v>#NAME?</v>
      </c>
      <c r="O28" s="151" t="e">
        <f ca="1"/>
        <v>#NAME?</v>
      </c>
      <c r="P28" s="151" t="e">
        <f ca="1"/>
        <v>#NAME?</v>
      </c>
      <c r="Q28" s="151" t="e">
        <f ca="1"/>
        <v>#NAME?</v>
      </c>
      <c r="R28" s="151" t="e">
        <f ca="1"/>
        <v>#NAME?</v>
      </c>
      <c r="S28" s="151" t="e">
        <f ca="1"/>
        <v>#NAME?</v>
      </c>
      <c r="T28" s="151" t="e">
        <f ca="1"/>
        <v>#NAME?</v>
      </c>
      <c r="U28" s="151" t="e">
        <f ca="1"/>
        <v>#NAME?</v>
      </c>
      <c r="V28" s="151" t="e">
        <f ca="1"/>
        <v>#NAME?</v>
      </c>
      <c r="W28" s="151" t="e">
        <f ca="1"/>
        <v>#NAME?</v>
      </c>
      <c r="X28" s="151" t="e">
        <f ca="1"/>
        <v>#NAME?</v>
      </c>
      <c r="Y28" s="151" t="e">
        <f ca="1"/>
        <v>#NAME?</v>
      </c>
      <c r="Z28" s="151" t="e">
        <f ca="1"/>
        <v>#NAME?</v>
      </c>
      <c r="AA28" s="151" t="e">
        <f ca="1"/>
        <v>#NAME?</v>
      </c>
      <c r="AB28" s="151" t="e">
        <f ca="1"/>
        <v>#NAME?</v>
      </c>
      <c r="AC28" s="151" t="e">
        <f ca="1"/>
        <v>#NAME?</v>
      </c>
      <c r="AD28" s="151" t="e">
        <f ca="1"/>
        <v>#NAME?</v>
      </c>
      <c r="AE28" s="151" t="e">
        <f ca="1"/>
        <v>#NAME?</v>
      </c>
      <c r="AF28" s="151" t="e">
        <f ca="1"/>
        <v>#NAME?</v>
      </c>
      <c r="AG28" s="151" t="e">
        <f ca="1"/>
        <v>#NAME?</v>
      </c>
      <c r="AH28" s="151" t="e">
        <f ca="1"/>
        <v>#NAME?</v>
      </c>
      <c r="AI28" s="151" t="e">
        <f ca="1"/>
        <v>#NAME?</v>
      </c>
      <c r="AJ28" s="152" t="e">
        <f ca="1"/>
        <v>#NAME?</v>
      </c>
      <c r="AK28" s="93" t="e">
        <f ca="1"/>
        <v>#NAME?</v>
      </c>
      <c r="AL28" s="93" t="e">
        <f ca="1"/>
        <v>#NAME?</v>
      </c>
      <c r="AM28" s="93" t="e">
        <f ca="1"/>
        <v>#NAME?</v>
      </c>
      <c r="AN28" s="93"/>
    </row>
    <row r="30" spans="2:40">
      <c r="B30" s="140" t="s">
        <v>1002</v>
      </c>
    </row>
    <row r="31" spans="2:40">
      <c r="B31" s="134" t="s">
        <v>1003</v>
      </c>
      <c r="C31" s="134" t="s">
        <v>1004</v>
      </c>
      <c r="D31" s="135" t="s">
        <v>1005</v>
      </c>
      <c r="E31" s="134" t="s">
        <v>1006</v>
      </c>
      <c r="F31" s="134" t="s">
        <v>1007</v>
      </c>
    </row>
    <row r="32" spans="2:40" ht="43.5">
      <c r="B32" s="111" t="s">
        <v>1018</v>
      </c>
      <c r="C32" s="115" t="s">
        <v>1797</v>
      </c>
      <c r="D32" s="53" t="s">
        <v>1824</v>
      </c>
      <c r="E32" s="153" t="s">
        <v>1825</v>
      </c>
      <c r="F32" s="136" t="s">
        <v>1826</v>
      </c>
    </row>
    <row r="33" spans="2:6" ht="43.5">
      <c r="B33" s="137" t="s">
        <v>1111</v>
      </c>
      <c r="C33" s="138" t="s">
        <v>1472</v>
      </c>
      <c r="D33" s="139" t="s">
        <v>1112</v>
      </c>
      <c r="E33" s="97" t="s">
        <v>1827</v>
      </c>
      <c r="F33" s="188" t="s">
        <v>1014</v>
      </c>
    </row>
    <row r="34" spans="2:6" ht="43.5">
      <c r="B34" s="137" t="s">
        <v>1111</v>
      </c>
      <c r="C34" s="138" t="s">
        <v>546</v>
      </c>
      <c r="D34" s="139" t="s">
        <v>1112</v>
      </c>
      <c r="E34" s="97" t="s">
        <v>1827</v>
      </c>
      <c r="F34" s="188" t="s">
        <v>1014</v>
      </c>
    </row>
    <row r="35" spans="2:6" ht="43.5">
      <c r="B35" s="137" t="s">
        <v>1111</v>
      </c>
      <c r="C35" s="138" t="s">
        <v>547</v>
      </c>
      <c r="D35" s="139" t="s">
        <v>1112</v>
      </c>
      <c r="E35" s="97" t="s">
        <v>1827</v>
      </c>
      <c r="F35" s="188" t="s">
        <v>1014</v>
      </c>
    </row>
    <row r="36" spans="2:6" ht="43.5">
      <c r="B36" s="137" t="s">
        <v>1111</v>
      </c>
      <c r="C36" s="138" t="s">
        <v>517</v>
      </c>
      <c r="D36" s="139" t="s">
        <v>1112</v>
      </c>
      <c r="E36" s="97" t="s">
        <v>1827</v>
      </c>
      <c r="F36" s="188" t="s">
        <v>1014</v>
      </c>
    </row>
    <row r="37" spans="2:6" ht="43.5">
      <c r="B37" s="137" t="s">
        <v>1111</v>
      </c>
      <c r="C37" s="138" t="s">
        <v>392</v>
      </c>
      <c r="D37" s="139" t="s">
        <v>1112</v>
      </c>
      <c r="E37" s="97" t="s">
        <v>1827</v>
      </c>
      <c r="F37" s="188" t="s">
        <v>1014</v>
      </c>
    </row>
    <row r="38" spans="2:6" ht="43.5">
      <c r="B38" s="137" t="s">
        <v>1111</v>
      </c>
      <c r="C38" s="138" t="s">
        <v>404</v>
      </c>
      <c r="D38" s="139" t="s">
        <v>1112</v>
      </c>
      <c r="E38" s="97" t="s">
        <v>1827</v>
      </c>
      <c r="F38" s="188" t="s">
        <v>1014</v>
      </c>
    </row>
    <row r="39" spans="2:6" ht="43.5">
      <c r="B39" s="137" t="s">
        <v>1111</v>
      </c>
      <c r="C39" s="138" t="s">
        <v>414</v>
      </c>
      <c r="D39" s="139" t="s">
        <v>1112</v>
      </c>
      <c r="E39" s="97" t="s">
        <v>1827</v>
      </c>
      <c r="F39" s="188" t="s">
        <v>1014</v>
      </c>
    </row>
    <row r="40" spans="2:6" ht="43.5">
      <c r="B40" s="137" t="s">
        <v>1111</v>
      </c>
      <c r="C40" s="138" t="s">
        <v>432</v>
      </c>
      <c r="D40" s="139" t="s">
        <v>1112</v>
      </c>
      <c r="E40" s="97" t="s">
        <v>1827</v>
      </c>
      <c r="F40" s="188" t="s">
        <v>1014</v>
      </c>
    </row>
    <row r="41" spans="2:6" ht="43.5">
      <c r="B41" s="137" t="s">
        <v>1121</v>
      </c>
      <c r="C41" s="138" t="s">
        <v>547</v>
      </c>
      <c r="D41" s="139" t="s">
        <v>1122</v>
      </c>
      <c r="E41" s="97" t="s">
        <v>1827</v>
      </c>
      <c r="F41" s="188" t="s">
        <v>1014</v>
      </c>
    </row>
    <row r="42" spans="2:6" ht="43.5">
      <c r="B42" s="137" t="s">
        <v>1121</v>
      </c>
      <c r="C42" s="138" t="s">
        <v>548</v>
      </c>
      <c r="D42" s="139" t="s">
        <v>1122</v>
      </c>
      <c r="E42" s="97" t="s">
        <v>1827</v>
      </c>
      <c r="F42" s="188" t="s">
        <v>1014</v>
      </c>
    </row>
    <row r="43" spans="2:6" ht="43.5">
      <c r="B43" s="137" t="s">
        <v>1121</v>
      </c>
      <c r="C43" s="138" t="s">
        <v>517</v>
      </c>
      <c r="D43" s="139" t="s">
        <v>1122</v>
      </c>
      <c r="E43" s="97" t="s">
        <v>1827</v>
      </c>
      <c r="F43" s="188" t="s">
        <v>1014</v>
      </c>
    </row>
    <row r="44" spans="2:6" ht="43.5">
      <c r="B44" s="111" t="s">
        <v>1121</v>
      </c>
      <c r="C44" s="138" t="s">
        <v>414</v>
      </c>
      <c r="D44" s="53" t="s">
        <v>1122</v>
      </c>
      <c r="E44" s="97" t="s">
        <v>1827</v>
      </c>
      <c r="F44" s="188" t="s">
        <v>1014</v>
      </c>
    </row>
    <row r="45" spans="2:6" ht="43.5">
      <c r="B45" s="111" t="s">
        <v>1121</v>
      </c>
      <c r="C45" s="115" t="s">
        <v>424</v>
      </c>
      <c r="D45" s="53" t="s">
        <v>1122</v>
      </c>
      <c r="E45" s="97" t="s">
        <v>1827</v>
      </c>
      <c r="F45" s="188" t="s">
        <v>1014</v>
      </c>
    </row>
    <row r="46" spans="2:6" ht="43.5">
      <c r="B46" s="137" t="s">
        <v>1121</v>
      </c>
      <c r="C46" s="138" t="s">
        <v>432</v>
      </c>
      <c r="D46" s="139" t="s">
        <v>1122</v>
      </c>
      <c r="E46" s="97" t="s">
        <v>1827</v>
      </c>
      <c r="F46" s="188" t="s">
        <v>1014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N46"/>
  <sheetViews>
    <sheetView showGridLines="0" workbookViewId="0">
      <selection activeCell="G21" sqref="G21"/>
    </sheetView>
  </sheetViews>
  <sheetFormatPr defaultRowHeight="14.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row r="2" spans="2:40">
      <c r="B2" s="76" t="s">
        <v>1078</v>
      </c>
      <c r="C2" s="76" t="s">
        <v>954</v>
      </c>
      <c r="D2" s="76" t="s">
        <v>955</v>
      </c>
      <c r="E2" s="76" t="s">
        <v>956</v>
      </c>
      <c r="F2" s="76" t="s">
        <v>957</v>
      </c>
      <c r="G2" s="76" t="s">
        <v>958</v>
      </c>
      <c r="H2" s="76" t="s">
        <v>959</v>
      </c>
      <c r="I2" s="76" t="s">
        <v>102</v>
      </c>
      <c r="J2" s="76" t="s">
        <v>112</v>
      </c>
      <c r="K2" s="76" t="s">
        <v>116</v>
      </c>
      <c r="L2" s="76" t="s">
        <v>121</v>
      </c>
      <c r="M2" s="76" t="s">
        <v>127</v>
      </c>
      <c r="N2" s="76" t="s">
        <v>138</v>
      </c>
      <c r="O2" s="76" t="s">
        <v>144</v>
      </c>
      <c r="P2" s="76" t="s">
        <v>149</v>
      </c>
      <c r="Q2" s="76" t="s">
        <v>155</v>
      </c>
      <c r="R2" s="76" t="s">
        <v>524</v>
      </c>
      <c r="S2" s="76" t="s">
        <v>525</v>
      </c>
      <c r="T2" s="76" t="s">
        <v>526</v>
      </c>
      <c r="U2" s="76" t="s">
        <v>183</v>
      </c>
      <c r="V2" s="76" t="s">
        <v>1472</v>
      </c>
      <c r="W2" s="76" t="s">
        <v>546</v>
      </c>
      <c r="X2" s="76" t="s">
        <v>547</v>
      </c>
      <c r="Y2" s="76" t="s">
        <v>548</v>
      </c>
      <c r="Z2" s="76" t="s">
        <v>517</v>
      </c>
      <c r="AA2" s="76" t="s">
        <v>392</v>
      </c>
      <c r="AB2" s="76" t="s">
        <v>404</v>
      </c>
      <c r="AC2" s="76" t="s">
        <v>414</v>
      </c>
      <c r="AD2" s="76" t="s">
        <v>424</v>
      </c>
      <c r="AE2" s="76" t="s">
        <v>432</v>
      </c>
      <c r="AF2" s="76" t="s">
        <v>190</v>
      </c>
      <c r="AG2" s="76" t="s">
        <v>196</v>
      </c>
      <c r="AH2" s="76" t="s">
        <v>202</v>
      </c>
      <c r="AI2" s="76" t="s">
        <v>208</v>
      </c>
      <c r="AJ2" s="76" t="s">
        <v>213</v>
      </c>
      <c r="AK2" s="76"/>
      <c r="AL2" s="76"/>
      <c r="AM2" s="76"/>
      <c r="AN2" s="76"/>
    </row>
    <row r="3" spans="2:40">
      <c r="B3" s="50" t="s">
        <v>907</v>
      </c>
      <c r="C3" s="50">
        <v>1</v>
      </c>
      <c r="D3" s="50" t="s">
        <v>1828</v>
      </c>
      <c r="E3" s="95">
        <v>45538</v>
      </c>
      <c r="F3" s="50">
        <v>1</v>
      </c>
      <c r="G3" s="254" t="s">
        <v>1701</v>
      </c>
      <c r="H3" s="181" t="s">
        <v>1829</v>
      </c>
      <c r="I3" s="50" t="s">
        <v>961</v>
      </c>
      <c r="J3" s="50" t="s">
        <v>961</v>
      </c>
      <c r="K3" s="50" t="s">
        <v>961</v>
      </c>
      <c r="L3" s="50" t="s">
        <v>961</v>
      </c>
      <c r="M3" s="50" t="s">
        <v>961</v>
      </c>
      <c r="N3" s="50" t="s">
        <v>961</v>
      </c>
      <c r="O3" s="50" t="s">
        <v>961</v>
      </c>
      <c r="P3" s="50" t="s">
        <v>961</v>
      </c>
      <c r="Q3" s="50" t="s">
        <v>961</v>
      </c>
      <c r="R3" s="50" t="s">
        <v>961</v>
      </c>
      <c r="S3" s="50" t="s">
        <v>961</v>
      </c>
      <c r="T3" s="50" t="s">
        <v>961</v>
      </c>
      <c r="U3" s="50" t="s">
        <v>961</v>
      </c>
      <c r="V3" s="237" t="s">
        <v>961</v>
      </c>
      <c r="W3" s="237" t="s">
        <v>961</v>
      </c>
      <c r="X3" s="237" t="s">
        <v>961</v>
      </c>
      <c r="Y3" s="237" t="s">
        <v>961</v>
      </c>
      <c r="Z3" s="237" t="s">
        <v>961</v>
      </c>
      <c r="AA3" s="237" t="s">
        <v>961</v>
      </c>
      <c r="AB3" s="237" t="s">
        <v>961</v>
      </c>
      <c r="AC3" s="237" t="s">
        <v>961</v>
      </c>
      <c r="AD3" s="237" t="s">
        <v>961</v>
      </c>
      <c r="AE3" s="237" t="s">
        <v>961</v>
      </c>
      <c r="AF3" s="50" t="s">
        <v>961</v>
      </c>
      <c r="AG3" s="50" t="s">
        <v>961</v>
      </c>
      <c r="AH3" s="50" t="s">
        <v>961</v>
      </c>
      <c r="AI3" s="50" t="s">
        <v>961</v>
      </c>
      <c r="AJ3" s="50" t="s">
        <v>961</v>
      </c>
      <c r="AK3" s="50"/>
      <c r="AL3" s="50"/>
      <c r="AM3" s="50"/>
      <c r="AN3" s="50"/>
    </row>
    <row r="4" spans="2:40">
      <c r="B4" s="50" t="s">
        <v>909</v>
      </c>
      <c r="C4" s="50">
        <v>2</v>
      </c>
      <c r="D4" s="50" t="s">
        <v>1830</v>
      </c>
      <c r="E4" s="95">
        <v>45538</v>
      </c>
      <c r="F4" s="50">
        <v>1</v>
      </c>
      <c r="G4" s="254" t="s">
        <v>1701</v>
      </c>
      <c r="H4" s="98" t="s">
        <v>970</v>
      </c>
      <c r="I4" s="50" t="s">
        <v>961</v>
      </c>
      <c r="J4" s="50" t="s">
        <v>961</v>
      </c>
      <c r="K4" s="50" t="s">
        <v>961</v>
      </c>
      <c r="L4" s="50" t="s">
        <v>961</v>
      </c>
      <c r="M4" s="50" t="s">
        <v>961</v>
      </c>
      <c r="N4" s="50" t="s">
        <v>961</v>
      </c>
      <c r="O4" s="50" t="s">
        <v>961</v>
      </c>
      <c r="P4" s="50" t="s">
        <v>961</v>
      </c>
      <c r="Q4" s="50" t="s">
        <v>961</v>
      </c>
      <c r="R4" s="50" t="s">
        <v>961</v>
      </c>
      <c r="S4" s="50" t="s">
        <v>961</v>
      </c>
      <c r="T4" s="50" t="s">
        <v>961</v>
      </c>
      <c r="U4" s="50" t="s">
        <v>961</v>
      </c>
      <c r="V4" s="237" t="s">
        <v>961</v>
      </c>
      <c r="W4" s="237" t="s">
        <v>961</v>
      </c>
      <c r="X4" s="237" t="s">
        <v>961</v>
      </c>
      <c r="Y4" s="237" t="s">
        <v>961</v>
      </c>
      <c r="Z4" s="237" t="s">
        <v>961</v>
      </c>
      <c r="AA4" s="237" t="s">
        <v>961</v>
      </c>
      <c r="AB4" s="237" t="s">
        <v>961</v>
      </c>
      <c r="AC4" s="237" t="s">
        <v>961</v>
      </c>
      <c r="AD4" s="237" t="s">
        <v>961</v>
      </c>
      <c r="AE4" s="237" t="s">
        <v>961</v>
      </c>
      <c r="AF4" s="50" t="s">
        <v>961</v>
      </c>
      <c r="AG4" s="50" t="s">
        <v>961</v>
      </c>
      <c r="AH4" s="50" t="s">
        <v>961</v>
      </c>
      <c r="AI4" s="50" t="s">
        <v>961</v>
      </c>
      <c r="AJ4" s="50" t="s">
        <v>961</v>
      </c>
      <c r="AK4" s="50"/>
      <c r="AL4" s="50"/>
      <c r="AM4" s="50"/>
      <c r="AN4" s="50"/>
    </row>
    <row r="5" spans="2:40">
      <c r="B5" s="50" t="s">
        <v>911</v>
      </c>
      <c r="C5" s="50">
        <v>3</v>
      </c>
      <c r="D5" s="50" t="s">
        <v>1831</v>
      </c>
      <c r="E5" s="95">
        <v>45538</v>
      </c>
      <c r="F5" s="50">
        <v>1</v>
      </c>
      <c r="G5" s="254" t="s">
        <v>1701</v>
      </c>
      <c r="H5" s="50" t="s">
        <v>970</v>
      </c>
      <c r="I5" s="50">
        <v>0</v>
      </c>
      <c r="J5" s="50">
        <v>0</v>
      </c>
      <c r="K5" s="50" t="s">
        <v>961</v>
      </c>
      <c r="L5" s="50" t="s">
        <v>961</v>
      </c>
      <c r="M5" s="50" t="s">
        <v>961</v>
      </c>
      <c r="N5" s="50" t="s">
        <v>961</v>
      </c>
      <c r="O5" s="50" t="s">
        <v>961</v>
      </c>
      <c r="P5" s="50" t="s">
        <v>961</v>
      </c>
      <c r="Q5" s="50" t="s">
        <v>961</v>
      </c>
      <c r="R5" s="50" t="s">
        <v>961</v>
      </c>
      <c r="S5" s="50" t="s">
        <v>961</v>
      </c>
      <c r="T5" s="50" t="s">
        <v>961</v>
      </c>
      <c r="U5" s="50" t="s">
        <v>961</v>
      </c>
      <c r="V5" s="237" t="s">
        <v>961</v>
      </c>
      <c r="W5" s="237" t="s">
        <v>961</v>
      </c>
      <c r="X5" s="237" t="s">
        <v>961</v>
      </c>
      <c r="Y5" s="237" t="s">
        <v>961</v>
      </c>
      <c r="Z5" s="237" t="s">
        <v>961</v>
      </c>
      <c r="AA5" s="237" t="s">
        <v>961</v>
      </c>
      <c r="AB5" s="237" t="s">
        <v>961</v>
      </c>
      <c r="AC5" s="237" t="s">
        <v>961</v>
      </c>
      <c r="AD5" s="237" t="s">
        <v>961</v>
      </c>
      <c r="AE5" s="237" t="s">
        <v>961</v>
      </c>
      <c r="AF5" s="50" t="s">
        <v>961</v>
      </c>
      <c r="AG5" s="50" t="s">
        <v>961</v>
      </c>
      <c r="AH5" s="50" t="s">
        <v>961</v>
      </c>
      <c r="AI5" s="50">
        <v>0</v>
      </c>
      <c r="AJ5" s="50" t="s">
        <v>961</v>
      </c>
      <c r="AK5" s="50"/>
      <c r="AL5" s="50"/>
      <c r="AM5" s="50"/>
      <c r="AN5" s="50"/>
    </row>
    <row r="6" spans="2:40">
      <c r="B6" s="97" t="s">
        <v>913</v>
      </c>
      <c r="C6" s="50">
        <v>4</v>
      </c>
      <c r="D6" s="50" t="s">
        <v>964</v>
      </c>
      <c r="E6" s="95" t="s">
        <v>961</v>
      </c>
      <c r="F6" s="50">
        <v>1</v>
      </c>
      <c r="G6" s="95" t="s">
        <v>961</v>
      </c>
      <c r="H6" s="50" t="s">
        <v>961</v>
      </c>
      <c r="I6" s="50" t="s">
        <v>961</v>
      </c>
      <c r="J6" s="50" t="s">
        <v>961</v>
      </c>
      <c r="K6" s="50" t="s">
        <v>961</v>
      </c>
      <c r="L6" s="50" t="s">
        <v>961</v>
      </c>
      <c r="M6" s="50" t="s">
        <v>961</v>
      </c>
      <c r="N6" s="50" t="s">
        <v>961</v>
      </c>
      <c r="O6" s="50" t="s">
        <v>961</v>
      </c>
      <c r="P6" s="50" t="s">
        <v>961</v>
      </c>
      <c r="Q6" s="50" t="s">
        <v>961</v>
      </c>
      <c r="R6" s="50" t="s">
        <v>961</v>
      </c>
      <c r="S6" s="50" t="s">
        <v>961</v>
      </c>
      <c r="T6" s="50" t="s">
        <v>961</v>
      </c>
      <c r="U6" s="50" t="s">
        <v>961</v>
      </c>
      <c r="V6" s="237" t="s">
        <v>961</v>
      </c>
      <c r="W6" s="237" t="s">
        <v>961</v>
      </c>
      <c r="X6" s="237" t="s">
        <v>961</v>
      </c>
      <c r="Y6" s="237" t="s">
        <v>961</v>
      </c>
      <c r="Z6" s="237" t="s">
        <v>961</v>
      </c>
      <c r="AA6" s="237" t="s">
        <v>961</v>
      </c>
      <c r="AB6" s="237" t="s">
        <v>961</v>
      </c>
      <c r="AC6" s="237" t="s">
        <v>961</v>
      </c>
      <c r="AD6" s="237" t="s">
        <v>961</v>
      </c>
      <c r="AE6" s="237" t="s">
        <v>961</v>
      </c>
      <c r="AF6" s="50" t="s">
        <v>961</v>
      </c>
      <c r="AG6" s="50" t="s">
        <v>961</v>
      </c>
      <c r="AH6" s="50" t="s">
        <v>961</v>
      </c>
      <c r="AI6" s="50" t="s">
        <v>961</v>
      </c>
      <c r="AJ6" s="50" t="s">
        <v>961</v>
      </c>
      <c r="AK6" s="50"/>
      <c r="AL6" s="50"/>
      <c r="AM6" s="50"/>
      <c r="AN6" s="50"/>
    </row>
    <row r="7" spans="2:40">
      <c r="B7" s="50" t="s">
        <v>915</v>
      </c>
      <c r="C7" s="50">
        <v>5</v>
      </c>
      <c r="D7" s="50" t="s">
        <v>964</v>
      </c>
      <c r="E7" s="95" t="s">
        <v>961</v>
      </c>
      <c r="F7" s="50">
        <v>1</v>
      </c>
      <c r="G7" s="95" t="s">
        <v>961</v>
      </c>
      <c r="H7" s="50" t="s">
        <v>961</v>
      </c>
      <c r="I7" s="50" t="s">
        <v>961</v>
      </c>
      <c r="J7" s="50" t="s">
        <v>961</v>
      </c>
      <c r="K7" s="50" t="s">
        <v>961</v>
      </c>
      <c r="L7" s="50" t="s">
        <v>961</v>
      </c>
      <c r="M7" s="50" t="s">
        <v>961</v>
      </c>
      <c r="N7" s="50" t="s">
        <v>961</v>
      </c>
      <c r="O7" s="50" t="s">
        <v>961</v>
      </c>
      <c r="P7" s="50" t="s">
        <v>961</v>
      </c>
      <c r="Q7" s="50" t="s">
        <v>961</v>
      </c>
      <c r="R7" s="50" t="s">
        <v>961</v>
      </c>
      <c r="S7" s="50" t="s">
        <v>961</v>
      </c>
      <c r="T7" s="50" t="s">
        <v>961</v>
      </c>
      <c r="U7" s="50" t="s">
        <v>961</v>
      </c>
      <c r="V7" s="237" t="s">
        <v>961</v>
      </c>
      <c r="W7" s="237" t="s">
        <v>961</v>
      </c>
      <c r="X7" s="237" t="s">
        <v>961</v>
      </c>
      <c r="Y7" s="237" t="s">
        <v>961</v>
      </c>
      <c r="Z7" s="237" t="s">
        <v>961</v>
      </c>
      <c r="AA7" s="237" t="s">
        <v>961</v>
      </c>
      <c r="AB7" s="237" t="s">
        <v>961</v>
      </c>
      <c r="AC7" s="237" t="s">
        <v>961</v>
      </c>
      <c r="AD7" s="237" t="s">
        <v>961</v>
      </c>
      <c r="AE7" s="237" t="s">
        <v>961</v>
      </c>
      <c r="AF7" s="50" t="s">
        <v>961</v>
      </c>
      <c r="AG7" s="50" t="s">
        <v>961</v>
      </c>
      <c r="AH7" s="50" t="s">
        <v>961</v>
      </c>
      <c r="AI7" s="50" t="s">
        <v>961</v>
      </c>
      <c r="AJ7" s="50" t="s">
        <v>961</v>
      </c>
      <c r="AK7" s="50"/>
      <c r="AL7" s="50"/>
      <c r="AM7" s="50"/>
      <c r="AN7" s="50"/>
    </row>
    <row r="8" spans="2:40">
      <c r="B8" s="97" t="s">
        <v>916</v>
      </c>
      <c r="C8" s="50">
        <v>6</v>
      </c>
      <c r="D8" s="50" t="s">
        <v>1832</v>
      </c>
      <c r="E8" s="95">
        <v>45538</v>
      </c>
      <c r="F8" s="50">
        <v>1</v>
      </c>
      <c r="G8" s="208" cm="1">
        <f t="array" ref="G8">SUMPRODUCT(--(I8:AJ8&gt;0))/COUNTA(I8:AJ8)</f>
        <v>1</v>
      </c>
      <c r="H8" s="50" t="s">
        <v>970</v>
      </c>
      <c r="I8" s="50">
        <v>2</v>
      </c>
      <c r="J8" s="50">
        <v>30</v>
      </c>
      <c r="K8" s="50">
        <v>3</v>
      </c>
      <c r="L8" s="50">
        <v>3</v>
      </c>
      <c r="M8" s="50">
        <v>3</v>
      </c>
      <c r="N8" s="50">
        <v>10</v>
      </c>
      <c r="O8" s="50">
        <v>10</v>
      </c>
      <c r="P8" s="50">
        <v>3</v>
      </c>
      <c r="Q8" s="50">
        <v>1</v>
      </c>
      <c r="R8" s="50">
        <v>8</v>
      </c>
      <c r="S8" s="98">
        <v>8</v>
      </c>
      <c r="T8" s="98">
        <v>8</v>
      </c>
      <c r="U8" s="98">
        <v>8</v>
      </c>
      <c r="V8" s="237">
        <v>32</v>
      </c>
      <c r="W8" s="237">
        <v>23</v>
      </c>
      <c r="X8" s="237">
        <v>25</v>
      </c>
      <c r="Y8" s="237">
        <v>21</v>
      </c>
      <c r="Z8" s="237">
        <v>28</v>
      </c>
      <c r="AA8" s="237">
        <v>25</v>
      </c>
      <c r="AB8" s="237">
        <v>23</v>
      </c>
      <c r="AC8" s="237">
        <v>25</v>
      </c>
      <c r="AD8" s="237">
        <v>21</v>
      </c>
      <c r="AE8" s="237">
        <v>28</v>
      </c>
      <c r="AF8" s="50">
        <v>3</v>
      </c>
      <c r="AG8" s="50">
        <v>3</v>
      </c>
      <c r="AH8" s="50">
        <v>2</v>
      </c>
      <c r="AI8" s="50">
        <v>10</v>
      </c>
      <c r="AJ8" s="50">
        <v>22</v>
      </c>
      <c r="AK8" s="50"/>
      <c r="AL8" s="50"/>
      <c r="AM8" s="50"/>
      <c r="AN8" s="50"/>
    </row>
    <row r="9" spans="2:40">
      <c r="B9" s="50" t="s">
        <v>919</v>
      </c>
      <c r="C9" s="50">
        <v>7</v>
      </c>
      <c r="D9" s="50" t="s">
        <v>1833</v>
      </c>
      <c r="E9" s="95">
        <v>45538</v>
      </c>
      <c r="F9" s="50">
        <v>1</v>
      </c>
      <c r="G9" s="208" t="e" cm="1">
        <f t="array" aca="1" ref="G9" ca="1">SUMPRODUCT(--(I9:AJ9 &lt;= I28:AJ28))/COUNTA(I28:AJ28)</f>
        <v>#NAME?</v>
      </c>
      <c r="H9" s="50" t="s">
        <v>970</v>
      </c>
      <c r="I9" s="50">
        <v>2</v>
      </c>
      <c r="J9" s="50">
        <v>30</v>
      </c>
      <c r="K9" s="50">
        <v>3</v>
      </c>
      <c r="L9" s="50">
        <v>3</v>
      </c>
      <c r="M9" s="50">
        <v>3</v>
      </c>
      <c r="N9" s="50">
        <v>10</v>
      </c>
      <c r="O9" s="50">
        <v>10</v>
      </c>
      <c r="P9" s="50">
        <v>3</v>
      </c>
      <c r="Q9" s="50">
        <v>1</v>
      </c>
      <c r="R9" s="50">
        <v>18</v>
      </c>
      <c r="S9" s="50">
        <v>8</v>
      </c>
      <c r="T9" s="50">
        <v>18</v>
      </c>
      <c r="U9" s="50">
        <v>8</v>
      </c>
      <c r="V9" s="237">
        <v>1</v>
      </c>
      <c r="W9" s="237">
        <v>1</v>
      </c>
      <c r="X9" s="237">
        <v>1</v>
      </c>
      <c r="Y9" s="237">
        <v>1</v>
      </c>
      <c r="Z9" s="237">
        <v>1</v>
      </c>
      <c r="AA9" s="237">
        <v>1</v>
      </c>
      <c r="AB9" s="237">
        <v>1</v>
      </c>
      <c r="AC9" s="237">
        <v>1</v>
      </c>
      <c r="AD9" s="237">
        <v>1</v>
      </c>
      <c r="AE9" s="237">
        <v>1</v>
      </c>
      <c r="AF9" s="50">
        <v>3</v>
      </c>
      <c r="AG9" s="50">
        <v>3</v>
      </c>
      <c r="AH9" s="50">
        <v>2</v>
      </c>
      <c r="AI9" s="50">
        <v>10</v>
      </c>
      <c r="AJ9" s="50">
        <v>22</v>
      </c>
      <c r="AK9" s="50"/>
      <c r="AL9" s="50"/>
      <c r="AM9" s="50"/>
      <c r="AN9" s="50"/>
    </row>
    <row r="10" spans="2:40">
      <c r="B10" s="50" t="s">
        <v>922</v>
      </c>
      <c r="C10" s="50">
        <v>8</v>
      </c>
      <c r="D10" s="50" t="s">
        <v>1834</v>
      </c>
      <c r="E10" s="95">
        <v>45538</v>
      </c>
      <c r="F10" s="50">
        <v>1</v>
      </c>
      <c r="G10" s="95" t="s">
        <v>961</v>
      </c>
      <c r="H10" s="50" t="s">
        <v>970</v>
      </c>
      <c r="I10" s="50">
        <v>31</v>
      </c>
      <c r="J10" s="50">
        <v>4.0142670650000004E+25</v>
      </c>
      <c r="K10" s="50" t="s">
        <v>1835</v>
      </c>
      <c r="L10" s="50">
        <v>29</v>
      </c>
      <c r="M10" s="50">
        <v>1</v>
      </c>
      <c r="N10" s="95">
        <v>28877</v>
      </c>
      <c r="O10" s="95">
        <v>2958465</v>
      </c>
      <c r="P10" s="50">
        <v>36</v>
      </c>
      <c r="Q10" s="50">
        <v>0</v>
      </c>
      <c r="R10" s="98">
        <v>-1419736369000000</v>
      </c>
      <c r="S10" s="192" t="s">
        <v>970</v>
      </c>
      <c r="T10" s="98">
        <v>-1419736369000000</v>
      </c>
      <c r="U10" s="98" t="s">
        <v>970</v>
      </c>
      <c r="V10" s="238" t="s">
        <v>1472</v>
      </c>
      <c r="W10" s="238" t="s">
        <v>546</v>
      </c>
      <c r="X10" s="237" t="s">
        <v>547</v>
      </c>
      <c r="Y10" s="238" t="s">
        <v>548</v>
      </c>
      <c r="Z10" s="238" t="s">
        <v>517</v>
      </c>
      <c r="AA10" s="237" t="s">
        <v>392</v>
      </c>
      <c r="AB10" s="237" t="s">
        <v>404</v>
      </c>
      <c r="AC10" s="237" t="s">
        <v>414</v>
      </c>
      <c r="AD10" s="237" t="s">
        <v>424</v>
      </c>
      <c r="AE10" s="237" t="s">
        <v>432</v>
      </c>
      <c r="AF10" s="50" t="s">
        <v>971</v>
      </c>
      <c r="AG10" s="50" t="s">
        <v>972</v>
      </c>
      <c r="AH10" s="50" t="s">
        <v>1089</v>
      </c>
      <c r="AI10" s="95">
        <v>45538</v>
      </c>
      <c r="AJ10" s="95" t="s">
        <v>1836</v>
      </c>
      <c r="AK10" s="50"/>
      <c r="AL10" s="50"/>
      <c r="AM10" s="95"/>
      <c r="AN10" s="95"/>
    </row>
    <row r="11" spans="2:40">
      <c r="B11" s="50" t="s">
        <v>924</v>
      </c>
      <c r="C11" s="50">
        <v>9</v>
      </c>
      <c r="D11" s="50" t="s">
        <v>1837</v>
      </c>
      <c r="E11" s="95">
        <v>45538</v>
      </c>
      <c r="F11" s="50">
        <v>1</v>
      </c>
      <c r="G11" s="95" t="s">
        <v>961</v>
      </c>
      <c r="H11" s="50" t="s">
        <v>970</v>
      </c>
      <c r="I11" s="50"/>
      <c r="J11" s="50">
        <v>4.0142670650000004E+25</v>
      </c>
      <c r="K11" s="50" t="s">
        <v>1838</v>
      </c>
      <c r="L11" s="50">
        <v>29</v>
      </c>
      <c r="M11" s="50">
        <v>1</v>
      </c>
      <c r="N11" s="95">
        <v>28877</v>
      </c>
      <c r="O11" s="95" t="s">
        <v>1084</v>
      </c>
      <c r="P11" s="50">
        <v>36</v>
      </c>
      <c r="Q11" s="50">
        <v>0</v>
      </c>
      <c r="R11" s="98">
        <v>-1419736369000000</v>
      </c>
      <c r="S11" s="50" t="s">
        <v>970</v>
      </c>
      <c r="T11" s="98">
        <v>-1419736369000000</v>
      </c>
      <c r="U11" s="50" t="s">
        <v>970</v>
      </c>
      <c r="V11" s="237" t="s">
        <v>1472</v>
      </c>
      <c r="W11" s="237" t="s">
        <v>546</v>
      </c>
      <c r="X11" s="237" t="s">
        <v>547</v>
      </c>
      <c r="Y11" s="238" t="s">
        <v>548</v>
      </c>
      <c r="Z11" s="238" t="s">
        <v>517</v>
      </c>
      <c r="AA11" s="237" t="s">
        <v>392</v>
      </c>
      <c r="AB11" s="237" t="s">
        <v>404</v>
      </c>
      <c r="AC11" s="237" t="s">
        <v>414</v>
      </c>
      <c r="AD11" s="237" t="s">
        <v>424</v>
      </c>
      <c r="AE11" s="237" t="s">
        <v>432</v>
      </c>
      <c r="AF11" s="50">
        <v>0</v>
      </c>
      <c r="AG11" s="50"/>
      <c r="AH11" s="50" t="s">
        <v>1089</v>
      </c>
      <c r="AI11" s="95">
        <v>45538</v>
      </c>
      <c r="AJ11" s="95" t="s">
        <v>1839</v>
      </c>
      <c r="AK11" s="50"/>
      <c r="AL11" s="50"/>
      <c r="AM11" s="95"/>
      <c r="AN11" s="95"/>
    </row>
    <row r="12" spans="2:40">
      <c r="B12" s="97" t="s">
        <v>926</v>
      </c>
      <c r="C12" s="50">
        <v>10</v>
      </c>
      <c r="D12" s="50" t="s">
        <v>1840</v>
      </c>
      <c r="E12" s="95">
        <v>45538</v>
      </c>
      <c r="F12" s="50">
        <v>1</v>
      </c>
      <c r="G12" s="95" t="s">
        <v>961</v>
      </c>
      <c r="H12" s="50" t="s">
        <v>970</v>
      </c>
      <c r="I12" s="50">
        <v>31</v>
      </c>
      <c r="J12" s="50">
        <v>2.5631600365802999E+29</v>
      </c>
      <c r="K12" s="50" t="s">
        <v>1835</v>
      </c>
      <c r="L12" s="50">
        <v>30</v>
      </c>
      <c r="M12" s="50">
        <v>340</v>
      </c>
      <c r="N12" s="95">
        <v>45135</v>
      </c>
      <c r="O12" s="95">
        <v>2958465</v>
      </c>
      <c r="P12" s="50">
        <v>985</v>
      </c>
      <c r="Q12" s="50">
        <v>0</v>
      </c>
      <c r="R12" s="98">
        <v>5007826750000</v>
      </c>
      <c r="S12" s="192" t="s">
        <v>970</v>
      </c>
      <c r="T12" s="98">
        <v>5007826750000</v>
      </c>
      <c r="U12" s="98" t="s">
        <v>970</v>
      </c>
      <c r="V12" s="238" t="s">
        <v>1472</v>
      </c>
      <c r="W12" s="238" t="s">
        <v>546</v>
      </c>
      <c r="X12" s="238" t="s">
        <v>547</v>
      </c>
      <c r="Y12" s="238" t="s">
        <v>548</v>
      </c>
      <c r="Z12" s="238" t="s">
        <v>517</v>
      </c>
      <c r="AA12" s="238" t="s">
        <v>392</v>
      </c>
      <c r="AB12" s="237" t="s">
        <v>404</v>
      </c>
      <c r="AC12" s="237" t="s">
        <v>414</v>
      </c>
      <c r="AD12" s="239" t="s">
        <v>424</v>
      </c>
      <c r="AE12" s="237" t="s">
        <v>432</v>
      </c>
      <c r="AF12" s="50" t="s">
        <v>971</v>
      </c>
      <c r="AG12" s="50" t="s">
        <v>972</v>
      </c>
      <c r="AH12" s="50" t="s">
        <v>1089</v>
      </c>
      <c r="AI12" s="95">
        <v>45538</v>
      </c>
      <c r="AJ12" s="95" t="s">
        <v>1836</v>
      </c>
      <c r="AK12" s="50"/>
      <c r="AL12" s="50"/>
      <c r="AM12" s="95"/>
      <c r="AN12" s="95"/>
    </row>
    <row r="13" spans="2:40">
      <c r="B13" s="50" t="s">
        <v>928</v>
      </c>
      <c r="C13" s="50">
        <v>11</v>
      </c>
      <c r="D13" s="50" t="s">
        <v>1841</v>
      </c>
      <c r="E13" s="95">
        <v>45538</v>
      </c>
      <c r="F13" s="50">
        <v>1</v>
      </c>
      <c r="G13" s="95" t="s">
        <v>961</v>
      </c>
      <c r="H13" s="50" t="s">
        <v>970</v>
      </c>
      <c r="I13" s="50"/>
      <c r="J13" s="50">
        <v>2.5631600365802999E+29</v>
      </c>
      <c r="K13" s="50" t="s">
        <v>1838</v>
      </c>
      <c r="L13" s="50">
        <v>30</v>
      </c>
      <c r="M13" s="50">
        <v>340</v>
      </c>
      <c r="N13" s="95">
        <v>45135</v>
      </c>
      <c r="O13" s="95" t="s">
        <v>1084</v>
      </c>
      <c r="P13" s="50">
        <v>985</v>
      </c>
      <c r="Q13" s="50">
        <v>0</v>
      </c>
      <c r="R13" s="98">
        <v>5007826750000</v>
      </c>
      <c r="S13" s="95" t="s">
        <v>970</v>
      </c>
      <c r="T13" s="98">
        <v>5007826750000</v>
      </c>
      <c r="U13" s="98" t="s">
        <v>970</v>
      </c>
      <c r="V13" s="237" t="s">
        <v>1472</v>
      </c>
      <c r="W13" s="237" t="s">
        <v>546</v>
      </c>
      <c r="X13" s="237" t="s">
        <v>547</v>
      </c>
      <c r="Y13" s="238" t="s">
        <v>548</v>
      </c>
      <c r="Z13" s="238" t="s">
        <v>517</v>
      </c>
      <c r="AA13" s="238" t="s">
        <v>392</v>
      </c>
      <c r="AB13" s="237" t="s">
        <v>404</v>
      </c>
      <c r="AC13" s="237" t="s">
        <v>414</v>
      </c>
      <c r="AD13" s="239" t="s">
        <v>424</v>
      </c>
      <c r="AE13" s="237" t="s">
        <v>432</v>
      </c>
      <c r="AF13" s="50">
        <v>0</v>
      </c>
      <c r="AG13" s="50"/>
      <c r="AH13" s="50" t="s">
        <v>1089</v>
      </c>
      <c r="AI13" s="95">
        <v>45538</v>
      </c>
      <c r="AJ13" s="95" t="s">
        <v>1842</v>
      </c>
      <c r="AK13" s="50"/>
      <c r="AL13" s="50"/>
      <c r="AM13" s="95"/>
      <c r="AN13" s="95"/>
    </row>
    <row r="14" spans="2:40">
      <c r="B14" s="50" t="s">
        <v>930</v>
      </c>
      <c r="C14" s="50">
        <v>12</v>
      </c>
      <c r="D14" s="50" t="s">
        <v>1843</v>
      </c>
      <c r="E14" s="95">
        <v>45538</v>
      </c>
      <c r="F14" s="50">
        <v>1</v>
      </c>
      <c r="G14" s="254" t="s">
        <v>1701</v>
      </c>
      <c r="H14" s="50" t="s">
        <v>970</v>
      </c>
      <c r="I14" s="50">
        <v>0</v>
      </c>
      <c r="J14" s="50">
        <v>0</v>
      </c>
      <c r="K14" s="50">
        <v>0</v>
      </c>
      <c r="L14" s="50">
        <v>0</v>
      </c>
      <c r="M14" s="50">
        <v>0</v>
      </c>
      <c r="N14" s="50">
        <v>0</v>
      </c>
      <c r="O14" s="50">
        <v>0</v>
      </c>
      <c r="P14" s="50">
        <v>0</v>
      </c>
      <c r="Q14" s="50">
        <v>0</v>
      </c>
      <c r="R14" s="50">
        <v>0</v>
      </c>
      <c r="S14" s="50">
        <v>0</v>
      </c>
      <c r="T14" s="50">
        <v>0</v>
      </c>
      <c r="U14" s="50">
        <v>0</v>
      </c>
      <c r="V14" s="238">
        <v>0</v>
      </c>
      <c r="W14" s="238">
        <v>0</v>
      </c>
      <c r="X14" s="238">
        <v>0</v>
      </c>
      <c r="Y14" s="237">
        <v>0</v>
      </c>
      <c r="Z14" s="237">
        <v>0</v>
      </c>
      <c r="AA14" s="237">
        <v>0</v>
      </c>
      <c r="AB14" s="237">
        <v>0</v>
      </c>
      <c r="AC14" s="237">
        <v>0</v>
      </c>
      <c r="AD14" s="237">
        <v>0</v>
      </c>
      <c r="AE14" s="237">
        <v>0</v>
      </c>
      <c r="AF14" s="50">
        <v>0</v>
      </c>
      <c r="AG14" s="50">
        <v>0</v>
      </c>
      <c r="AH14" s="50">
        <v>0</v>
      </c>
      <c r="AI14" s="50">
        <v>0</v>
      </c>
      <c r="AJ14" s="50">
        <v>0</v>
      </c>
      <c r="AK14" s="50"/>
      <c r="AL14" s="50"/>
      <c r="AM14" s="50"/>
      <c r="AN14" s="50"/>
    </row>
    <row r="15" spans="2:40">
      <c r="B15" s="50" t="s">
        <v>932</v>
      </c>
      <c r="C15" s="50">
        <v>13</v>
      </c>
      <c r="D15" s="50" t="s">
        <v>1844</v>
      </c>
      <c r="E15" s="95">
        <v>45538</v>
      </c>
      <c r="F15" s="50">
        <v>1</v>
      </c>
      <c r="G15" s="254" t="s">
        <v>1701</v>
      </c>
      <c r="H15" s="50" t="s">
        <v>970</v>
      </c>
      <c r="I15" s="50" t="s">
        <v>961</v>
      </c>
      <c r="J15" s="50" t="s">
        <v>961</v>
      </c>
      <c r="K15" s="50" t="s">
        <v>961</v>
      </c>
      <c r="L15" s="50" t="s">
        <v>961</v>
      </c>
      <c r="M15" s="50" t="s">
        <v>961</v>
      </c>
      <c r="N15" s="95">
        <v>0</v>
      </c>
      <c r="O15" s="95">
        <v>0</v>
      </c>
      <c r="P15" s="50" t="s">
        <v>961</v>
      </c>
      <c r="Q15" s="50" t="s">
        <v>961</v>
      </c>
      <c r="R15" s="50" t="s">
        <v>961</v>
      </c>
      <c r="S15" s="95" t="s">
        <v>961</v>
      </c>
      <c r="T15" s="95" t="s">
        <v>961</v>
      </c>
      <c r="U15" s="95" t="s">
        <v>961</v>
      </c>
      <c r="V15" s="237" t="s">
        <v>961</v>
      </c>
      <c r="W15" s="237" t="s">
        <v>961</v>
      </c>
      <c r="X15" s="237" t="s">
        <v>961</v>
      </c>
      <c r="Y15" s="237" t="s">
        <v>961</v>
      </c>
      <c r="Z15" s="237" t="s">
        <v>961</v>
      </c>
      <c r="AA15" s="237" t="s">
        <v>961</v>
      </c>
      <c r="AB15" s="237" t="s">
        <v>961</v>
      </c>
      <c r="AC15" s="237" t="s">
        <v>961</v>
      </c>
      <c r="AD15" s="239" t="s">
        <v>961</v>
      </c>
      <c r="AE15" s="237" t="s">
        <v>961</v>
      </c>
      <c r="AF15" s="50" t="s">
        <v>961</v>
      </c>
      <c r="AG15" s="50" t="s">
        <v>961</v>
      </c>
      <c r="AH15" s="50" t="s">
        <v>961</v>
      </c>
      <c r="AI15" s="95" t="s">
        <v>961</v>
      </c>
      <c r="AJ15" s="50" t="s">
        <v>961</v>
      </c>
      <c r="AK15" s="50"/>
      <c r="AL15" s="50"/>
      <c r="AM15" s="50"/>
      <c r="AN15" s="95"/>
    </row>
    <row r="16" spans="2:40">
      <c r="B16" s="50" t="s">
        <v>934</v>
      </c>
      <c r="C16" s="50">
        <v>14</v>
      </c>
      <c r="D16" s="50" t="s">
        <v>1845</v>
      </c>
      <c r="E16" s="95">
        <v>45538</v>
      </c>
      <c r="F16" s="50">
        <v>1</v>
      </c>
      <c r="G16" s="254" t="s">
        <v>1701</v>
      </c>
      <c r="H16" s="50" t="s">
        <v>970</v>
      </c>
      <c r="I16" s="50">
        <v>0</v>
      </c>
      <c r="J16" s="50">
        <v>0</v>
      </c>
      <c r="K16" s="50">
        <v>0</v>
      </c>
      <c r="L16" s="50">
        <v>0</v>
      </c>
      <c r="M16" s="50">
        <v>0</v>
      </c>
      <c r="N16" s="50" t="s">
        <v>961</v>
      </c>
      <c r="O16" s="50" t="s">
        <v>961</v>
      </c>
      <c r="P16" s="50">
        <v>0</v>
      </c>
      <c r="Q16" s="50" t="s">
        <v>961</v>
      </c>
      <c r="R16" s="50" t="s">
        <v>961</v>
      </c>
      <c r="S16" s="50" t="s">
        <v>961</v>
      </c>
      <c r="T16" s="50" t="s">
        <v>961</v>
      </c>
      <c r="U16" s="50" t="s">
        <v>961</v>
      </c>
      <c r="V16" s="237" t="s">
        <v>961</v>
      </c>
      <c r="W16" s="237" t="s">
        <v>961</v>
      </c>
      <c r="X16" s="237" t="s">
        <v>961</v>
      </c>
      <c r="Y16" s="237" t="s">
        <v>961</v>
      </c>
      <c r="Z16" s="237" t="s">
        <v>961</v>
      </c>
      <c r="AA16" s="237">
        <v>0</v>
      </c>
      <c r="AB16" s="237" t="s">
        <v>961</v>
      </c>
      <c r="AC16" s="237" t="s">
        <v>961</v>
      </c>
      <c r="AD16" s="237" t="s">
        <v>961</v>
      </c>
      <c r="AE16" s="237" t="s">
        <v>961</v>
      </c>
      <c r="AF16" s="50">
        <v>0</v>
      </c>
      <c r="AG16" s="50">
        <v>0</v>
      </c>
      <c r="AH16" s="50">
        <v>0</v>
      </c>
      <c r="AI16" s="50" t="s">
        <v>961</v>
      </c>
      <c r="AJ16" s="50" t="s">
        <v>961</v>
      </c>
      <c r="AK16" s="50"/>
      <c r="AL16" s="50"/>
      <c r="AM16" s="50"/>
      <c r="AN16" s="50"/>
    </row>
    <row r="17" spans="2:40">
      <c r="B17" s="50" t="s">
        <v>936</v>
      </c>
      <c r="C17" s="50">
        <v>15</v>
      </c>
      <c r="D17" s="50" t="s">
        <v>1846</v>
      </c>
      <c r="E17" s="95">
        <v>45538</v>
      </c>
      <c r="F17" s="50">
        <v>1</v>
      </c>
      <c r="G17" s="254" t="s">
        <v>1701</v>
      </c>
      <c r="H17" s="50" t="s">
        <v>970</v>
      </c>
      <c r="I17" s="50" t="s">
        <v>961</v>
      </c>
      <c r="J17" s="50" t="s">
        <v>961</v>
      </c>
      <c r="K17" s="50" t="s">
        <v>961</v>
      </c>
      <c r="L17" s="50" t="s">
        <v>961</v>
      </c>
      <c r="M17" s="50" t="s">
        <v>961</v>
      </c>
      <c r="N17" s="97" t="s">
        <v>961</v>
      </c>
      <c r="O17" s="97" t="s">
        <v>961</v>
      </c>
      <c r="P17" s="97" t="s">
        <v>961</v>
      </c>
      <c r="Q17" s="97" t="s">
        <v>961</v>
      </c>
      <c r="R17" s="97" t="s">
        <v>961</v>
      </c>
      <c r="S17" s="50" t="s">
        <v>961</v>
      </c>
      <c r="T17" s="97" t="s">
        <v>961</v>
      </c>
      <c r="U17" s="97" t="s">
        <v>961</v>
      </c>
      <c r="V17" s="237" t="s">
        <v>961</v>
      </c>
      <c r="W17" s="237" t="s">
        <v>961</v>
      </c>
      <c r="X17" s="237" t="s">
        <v>961</v>
      </c>
      <c r="Y17" s="237" t="s">
        <v>961</v>
      </c>
      <c r="Z17" s="237" t="s">
        <v>961</v>
      </c>
      <c r="AA17" s="237" t="s">
        <v>961</v>
      </c>
      <c r="AB17" s="237" t="s">
        <v>961</v>
      </c>
      <c r="AC17" s="237" t="s">
        <v>961</v>
      </c>
      <c r="AD17" s="237" t="s">
        <v>961</v>
      </c>
      <c r="AE17" s="237" t="s">
        <v>961</v>
      </c>
      <c r="AF17" s="50" t="s">
        <v>961</v>
      </c>
      <c r="AG17" s="50" t="s">
        <v>961</v>
      </c>
      <c r="AH17" s="50" t="s">
        <v>961</v>
      </c>
      <c r="AI17" s="50" t="s">
        <v>961</v>
      </c>
      <c r="AJ17" s="50" t="s">
        <v>961</v>
      </c>
      <c r="AK17" s="50"/>
      <c r="AL17" s="50"/>
      <c r="AM17" s="50"/>
      <c r="AN17" s="50"/>
    </row>
    <row r="18" spans="2:40">
      <c r="B18" s="50" t="s">
        <v>938</v>
      </c>
      <c r="C18" s="50">
        <v>16</v>
      </c>
      <c r="D18" s="50" t="s">
        <v>1846</v>
      </c>
      <c r="E18" s="95">
        <v>45538</v>
      </c>
      <c r="F18" s="50">
        <v>1</v>
      </c>
      <c r="G18" s="254" t="s">
        <v>1701</v>
      </c>
      <c r="H18" s="50" t="s">
        <v>970</v>
      </c>
      <c r="I18" s="50" t="s">
        <v>961</v>
      </c>
      <c r="J18" s="50" t="s">
        <v>961</v>
      </c>
      <c r="K18" s="50" t="s">
        <v>961</v>
      </c>
      <c r="L18" s="50" t="s">
        <v>961</v>
      </c>
      <c r="M18" s="50" t="s">
        <v>961</v>
      </c>
      <c r="N18" s="97" t="s">
        <v>961</v>
      </c>
      <c r="O18" s="97" t="s">
        <v>961</v>
      </c>
      <c r="P18" s="50" t="s">
        <v>961</v>
      </c>
      <c r="Q18" s="50" t="s">
        <v>961</v>
      </c>
      <c r="R18" s="97" t="s">
        <v>961</v>
      </c>
      <c r="S18" s="97" t="s">
        <v>961</v>
      </c>
      <c r="T18" s="50" t="s">
        <v>961</v>
      </c>
      <c r="U18" s="50" t="s">
        <v>961</v>
      </c>
      <c r="V18" s="237" t="s">
        <v>961</v>
      </c>
      <c r="W18" s="237" t="s">
        <v>961</v>
      </c>
      <c r="X18" s="237" t="s">
        <v>961</v>
      </c>
      <c r="Y18" s="237" t="s">
        <v>961</v>
      </c>
      <c r="Z18" s="237" t="s">
        <v>961</v>
      </c>
      <c r="AA18" s="237" t="s">
        <v>961</v>
      </c>
      <c r="AB18" s="237" t="s">
        <v>961</v>
      </c>
      <c r="AC18" s="237" t="s">
        <v>961</v>
      </c>
      <c r="AD18" s="237" t="s">
        <v>961</v>
      </c>
      <c r="AE18" s="237" t="s">
        <v>961</v>
      </c>
      <c r="AF18" s="50" t="s">
        <v>961</v>
      </c>
      <c r="AG18" s="50" t="s">
        <v>961</v>
      </c>
      <c r="AH18" s="50" t="s">
        <v>961</v>
      </c>
      <c r="AI18" s="50" t="s">
        <v>961</v>
      </c>
      <c r="AJ18" s="50" t="s">
        <v>961</v>
      </c>
      <c r="AK18" s="50"/>
      <c r="AL18" s="50"/>
      <c r="AM18" s="50"/>
      <c r="AN18" s="50"/>
    </row>
    <row r="19" spans="2:40">
      <c r="B19" s="50" t="s">
        <v>940</v>
      </c>
      <c r="C19" s="50">
        <v>17</v>
      </c>
      <c r="D19" s="50" t="s">
        <v>1847</v>
      </c>
      <c r="E19" s="95">
        <v>45538</v>
      </c>
      <c r="F19" s="50">
        <v>1</v>
      </c>
      <c r="G19" s="254">
        <v>0.63</v>
      </c>
      <c r="H19" s="242" t="s">
        <v>1848</v>
      </c>
      <c r="I19" s="50" t="s">
        <v>961</v>
      </c>
      <c r="J19" s="50" t="s">
        <v>961</v>
      </c>
      <c r="K19" s="50" t="s">
        <v>961</v>
      </c>
      <c r="L19" s="50" t="s">
        <v>961</v>
      </c>
      <c r="M19" s="50" t="s">
        <v>961</v>
      </c>
      <c r="N19" s="50" t="s">
        <v>961</v>
      </c>
      <c r="O19" s="50" t="s">
        <v>961</v>
      </c>
      <c r="P19" s="50" t="s">
        <v>961</v>
      </c>
      <c r="Q19" s="97" t="s">
        <v>961</v>
      </c>
      <c r="R19" s="50" t="s">
        <v>961</v>
      </c>
      <c r="S19" s="50" t="s">
        <v>961</v>
      </c>
      <c r="T19" s="50" t="s">
        <v>961</v>
      </c>
      <c r="U19" s="50" t="s">
        <v>961</v>
      </c>
      <c r="V19" s="237" t="s">
        <v>961</v>
      </c>
      <c r="W19" s="237" t="s">
        <v>961</v>
      </c>
      <c r="X19" s="237" t="s">
        <v>961</v>
      </c>
      <c r="Y19" s="237" t="s">
        <v>961</v>
      </c>
      <c r="Z19" s="237" t="s">
        <v>961</v>
      </c>
      <c r="AA19" s="237" t="s">
        <v>961</v>
      </c>
      <c r="AB19" s="237" t="s">
        <v>961</v>
      </c>
      <c r="AC19" s="237" t="s">
        <v>961</v>
      </c>
      <c r="AD19" s="237" t="s">
        <v>961</v>
      </c>
      <c r="AE19" s="237" t="s">
        <v>961</v>
      </c>
      <c r="AF19" s="50" t="s">
        <v>961</v>
      </c>
      <c r="AG19" s="50" t="s">
        <v>961</v>
      </c>
      <c r="AH19" s="50" t="s">
        <v>961</v>
      </c>
      <c r="AI19" s="50" t="s">
        <v>961</v>
      </c>
      <c r="AJ19" s="50" t="s">
        <v>961</v>
      </c>
      <c r="AK19" s="50"/>
      <c r="AL19" s="50"/>
      <c r="AM19" s="50"/>
      <c r="AN19" s="50"/>
    </row>
    <row r="20" spans="2:40">
      <c r="B20" s="50" t="s">
        <v>942</v>
      </c>
      <c r="C20" s="50">
        <v>18</v>
      </c>
      <c r="D20" s="50" t="s">
        <v>1847</v>
      </c>
      <c r="E20" s="95">
        <v>45538</v>
      </c>
      <c r="F20" s="50">
        <v>1</v>
      </c>
      <c r="G20" s="254" t="s">
        <v>1701</v>
      </c>
      <c r="H20" s="192" t="s">
        <v>970</v>
      </c>
      <c r="I20" s="50" t="s">
        <v>961</v>
      </c>
      <c r="J20" s="50" t="s">
        <v>961</v>
      </c>
      <c r="K20" s="50" t="s">
        <v>961</v>
      </c>
      <c r="L20" s="50" t="s">
        <v>961</v>
      </c>
      <c r="M20" s="50" t="s">
        <v>961</v>
      </c>
      <c r="N20" s="50" t="s">
        <v>961</v>
      </c>
      <c r="O20" s="50" t="s">
        <v>961</v>
      </c>
      <c r="P20" s="50" t="s">
        <v>961</v>
      </c>
      <c r="Q20" s="50" t="s">
        <v>961</v>
      </c>
      <c r="R20" s="50" t="s">
        <v>961</v>
      </c>
      <c r="S20" s="50" t="s">
        <v>961</v>
      </c>
      <c r="T20" s="50" t="s">
        <v>961</v>
      </c>
      <c r="U20" s="50" t="s">
        <v>961</v>
      </c>
      <c r="V20" s="237" t="s">
        <v>961</v>
      </c>
      <c r="W20" s="237" t="s">
        <v>961</v>
      </c>
      <c r="X20" s="237" t="s">
        <v>961</v>
      </c>
      <c r="Y20" s="237" t="s">
        <v>961</v>
      </c>
      <c r="Z20" s="237" t="s">
        <v>961</v>
      </c>
      <c r="AA20" s="237" t="s">
        <v>961</v>
      </c>
      <c r="AB20" s="237" t="s">
        <v>961</v>
      </c>
      <c r="AC20" s="237" t="s">
        <v>961</v>
      </c>
      <c r="AD20" s="237" t="s">
        <v>961</v>
      </c>
      <c r="AE20" s="237" t="s">
        <v>961</v>
      </c>
      <c r="AF20" s="50" t="s">
        <v>961</v>
      </c>
      <c r="AG20" s="50" t="s">
        <v>961</v>
      </c>
      <c r="AH20" s="50" t="s">
        <v>961</v>
      </c>
      <c r="AI20" s="50" t="s">
        <v>961</v>
      </c>
      <c r="AJ20" s="50" t="s">
        <v>961</v>
      </c>
      <c r="AK20" s="50"/>
      <c r="AL20" s="50"/>
      <c r="AM20" s="50"/>
      <c r="AN20" s="50"/>
    </row>
    <row r="21" spans="2:40">
      <c r="B21" s="50" t="s">
        <v>944</v>
      </c>
      <c r="C21" s="50">
        <v>19</v>
      </c>
      <c r="D21" s="50" t="s">
        <v>1849</v>
      </c>
      <c r="E21" s="95">
        <v>45538</v>
      </c>
      <c r="F21" s="50">
        <v>1</v>
      </c>
      <c r="G21" s="208" cm="1">
        <f t="array" aca="1" ref="G21" ca="1">SUMPRODUCT(--(ISNUMBER((SEARCH(I27:AJ27,I21:AJ21)))))/COUNTA(I21:AJ21)</f>
        <v>0</v>
      </c>
      <c r="H21" s="50" t="s">
        <v>970</v>
      </c>
      <c r="I21" s="50" t="s">
        <v>995</v>
      </c>
      <c r="J21" s="50" t="s">
        <v>995</v>
      </c>
      <c r="K21" s="50" t="s">
        <v>995</v>
      </c>
      <c r="L21" s="50" t="s">
        <v>995</v>
      </c>
      <c r="M21" s="50" t="s">
        <v>995</v>
      </c>
      <c r="N21" s="50" t="s">
        <v>995</v>
      </c>
      <c r="O21" s="50" t="s">
        <v>995</v>
      </c>
      <c r="P21" s="97" t="s">
        <v>995</v>
      </c>
      <c r="Q21" s="97" t="s">
        <v>995</v>
      </c>
      <c r="R21" s="50" t="s">
        <v>996</v>
      </c>
      <c r="S21" s="50" t="s">
        <v>996</v>
      </c>
      <c r="T21" s="50" t="s">
        <v>996</v>
      </c>
      <c r="U21" s="50" t="s">
        <v>996</v>
      </c>
      <c r="V21" s="237" t="s">
        <v>995</v>
      </c>
      <c r="W21" s="237" t="s">
        <v>995</v>
      </c>
      <c r="X21" s="237" t="s">
        <v>995</v>
      </c>
      <c r="Y21" s="237" t="s">
        <v>995</v>
      </c>
      <c r="Z21" s="237" t="s">
        <v>995</v>
      </c>
      <c r="AA21" s="237" t="s">
        <v>995</v>
      </c>
      <c r="AB21" s="237" t="s">
        <v>995</v>
      </c>
      <c r="AC21" s="237" t="s">
        <v>995</v>
      </c>
      <c r="AD21" s="237" t="s">
        <v>995</v>
      </c>
      <c r="AE21" s="237" t="s">
        <v>995</v>
      </c>
      <c r="AF21" s="50" t="s">
        <v>995</v>
      </c>
      <c r="AG21" s="50" t="s">
        <v>995</v>
      </c>
      <c r="AH21" s="50" t="s">
        <v>995</v>
      </c>
      <c r="AI21" s="50" t="s">
        <v>995</v>
      </c>
      <c r="AJ21" s="50" t="s">
        <v>997</v>
      </c>
      <c r="AK21" s="50"/>
      <c r="AL21" s="50"/>
      <c r="AM21" s="50"/>
      <c r="AN21" s="50"/>
    </row>
    <row r="22" spans="2:40">
      <c r="B22" s="50" t="s">
        <v>947</v>
      </c>
      <c r="C22" s="50">
        <v>20</v>
      </c>
      <c r="D22" s="50"/>
      <c r="E22" s="95"/>
      <c r="F22" s="50"/>
      <c r="G22" s="192" t="e" cm="1">
        <f t="array" aca="1" ref="G22" ca="1">SUM(IF(I2:AJ2 = I26:AJ26, 1, 0))/ COUNTA(I2:AJ2)</f>
        <v>#NAME?</v>
      </c>
      <c r="H22" s="50"/>
      <c r="I22" s="50"/>
      <c r="J22" s="50"/>
      <c r="K22" s="50"/>
      <c r="L22" s="50"/>
      <c r="M22" s="50"/>
      <c r="N22" s="50"/>
      <c r="O22" s="50"/>
      <c r="P22" s="50"/>
      <c r="Q22" s="50"/>
      <c r="R22" s="50"/>
      <c r="S22" s="50"/>
      <c r="T22" s="50"/>
      <c r="U22" s="50"/>
      <c r="V22" s="237"/>
      <c r="W22" s="237"/>
      <c r="X22" s="237"/>
      <c r="Y22" s="237"/>
      <c r="Z22" s="237"/>
      <c r="AA22" s="237"/>
      <c r="AB22" s="237"/>
      <c r="AC22" s="237"/>
      <c r="AD22" s="237"/>
      <c r="AE22" s="237"/>
      <c r="AF22" s="50"/>
      <c r="AG22" s="50"/>
      <c r="AH22" s="50"/>
      <c r="AI22" s="50"/>
      <c r="AJ22" s="50"/>
      <c r="AK22" s="50"/>
      <c r="AL22" s="50"/>
      <c r="AM22" s="50"/>
      <c r="AN22" s="50"/>
    </row>
    <row r="23" spans="2:40">
      <c r="B23" s="50" t="s">
        <v>950</v>
      </c>
      <c r="C23" s="50">
        <v>21</v>
      </c>
      <c r="D23" s="50"/>
      <c r="E23" s="95"/>
      <c r="F23" s="50"/>
      <c r="G23" s="192" t="e" cm="1">
        <f t="array" aca="1" ref="G23" ca="1">SUM(IF(IF(G3:G22="null",1,G3:G22)=1,1,0))/COUNT(IF(G3:G22="null",1,1))</f>
        <v>#NAME?</v>
      </c>
      <c r="H23" s="50"/>
      <c r="I23" s="50"/>
      <c r="J23" s="50"/>
      <c r="K23" s="50"/>
      <c r="L23" s="50"/>
      <c r="M23" s="50"/>
      <c r="N23" s="50"/>
      <c r="O23" s="50"/>
      <c r="P23" s="50"/>
      <c r="Q23" s="50"/>
      <c r="R23" s="50"/>
      <c r="S23" s="50"/>
      <c r="T23" s="50"/>
      <c r="U23" s="50"/>
      <c r="V23" s="237"/>
      <c r="W23" s="237"/>
      <c r="X23" s="237"/>
      <c r="Y23" s="237"/>
      <c r="Z23" s="237"/>
      <c r="AA23" s="237"/>
      <c r="AB23" s="237"/>
      <c r="AC23" s="237"/>
      <c r="AD23" s="237"/>
      <c r="AE23" s="237"/>
      <c r="AF23" s="50"/>
      <c r="AG23" s="50"/>
      <c r="AH23" s="50"/>
      <c r="AI23" s="50"/>
      <c r="AJ23" s="50"/>
      <c r="AK23" s="50"/>
      <c r="AL23" s="50"/>
      <c r="AM23" s="50"/>
      <c r="AN23" s="50"/>
    </row>
    <row r="25" spans="2:40">
      <c r="B25" s="130" t="s">
        <v>1067</v>
      </c>
    </row>
    <row r="26" spans="2:40">
      <c r="B26" s="128" t="s">
        <v>953</v>
      </c>
      <c r="C26" s="129" t="s">
        <v>954</v>
      </c>
      <c r="D26" s="129" t="s">
        <v>955</v>
      </c>
      <c r="E26" s="129" t="s">
        <v>956</v>
      </c>
      <c r="F26" s="129" t="s">
        <v>957</v>
      </c>
      <c r="G26" s="129" t="s">
        <v>958</v>
      </c>
      <c r="H26" s="129" t="s">
        <v>959</v>
      </c>
      <c r="I26" s="129" t="e" cm="1">
        <f t="array" aca="1" ref="I26:AM26" ca="1">TRANSPOSE(_xlfn.SORTBY(_xlfn._xlws.FILTER(Table3[NOME FÍSICO CAMPO],Table3[NOME FÍSICO TABELA]="nostrovostro_account"), _xlfn._xlws.FILTER(Table3[ORDEM], Table3[NOME FÍSICO TABELA]="nostrovostro_account"), 1))</f>
        <v>#NAME?</v>
      </c>
      <c r="J26" s="129" t="e">
        <f ca="1"/>
        <v>#NAME?</v>
      </c>
      <c r="K26" s="129" t="e">
        <f ca="1"/>
        <v>#NAME?</v>
      </c>
      <c r="L26" s="129" t="e">
        <f ca="1"/>
        <v>#NAME?</v>
      </c>
      <c r="M26" s="129" t="e">
        <f ca="1"/>
        <v>#NAME?</v>
      </c>
      <c r="N26" s="129" t="e">
        <f ca="1"/>
        <v>#NAME?</v>
      </c>
      <c r="O26" s="129" t="e">
        <f ca="1"/>
        <v>#NAME?</v>
      </c>
      <c r="P26" s="129" t="e">
        <f ca="1"/>
        <v>#NAME?</v>
      </c>
      <c r="Q26" s="129" t="e">
        <f ca="1"/>
        <v>#NAME?</v>
      </c>
      <c r="R26" s="129" t="e">
        <f ca="1"/>
        <v>#NAME?</v>
      </c>
      <c r="S26" s="129" t="e">
        <f ca="1"/>
        <v>#NAME?</v>
      </c>
      <c r="T26" s="129" t="e">
        <f ca="1"/>
        <v>#NAME?</v>
      </c>
      <c r="U26" s="129" t="e">
        <f ca="1"/>
        <v>#NAME?</v>
      </c>
      <c r="V26" s="129" t="e">
        <f ca="1"/>
        <v>#NAME?</v>
      </c>
      <c r="W26" s="129" t="e">
        <f ca="1"/>
        <v>#NAME?</v>
      </c>
      <c r="X26" s="129" t="e">
        <f ca="1"/>
        <v>#NAME?</v>
      </c>
      <c r="Y26" s="129" t="e">
        <f ca="1"/>
        <v>#NAME?</v>
      </c>
      <c r="Z26" s="129" t="e">
        <f ca="1"/>
        <v>#NAME?</v>
      </c>
      <c r="AA26" s="129" t="e">
        <f ca="1"/>
        <v>#NAME?</v>
      </c>
      <c r="AB26" s="129" t="e">
        <f ca="1"/>
        <v>#NAME?</v>
      </c>
      <c r="AC26" s="129" t="e">
        <f ca="1"/>
        <v>#NAME?</v>
      </c>
      <c r="AD26" s="129" t="e">
        <f ca="1"/>
        <v>#NAME?</v>
      </c>
      <c r="AE26" s="129" t="e">
        <f ca="1"/>
        <v>#NAME?</v>
      </c>
      <c r="AF26" s="129" t="e">
        <f ca="1"/>
        <v>#NAME?</v>
      </c>
      <c r="AG26" s="129" t="e">
        <f ca="1"/>
        <v>#NAME?</v>
      </c>
      <c r="AH26" s="129" t="e">
        <f ca="1"/>
        <v>#NAME?</v>
      </c>
      <c r="AI26" s="129" t="e">
        <f ca="1"/>
        <v>#NAME?</v>
      </c>
      <c r="AJ26" s="285" t="e">
        <f ca="1"/>
        <v>#NAME?</v>
      </c>
      <c r="AK26" s="216" t="e">
        <f ca="1"/>
        <v>#NAME?</v>
      </c>
      <c r="AL26" s="216" t="e">
        <f ca="1"/>
        <v>#NAME?</v>
      </c>
      <c r="AM26" s="216" t="e">
        <f ca="1"/>
        <v>#NAME?</v>
      </c>
      <c r="AN26" s="216"/>
    </row>
    <row r="27" spans="2:40">
      <c r="B27" s="107" t="s">
        <v>998</v>
      </c>
      <c r="C27" s="93">
        <v>21</v>
      </c>
      <c r="D27" s="92" t="s">
        <v>999</v>
      </c>
      <c r="E27" t="s">
        <v>1000</v>
      </c>
      <c r="F27" t="s">
        <v>206</v>
      </c>
      <c r="G27" t="s">
        <v>206</v>
      </c>
      <c r="H27" t="s">
        <v>206</v>
      </c>
      <c r="I27" t="e" cm="1">
        <f t="array" aca="1" ref="I27:AM28" ca="1">TRANSPOSE(_xlfn.SORTBY(_xlfn._xlws.FILTER(IF(Table3[FORMATO]:Table3[COMP_ CAMPO]&lt;&gt;"",Table3[FORMATO]:Table3[COMP_ CAMPO],9999999),Table3[NOME FÍSICO TABELA]="nostrovostro_account"), _xlfn._xlws.FILTER(Table3[ORDEM], Table3[NOME FÍSICO TABELA]="nostrovostro_account"), 1))</f>
        <v>#NAME?</v>
      </c>
      <c r="J27" t="e">
        <f ca="1"/>
        <v>#NAME?</v>
      </c>
      <c r="K27" t="e">
        <f ca="1"/>
        <v>#NAME?</v>
      </c>
      <c r="L27" t="e">
        <f ca="1"/>
        <v>#NAME?</v>
      </c>
      <c r="M27" t="e">
        <f ca="1"/>
        <v>#NAME?</v>
      </c>
      <c r="N27" t="e">
        <f ca="1"/>
        <v>#NAME?</v>
      </c>
      <c r="O27" t="e">
        <f ca="1"/>
        <v>#NAME?</v>
      </c>
      <c r="P27" t="e">
        <f ca="1"/>
        <v>#NAME?</v>
      </c>
      <c r="Q27" t="e">
        <f ca="1"/>
        <v>#NAME?</v>
      </c>
      <c r="R27" t="e">
        <f ca="1"/>
        <v>#NAME?</v>
      </c>
      <c r="S27" t="e">
        <f ca="1"/>
        <v>#NAME?</v>
      </c>
      <c r="T27" t="e">
        <f ca="1"/>
        <v>#NAME?</v>
      </c>
      <c r="U27" t="e">
        <f ca="1"/>
        <v>#NAME?</v>
      </c>
      <c r="V27" t="e">
        <f ca="1"/>
        <v>#NAME?</v>
      </c>
      <c r="W27" t="e">
        <f ca="1"/>
        <v>#NAME?</v>
      </c>
      <c r="X27" t="e">
        <f ca="1"/>
        <v>#NAME?</v>
      </c>
      <c r="Y27" t="e">
        <f ca="1"/>
        <v>#NAME?</v>
      </c>
      <c r="Z27" t="e">
        <f ca="1"/>
        <v>#NAME?</v>
      </c>
      <c r="AA27" t="e">
        <f ca="1"/>
        <v>#NAME?</v>
      </c>
      <c r="AB27" t="e">
        <f ca="1"/>
        <v>#NAME?</v>
      </c>
      <c r="AC27" t="e">
        <f ca="1"/>
        <v>#NAME?</v>
      </c>
      <c r="AD27" t="e">
        <f ca="1"/>
        <v>#NAME?</v>
      </c>
      <c r="AE27" t="e">
        <f ca="1"/>
        <v>#NAME?</v>
      </c>
      <c r="AF27" t="e">
        <f ca="1"/>
        <v>#NAME?</v>
      </c>
      <c r="AG27" t="e">
        <f ca="1"/>
        <v>#NAME?</v>
      </c>
      <c r="AH27" t="e">
        <f ca="1"/>
        <v>#NAME?</v>
      </c>
      <c r="AI27" t="e">
        <f ca="1"/>
        <v>#NAME?</v>
      </c>
      <c r="AJ27" s="286" t="e">
        <f ca="1"/>
        <v>#NAME?</v>
      </c>
      <c r="AK27" t="e">
        <f ca="1"/>
        <v>#NAME?</v>
      </c>
      <c r="AL27" t="e">
        <f ca="1"/>
        <v>#NAME?</v>
      </c>
      <c r="AM27" t="e">
        <f ca="1"/>
        <v>#NAME?</v>
      </c>
    </row>
    <row r="28" spans="2:40">
      <c r="B28" s="107" t="s">
        <v>1001</v>
      </c>
      <c r="C28" s="151">
        <v>7</v>
      </c>
      <c r="D28" s="106" t="s">
        <v>999</v>
      </c>
      <c r="E28" s="105" t="s">
        <v>1000</v>
      </c>
      <c r="F28" s="105" t="s">
        <v>206</v>
      </c>
      <c r="G28" s="105" t="s">
        <v>206</v>
      </c>
      <c r="H28" s="105" t="s">
        <v>206</v>
      </c>
      <c r="I28" s="151" t="e">
        <f ca="1"/>
        <v>#NAME?</v>
      </c>
      <c r="J28" s="151" t="e">
        <f ca="1"/>
        <v>#NAME?</v>
      </c>
      <c r="K28" s="151" t="e">
        <f ca="1"/>
        <v>#NAME?</v>
      </c>
      <c r="L28" s="151" t="e">
        <f ca="1"/>
        <v>#NAME?</v>
      </c>
      <c r="M28" s="151" t="e">
        <f ca="1"/>
        <v>#NAME?</v>
      </c>
      <c r="N28" s="151" t="e">
        <f ca="1"/>
        <v>#NAME?</v>
      </c>
      <c r="O28" s="151" t="e">
        <f ca="1"/>
        <v>#NAME?</v>
      </c>
      <c r="P28" s="151" t="e">
        <f ca="1"/>
        <v>#NAME?</v>
      </c>
      <c r="Q28" s="151" t="e">
        <f ca="1"/>
        <v>#NAME?</v>
      </c>
      <c r="R28" s="151" t="e">
        <f ca="1"/>
        <v>#NAME?</v>
      </c>
      <c r="S28" s="151" t="e">
        <f ca="1"/>
        <v>#NAME?</v>
      </c>
      <c r="T28" s="151" t="e">
        <f ca="1"/>
        <v>#NAME?</v>
      </c>
      <c r="U28" s="151" t="e">
        <f ca="1"/>
        <v>#NAME?</v>
      </c>
      <c r="V28" s="151" t="e">
        <f ca="1"/>
        <v>#NAME?</v>
      </c>
      <c r="W28" s="151" t="e">
        <f ca="1"/>
        <v>#NAME?</v>
      </c>
      <c r="X28" s="151" t="e">
        <f ca="1"/>
        <v>#NAME?</v>
      </c>
      <c r="Y28" s="151" t="e">
        <f ca="1"/>
        <v>#NAME?</v>
      </c>
      <c r="Z28" s="151" t="e">
        <f ca="1"/>
        <v>#NAME?</v>
      </c>
      <c r="AA28" s="151" t="e">
        <f ca="1"/>
        <v>#NAME?</v>
      </c>
      <c r="AB28" s="151" t="e">
        <f ca="1"/>
        <v>#NAME?</v>
      </c>
      <c r="AC28" s="151" t="e">
        <f ca="1"/>
        <v>#NAME?</v>
      </c>
      <c r="AD28" s="151" t="e">
        <f ca="1"/>
        <v>#NAME?</v>
      </c>
      <c r="AE28" s="151" t="e">
        <f ca="1"/>
        <v>#NAME?</v>
      </c>
      <c r="AF28" s="151" t="e">
        <f ca="1"/>
        <v>#NAME?</v>
      </c>
      <c r="AG28" s="151" t="e">
        <f ca="1"/>
        <v>#NAME?</v>
      </c>
      <c r="AH28" s="151" t="e">
        <f ca="1"/>
        <v>#NAME?</v>
      </c>
      <c r="AI28" s="151" t="e">
        <f ca="1"/>
        <v>#NAME?</v>
      </c>
      <c r="AJ28" s="152" t="e">
        <f ca="1"/>
        <v>#NAME?</v>
      </c>
      <c r="AK28" s="93" t="e">
        <f ca="1"/>
        <v>#NAME?</v>
      </c>
      <c r="AL28" s="93" t="e">
        <f ca="1"/>
        <v>#NAME?</v>
      </c>
      <c r="AM28" s="93" t="e">
        <f ca="1"/>
        <v>#NAME?</v>
      </c>
      <c r="AN28" s="93"/>
    </row>
    <row r="30" spans="2:40">
      <c r="B30" s="140" t="s">
        <v>1002</v>
      </c>
    </row>
    <row r="31" spans="2:40">
      <c r="B31" s="134" t="s">
        <v>1003</v>
      </c>
      <c r="C31" s="134" t="s">
        <v>1004</v>
      </c>
      <c r="D31" s="135" t="s">
        <v>1005</v>
      </c>
      <c r="E31" s="134" t="s">
        <v>1006</v>
      </c>
      <c r="F31" s="134" t="s">
        <v>1007</v>
      </c>
    </row>
    <row r="32" spans="2:40" ht="29">
      <c r="B32" s="111" t="s">
        <v>1018</v>
      </c>
      <c r="C32" s="115" t="s">
        <v>1797</v>
      </c>
      <c r="D32" s="53" t="s">
        <v>1850</v>
      </c>
      <c r="E32" s="153" t="s">
        <v>1851</v>
      </c>
      <c r="F32" s="136" t="s">
        <v>1014</v>
      </c>
    </row>
    <row r="33" spans="2:6" ht="43.5">
      <c r="B33" s="137" t="s">
        <v>1111</v>
      </c>
      <c r="C33" s="138" t="s">
        <v>1472</v>
      </c>
      <c r="D33" s="139" t="s">
        <v>1112</v>
      </c>
      <c r="E33" s="97" t="s">
        <v>1852</v>
      </c>
      <c r="F33" s="188" t="s">
        <v>1014</v>
      </c>
    </row>
    <row r="34" spans="2:6" ht="43.5">
      <c r="B34" s="137" t="s">
        <v>1111</v>
      </c>
      <c r="C34" s="138" t="s">
        <v>546</v>
      </c>
      <c r="D34" s="139" t="s">
        <v>1112</v>
      </c>
      <c r="E34" s="97" t="s">
        <v>1852</v>
      </c>
      <c r="F34" s="188" t="s">
        <v>1014</v>
      </c>
    </row>
    <row r="35" spans="2:6" ht="43.5">
      <c r="B35" s="137" t="s">
        <v>1111</v>
      </c>
      <c r="C35" s="138" t="s">
        <v>547</v>
      </c>
      <c r="D35" s="139" t="s">
        <v>1112</v>
      </c>
      <c r="E35" s="97" t="s">
        <v>1852</v>
      </c>
      <c r="F35" s="188" t="s">
        <v>1014</v>
      </c>
    </row>
    <row r="36" spans="2:6" ht="43.5">
      <c r="B36" s="137" t="s">
        <v>1111</v>
      </c>
      <c r="C36" s="138" t="s">
        <v>517</v>
      </c>
      <c r="D36" s="139" t="s">
        <v>1112</v>
      </c>
      <c r="E36" s="97" t="s">
        <v>1852</v>
      </c>
      <c r="F36" s="188" t="s">
        <v>1014</v>
      </c>
    </row>
    <row r="37" spans="2:6" ht="43.5">
      <c r="B37" s="137" t="s">
        <v>1111</v>
      </c>
      <c r="C37" s="138" t="s">
        <v>392</v>
      </c>
      <c r="D37" s="139" t="s">
        <v>1112</v>
      </c>
      <c r="E37" s="97" t="s">
        <v>1852</v>
      </c>
      <c r="F37" s="188" t="s">
        <v>1014</v>
      </c>
    </row>
    <row r="38" spans="2:6" ht="43.5">
      <c r="B38" s="137" t="s">
        <v>1111</v>
      </c>
      <c r="C38" s="138" t="s">
        <v>404</v>
      </c>
      <c r="D38" s="139" t="s">
        <v>1112</v>
      </c>
      <c r="E38" s="97" t="s">
        <v>1852</v>
      </c>
      <c r="F38" s="188" t="s">
        <v>1014</v>
      </c>
    </row>
    <row r="39" spans="2:6" ht="43.5">
      <c r="B39" s="137" t="s">
        <v>1111</v>
      </c>
      <c r="C39" s="138" t="s">
        <v>414</v>
      </c>
      <c r="D39" s="139" t="s">
        <v>1112</v>
      </c>
      <c r="E39" s="97" t="s">
        <v>1852</v>
      </c>
      <c r="F39" s="188" t="s">
        <v>1014</v>
      </c>
    </row>
    <row r="40" spans="2:6" ht="43.5">
      <c r="B40" s="137" t="s">
        <v>1111</v>
      </c>
      <c r="C40" s="138" t="s">
        <v>432</v>
      </c>
      <c r="D40" s="139" t="s">
        <v>1112</v>
      </c>
      <c r="E40" s="97" t="s">
        <v>1852</v>
      </c>
      <c r="F40" s="188" t="s">
        <v>1014</v>
      </c>
    </row>
    <row r="41" spans="2:6" ht="43.5">
      <c r="B41" s="137" t="s">
        <v>1121</v>
      </c>
      <c r="C41" s="138" t="s">
        <v>547</v>
      </c>
      <c r="D41" s="139" t="s">
        <v>1122</v>
      </c>
      <c r="E41" s="97" t="s">
        <v>1852</v>
      </c>
      <c r="F41" s="188" t="s">
        <v>1014</v>
      </c>
    </row>
    <row r="42" spans="2:6" ht="43.5">
      <c r="B42" s="137" t="s">
        <v>1121</v>
      </c>
      <c r="C42" s="138" t="s">
        <v>548</v>
      </c>
      <c r="D42" s="139" t="s">
        <v>1122</v>
      </c>
      <c r="E42" s="97" t="s">
        <v>1852</v>
      </c>
      <c r="F42" s="188" t="s">
        <v>1014</v>
      </c>
    </row>
    <row r="43" spans="2:6" ht="43.5">
      <c r="B43" s="137" t="s">
        <v>1121</v>
      </c>
      <c r="C43" s="138" t="s">
        <v>517</v>
      </c>
      <c r="D43" s="139" t="s">
        <v>1122</v>
      </c>
      <c r="E43" s="97" t="s">
        <v>1852</v>
      </c>
      <c r="F43" s="188" t="s">
        <v>1014</v>
      </c>
    </row>
    <row r="44" spans="2:6" ht="43.5">
      <c r="B44" s="111" t="s">
        <v>1121</v>
      </c>
      <c r="C44" s="138" t="s">
        <v>414</v>
      </c>
      <c r="D44" s="53" t="s">
        <v>1122</v>
      </c>
      <c r="E44" s="97" t="s">
        <v>1852</v>
      </c>
      <c r="F44" s="188" t="s">
        <v>1014</v>
      </c>
    </row>
    <row r="45" spans="2:6" ht="43.5">
      <c r="B45" s="111" t="s">
        <v>1121</v>
      </c>
      <c r="C45" s="115" t="s">
        <v>424</v>
      </c>
      <c r="D45" s="53" t="s">
        <v>1122</v>
      </c>
      <c r="E45" s="97" t="s">
        <v>1852</v>
      </c>
      <c r="F45" s="188" t="s">
        <v>1014</v>
      </c>
    </row>
    <row r="46" spans="2:6" ht="43.5">
      <c r="B46" s="137" t="s">
        <v>1121</v>
      </c>
      <c r="C46" s="138" t="s">
        <v>432</v>
      </c>
      <c r="D46" s="139" t="s">
        <v>1122</v>
      </c>
      <c r="E46" s="97" t="s">
        <v>1852</v>
      </c>
      <c r="F46" s="188" t="s">
        <v>1014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1:X33"/>
  <sheetViews>
    <sheetView showGridLines="0" topLeftCell="D1" workbookViewId="0">
      <selection activeCell="G8" sqref="G8:G9"/>
    </sheetView>
  </sheetViews>
  <sheetFormatPr defaultRowHeight="14.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2.26953125" customWidth="1"/>
    <col min="21" max="21" width="41.1796875" customWidth="1"/>
    <col min="22" max="22" width="21.54296875" customWidth="1"/>
    <col min="23" max="23" width="27.7265625" customWidth="1"/>
    <col min="24" max="24" width="46.453125" customWidth="1"/>
  </cols>
  <sheetData>
    <row r="1" spans="2:15" ht="27.75" customHeight="1"/>
    <row r="2" spans="2:15">
      <c r="B2" s="76" t="s">
        <v>1078</v>
      </c>
      <c r="C2" s="76" t="s">
        <v>954</v>
      </c>
      <c r="D2" s="76" t="s">
        <v>955</v>
      </c>
      <c r="E2" s="76" t="s">
        <v>956</v>
      </c>
      <c r="F2" s="76" t="s">
        <v>957</v>
      </c>
      <c r="G2" s="76" t="s">
        <v>958</v>
      </c>
      <c r="H2" s="76" t="s">
        <v>959</v>
      </c>
      <c r="I2" s="76" t="s">
        <v>102</v>
      </c>
      <c r="J2" s="76" t="s">
        <v>112</v>
      </c>
      <c r="K2" s="76" t="s">
        <v>116</v>
      </c>
      <c r="L2" s="76" t="s">
        <v>121</v>
      </c>
      <c r="M2" s="76" t="s">
        <v>127</v>
      </c>
      <c r="N2" s="76" t="s">
        <v>138</v>
      </c>
      <c r="O2" s="76" t="s">
        <v>144</v>
      </c>
    </row>
    <row r="3" spans="2:15">
      <c r="B3" s="50" t="s">
        <v>907</v>
      </c>
      <c r="C3" s="50">
        <v>1</v>
      </c>
      <c r="D3" s="50" t="s">
        <v>1853</v>
      </c>
      <c r="E3" s="95">
        <v>45492</v>
      </c>
      <c r="F3" s="50">
        <v>1</v>
      </c>
      <c r="G3" s="254" t="s">
        <v>1854</v>
      </c>
      <c r="H3" s="181" t="s">
        <v>1855</v>
      </c>
      <c r="I3" s="50" t="s">
        <v>961</v>
      </c>
      <c r="J3" s="50" t="s">
        <v>961</v>
      </c>
      <c r="K3" s="50" t="s">
        <v>961</v>
      </c>
      <c r="L3" s="50" t="s">
        <v>961</v>
      </c>
      <c r="M3" s="50" t="s">
        <v>961</v>
      </c>
      <c r="N3" s="50" t="s">
        <v>961</v>
      </c>
      <c r="O3" s="50" t="s">
        <v>961</v>
      </c>
    </row>
    <row r="4" spans="2:15">
      <c r="B4" s="50" t="s">
        <v>909</v>
      </c>
      <c r="C4" s="50">
        <v>2</v>
      </c>
      <c r="D4" s="50" t="s">
        <v>1856</v>
      </c>
      <c r="E4" s="95">
        <v>45492</v>
      </c>
      <c r="F4" s="50">
        <v>1</v>
      </c>
      <c r="G4" s="254" t="s">
        <v>1854</v>
      </c>
      <c r="H4" s="98">
        <v>0</v>
      </c>
      <c r="I4" s="50" t="s">
        <v>961</v>
      </c>
      <c r="J4" s="50" t="s">
        <v>961</v>
      </c>
      <c r="K4" s="50" t="s">
        <v>961</v>
      </c>
      <c r="L4" s="50" t="s">
        <v>961</v>
      </c>
      <c r="M4" s="50" t="s">
        <v>961</v>
      </c>
      <c r="N4" s="50" t="s">
        <v>961</v>
      </c>
      <c r="O4" s="50" t="s">
        <v>961</v>
      </c>
    </row>
    <row r="5" spans="2:15">
      <c r="B5" s="50" t="s">
        <v>911</v>
      </c>
      <c r="C5" s="50">
        <v>3</v>
      </c>
      <c r="D5" s="50" t="s">
        <v>1857</v>
      </c>
      <c r="E5" s="95">
        <v>45492</v>
      </c>
      <c r="F5" s="50">
        <v>1</v>
      </c>
      <c r="G5" s="254" t="s">
        <v>1854</v>
      </c>
      <c r="H5" s="98">
        <v>0</v>
      </c>
      <c r="I5" s="50">
        <v>0</v>
      </c>
      <c r="J5" s="50">
        <v>0</v>
      </c>
      <c r="K5" s="50">
        <v>0</v>
      </c>
      <c r="L5" s="50">
        <v>0</v>
      </c>
      <c r="M5" s="50">
        <v>0</v>
      </c>
      <c r="N5" s="50">
        <v>0</v>
      </c>
      <c r="O5" s="50" t="s">
        <v>961</v>
      </c>
    </row>
    <row r="6" spans="2:15">
      <c r="B6" s="97" t="s">
        <v>913</v>
      </c>
      <c r="C6" s="50">
        <v>4</v>
      </c>
      <c r="D6" s="50" t="s">
        <v>964</v>
      </c>
      <c r="E6" s="95" t="s">
        <v>961</v>
      </c>
      <c r="F6" s="50">
        <v>1</v>
      </c>
      <c r="G6" s="95" t="s">
        <v>961</v>
      </c>
      <c r="H6" s="98">
        <v>0</v>
      </c>
      <c r="I6" s="50" t="s">
        <v>961</v>
      </c>
      <c r="J6" s="50" t="s">
        <v>961</v>
      </c>
      <c r="K6" s="50" t="s">
        <v>961</v>
      </c>
      <c r="L6" s="50" t="s">
        <v>961</v>
      </c>
      <c r="M6" s="50" t="s">
        <v>961</v>
      </c>
      <c r="N6" s="50" t="s">
        <v>961</v>
      </c>
      <c r="O6" s="50" t="s">
        <v>961</v>
      </c>
    </row>
    <row r="7" spans="2:15">
      <c r="B7" s="50" t="s">
        <v>915</v>
      </c>
      <c r="C7" s="50">
        <v>5</v>
      </c>
      <c r="D7" s="50" t="s">
        <v>964</v>
      </c>
      <c r="E7" s="95" t="s">
        <v>961</v>
      </c>
      <c r="F7" s="50">
        <v>1</v>
      </c>
      <c r="G7" s="95" t="s">
        <v>961</v>
      </c>
      <c r="H7" s="98">
        <v>0</v>
      </c>
      <c r="I7" s="50" t="s">
        <v>961</v>
      </c>
      <c r="J7" s="50" t="s">
        <v>961</v>
      </c>
      <c r="K7" s="50" t="s">
        <v>961</v>
      </c>
      <c r="L7" s="50" t="s">
        <v>961</v>
      </c>
      <c r="M7" s="50" t="s">
        <v>961</v>
      </c>
      <c r="N7" s="50" t="s">
        <v>961</v>
      </c>
      <c r="O7" s="50" t="s">
        <v>961</v>
      </c>
    </row>
    <row r="8" spans="2:15">
      <c r="B8" s="97" t="s">
        <v>916</v>
      </c>
      <c r="C8" s="50">
        <v>6</v>
      </c>
      <c r="D8" s="50" t="s">
        <v>1858</v>
      </c>
      <c r="E8" s="95">
        <v>45492</v>
      </c>
      <c r="F8" s="50">
        <v>1</v>
      </c>
      <c r="G8" s="208" cm="1">
        <f t="array" ref="G8">SUMPRODUCT(--(I8:O8&gt;0))/COUNTA(I8:O8)</f>
        <v>1</v>
      </c>
      <c r="H8" s="98">
        <v>0</v>
      </c>
      <c r="I8" s="50">
        <v>2</v>
      </c>
      <c r="J8" s="50">
        <v>30</v>
      </c>
      <c r="K8" s="50">
        <v>3</v>
      </c>
      <c r="L8" s="50">
        <v>3</v>
      </c>
      <c r="M8" s="50">
        <v>3</v>
      </c>
      <c r="N8" s="50">
        <v>10</v>
      </c>
      <c r="O8" s="50">
        <v>23</v>
      </c>
    </row>
    <row r="9" spans="2:15">
      <c r="B9" s="50" t="s">
        <v>919</v>
      </c>
      <c r="C9" s="50">
        <v>7</v>
      </c>
      <c r="D9" s="50" t="s">
        <v>1859</v>
      </c>
      <c r="E9" s="95">
        <v>45492</v>
      </c>
      <c r="F9" s="50">
        <v>1</v>
      </c>
      <c r="G9" s="208" t="e" cm="1">
        <f t="array" ref="G9">SUMPRODUCT(--(I9:O9 &lt;= I28:O28))/COUNTA(I28:O28)</f>
        <v>#DIV/0!</v>
      </c>
      <c r="H9" s="98">
        <v>0</v>
      </c>
      <c r="I9" s="50">
        <v>2</v>
      </c>
      <c r="J9" s="50">
        <v>30</v>
      </c>
      <c r="K9" s="50">
        <v>3</v>
      </c>
      <c r="L9" s="50">
        <v>3</v>
      </c>
      <c r="M9" s="50">
        <v>3</v>
      </c>
      <c r="N9" s="50">
        <v>10</v>
      </c>
      <c r="O9" s="50">
        <v>23</v>
      </c>
    </row>
    <row r="10" spans="2:15">
      <c r="B10" s="50" t="s">
        <v>922</v>
      </c>
      <c r="C10" s="50">
        <v>8</v>
      </c>
      <c r="D10" s="50" t="s">
        <v>1860</v>
      </c>
      <c r="E10" s="95">
        <v>45492</v>
      </c>
      <c r="F10" s="50">
        <v>1</v>
      </c>
      <c r="G10" s="95" t="s">
        <v>961</v>
      </c>
      <c r="H10" s="98">
        <v>0</v>
      </c>
      <c r="I10" s="50">
        <v>31</v>
      </c>
      <c r="J10" s="50">
        <v>2.317541E+21</v>
      </c>
      <c r="K10" s="50" t="s">
        <v>1691</v>
      </c>
      <c r="L10" s="50">
        <v>96</v>
      </c>
      <c r="M10" s="50">
        <v>1</v>
      </c>
      <c r="N10" s="95">
        <v>45492</v>
      </c>
      <c r="O10" s="95" t="s">
        <v>1861</v>
      </c>
    </row>
    <row r="11" spans="2:15">
      <c r="B11" s="50" t="s">
        <v>924</v>
      </c>
      <c r="C11" s="50">
        <v>9</v>
      </c>
      <c r="D11" s="50" t="s">
        <v>1862</v>
      </c>
      <c r="E11" s="95">
        <v>45492</v>
      </c>
      <c r="F11" s="50">
        <v>1</v>
      </c>
      <c r="G11" s="95" t="s">
        <v>961</v>
      </c>
      <c r="H11" s="98">
        <v>0</v>
      </c>
      <c r="I11" s="50">
        <v>31</v>
      </c>
      <c r="J11" s="50">
        <v>2.317541E+21</v>
      </c>
      <c r="K11" s="50" t="s">
        <v>1691</v>
      </c>
      <c r="L11" s="50">
        <v>96</v>
      </c>
      <c r="M11" s="50">
        <v>1</v>
      </c>
      <c r="N11" s="95">
        <v>45492</v>
      </c>
      <c r="O11" s="95" t="s">
        <v>1863</v>
      </c>
    </row>
    <row r="12" spans="2:15">
      <c r="B12" s="97" t="s">
        <v>926</v>
      </c>
      <c r="C12" s="50">
        <v>10</v>
      </c>
      <c r="D12" s="50" t="s">
        <v>1864</v>
      </c>
      <c r="E12" s="95">
        <v>45492</v>
      </c>
      <c r="F12" s="50">
        <v>1</v>
      </c>
      <c r="G12" s="95" t="s">
        <v>961</v>
      </c>
      <c r="H12" s="98">
        <v>0</v>
      </c>
      <c r="I12" s="50">
        <v>31</v>
      </c>
      <c r="J12" s="50">
        <v>6.8350096000050594E+29</v>
      </c>
      <c r="K12" s="50" t="s">
        <v>1691</v>
      </c>
      <c r="L12" s="50">
        <v>96</v>
      </c>
      <c r="M12" s="50" t="s">
        <v>1700</v>
      </c>
      <c r="N12" s="95">
        <v>45492</v>
      </c>
      <c r="O12" s="95" t="s">
        <v>1861</v>
      </c>
    </row>
    <row r="13" spans="2:15">
      <c r="B13" s="50" t="s">
        <v>928</v>
      </c>
      <c r="C13" s="50">
        <v>11</v>
      </c>
      <c r="D13" s="50" t="s">
        <v>1865</v>
      </c>
      <c r="E13" s="95">
        <v>45492</v>
      </c>
      <c r="F13" s="50">
        <v>1</v>
      </c>
      <c r="G13" s="95" t="s">
        <v>961</v>
      </c>
      <c r="H13" s="98">
        <v>0</v>
      </c>
      <c r="I13" s="50">
        <v>31</v>
      </c>
      <c r="J13" s="50">
        <v>6.8350096000050594E+29</v>
      </c>
      <c r="K13" s="50" t="s">
        <v>1691</v>
      </c>
      <c r="L13" s="50">
        <v>96</v>
      </c>
      <c r="M13" s="50" t="s">
        <v>1700</v>
      </c>
      <c r="N13" s="95">
        <v>45492</v>
      </c>
      <c r="O13" s="95" t="s">
        <v>1866</v>
      </c>
    </row>
    <row r="14" spans="2:15">
      <c r="B14" s="50" t="s">
        <v>930</v>
      </c>
      <c r="C14" s="50">
        <v>12</v>
      </c>
      <c r="D14" s="50" t="s">
        <v>1867</v>
      </c>
      <c r="E14" s="95">
        <v>45492</v>
      </c>
      <c r="F14" s="50">
        <v>1</v>
      </c>
      <c r="G14" s="254" t="s">
        <v>1854</v>
      </c>
      <c r="H14" s="98">
        <v>0</v>
      </c>
      <c r="I14" s="50">
        <v>0</v>
      </c>
      <c r="J14" s="50">
        <v>0</v>
      </c>
      <c r="K14" s="50">
        <v>0</v>
      </c>
      <c r="L14" s="50">
        <v>0</v>
      </c>
      <c r="M14" s="50">
        <v>0</v>
      </c>
      <c r="N14" s="50">
        <v>0</v>
      </c>
      <c r="O14" s="50">
        <v>0</v>
      </c>
    </row>
    <row r="15" spans="2:15">
      <c r="B15" s="50" t="s">
        <v>932</v>
      </c>
      <c r="C15" s="50">
        <v>13</v>
      </c>
      <c r="D15" s="50" t="s">
        <v>1868</v>
      </c>
      <c r="E15" s="95">
        <v>45492</v>
      </c>
      <c r="F15" s="50">
        <v>1</v>
      </c>
      <c r="G15" s="254" t="s">
        <v>1854</v>
      </c>
      <c r="H15" s="98">
        <v>0</v>
      </c>
      <c r="I15" s="50" t="s">
        <v>961</v>
      </c>
      <c r="J15" s="50" t="s">
        <v>961</v>
      </c>
      <c r="K15" s="50" t="s">
        <v>961</v>
      </c>
      <c r="L15" s="50" t="s">
        <v>961</v>
      </c>
      <c r="M15" s="50" t="s">
        <v>961</v>
      </c>
      <c r="N15" s="95">
        <v>0</v>
      </c>
      <c r="O15" s="95" t="s">
        <v>961</v>
      </c>
    </row>
    <row r="16" spans="2:15">
      <c r="B16" s="50" t="s">
        <v>934</v>
      </c>
      <c r="C16" s="50">
        <v>14</v>
      </c>
      <c r="D16" s="50" t="s">
        <v>1869</v>
      </c>
      <c r="E16" s="95">
        <v>45492</v>
      </c>
      <c r="F16" s="50">
        <v>1</v>
      </c>
      <c r="G16" s="254" t="s">
        <v>1854</v>
      </c>
      <c r="H16" s="98">
        <v>0</v>
      </c>
      <c r="I16" s="50">
        <v>0</v>
      </c>
      <c r="J16" s="50">
        <v>0</v>
      </c>
      <c r="K16" s="50">
        <v>0</v>
      </c>
      <c r="L16" s="50">
        <v>0</v>
      </c>
      <c r="M16" s="50">
        <v>0</v>
      </c>
      <c r="N16" s="50">
        <v>0</v>
      </c>
      <c r="O16" s="50" t="s">
        <v>961</v>
      </c>
    </row>
    <row r="17" spans="2:24">
      <c r="B17" s="50" t="s">
        <v>936</v>
      </c>
      <c r="C17" s="50">
        <v>15</v>
      </c>
      <c r="D17" s="50" t="s">
        <v>1870</v>
      </c>
      <c r="E17" s="95">
        <v>45492</v>
      </c>
      <c r="F17" s="50">
        <v>1</v>
      </c>
      <c r="G17" s="254" t="s">
        <v>1854</v>
      </c>
      <c r="H17" s="98">
        <v>0</v>
      </c>
      <c r="I17" s="50" t="s">
        <v>961</v>
      </c>
      <c r="J17" s="50" t="s">
        <v>961</v>
      </c>
      <c r="K17" s="50" t="s">
        <v>961</v>
      </c>
      <c r="L17" s="50" t="s">
        <v>961</v>
      </c>
      <c r="M17" s="50" t="s">
        <v>961</v>
      </c>
      <c r="N17" s="97" t="s">
        <v>961</v>
      </c>
      <c r="O17" s="97" t="s">
        <v>961</v>
      </c>
    </row>
    <row r="18" spans="2:24">
      <c r="B18" s="50" t="s">
        <v>938</v>
      </c>
      <c r="C18" s="50">
        <v>16</v>
      </c>
      <c r="D18" s="50" t="s">
        <v>1870</v>
      </c>
      <c r="E18" s="95">
        <v>45492</v>
      </c>
      <c r="F18" s="50">
        <v>1</v>
      </c>
      <c r="G18" s="254" t="s">
        <v>1854</v>
      </c>
      <c r="H18" s="98">
        <v>0</v>
      </c>
      <c r="I18" s="50" t="s">
        <v>961</v>
      </c>
      <c r="J18" s="50" t="s">
        <v>961</v>
      </c>
      <c r="K18" s="50" t="s">
        <v>961</v>
      </c>
      <c r="L18" s="50" t="s">
        <v>961</v>
      </c>
      <c r="M18" s="50" t="s">
        <v>961</v>
      </c>
      <c r="N18" s="97" t="s">
        <v>961</v>
      </c>
      <c r="O18" s="97" t="s">
        <v>961</v>
      </c>
    </row>
    <row r="19" spans="2:24">
      <c r="B19" s="50" t="s">
        <v>940</v>
      </c>
      <c r="C19" s="50">
        <v>17</v>
      </c>
      <c r="D19" s="50" t="s">
        <v>1871</v>
      </c>
      <c r="E19" s="95">
        <v>45492</v>
      </c>
      <c r="F19" s="50">
        <v>1</v>
      </c>
      <c r="G19" s="254" t="s">
        <v>1854</v>
      </c>
      <c r="H19" s="98">
        <v>0</v>
      </c>
      <c r="I19" s="50" t="s">
        <v>995</v>
      </c>
      <c r="J19" s="50" t="s">
        <v>995</v>
      </c>
      <c r="K19" s="50" t="s">
        <v>995</v>
      </c>
      <c r="L19" s="50" t="s">
        <v>995</v>
      </c>
      <c r="M19" s="50" t="s">
        <v>995</v>
      </c>
      <c r="N19" s="50" t="s">
        <v>995</v>
      </c>
      <c r="O19" s="50" t="s">
        <v>997</v>
      </c>
    </row>
    <row r="20" spans="2:24">
      <c r="B20" s="50" t="s">
        <v>942</v>
      </c>
      <c r="C20" s="50">
        <v>18</v>
      </c>
      <c r="D20" s="50" t="s">
        <v>1872</v>
      </c>
      <c r="E20" s="95">
        <v>45516</v>
      </c>
      <c r="F20" s="50">
        <v>1</v>
      </c>
      <c r="G20" s="254" t="s">
        <v>1854</v>
      </c>
      <c r="H20" s="98">
        <v>0</v>
      </c>
      <c r="I20" s="50" t="s">
        <v>961</v>
      </c>
      <c r="J20" s="50" t="s">
        <v>961</v>
      </c>
      <c r="K20" s="50" t="s">
        <v>961</v>
      </c>
      <c r="L20" s="50" t="s">
        <v>961</v>
      </c>
      <c r="M20" s="50" t="s">
        <v>961</v>
      </c>
      <c r="N20" s="50" t="s">
        <v>961</v>
      </c>
      <c r="O20" s="50" t="s">
        <v>961</v>
      </c>
    </row>
    <row r="21" spans="2:24">
      <c r="B21" s="50" t="s">
        <v>944</v>
      </c>
      <c r="C21" s="50">
        <v>19</v>
      </c>
      <c r="D21" s="50" t="s">
        <v>1873</v>
      </c>
      <c r="E21" s="95">
        <v>45492</v>
      </c>
      <c r="F21" s="50">
        <v>1</v>
      </c>
      <c r="G21" s="254" cm="1">
        <f t="array" aca="1" ref="G21" ca="1">SUMPRODUCT(--(ISNUMBER((SEARCH(I27:O27,I21:O21)))))/COUNTA(I21:O21)</f>
        <v>0.8571428571428571</v>
      </c>
      <c r="H21" s="98">
        <v>0</v>
      </c>
      <c r="I21" s="50" t="s">
        <v>961</v>
      </c>
      <c r="J21" s="50" t="s">
        <v>961</v>
      </c>
      <c r="K21" s="50" t="s">
        <v>961</v>
      </c>
      <c r="L21" s="50" t="s">
        <v>961</v>
      </c>
      <c r="M21" s="50" t="s">
        <v>961</v>
      </c>
      <c r="N21" s="50" t="s">
        <v>961</v>
      </c>
      <c r="O21" s="50" t="s">
        <v>961</v>
      </c>
    </row>
    <row r="22" spans="2:24">
      <c r="B22" s="50" t="s">
        <v>947</v>
      </c>
      <c r="C22" s="50">
        <v>20</v>
      </c>
      <c r="D22" s="50"/>
      <c r="E22" s="95"/>
      <c r="F22" s="50"/>
      <c r="G22" s="192" t="e" cm="1">
        <f t="array" aca="1" ref="G22" ca="1">SUM(IF(I2:O2 = I26:O26, 1, 0))/ COUNTA(I2:O2)</f>
        <v>#NAME?</v>
      </c>
      <c r="H22" s="50"/>
      <c r="I22" s="50"/>
      <c r="J22" s="50"/>
      <c r="K22" s="50"/>
      <c r="L22" s="50"/>
      <c r="M22" s="50"/>
      <c r="N22" s="50"/>
      <c r="O22" s="50"/>
    </row>
    <row r="23" spans="2:24">
      <c r="B23" s="50" t="s">
        <v>950</v>
      </c>
      <c r="C23" s="50">
        <v>21</v>
      </c>
      <c r="D23" s="50"/>
      <c r="E23" s="95"/>
      <c r="F23" s="50"/>
      <c r="G23" s="192" t="e" cm="1">
        <f t="array" aca="1" ref="G23" ca="1">SUM(IF(IF(G3:G22="null",1,G3:G22)=1,1,0))/COUNT(IF(G3:G22="null",1,1))</f>
        <v>#DIV/0!</v>
      </c>
      <c r="H23" s="50"/>
      <c r="I23" s="50"/>
      <c r="J23" s="50"/>
      <c r="K23" s="50"/>
      <c r="L23" s="50"/>
      <c r="M23" s="50"/>
      <c r="N23" s="50"/>
      <c r="O23" s="50"/>
    </row>
    <row r="25" spans="2:24">
      <c r="B25" s="130" t="s">
        <v>1067</v>
      </c>
    </row>
    <row r="26" spans="2:24">
      <c r="B26" s="128" t="s">
        <v>953</v>
      </c>
      <c r="C26" s="129" t="s">
        <v>954</v>
      </c>
      <c r="D26" s="129" t="s">
        <v>955</v>
      </c>
      <c r="E26" s="129" t="s">
        <v>956</v>
      </c>
      <c r="F26" s="129" t="s">
        <v>957</v>
      </c>
      <c r="G26" s="129" t="s">
        <v>958</v>
      </c>
      <c r="H26" s="129" t="s">
        <v>959</v>
      </c>
      <c r="I26" s="129" t="e" cm="1">
        <f t="array" aca="1" ref="I26" ca="1">TRANSPOSE(_xlfn.SORTBY(_xlfn._xlws.FILTER(Table3[NOME FÍSICO CAMPO],Table3[NOME FÍSICO TABELA]="contract"), _xlfn._xlws.FILTER(Table3[ORDEM], Table3[NOME FÍSICO TABELA]="contract"), 1))</f>
        <v>#NAME?</v>
      </c>
      <c r="J26" s="129"/>
      <c r="K26" s="129"/>
      <c r="L26" s="129"/>
      <c r="M26" s="129"/>
      <c r="N26" s="129"/>
      <c r="O26" s="129"/>
      <c r="P26" s="129"/>
      <c r="Q26" s="129"/>
      <c r="R26" s="129"/>
      <c r="S26" s="129"/>
      <c r="T26" s="216"/>
      <c r="U26" s="216"/>
      <c r="V26" s="216"/>
      <c r="W26" s="216"/>
      <c r="X26" s="216"/>
    </row>
    <row r="27" spans="2:24">
      <c r="B27" s="107" t="s">
        <v>998</v>
      </c>
      <c r="C27" s="93">
        <v>21</v>
      </c>
      <c r="D27" s="92" t="s">
        <v>999</v>
      </c>
      <c r="E27" t="s">
        <v>1000</v>
      </c>
      <c r="F27" t="s">
        <v>206</v>
      </c>
      <c r="G27" t="s">
        <v>206</v>
      </c>
      <c r="H27" t="s">
        <v>206</v>
      </c>
      <c r="I27" t="e" cm="1">
        <f t="array" aca="1" ref="I27" ca="1">TRANSPOSE(_xlfn.SORTBY(_xlfn._xlws.FILTER(IF(Table3[FORMATO]:Table3[COMP_ CAMPO]&lt;&gt;"",Table3[FORMATO]:Table3[COMP_ CAMPO],9999999),Table3[NOME FÍSICO TABELA]="contract"), _xlfn._xlws.FILTER(Table3[ORDEM], Table3[NOME FÍSICO TABELA]="contract"), 1))</f>
        <v>#NAME?</v>
      </c>
    </row>
    <row r="28" spans="2:24">
      <c r="B28" s="107" t="s">
        <v>1001</v>
      </c>
      <c r="C28" s="151">
        <v>7</v>
      </c>
      <c r="D28" s="106" t="s">
        <v>999</v>
      </c>
      <c r="E28" s="105" t="s">
        <v>1000</v>
      </c>
      <c r="F28" s="105" t="s">
        <v>206</v>
      </c>
      <c r="G28" s="105" t="s">
        <v>206</v>
      </c>
      <c r="H28" s="105" t="s">
        <v>206</v>
      </c>
      <c r="I28" s="151"/>
      <c r="J28" s="151"/>
      <c r="K28" s="151"/>
      <c r="L28" s="151"/>
      <c r="M28" s="151"/>
      <c r="N28" s="151"/>
      <c r="O28" s="151"/>
      <c r="P28" s="151"/>
      <c r="Q28" s="151"/>
      <c r="R28" s="151"/>
      <c r="S28" s="151"/>
      <c r="T28" s="93"/>
      <c r="U28" s="93"/>
      <c r="V28" s="93"/>
      <c r="W28" s="93"/>
      <c r="X28" s="93"/>
    </row>
    <row r="30" spans="2:24">
      <c r="B30" s="140" t="s">
        <v>1002</v>
      </c>
    </row>
    <row r="31" spans="2:24">
      <c r="B31" s="134" t="s">
        <v>1003</v>
      </c>
      <c r="C31" s="134" t="s">
        <v>1004</v>
      </c>
      <c r="D31" s="135" t="s">
        <v>1005</v>
      </c>
      <c r="E31" s="134" t="s">
        <v>1006</v>
      </c>
      <c r="F31" s="134" t="s">
        <v>1007</v>
      </c>
    </row>
    <row r="32" spans="2:24" ht="29">
      <c r="B32" s="111" t="s">
        <v>1111</v>
      </c>
      <c r="C32" s="115" t="s">
        <v>1797</v>
      </c>
      <c r="D32" s="53" t="s">
        <v>1874</v>
      </c>
      <c r="E32" s="153" t="s">
        <v>1875</v>
      </c>
      <c r="F32" s="136" t="s">
        <v>1014</v>
      </c>
    </row>
    <row r="33" spans="2:6" ht="29">
      <c r="B33" s="137" t="s">
        <v>1121</v>
      </c>
      <c r="C33" s="138" t="s">
        <v>1797</v>
      </c>
      <c r="D33" s="139" t="s">
        <v>1874</v>
      </c>
      <c r="E33" s="255" t="s">
        <v>1875</v>
      </c>
      <c r="F33" s="188" t="s">
        <v>1014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1:S33"/>
  <sheetViews>
    <sheetView showGridLines="0" workbookViewId="0">
      <selection activeCell="D13" sqref="D13"/>
    </sheetView>
  </sheetViews>
  <sheetFormatPr defaultRowHeight="14.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27.7265625" customWidth="1"/>
    <col min="19" max="19" width="46.453125" customWidth="1"/>
  </cols>
  <sheetData>
    <row r="1" spans="2:18" ht="27.75" customHeight="1"/>
    <row r="2" spans="2:18">
      <c r="B2" s="76" t="s">
        <v>1078</v>
      </c>
      <c r="C2" s="76" t="s">
        <v>954</v>
      </c>
      <c r="D2" s="76" t="s">
        <v>955</v>
      </c>
      <c r="E2" s="76" t="s">
        <v>956</v>
      </c>
      <c r="F2" s="76" t="s">
        <v>957</v>
      </c>
      <c r="G2" s="76" t="s">
        <v>958</v>
      </c>
      <c r="H2" s="76" t="s">
        <v>959</v>
      </c>
      <c r="I2" s="76" t="s">
        <v>102</v>
      </c>
      <c r="J2" s="76" t="s">
        <v>112</v>
      </c>
      <c r="K2" s="129" t="s">
        <v>1876</v>
      </c>
      <c r="L2" s="129" t="s">
        <v>1877</v>
      </c>
      <c r="M2" s="76" t="s">
        <v>1878</v>
      </c>
      <c r="N2" s="76" t="s">
        <v>1879</v>
      </c>
      <c r="O2" s="76" t="s">
        <v>202</v>
      </c>
      <c r="P2" s="76" t="s">
        <v>208</v>
      </c>
      <c r="Q2" s="76" t="s">
        <v>213</v>
      </c>
      <c r="R2" s="76"/>
    </row>
    <row r="3" spans="2:18">
      <c r="B3" s="50" t="s">
        <v>907</v>
      </c>
      <c r="C3" s="50">
        <v>1</v>
      </c>
      <c r="D3" s="50" t="s">
        <v>1880</v>
      </c>
      <c r="E3" s="95">
        <v>45534</v>
      </c>
      <c r="F3" s="50">
        <v>1</v>
      </c>
      <c r="G3" s="254">
        <v>1</v>
      </c>
      <c r="H3" s="181">
        <v>10349</v>
      </c>
      <c r="I3" s="50" t="s">
        <v>961</v>
      </c>
      <c r="J3" s="50" t="s">
        <v>961</v>
      </c>
      <c r="K3" s="50" t="s">
        <v>961</v>
      </c>
      <c r="L3" s="50" t="s">
        <v>961</v>
      </c>
      <c r="M3" s="50" t="s">
        <v>961</v>
      </c>
      <c r="N3" s="50" t="s">
        <v>961</v>
      </c>
      <c r="O3" s="50" t="s">
        <v>961</v>
      </c>
      <c r="P3" s="50" t="s">
        <v>961</v>
      </c>
      <c r="Q3" s="50" t="s">
        <v>961</v>
      </c>
      <c r="R3" s="50"/>
    </row>
    <row r="4" spans="2:18">
      <c r="B4" s="50" t="s">
        <v>909</v>
      </c>
      <c r="C4" s="50">
        <v>2</v>
      </c>
      <c r="D4" s="50" t="s">
        <v>1881</v>
      </c>
      <c r="E4" s="95">
        <v>45534</v>
      </c>
      <c r="F4" s="50">
        <v>1</v>
      </c>
      <c r="G4" s="254">
        <v>1</v>
      </c>
      <c r="H4" s="50" t="s">
        <v>970</v>
      </c>
      <c r="I4" s="50" t="s">
        <v>961</v>
      </c>
      <c r="J4" s="50" t="s">
        <v>961</v>
      </c>
      <c r="K4" s="50" t="s">
        <v>961</v>
      </c>
      <c r="L4" s="50" t="s">
        <v>961</v>
      </c>
      <c r="M4" s="50" t="s">
        <v>961</v>
      </c>
      <c r="N4" s="50" t="s">
        <v>961</v>
      </c>
      <c r="O4" s="50" t="s">
        <v>961</v>
      </c>
      <c r="P4" s="50" t="s">
        <v>961</v>
      </c>
      <c r="Q4" s="50" t="s">
        <v>961</v>
      </c>
      <c r="R4" s="50"/>
    </row>
    <row r="5" spans="2:18">
      <c r="B5" s="50" t="s">
        <v>911</v>
      </c>
      <c r="C5" s="50">
        <v>3</v>
      </c>
      <c r="D5" s="50" t="s">
        <v>1882</v>
      </c>
      <c r="E5" s="95">
        <v>45534</v>
      </c>
      <c r="F5" s="50">
        <v>1</v>
      </c>
      <c r="G5" s="254">
        <v>1</v>
      </c>
      <c r="H5" s="50" t="s">
        <v>970</v>
      </c>
      <c r="I5" s="50">
        <v>0</v>
      </c>
      <c r="J5" s="50">
        <v>0</v>
      </c>
      <c r="K5" s="50">
        <v>0</v>
      </c>
      <c r="L5" s="50" t="s">
        <v>961</v>
      </c>
      <c r="M5" s="50" t="s">
        <v>961</v>
      </c>
      <c r="N5" s="50" t="s">
        <v>961</v>
      </c>
      <c r="O5" s="50" t="s">
        <v>961</v>
      </c>
      <c r="P5" s="50">
        <v>0</v>
      </c>
      <c r="Q5" s="50" t="s">
        <v>961</v>
      </c>
      <c r="R5" s="50"/>
    </row>
    <row r="6" spans="2:18">
      <c r="B6" s="97" t="s">
        <v>913</v>
      </c>
      <c r="C6" s="50">
        <v>4</v>
      </c>
      <c r="D6" s="50" t="s">
        <v>964</v>
      </c>
      <c r="E6" s="95" t="s">
        <v>961</v>
      </c>
      <c r="F6" s="50">
        <v>1</v>
      </c>
      <c r="G6" s="95" t="s">
        <v>961</v>
      </c>
      <c r="H6" s="50" t="s">
        <v>961</v>
      </c>
      <c r="I6" s="50" t="s">
        <v>961</v>
      </c>
      <c r="J6" s="50" t="s">
        <v>961</v>
      </c>
      <c r="K6" s="50" t="s">
        <v>961</v>
      </c>
      <c r="L6" s="50" t="s">
        <v>961</v>
      </c>
      <c r="M6" s="50" t="s">
        <v>961</v>
      </c>
      <c r="N6" s="50" t="s">
        <v>961</v>
      </c>
      <c r="O6" s="50" t="s">
        <v>961</v>
      </c>
      <c r="P6" s="50" t="s">
        <v>961</v>
      </c>
      <c r="Q6" s="50" t="s">
        <v>961</v>
      </c>
      <c r="R6" s="50"/>
    </row>
    <row r="7" spans="2:18">
      <c r="B7" s="50" t="s">
        <v>915</v>
      </c>
      <c r="C7" s="50">
        <v>5</v>
      </c>
      <c r="D7" s="50" t="s">
        <v>964</v>
      </c>
      <c r="E7" s="95" t="s">
        <v>961</v>
      </c>
      <c r="F7" s="50">
        <v>1</v>
      </c>
      <c r="G7" s="95" t="s">
        <v>961</v>
      </c>
      <c r="H7" s="50" t="s">
        <v>961</v>
      </c>
      <c r="I7" s="50" t="s">
        <v>961</v>
      </c>
      <c r="J7" s="50" t="s">
        <v>961</v>
      </c>
      <c r="K7" s="50" t="s">
        <v>961</v>
      </c>
      <c r="L7" s="50" t="s">
        <v>961</v>
      </c>
      <c r="M7" s="50" t="s">
        <v>961</v>
      </c>
      <c r="N7" s="50" t="s">
        <v>961</v>
      </c>
      <c r="O7" s="50" t="s">
        <v>961</v>
      </c>
      <c r="P7" s="50" t="s">
        <v>961</v>
      </c>
      <c r="Q7" s="50" t="s">
        <v>961</v>
      </c>
      <c r="R7" s="50"/>
    </row>
    <row r="8" spans="2:18">
      <c r="B8" s="97" t="s">
        <v>916</v>
      </c>
      <c r="C8" s="50">
        <v>6</v>
      </c>
      <c r="D8" s="50" t="s">
        <v>1883</v>
      </c>
      <c r="E8" s="95">
        <v>45534</v>
      </c>
      <c r="F8" s="50">
        <v>1</v>
      </c>
      <c r="G8" s="208" cm="1">
        <f t="array" ref="G8">SUMPRODUCT(--(I8:O8&gt;0))/COUNTA(I8:O8)</f>
        <v>1</v>
      </c>
      <c r="H8" s="50" t="s">
        <v>970</v>
      </c>
      <c r="I8" s="50">
        <v>2</v>
      </c>
      <c r="J8" s="50">
        <v>30</v>
      </c>
      <c r="K8" s="50">
        <v>1</v>
      </c>
      <c r="L8" s="50">
        <v>1</v>
      </c>
      <c r="M8" s="50">
        <v>1</v>
      </c>
      <c r="N8" s="50">
        <v>1</v>
      </c>
      <c r="O8" s="50">
        <v>2</v>
      </c>
      <c r="P8" s="50">
        <v>10</v>
      </c>
      <c r="Q8" s="50">
        <v>23</v>
      </c>
      <c r="R8" s="50"/>
    </row>
    <row r="9" spans="2:18">
      <c r="B9" s="50" t="s">
        <v>919</v>
      </c>
      <c r="C9" s="50">
        <v>7</v>
      </c>
      <c r="D9" s="50" t="s">
        <v>1884</v>
      </c>
      <c r="E9" s="95">
        <v>45534</v>
      </c>
      <c r="F9" s="50">
        <v>1</v>
      </c>
      <c r="G9" s="208" t="e" cm="1">
        <f t="array" ref="G9">SUMPRODUCT(--(I9:Q9 &lt;= I26:Q26))/COUNTA(I26:Q26)</f>
        <v>#DIV/0!</v>
      </c>
      <c r="H9" s="50" t="s">
        <v>970</v>
      </c>
      <c r="I9" s="50">
        <v>2</v>
      </c>
      <c r="J9" s="50">
        <v>30</v>
      </c>
      <c r="K9" s="50">
        <v>2</v>
      </c>
      <c r="L9" s="50">
        <v>35</v>
      </c>
      <c r="M9" s="50">
        <v>28</v>
      </c>
      <c r="N9" s="50">
        <v>31</v>
      </c>
      <c r="O9" s="50">
        <v>2</v>
      </c>
      <c r="P9" s="50">
        <v>10</v>
      </c>
      <c r="Q9" s="50">
        <v>23</v>
      </c>
      <c r="R9" s="50"/>
    </row>
    <row r="10" spans="2:18">
      <c r="B10" s="50" t="s">
        <v>922</v>
      </c>
      <c r="C10" s="50">
        <v>8</v>
      </c>
      <c r="D10" s="50" t="s">
        <v>1885</v>
      </c>
      <c r="E10" s="95">
        <v>45534</v>
      </c>
      <c r="F10" s="50">
        <v>1</v>
      </c>
      <c r="G10" s="95" t="s">
        <v>961</v>
      </c>
      <c r="H10" s="50" t="s">
        <v>970</v>
      </c>
      <c r="I10" s="50">
        <v>31</v>
      </c>
      <c r="J10" s="50">
        <v>6.6350038000872803E+29</v>
      </c>
      <c r="K10" s="50">
        <v>0</v>
      </c>
      <c r="L10" s="50" t="s">
        <v>1886</v>
      </c>
      <c r="M10" s="50" t="s">
        <v>1886</v>
      </c>
      <c r="N10" s="95" t="s">
        <v>1886</v>
      </c>
      <c r="O10" s="95" t="s">
        <v>1887</v>
      </c>
      <c r="P10" s="95">
        <v>45534</v>
      </c>
      <c r="Q10" s="95" t="s">
        <v>1888</v>
      </c>
      <c r="R10" s="95"/>
    </row>
    <row r="11" spans="2:18">
      <c r="B11" s="50" t="s">
        <v>924</v>
      </c>
      <c r="C11" s="50">
        <v>9</v>
      </c>
      <c r="D11" s="50" t="s">
        <v>1889</v>
      </c>
      <c r="E11" s="95">
        <v>45534</v>
      </c>
      <c r="F11" s="50">
        <v>1</v>
      </c>
      <c r="G11" s="95" t="s">
        <v>961</v>
      </c>
      <c r="H11" s="50" t="s">
        <v>970</v>
      </c>
      <c r="I11" s="50"/>
      <c r="J11" s="50">
        <v>6.6350038000872803E+29</v>
      </c>
      <c r="K11" s="50">
        <v>0</v>
      </c>
      <c r="L11" s="50"/>
      <c r="M11" s="50"/>
      <c r="N11" s="95"/>
      <c r="O11" s="95" t="s">
        <v>1887</v>
      </c>
      <c r="P11" s="95">
        <v>45534</v>
      </c>
      <c r="Q11" s="95" t="s">
        <v>1890</v>
      </c>
      <c r="R11" s="95"/>
    </row>
    <row r="12" spans="2:18">
      <c r="B12" s="97" t="s">
        <v>926</v>
      </c>
      <c r="C12" s="50">
        <v>10</v>
      </c>
      <c r="D12" s="50" t="s">
        <v>1891</v>
      </c>
      <c r="E12" s="95">
        <v>45534</v>
      </c>
      <c r="F12" s="50">
        <v>1</v>
      </c>
      <c r="G12" s="95" t="s">
        <v>961</v>
      </c>
      <c r="H12" s="50" t="s">
        <v>970</v>
      </c>
      <c r="I12" s="50">
        <v>31</v>
      </c>
      <c r="J12" s="50">
        <v>8.8780038000002303E+29</v>
      </c>
      <c r="K12" s="50">
        <v>99</v>
      </c>
      <c r="L12" s="50" t="s">
        <v>1892</v>
      </c>
      <c r="M12" s="50" t="s">
        <v>1893</v>
      </c>
      <c r="N12" s="95" t="s">
        <v>1894</v>
      </c>
      <c r="O12" s="95" t="s">
        <v>1895</v>
      </c>
      <c r="P12" s="95">
        <v>45534</v>
      </c>
      <c r="Q12" s="95" t="s">
        <v>1888</v>
      </c>
      <c r="R12" s="95"/>
    </row>
    <row r="13" spans="2:18">
      <c r="B13" s="50" t="s">
        <v>928</v>
      </c>
      <c r="C13" s="50">
        <v>11</v>
      </c>
      <c r="D13" s="50" t="s">
        <v>1896</v>
      </c>
      <c r="E13" s="95">
        <v>45534</v>
      </c>
      <c r="F13" s="50">
        <v>1</v>
      </c>
      <c r="G13" s="95" t="s">
        <v>961</v>
      </c>
      <c r="H13" s="50" t="s">
        <v>970</v>
      </c>
      <c r="I13" s="50"/>
      <c r="J13" s="50">
        <v>8.8780038000002303E+29</v>
      </c>
      <c r="K13" s="50">
        <v>99</v>
      </c>
      <c r="L13" s="50" t="s">
        <v>1892</v>
      </c>
      <c r="M13" s="50" t="s">
        <v>1893</v>
      </c>
      <c r="N13" s="95" t="s">
        <v>1894</v>
      </c>
      <c r="O13" s="95" t="s">
        <v>1895</v>
      </c>
      <c r="P13" s="95">
        <v>45534</v>
      </c>
      <c r="Q13" s="95" t="s">
        <v>1897</v>
      </c>
      <c r="R13" s="95"/>
    </row>
    <row r="14" spans="2:18">
      <c r="B14" s="50" t="s">
        <v>930</v>
      </c>
      <c r="C14" s="50">
        <v>12</v>
      </c>
      <c r="D14" s="50" t="s">
        <v>1898</v>
      </c>
      <c r="E14" s="95">
        <v>45534</v>
      </c>
      <c r="F14" s="50">
        <v>1</v>
      </c>
      <c r="G14" s="254">
        <v>0.67</v>
      </c>
      <c r="H14" s="50" t="s">
        <v>970</v>
      </c>
      <c r="I14" s="50">
        <v>0</v>
      </c>
      <c r="J14" s="50">
        <v>0</v>
      </c>
      <c r="K14" s="50">
        <v>0</v>
      </c>
      <c r="L14" s="50">
        <v>9224</v>
      </c>
      <c r="M14" s="50">
        <v>9807</v>
      </c>
      <c r="N14" s="50">
        <v>9168</v>
      </c>
      <c r="O14" s="50">
        <v>0</v>
      </c>
      <c r="P14" s="50">
        <v>0</v>
      </c>
      <c r="Q14" s="50">
        <v>0</v>
      </c>
      <c r="R14" s="50"/>
    </row>
    <row r="15" spans="2:18">
      <c r="B15" s="50" t="s">
        <v>932</v>
      </c>
      <c r="C15" s="50">
        <v>13</v>
      </c>
      <c r="D15" s="50" t="s">
        <v>1899</v>
      </c>
      <c r="E15" s="95">
        <v>45518</v>
      </c>
      <c r="F15" s="50">
        <v>1</v>
      </c>
      <c r="G15" s="254">
        <v>1</v>
      </c>
      <c r="H15" s="50" t="s">
        <v>970</v>
      </c>
      <c r="I15" s="50">
        <v>0</v>
      </c>
      <c r="J15" s="50">
        <v>0</v>
      </c>
      <c r="K15" s="50">
        <v>0</v>
      </c>
      <c r="L15" s="50">
        <v>0</v>
      </c>
      <c r="M15" s="50" t="s">
        <v>961</v>
      </c>
      <c r="N15" s="95">
        <v>0</v>
      </c>
      <c r="O15" s="95" t="s">
        <v>961</v>
      </c>
      <c r="P15" s="50">
        <v>0</v>
      </c>
      <c r="Q15" s="50" t="s">
        <v>961</v>
      </c>
      <c r="R15" s="95"/>
    </row>
    <row r="16" spans="2:18">
      <c r="B16" s="50" t="s">
        <v>934</v>
      </c>
      <c r="C16" s="50">
        <v>14</v>
      </c>
      <c r="D16" s="50" t="s">
        <v>1900</v>
      </c>
      <c r="E16" s="95">
        <v>45534</v>
      </c>
      <c r="F16" s="50">
        <v>1</v>
      </c>
      <c r="G16" s="254">
        <v>1</v>
      </c>
      <c r="H16" s="98" t="s">
        <v>970</v>
      </c>
      <c r="I16" s="50">
        <v>0</v>
      </c>
      <c r="J16" s="50">
        <v>0</v>
      </c>
      <c r="K16" s="50">
        <v>0</v>
      </c>
      <c r="L16" s="50">
        <v>0</v>
      </c>
      <c r="M16" s="50" t="s">
        <v>961</v>
      </c>
      <c r="N16" s="50" t="s">
        <v>961</v>
      </c>
      <c r="O16" s="50">
        <v>0</v>
      </c>
      <c r="P16" s="50" t="s">
        <v>961</v>
      </c>
      <c r="Q16" s="50" t="s">
        <v>961</v>
      </c>
      <c r="R16" s="50"/>
    </row>
    <row r="17" spans="2:19">
      <c r="B17" s="50" t="s">
        <v>936</v>
      </c>
      <c r="C17" s="50">
        <v>15</v>
      </c>
      <c r="D17" s="50" t="s">
        <v>1901</v>
      </c>
      <c r="E17" s="95">
        <v>45534</v>
      </c>
      <c r="F17" s="50">
        <v>1</v>
      </c>
      <c r="G17" s="254">
        <v>1</v>
      </c>
      <c r="H17" s="50" t="s">
        <v>970</v>
      </c>
      <c r="I17" s="50" t="s">
        <v>961</v>
      </c>
      <c r="J17" s="50" t="s">
        <v>961</v>
      </c>
      <c r="K17" s="50" t="s">
        <v>961</v>
      </c>
      <c r="L17" s="50" t="s">
        <v>961</v>
      </c>
      <c r="M17" s="50" t="s">
        <v>961</v>
      </c>
      <c r="N17" s="50" t="s">
        <v>961</v>
      </c>
      <c r="O17" s="50" t="s">
        <v>961</v>
      </c>
      <c r="P17" s="50" t="s">
        <v>961</v>
      </c>
      <c r="Q17" s="50" t="s">
        <v>961</v>
      </c>
      <c r="R17" s="50"/>
    </row>
    <row r="18" spans="2:19">
      <c r="B18" s="50" t="s">
        <v>938</v>
      </c>
      <c r="C18" s="50">
        <v>16</v>
      </c>
      <c r="D18" s="50" t="s">
        <v>1901</v>
      </c>
      <c r="E18" s="95">
        <v>45534</v>
      </c>
      <c r="F18" s="50">
        <v>1</v>
      </c>
      <c r="G18" s="254">
        <v>1</v>
      </c>
      <c r="H18" s="98" t="s">
        <v>970</v>
      </c>
      <c r="I18" s="50" t="s">
        <v>961</v>
      </c>
      <c r="J18" s="50" t="s">
        <v>961</v>
      </c>
      <c r="K18" s="50" t="s">
        <v>961</v>
      </c>
      <c r="L18" s="50" t="s">
        <v>961</v>
      </c>
      <c r="M18" s="50" t="s">
        <v>961</v>
      </c>
      <c r="N18" s="97" t="s">
        <v>961</v>
      </c>
      <c r="O18" s="97" t="s">
        <v>961</v>
      </c>
      <c r="P18" s="97" t="s">
        <v>961</v>
      </c>
      <c r="Q18" s="97" t="s">
        <v>961</v>
      </c>
      <c r="R18" s="50"/>
    </row>
    <row r="19" spans="2:19">
      <c r="B19" s="50" t="s">
        <v>944</v>
      </c>
      <c r="C19" s="50">
        <v>19</v>
      </c>
      <c r="D19" s="50" t="s">
        <v>1902</v>
      </c>
      <c r="E19" s="95">
        <v>45534</v>
      </c>
      <c r="F19" s="50">
        <v>1</v>
      </c>
      <c r="G19" s="208" cm="1">
        <f t="array" aca="1" ref="G19" ca="1">SUMPRODUCT(--(ISNUMBER((SEARCH(I25:AJ25,I19:AJ19)))))/COUNTA(I19:AJ19)</f>
        <v>0.88888888888888884</v>
      </c>
      <c r="H19" s="98" t="s">
        <v>970</v>
      </c>
      <c r="I19" s="50" t="s">
        <v>995</v>
      </c>
      <c r="J19" s="50" t="s">
        <v>995</v>
      </c>
      <c r="K19" s="50" t="s">
        <v>1903</v>
      </c>
      <c r="L19" s="50" t="s">
        <v>995</v>
      </c>
      <c r="M19" s="50" t="s">
        <v>995</v>
      </c>
      <c r="N19" s="97" t="s">
        <v>995</v>
      </c>
      <c r="O19" s="97" t="s">
        <v>995</v>
      </c>
      <c r="P19" s="50" t="s">
        <v>995</v>
      </c>
      <c r="Q19" s="50" t="s">
        <v>997</v>
      </c>
      <c r="R19" s="50"/>
    </row>
    <row r="20" spans="2:19">
      <c r="B20" s="50" t="s">
        <v>947</v>
      </c>
      <c r="C20" s="50">
        <v>20</v>
      </c>
      <c r="D20" s="50"/>
      <c r="E20" s="95"/>
      <c r="F20" s="50"/>
      <c r="G20" s="192" t="e" cm="1">
        <f t="array" aca="1" ref="G20" ca="1">SUM(IF(I2:Q2 = I24:Q24, 1, 0))/ COUNTA(I2:Q2)</f>
        <v>#NAME?</v>
      </c>
      <c r="H20" s="50"/>
      <c r="I20" s="50"/>
      <c r="J20" s="50"/>
      <c r="K20" s="50"/>
      <c r="L20" s="50"/>
      <c r="M20" s="50"/>
      <c r="N20" s="50"/>
      <c r="O20" s="50"/>
      <c r="P20" s="50"/>
      <c r="Q20" s="50"/>
      <c r="R20" s="50"/>
    </row>
    <row r="21" spans="2:19">
      <c r="B21" s="50" t="s">
        <v>950</v>
      </c>
      <c r="C21" s="50">
        <v>21</v>
      </c>
      <c r="D21" s="50"/>
      <c r="E21" s="95"/>
      <c r="F21" s="50"/>
      <c r="G21" s="192" t="e" cm="1">
        <f t="array" aca="1" ref="G21" ca="1">SUM(IF(IF(G3:G20="null",1,G3:G20)=1,1,0))/COUNT(IF(G3:G20="null",1,1))</f>
        <v>#DIV/0!</v>
      </c>
      <c r="H21" s="50"/>
      <c r="I21" s="50"/>
      <c r="J21" s="50"/>
      <c r="K21" s="50"/>
      <c r="L21" s="50"/>
      <c r="M21" s="50"/>
      <c r="N21" s="50"/>
      <c r="O21" s="50"/>
      <c r="P21" s="50"/>
      <c r="Q21" s="50"/>
      <c r="R21" s="50"/>
    </row>
    <row r="23" spans="2:19">
      <c r="B23" s="130" t="s">
        <v>1067</v>
      </c>
    </row>
    <row r="24" spans="2:19">
      <c r="B24" s="128" t="s">
        <v>953</v>
      </c>
      <c r="C24" s="129" t="s">
        <v>954</v>
      </c>
      <c r="D24" s="129" t="s">
        <v>955</v>
      </c>
      <c r="E24" s="129" t="s">
        <v>956</v>
      </c>
      <c r="F24" s="129" t="s">
        <v>957</v>
      </c>
      <c r="G24" s="129" t="s">
        <v>958</v>
      </c>
      <c r="H24" s="129" t="s">
        <v>959</v>
      </c>
      <c r="I24" s="129" t="e" cm="1">
        <f t="array" aca="1" ref="I24" ca="1">TRANSPOSE(_xlfn.SORTBY(_xlfn._xlws.FILTER(Table3[NOME FÍSICO CAMPO],Table3[NOME FÍSICO TABELA]="trade_finance_route"), _xlfn._xlws.FILTER(Table3[ORDEM], Table3[NOME FÍSICO TABELA]="trade_finance_route"), 1))</f>
        <v>#NAME?</v>
      </c>
      <c r="J24" s="129"/>
      <c r="K24" s="129"/>
      <c r="L24" s="129"/>
      <c r="M24" s="129"/>
      <c r="N24" s="129"/>
      <c r="O24" s="129"/>
      <c r="P24" s="129"/>
      <c r="Q24" s="129"/>
      <c r="R24" s="216"/>
      <c r="S24" s="216"/>
    </row>
    <row r="25" spans="2:19">
      <c r="B25" s="107" t="s">
        <v>998</v>
      </c>
      <c r="C25" s="93">
        <v>21</v>
      </c>
      <c r="D25" s="92" t="s">
        <v>999</v>
      </c>
      <c r="E25" t="s">
        <v>1000</v>
      </c>
      <c r="F25" t="s">
        <v>206</v>
      </c>
      <c r="G25" t="s">
        <v>206</v>
      </c>
      <c r="H25" t="s">
        <v>206</v>
      </c>
      <c r="I25" t="e" cm="1">
        <f t="array" aca="1" ref="I25" ca="1">TRANSPOSE(_xlfn.SORTBY(_xlfn._xlws.FILTER(IF(Table3[FORMATO]:Table3[COMP_ CAMPO]&lt;&gt;"",Table3[FORMATO]:Table3[COMP_ CAMPO],9999999),Table3[NOME FÍSICO TABELA]="trade_finance_route"), _xlfn._xlws.FILTER(Table3[ORDEM], Table3[NOME FÍSICO TABELA]="trade_finance_route"), 1))</f>
        <v>#NAME?</v>
      </c>
    </row>
    <row r="26" spans="2:19">
      <c r="B26" s="107" t="s">
        <v>1001</v>
      </c>
      <c r="C26" s="151">
        <v>7</v>
      </c>
      <c r="D26" s="106" t="s">
        <v>999</v>
      </c>
      <c r="E26" s="105" t="s">
        <v>1000</v>
      </c>
      <c r="F26" s="105" t="s">
        <v>206</v>
      </c>
      <c r="G26" s="105" t="s">
        <v>206</v>
      </c>
      <c r="H26" s="105" t="s">
        <v>206</v>
      </c>
      <c r="I26" s="151"/>
      <c r="J26" s="151"/>
      <c r="K26" s="151"/>
      <c r="L26" s="151"/>
      <c r="M26" s="151"/>
      <c r="N26" s="151"/>
      <c r="O26" s="151"/>
      <c r="P26" s="151"/>
      <c r="Q26" s="151"/>
      <c r="R26" s="93"/>
      <c r="S26" s="93"/>
    </row>
    <row r="28" spans="2:19">
      <c r="B28" s="140" t="s">
        <v>1002</v>
      </c>
    </row>
    <row r="29" spans="2:19">
      <c r="B29" s="134" t="s">
        <v>1003</v>
      </c>
      <c r="C29" s="134" t="s">
        <v>1004</v>
      </c>
      <c r="D29" s="135" t="s">
        <v>1005</v>
      </c>
      <c r="E29" s="134" t="s">
        <v>1006</v>
      </c>
      <c r="F29" s="134" t="s">
        <v>1007</v>
      </c>
    </row>
    <row r="30" spans="2:19" ht="87">
      <c r="B30" s="111" t="s">
        <v>1008</v>
      </c>
      <c r="C30" s="115" t="s">
        <v>1877</v>
      </c>
      <c r="D30" s="53" t="s">
        <v>1904</v>
      </c>
      <c r="E30" s="153" t="s">
        <v>1905</v>
      </c>
      <c r="F30" s="136"/>
    </row>
    <row r="31" spans="2:19" ht="87">
      <c r="B31" s="111" t="s">
        <v>1415</v>
      </c>
      <c r="C31" s="138" t="s">
        <v>1878</v>
      </c>
      <c r="D31" s="53" t="s">
        <v>1904</v>
      </c>
      <c r="E31" s="153" t="s">
        <v>1906</v>
      </c>
      <c r="F31" s="188"/>
    </row>
    <row r="32" spans="2:19" ht="87">
      <c r="B32" s="111" t="s">
        <v>1907</v>
      </c>
      <c r="C32" s="138" t="s">
        <v>1879</v>
      </c>
      <c r="D32" s="53" t="s">
        <v>1904</v>
      </c>
      <c r="E32" s="153" t="s">
        <v>1908</v>
      </c>
      <c r="F32" s="188"/>
    </row>
    <row r="33" spans="2:6" ht="66" customHeight="1">
      <c r="B33" s="289" t="s">
        <v>1909</v>
      </c>
      <c r="C33" s="290" t="s">
        <v>1797</v>
      </c>
      <c r="D33" s="291" t="s">
        <v>1910</v>
      </c>
      <c r="E33" s="292" t="s">
        <v>1911</v>
      </c>
      <c r="F33" s="29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AN48"/>
  <sheetViews>
    <sheetView showGridLines="0" workbookViewId="0">
      <selection activeCell="A14" sqref="A14:XFD14"/>
    </sheetView>
  </sheetViews>
  <sheetFormatPr defaultRowHeight="14.5"/>
  <cols>
    <col min="2" max="2" width="30.7265625" bestFit="1" customWidth="1"/>
    <col min="3" max="3" width="32" customWidth="1"/>
    <col min="4" max="4" width="35.81640625" customWidth="1"/>
    <col min="5" max="5" width="30.453125" bestFit="1" customWidth="1"/>
    <col min="6" max="6" width="20.26953125" customWidth="1"/>
    <col min="7" max="7" width="11.453125" bestFit="1" customWidth="1"/>
    <col min="8" max="8" width="16.453125" bestFit="1" customWidth="1"/>
    <col min="9" max="9" width="18.453125" bestFit="1" customWidth="1"/>
    <col min="10" max="10" width="37.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40.1796875" customWidth="1"/>
    <col min="23" max="23" width="18.81640625" bestFit="1" customWidth="1"/>
    <col min="24" max="24" width="31.54296875" bestFit="1" customWidth="1"/>
    <col min="25" max="25" width="32.1796875" bestFit="1" customWidth="1"/>
    <col min="26" max="26" width="32.453125" bestFit="1" customWidth="1"/>
    <col min="27" max="27" width="24" bestFit="1" customWidth="1"/>
    <col min="28" max="28" width="26" bestFit="1" customWidth="1"/>
    <col min="29" max="29" width="22.26953125" bestFit="1" customWidth="1"/>
    <col min="30" max="30" width="28.1796875" bestFit="1" customWidth="1"/>
    <col min="31" max="31" width="28.26953125" bestFit="1" customWidth="1"/>
    <col min="32" max="32" width="25.453125" bestFit="1" customWidth="1"/>
    <col min="33" max="33" width="27.453125" bestFit="1" customWidth="1"/>
    <col min="34" max="34" width="23.81640625" bestFit="1" customWidth="1"/>
    <col min="35" max="35" width="29.54296875" bestFit="1" customWidth="1"/>
    <col min="36" max="36" width="23" bestFit="1" customWidth="1"/>
    <col min="37" max="37" width="33.26953125" bestFit="1" customWidth="1"/>
    <col min="38" max="38" width="14.7265625" bestFit="1" customWidth="1"/>
    <col min="39" max="39" width="17.453125" bestFit="1" customWidth="1"/>
    <col min="40" max="40" width="26.81640625" bestFit="1" customWidth="1"/>
  </cols>
  <sheetData>
    <row r="1" spans="2:40" ht="26.25" customHeight="1"/>
    <row r="2" spans="2:40">
      <c r="B2" s="76" t="s">
        <v>953</v>
      </c>
      <c r="C2" s="76" t="s">
        <v>954</v>
      </c>
      <c r="D2" s="76" t="s">
        <v>955</v>
      </c>
      <c r="E2" s="76" t="s">
        <v>956</v>
      </c>
      <c r="F2" s="76" t="s">
        <v>957</v>
      </c>
      <c r="G2" s="76" t="s">
        <v>958</v>
      </c>
      <c r="H2" s="76" t="s">
        <v>959</v>
      </c>
      <c r="I2" s="129" t="s">
        <v>102</v>
      </c>
      <c r="J2" s="129" t="s">
        <v>112</v>
      </c>
      <c r="K2" s="129" t="s">
        <v>116</v>
      </c>
      <c r="L2" s="129" t="s">
        <v>121</v>
      </c>
      <c r="M2" s="129" t="s">
        <v>127</v>
      </c>
      <c r="N2" s="129" t="s">
        <v>132</v>
      </c>
      <c r="O2" s="129" t="s">
        <v>135</v>
      </c>
      <c r="P2" s="129" t="s">
        <v>138</v>
      </c>
      <c r="Q2" s="129" t="s">
        <v>144</v>
      </c>
      <c r="R2" s="129" t="s">
        <v>149</v>
      </c>
      <c r="S2" s="129" t="s">
        <v>155</v>
      </c>
      <c r="T2" t="s">
        <v>169</v>
      </c>
      <c r="U2" t="s">
        <v>508</v>
      </c>
      <c r="V2" s="76" t="s">
        <v>525</v>
      </c>
      <c r="W2" s="76" t="s">
        <v>319</v>
      </c>
      <c r="X2" s="76" t="s">
        <v>175</v>
      </c>
      <c r="Y2" s="76" t="s">
        <v>183</v>
      </c>
      <c r="Z2" s="76" t="s">
        <v>1472</v>
      </c>
      <c r="AA2" s="76" t="s">
        <v>546</v>
      </c>
      <c r="AB2" s="76" t="s">
        <v>547</v>
      </c>
      <c r="AC2" s="76" t="s">
        <v>548</v>
      </c>
      <c r="AD2" s="76" t="s">
        <v>517</v>
      </c>
      <c r="AE2" s="76" t="s">
        <v>392</v>
      </c>
      <c r="AF2" s="76" t="s">
        <v>404</v>
      </c>
      <c r="AG2" s="76" t="s">
        <v>414</v>
      </c>
      <c r="AH2" s="76" t="s">
        <v>424</v>
      </c>
      <c r="AI2" s="76" t="s">
        <v>432</v>
      </c>
      <c r="AJ2" s="76" t="s">
        <v>190</v>
      </c>
      <c r="AK2" s="76" t="s">
        <v>196</v>
      </c>
      <c r="AL2" s="76" t="s">
        <v>202</v>
      </c>
      <c r="AM2" s="76" t="s">
        <v>208</v>
      </c>
      <c r="AN2" s="76" t="s">
        <v>213</v>
      </c>
    </row>
    <row r="3" spans="2:40">
      <c r="B3" s="50" t="s">
        <v>907</v>
      </c>
      <c r="C3" s="50">
        <v>1</v>
      </c>
      <c r="D3" s="50" t="s">
        <v>1912</v>
      </c>
      <c r="E3" s="95">
        <v>45513</v>
      </c>
      <c r="F3" s="50">
        <v>1</v>
      </c>
      <c r="G3" s="98">
        <v>1</v>
      </c>
      <c r="H3" s="224" t="s">
        <v>1913</v>
      </c>
      <c r="I3" s="50" t="s">
        <v>961</v>
      </c>
      <c r="J3" s="50" t="s">
        <v>961</v>
      </c>
      <c r="K3" s="50" t="s">
        <v>961</v>
      </c>
      <c r="L3" s="50" t="s">
        <v>961</v>
      </c>
      <c r="M3" s="50" t="s">
        <v>961</v>
      </c>
      <c r="N3" s="50" t="s">
        <v>961</v>
      </c>
      <c r="O3" s="50" t="s">
        <v>961</v>
      </c>
      <c r="P3" s="50" t="s">
        <v>961</v>
      </c>
      <c r="Q3" s="50" t="s">
        <v>961</v>
      </c>
      <c r="R3" s="50" t="s">
        <v>961</v>
      </c>
      <c r="S3" s="50" t="s">
        <v>961</v>
      </c>
      <c r="T3" s="50" t="s">
        <v>961</v>
      </c>
      <c r="U3" s="50" t="s">
        <v>961</v>
      </c>
      <c r="V3" s="50" t="s">
        <v>961</v>
      </c>
      <c r="W3" s="50" t="s">
        <v>961</v>
      </c>
      <c r="X3" s="50" t="s">
        <v>961</v>
      </c>
      <c r="Y3" s="50" t="s">
        <v>961</v>
      </c>
      <c r="Z3" s="186" t="s">
        <v>961</v>
      </c>
      <c r="AA3" s="186" t="s">
        <v>961</v>
      </c>
      <c r="AB3" s="186" t="s">
        <v>961</v>
      </c>
      <c r="AC3" s="186" t="s">
        <v>961</v>
      </c>
      <c r="AD3" s="186" t="s">
        <v>961</v>
      </c>
      <c r="AE3" s="186" t="s">
        <v>961</v>
      </c>
      <c r="AF3" s="186" t="s">
        <v>961</v>
      </c>
      <c r="AG3" s="186" t="s">
        <v>961</v>
      </c>
      <c r="AH3" s="186" t="s">
        <v>961</v>
      </c>
      <c r="AI3" s="186" t="s">
        <v>961</v>
      </c>
      <c r="AJ3" s="50" t="s">
        <v>961</v>
      </c>
      <c r="AK3" s="50" t="s">
        <v>961</v>
      </c>
      <c r="AL3" s="50" t="s">
        <v>961</v>
      </c>
      <c r="AM3" s="50" t="s">
        <v>961</v>
      </c>
      <c r="AN3" s="50" t="s">
        <v>961</v>
      </c>
    </row>
    <row r="4" spans="2:40">
      <c r="B4" s="50" t="s">
        <v>909</v>
      </c>
      <c r="C4" s="50">
        <v>2</v>
      </c>
      <c r="D4" s="50" t="s">
        <v>1914</v>
      </c>
      <c r="E4" s="95">
        <v>45513</v>
      </c>
      <c r="F4" s="50">
        <v>1</v>
      </c>
      <c r="G4" s="98">
        <v>1</v>
      </c>
      <c r="H4" s="184" t="s">
        <v>970</v>
      </c>
      <c r="I4" s="50" t="s">
        <v>961</v>
      </c>
      <c r="J4" s="50" t="s">
        <v>961</v>
      </c>
      <c r="K4" s="50" t="s">
        <v>961</v>
      </c>
      <c r="L4" s="50" t="s">
        <v>961</v>
      </c>
      <c r="M4" s="50" t="s">
        <v>961</v>
      </c>
      <c r="N4" s="50" t="s">
        <v>961</v>
      </c>
      <c r="O4" s="50" t="s">
        <v>961</v>
      </c>
      <c r="P4" s="50" t="s">
        <v>961</v>
      </c>
      <c r="Q4" s="50" t="s">
        <v>961</v>
      </c>
      <c r="R4" s="50" t="s">
        <v>961</v>
      </c>
      <c r="S4" s="50" t="s">
        <v>961</v>
      </c>
      <c r="T4" s="50" t="s">
        <v>961</v>
      </c>
      <c r="U4" s="50" t="s">
        <v>961</v>
      </c>
      <c r="V4" s="50" t="s">
        <v>961</v>
      </c>
      <c r="W4" s="50" t="s">
        <v>961</v>
      </c>
      <c r="X4" s="50" t="s">
        <v>961</v>
      </c>
      <c r="Y4" s="50" t="s">
        <v>961</v>
      </c>
      <c r="Z4" s="186" t="s">
        <v>961</v>
      </c>
      <c r="AA4" s="186" t="s">
        <v>961</v>
      </c>
      <c r="AB4" s="186" t="s">
        <v>961</v>
      </c>
      <c r="AC4" s="186" t="s">
        <v>961</v>
      </c>
      <c r="AD4" s="186" t="s">
        <v>961</v>
      </c>
      <c r="AE4" s="186" t="s">
        <v>961</v>
      </c>
      <c r="AF4" s="186" t="s">
        <v>961</v>
      </c>
      <c r="AG4" s="186" t="s">
        <v>961</v>
      </c>
      <c r="AH4" s="186" t="s">
        <v>961</v>
      </c>
      <c r="AI4" s="186" t="s">
        <v>961</v>
      </c>
      <c r="AJ4" s="50" t="s">
        <v>961</v>
      </c>
      <c r="AK4" s="50" t="s">
        <v>961</v>
      </c>
      <c r="AL4" s="50" t="s">
        <v>961</v>
      </c>
      <c r="AM4" s="50" t="s">
        <v>961</v>
      </c>
      <c r="AN4" s="50" t="s">
        <v>961</v>
      </c>
    </row>
    <row r="5" spans="2:40">
      <c r="B5" s="50" t="s">
        <v>911</v>
      </c>
      <c r="C5" s="50">
        <v>3</v>
      </c>
      <c r="D5" s="50" t="s">
        <v>1915</v>
      </c>
      <c r="E5" s="95">
        <v>45513</v>
      </c>
      <c r="F5" s="50">
        <v>1</v>
      </c>
      <c r="G5" s="98">
        <v>1</v>
      </c>
      <c r="H5" s="184" t="s">
        <v>970</v>
      </c>
      <c r="I5" s="50">
        <v>0</v>
      </c>
      <c r="J5" s="50">
        <v>0</v>
      </c>
      <c r="K5" s="50" t="s">
        <v>961</v>
      </c>
      <c r="L5" s="50" t="s">
        <v>961</v>
      </c>
      <c r="M5" s="50" t="s">
        <v>961</v>
      </c>
      <c r="N5" s="50" t="s">
        <v>961</v>
      </c>
      <c r="O5" s="50" t="s">
        <v>961</v>
      </c>
      <c r="P5" s="50" t="s">
        <v>961</v>
      </c>
      <c r="Q5" s="50" t="s">
        <v>961</v>
      </c>
      <c r="R5" s="50" t="s">
        <v>961</v>
      </c>
      <c r="S5" s="50" t="s">
        <v>961</v>
      </c>
      <c r="T5" s="50" t="s">
        <v>961</v>
      </c>
      <c r="U5" s="50" t="s">
        <v>961</v>
      </c>
      <c r="V5" s="50" t="s">
        <v>961</v>
      </c>
      <c r="W5" s="50" t="s">
        <v>961</v>
      </c>
      <c r="X5" s="50" t="s">
        <v>961</v>
      </c>
      <c r="Y5" s="50" t="s">
        <v>961</v>
      </c>
      <c r="Z5" s="186" t="s">
        <v>961</v>
      </c>
      <c r="AA5" s="186" t="s">
        <v>961</v>
      </c>
      <c r="AB5" s="186" t="s">
        <v>961</v>
      </c>
      <c r="AC5" s="186" t="s">
        <v>961</v>
      </c>
      <c r="AD5" s="186" t="s">
        <v>961</v>
      </c>
      <c r="AE5" s="186" t="s">
        <v>961</v>
      </c>
      <c r="AF5" s="186" t="s">
        <v>961</v>
      </c>
      <c r="AG5" s="186" t="s">
        <v>961</v>
      </c>
      <c r="AH5" s="186" t="s">
        <v>961</v>
      </c>
      <c r="AI5" s="186" t="s">
        <v>961</v>
      </c>
      <c r="AJ5" s="50" t="s">
        <v>961</v>
      </c>
      <c r="AK5" s="50" t="s">
        <v>961</v>
      </c>
      <c r="AL5" s="50" t="s">
        <v>961</v>
      </c>
      <c r="AM5" s="50">
        <v>0</v>
      </c>
      <c r="AN5" s="50" t="s">
        <v>961</v>
      </c>
    </row>
    <row r="6" spans="2:40">
      <c r="B6" s="97" t="s">
        <v>913</v>
      </c>
      <c r="C6" s="50">
        <v>4</v>
      </c>
      <c r="D6" s="50" t="s">
        <v>964</v>
      </c>
      <c r="E6" s="95" t="s">
        <v>961</v>
      </c>
      <c r="F6" s="50">
        <v>1</v>
      </c>
      <c r="G6" s="50" t="s">
        <v>961</v>
      </c>
      <c r="H6" s="184" t="s">
        <v>961</v>
      </c>
      <c r="I6" s="50" t="s">
        <v>961</v>
      </c>
      <c r="J6" s="50" t="s">
        <v>961</v>
      </c>
      <c r="K6" s="50" t="s">
        <v>961</v>
      </c>
      <c r="L6" s="50" t="s">
        <v>961</v>
      </c>
      <c r="M6" s="50" t="s">
        <v>961</v>
      </c>
      <c r="N6" s="50" t="s">
        <v>961</v>
      </c>
      <c r="O6" s="50" t="s">
        <v>961</v>
      </c>
      <c r="P6" s="50" t="s">
        <v>961</v>
      </c>
      <c r="Q6" s="50" t="s">
        <v>961</v>
      </c>
      <c r="R6" s="50" t="s">
        <v>961</v>
      </c>
      <c r="S6" s="50" t="s">
        <v>961</v>
      </c>
      <c r="T6" s="50" t="s">
        <v>961</v>
      </c>
      <c r="U6" s="50" t="s">
        <v>961</v>
      </c>
      <c r="V6" s="50" t="s">
        <v>961</v>
      </c>
      <c r="W6" s="50" t="s">
        <v>961</v>
      </c>
      <c r="X6" s="50" t="s">
        <v>961</v>
      </c>
      <c r="Y6" s="50" t="s">
        <v>961</v>
      </c>
      <c r="Z6" s="186" t="s">
        <v>961</v>
      </c>
      <c r="AA6" s="186" t="s">
        <v>961</v>
      </c>
      <c r="AB6" s="186" t="s">
        <v>961</v>
      </c>
      <c r="AC6" s="186" t="s">
        <v>961</v>
      </c>
      <c r="AD6" s="186" t="s">
        <v>961</v>
      </c>
      <c r="AE6" s="186" t="s">
        <v>961</v>
      </c>
      <c r="AF6" s="186" t="s">
        <v>961</v>
      </c>
      <c r="AG6" s="186" t="s">
        <v>961</v>
      </c>
      <c r="AH6" s="186" t="s">
        <v>961</v>
      </c>
      <c r="AI6" s="186" t="s">
        <v>961</v>
      </c>
      <c r="AJ6" s="50" t="s">
        <v>961</v>
      </c>
      <c r="AK6" s="50" t="s">
        <v>961</v>
      </c>
      <c r="AL6" s="50" t="s">
        <v>961</v>
      </c>
      <c r="AM6" s="50" t="s">
        <v>961</v>
      </c>
      <c r="AN6" s="50" t="s">
        <v>961</v>
      </c>
    </row>
    <row r="7" spans="2:40">
      <c r="B7" s="50" t="s">
        <v>915</v>
      </c>
      <c r="C7" s="50">
        <v>5</v>
      </c>
      <c r="D7" s="50" t="s">
        <v>964</v>
      </c>
      <c r="E7" s="95" t="s">
        <v>961</v>
      </c>
      <c r="F7" s="50">
        <v>1</v>
      </c>
      <c r="G7" s="50" t="s">
        <v>961</v>
      </c>
      <c r="H7" s="184" t="s">
        <v>961</v>
      </c>
      <c r="I7" s="50" t="s">
        <v>961</v>
      </c>
      <c r="J7" s="50" t="s">
        <v>961</v>
      </c>
      <c r="K7" s="50" t="s">
        <v>961</v>
      </c>
      <c r="L7" s="50" t="s">
        <v>961</v>
      </c>
      <c r="M7" s="50" t="s">
        <v>961</v>
      </c>
      <c r="N7" s="50" t="s">
        <v>961</v>
      </c>
      <c r="O7" s="50" t="s">
        <v>961</v>
      </c>
      <c r="P7" s="50" t="s">
        <v>961</v>
      </c>
      <c r="Q7" s="50" t="s">
        <v>961</v>
      </c>
      <c r="R7" s="50" t="s">
        <v>961</v>
      </c>
      <c r="S7" s="50" t="s">
        <v>961</v>
      </c>
      <c r="T7" s="50" t="s">
        <v>961</v>
      </c>
      <c r="U7" s="50" t="s">
        <v>961</v>
      </c>
      <c r="V7" s="50" t="s">
        <v>961</v>
      </c>
      <c r="W7" s="50" t="s">
        <v>961</v>
      </c>
      <c r="X7" s="50" t="s">
        <v>961</v>
      </c>
      <c r="Y7" s="50" t="s">
        <v>961</v>
      </c>
      <c r="Z7" s="186" t="s">
        <v>961</v>
      </c>
      <c r="AA7" s="186" t="s">
        <v>961</v>
      </c>
      <c r="AB7" s="186" t="s">
        <v>961</v>
      </c>
      <c r="AC7" s="186" t="s">
        <v>961</v>
      </c>
      <c r="AD7" s="186" t="s">
        <v>961</v>
      </c>
      <c r="AE7" s="186" t="s">
        <v>961</v>
      </c>
      <c r="AF7" s="186" t="s">
        <v>961</v>
      </c>
      <c r="AG7" s="186" t="s">
        <v>961</v>
      </c>
      <c r="AH7" s="186" t="s">
        <v>961</v>
      </c>
      <c r="AI7" s="186" t="s">
        <v>961</v>
      </c>
      <c r="AJ7" s="50" t="s">
        <v>961</v>
      </c>
      <c r="AK7" s="50" t="s">
        <v>961</v>
      </c>
      <c r="AL7" s="50" t="s">
        <v>961</v>
      </c>
      <c r="AM7" s="50" t="s">
        <v>961</v>
      </c>
      <c r="AN7" s="50" t="s">
        <v>961</v>
      </c>
    </row>
    <row r="8" spans="2:40">
      <c r="B8" s="97" t="s">
        <v>916</v>
      </c>
      <c r="C8" s="50">
        <v>6</v>
      </c>
      <c r="D8" s="50" t="s">
        <v>1916</v>
      </c>
      <c r="E8" s="95">
        <v>45513</v>
      </c>
      <c r="F8" s="50">
        <v>1</v>
      </c>
      <c r="G8" s="208" cm="1">
        <f t="array" ref="G8">SUMPRODUCT(--(I8:AN8&gt;0))/COUNTA(I8:AN8)</f>
        <v>1</v>
      </c>
      <c r="H8" s="184" t="s">
        <v>970</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86">
        <v>32</v>
      </c>
      <c r="AA8" s="186">
        <v>23</v>
      </c>
      <c r="AB8" s="186">
        <v>25</v>
      </c>
      <c r="AC8" s="186">
        <v>21</v>
      </c>
      <c r="AD8" s="186">
        <v>28</v>
      </c>
      <c r="AE8" s="186">
        <v>25</v>
      </c>
      <c r="AF8" s="186">
        <v>23</v>
      </c>
      <c r="AG8" s="186">
        <v>25</v>
      </c>
      <c r="AH8" s="186">
        <v>21</v>
      </c>
      <c r="AI8" s="186">
        <v>28</v>
      </c>
      <c r="AJ8" s="50">
        <v>3</v>
      </c>
      <c r="AK8" s="50">
        <v>3</v>
      </c>
      <c r="AL8" s="50">
        <v>2</v>
      </c>
      <c r="AM8" s="50">
        <v>10</v>
      </c>
      <c r="AN8" s="50">
        <v>23</v>
      </c>
    </row>
    <row r="9" spans="2:40">
      <c r="B9" s="50" t="s">
        <v>919</v>
      </c>
      <c r="C9" s="50">
        <v>7</v>
      </c>
      <c r="D9" s="50" t="s">
        <v>1917</v>
      </c>
      <c r="E9" s="95">
        <v>45513</v>
      </c>
      <c r="F9" s="50">
        <v>1</v>
      </c>
      <c r="G9" s="208" t="e" cm="1">
        <f t="array" ref="G9">SUMPRODUCT(--(I9:AN9 &lt;= I28:AN28))/COUNTA(I28:AN28)</f>
        <v>#DIV/0!</v>
      </c>
      <c r="H9" s="184" t="s">
        <v>970</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86">
        <v>1</v>
      </c>
      <c r="AA9" s="186">
        <v>1</v>
      </c>
      <c r="AB9" s="186">
        <v>1</v>
      </c>
      <c r="AC9" s="186">
        <v>1</v>
      </c>
      <c r="AD9" s="186">
        <v>1</v>
      </c>
      <c r="AE9" s="186">
        <v>1</v>
      </c>
      <c r="AF9" s="186">
        <v>1</v>
      </c>
      <c r="AG9" s="186">
        <v>1</v>
      </c>
      <c r="AH9" s="186">
        <v>1</v>
      </c>
      <c r="AI9" s="186">
        <v>1</v>
      </c>
      <c r="AJ9" s="50">
        <v>3</v>
      </c>
      <c r="AK9" s="50">
        <v>3</v>
      </c>
      <c r="AL9" s="50">
        <v>2</v>
      </c>
      <c r="AM9" s="50">
        <v>10</v>
      </c>
      <c r="AN9" s="50">
        <v>23</v>
      </c>
    </row>
    <row r="10" spans="2:40">
      <c r="B10" s="50" t="s">
        <v>922</v>
      </c>
      <c r="C10" s="50">
        <v>8</v>
      </c>
      <c r="D10" s="50" t="s">
        <v>1918</v>
      </c>
      <c r="E10" s="95">
        <v>45513</v>
      </c>
      <c r="F10" s="50">
        <v>1</v>
      </c>
      <c r="G10" s="50" t="s">
        <v>961</v>
      </c>
      <c r="H10" s="184" t="s">
        <v>970</v>
      </c>
      <c r="I10" s="50">
        <v>31</v>
      </c>
      <c r="J10" s="179" t="s">
        <v>1919</v>
      </c>
      <c r="K10" s="50" t="s">
        <v>1920</v>
      </c>
      <c r="L10" s="50">
        <v>22</v>
      </c>
      <c r="M10" s="50">
        <v>0</v>
      </c>
      <c r="N10" s="50">
        <v>31</v>
      </c>
      <c r="O10" s="50">
        <v>2.2822000999999998E+22</v>
      </c>
      <c r="P10" s="95">
        <v>31530</v>
      </c>
      <c r="Q10" s="95">
        <v>34698</v>
      </c>
      <c r="R10" s="50">
        <v>826</v>
      </c>
      <c r="S10" s="98">
        <v>0</v>
      </c>
      <c r="T10" s="179" t="s">
        <v>970</v>
      </c>
      <c r="U10" s="98">
        <v>-900000000000</v>
      </c>
      <c r="V10" s="50" t="s">
        <v>970</v>
      </c>
      <c r="W10" s="98">
        <v>-16362170000</v>
      </c>
      <c r="X10" s="98">
        <v>-42408660000</v>
      </c>
      <c r="Y10" s="50" t="s">
        <v>970</v>
      </c>
      <c r="Z10" s="186" t="s">
        <v>1472</v>
      </c>
      <c r="AA10" s="186" t="s">
        <v>546</v>
      </c>
      <c r="AB10" s="186" t="s">
        <v>547</v>
      </c>
      <c r="AC10" s="186" t="s">
        <v>548</v>
      </c>
      <c r="AD10" s="186" t="s">
        <v>517</v>
      </c>
      <c r="AE10" s="186" t="s">
        <v>392</v>
      </c>
      <c r="AF10" s="186" t="s">
        <v>404</v>
      </c>
      <c r="AG10" s="186" t="s">
        <v>414</v>
      </c>
      <c r="AH10" s="186" t="s">
        <v>424</v>
      </c>
      <c r="AI10" s="186" t="s">
        <v>432</v>
      </c>
      <c r="AJ10" s="50" t="s">
        <v>971</v>
      </c>
      <c r="AK10" s="50" t="s">
        <v>972</v>
      </c>
      <c r="AL10" s="50" t="s">
        <v>1089</v>
      </c>
      <c r="AM10" s="95">
        <v>45513</v>
      </c>
      <c r="AN10" s="50" t="s">
        <v>1921</v>
      </c>
    </row>
    <row r="11" spans="2:40">
      <c r="B11" s="50" t="s">
        <v>924</v>
      </c>
      <c r="C11" s="50">
        <v>9</v>
      </c>
      <c r="D11" s="50" t="s">
        <v>1922</v>
      </c>
      <c r="E11" s="95">
        <v>45513</v>
      </c>
      <c r="F11" s="50">
        <v>1</v>
      </c>
      <c r="G11" s="50" t="s">
        <v>961</v>
      </c>
      <c r="H11" s="184" t="s">
        <v>970</v>
      </c>
      <c r="I11" s="50">
        <v>31</v>
      </c>
      <c r="J11" s="179" t="s">
        <v>1919</v>
      </c>
      <c r="K11" s="50" t="s">
        <v>1923</v>
      </c>
      <c r="L11" s="50">
        <v>22</v>
      </c>
      <c r="M11" s="50">
        <v>0</v>
      </c>
      <c r="N11" s="50"/>
      <c r="O11" s="50">
        <v>2.2822000999999998E+22</v>
      </c>
      <c r="P11" s="95">
        <v>31530</v>
      </c>
      <c r="Q11" s="95">
        <v>34698</v>
      </c>
      <c r="R11" s="50">
        <v>826</v>
      </c>
      <c r="S11" s="50">
        <v>0</v>
      </c>
      <c r="T11" s="179" t="s">
        <v>1046</v>
      </c>
      <c r="U11" s="98">
        <v>-900000000000</v>
      </c>
      <c r="V11" s="50" t="s">
        <v>1046</v>
      </c>
      <c r="W11" s="98">
        <v>-16362170000</v>
      </c>
      <c r="X11" s="98" t="s">
        <v>1924</v>
      </c>
      <c r="Y11" s="50" t="s">
        <v>1046</v>
      </c>
      <c r="Z11" s="186" t="s">
        <v>1472</v>
      </c>
      <c r="AA11" s="186" t="s">
        <v>546</v>
      </c>
      <c r="AB11" s="186" t="s">
        <v>547</v>
      </c>
      <c r="AC11" s="186" t="s">
        <v>548</v>
      </c>
      <c r="AD11" s="186" t="s">
        <v>517</v>
      </c>
      <c r="AE11" s="186" t="s">
        <v>392</v>
      </c>
      <c r="AF11" s="186" t="s">
        <v>404</v>
      </c>
      <c r="AG11" s="186" t="s">
        <v>414</v>
      </c>
      <c r="AH11" s="186" t="s">
        <v>424</v>
      </c>
      <c r="AI11" s="186" t="s">
        <v>432</v>
      </c>
      <c r="AJ11" s="50">
        <v>0</v>
      </c>
      <c r="AK11" s="50"/>
      <c r="AL11" s="50" t="s">
        <v>1089</v>
      </c>
      <c r="AM11" s="95">
        <v>45513</v>
      </c>
      <c r="AN11" s="50" t="s">
        <v>1925</v>
      </c>
    </row>
    <row r="12" spans="2:40">
      <c r="B12" s="97" t="s">
        <v>926</v>
      </c>
      <c r="C12" s="50">
        <v>10</v>
      </c>
      <c r="D12" s="50" t="s">
        <v>1926</v>
      </c>
      <c r="E12" s="95">
        <v>45513</v>
      </c>
      <c r="F12" s="50">
        <v>1</v>
      </c>
      <c r="G12" s="50" t="s">
        <v>961</v>
      </c>
      <c r="H12" s="184" t="s">
        <v>970</v>
      </c>
      <c r="I12" s="50">
        <v>31</v>
      </c>
      <c r="J12" s="179" t="s">
        <v>1927</v>
      </c>
      <c r="K12" s="50" t="s">
        <v>1920</v>
      </c>
      <c r="L12" s="50">
        <v>97</v>
      </c>
      <c r="M12" s="95" t="s">
        <v>1928</v>
      </c>
      <c r="N12" s="50">
        <v>31</v>
      </c>
      <c r="O12" s="98">
        <v>2.3930258433501999E+29</v>
      </c>
      <c r="P12" s="192">
        <v>45513</v>
      </c>
      <c r="Q12" s="95">
        <v>2958464</v>
      </c>
      <c r="R12" s="50">
        <v>978</v>
      </c>
      <c r="S12" s="281" t="s">
        <v>1701</v>
      </c>
      <c r="T12" s="179" t="s">
        <v>1929</v>
      </c>
      <c r="U12" s="98">
        <v>72487500000000</v>
      </c>
      <c r="V12" s="98">
        <v>1634115960000</v>
      </c>
      <c r="W12" s="98">
        <v>27512500000000</v>
      </c>
      <c r="X12" s="98">
        <v>571000000000</v>
      </c>
      <c r="Y12" s="98">
        <v>1634115960000</v>
      </c>
      <c r="Z12" s="186" t="s">
        <v>1472</v>
      </c>
      <c r="AA12" s="186" t="s">
        <v>546</v>
      </c>
      <c r="AB12" s="186" t="s">
        <v>547</v>
      </c>
      <c r="AC12" s="186" t="s">
        <v>548</v>
      </c>
      <c r="AD12" s="186" t="s">
        <v>517</v>
      </c>
      <c r="AE12" s="186" t="s">
        <v>392</v>
      </c>
      <c r="AF12" s="186" t="s">
        <v>404</v>
      </c>
      <c r="AG12" s="186" t="s">
        <v>414</v>
      </c>
      <c r="AH12" s="186" t="s">
        <v>424</v>
      </c>
      <c r="AI12" s="186" t="s">
        <v>432</v>
      </c>
      <c r="AJ12" s="50" t="s">
        <v>1148</v>
      </c>
      <c r="AK12" s="50" t="s">
        <v>972</v>
      </c>
      <c r="AL12" s="50" t="s">
        <v>981</v>
      </c>
      <c r="AM12" s="95">
        <v>45513</v>
      </c>
      <c r="AN12" s="50" t="s">
        <v>1921</v>
      </c>
    </row>
    <row r="13" spans="2:40">
      <c r="B13" s="50" t="s">
        <v>928</v>
      </c>
      <c r="C13" s="50">
        <v>11</v>
      </c>
      <c r="D13" s="50" t="s">
        <v>1930</v>
      </c>
      <c r="E13" s="95">
        <v>45513</v>
      </c>
      <c r="F13" s="50">
        <v>1</v>
      </c>
      <c r="G13" s="50" t="s">
        <v>961</v>
      </c>
      <c r="H13" s="184" t="s">
        <v>970</v>
      </c>
      <c r="I13" s="50">
        <v>31</v>
      </c>
      <c r="J13" s="179" t="s">
        <v>1927</v>
      </c>
      <c r="K13" s="50" t="s">
        <v>1923</v>
      </c>
      <c r="L13" s="50">
        <v>97</v>
      </c>
      <c r="M13" s="95" t="s">
        <v>1928</v>
      </c>
      <c r="N13" s="50"/>
      <c r="O13" s="50">
        <v>2.3930258433501999E+29</v>
      </c>
      <c r="P13" s="95">
        <v>45513</v>
      </c>
      <c r="Q13" s="95">
        <v>2958464</v>
      </c>
      <c r="R13" s="50">
        <v>978</v>
      </c>
      <c r="S13" s="50">
        <v>1</v>
      </c>
      <c r="T13" s="179" t="s">
        <v>1931</v>
      </c>
      <c r="U13" s="98">
        <v>72487500000000</v>
      </c>
      <c r="V13" s="98" t="s">
        <v>1932</v>
      </c>
      <c r="W13" s="98">
        <v>27512500000000</v>
      </c>
      <c r="X13" s="98" t="s">
        <v>1933</v>
      </c>
      <c r="Y13" s="98" t="s">
        <v>1932</v>
      </c>
      <c r="Z13" s="186" t="s">
        <v>1472</v>
      </c>
      <c r="AA13" s="186" t="s">
        <v>546</v>
      </c>
      <c r="AB13" s="186" t="s">
        <v>547</v>
      </c>
      <c r="AC13" s="186" t="s">
        <v>548</v>
      </c>
      <c r="AD13" s="186" t="s">
        <v>517</v>
      </c>
      <c r="AE13" s="186" t="s">
        <v>392</v>
      </c>
      <c r="AF13" s="186" t="s">
        <v>404</v>
      </c>
      <c r="AG13" s="186" t="s">
        <v>414</v>
      </c>
      <c r="AH13" s="186" t="s">
        <v>424</v>
      </c>
      <c r="AI13" s="186" t="s">
        <v>432</v>
      </c>
      <c r="AJ13" s="50">
        <v>8</v>
      </c>
      <c r="AK13" s="50"/>
      <c r="AL13" s="50" t="s">
        <v>981</v>
      </c>
      <c r="AM13" s="95">
        <v>45513</v>
      </c>
      <c r="AN13" s="50" t="s">
        <v>1934</v>
      </c>
    </row>
    <row r="14" spans="2:40">
      <c r="B14" s="50" t="s">
        <v>930</v>
      </c>
      <c r="C14" s="50">
        <v>12</v>
      </c>
      <c r="D14" s="50" t="s">
        <v>1935</v>
      </c>
      <c r="E14" s="95">
        <v>45513</v>
      </c>
      <c r="F14" s="50">
        <v>1</v>
      </c>
      <c r="G14" s="192" t="s">
        <v>1936</v>
      </c>
      <c r="H14" s="184" t="s">
        <v>970</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86">
        <v>0</v>
      </c>
      <c r="AA14" s="186">
        <v>0</v>
      </c>
      <c r="AB14" s="186">
        <v>0</v>
      </c>
      <c r="AC14" s="186">
        <v>0</v>
      </c>
      <c r="AD14" s="186">
        <v>0</v>
      </c>
      <c r="AE14" s="186">
        <v>0</v>
      </c>
      <c r="AF14" s="186">
        <v>0</v>
      </c>
      <c r="AG14" s="186">
        <v>0</v>
      </c>
      <c r="AH14" s="186">
        <v>0</v>
      </c>
      <c r="AI14" s="186">
        <v>0</v>
      </c>
      <c r="AJ14" s="50">
        <v>0</v>
      </c>
      <c r="AK14" s="50">
        <v>0</v>
      </c>
      <c r="AL14" s="50">
        <v>0</v>
      </c>
      <c r="AM14" s="50">
        <v>0</v>
      </c>
      <c r="AN14" s="50">
        <v>0</v>
      </c>
    </row>
    <row r="15" spans="2:40">
      <c r="B15" s="50" t="s">
        <v>932</v>
      </c>
      <c r="C15" s="50">
        <v>13</v>
      </c>
      <c r="D15" s="50" t="s">
        <v>1937</v>
      </c>
      <c r="E15" s="95">
        <v>45513</v>
      </c>
      <c r="F15" s="50">
        <v>1</v>
      </c>
      <c r="G15" s="98">
        <v>1</v>
      </c>
      <c r="H15" s="184" t="s">
        <v>970</v>
      </c>
      <c r="I15" s="50" t="s">
        <v>961</v>
      </c>
      <c r="J15" s="50" t="s">
        <v>961</v>
      </c>
      <c r="K15" s="50" t="s">
        <v>961</v>
      </c>
      <c r="L15" s="50" t="s">
        <v>961</v>
      </c>
      <c r="M15" s="50" t="s">
        <v>961</v>
      </c>
      <c r="N15" s="50" t="s">
        <v>961</v>
      </c>
      <c r="O15" s="50" t="s">
        <v>961</v>
      </c>
      <c r="P15" s="50">
        <v>0</v>
      </c>
      <c r="Q15" s="50">
        <v>0</v>
      </c>
      <c r="R15" s="50" t="s">
        <v>961</v>
      </c>
      <c r="S15" s="50" t="s">
        <v>961</v>
      </c>
      <c r="T15" s="50" t="s">
        <v>961</v>
      </c>
      <c r="U15" s="50" t="s">
        <v>961</v>
      </c>
      <c r="V15" s="50" t="s">
        <v>961</v>
      </c>
      <c r="W15" s="50" t="s">
        <v>961</v>
      </c>
      <c r="X15" s="50" t="s">
        <v>961</v>
      </c>
      <c r="Y15" s="50" t="s">
        <v>961</v>
      </c>
      <c r="Z15" s="186" t="s">
        <v>961</v>
      </c>
      <c r="AA15" s="186" t="s">
        <v>961</v>
      </c>
      <c r="AB15" s="186" t="s">
        <v>961</v>
      </c>
      <c r="AC15" s="186" t="s">
        <v>961</v>
      </c>
      <c r="AD15" s="186" t="s">
        <v>961</v>
      </c>
      <c r="AE15" s="186" t="s">
        <v>961</v>
      </c>
      <c r="AF15" s="186" t="s">
        <v>961</v>
      </c>
      <c r="AG15" s="186" t="s">
        <v>961</v>
      </c>
      <c r="AH15" s="186" t="s">
        <v>961</v>
      </c>
      <c r="AI15" s="186" t="s">
        <v>961</v>
      </c>
      <c r="AJ15" s="50" t="s">
        <v>961</v>
      </c>
      <c r="AK15" s="50" t="s">
        <v>961</v>
      </c>
      <c r="AL15" s="50" t="s">
        <v>961</v>
      </c>
      <c r="AM15" s="50" t="s">
        <v>961</v>
      </c>
      <c r="AN15" s="50" t="s">
        <v>961</v>
      </c>
    </row>
    <row r="16" spans="2:40">
      <c r="B16" s="50" t="s">
        <v>934</v>
      </c>
      <c r="C16" s="50">
        <v>14</v>
      </c>
      <c r="D16" s="50" t="s">
        <v>1938</v>
      </c>
      <c r="E16" s="95">
        <v>45513</v>
      </c>
      <c r="F16" s="50">
        <v>1</v>
      </c>
      <c r="G16" s="98">
        <v>1</v>
      </c>
      <c r="H16" s="184" t="s">
        <v>970</v>
      </c>
      <c r="I16" s="50">
        <v>0</v>
      </c>
      <c r="J16" s="50">
        <v>0</v>
      </c>
      <c r="K16" s="50">
        <v>0</v>
      </c>
      <c r="L16" s="50">
        <v>0</v>
      </c>
      <c r="M16" s="50">
        <v>0</v>
      </c>
      <c r="N16" s="50">
        <v>0</v>
      </c>
      <c r="O16" s="50">
        <v>0</v>
      </c>
      <c r="P16" s="50" t="s">
        <v>961</v>
      </c>
      <c r="Q16" s="50" t="s">
        <v>961</v>
      </c>
      <c r="R16" s="50">
        <v>0</v>
      </c>
      <c r="S16" s="50" t="s">
        <v>961</v>
      </c>
      <c r="T16" s="50" t="s">
        <v>961</v>
      </c>
      <c r="U16" s="50" t="s">
        <v>961</v>
      </c>
      <c r="V16" s="50" t="s">
        <v>961</v>
      </c>
      <c r="W16" s="50" t="s">
        <v>961</v>
      </c>
      <c r="X16" s="50" t="s">
        <v>961</v>
      </c>
      <c r="Y16" s="50" t="s">
        <v>961</v>
      </c>
      <c r="Z16" s="186" t="s">
        <v>961</v>
      </c>
      <c r="AA16" s="186" t="s">
        <v>961</v>
      </c>
      <c r="AB16" s="186" t="s">
        <v>961</v>
      </c>
      <c r="AC16" s="186" t="s">
        <v>961</v>
      </c>
      <c r="AD16" s="186" t="s">
        <v>961</v>
      </c>
      <c r="AE16" s="186">
        <v>0</v>
      </c>
      <c r="AF16" s="186" t="s">
        <v>961</v>
      </c>
      <c r="AG16" s="186" t="s">
        <v>961</v>
      </c>
      <c r="AH16" s="186" t="s">
        <v>961</v>
      </c>
      <c r="AI16" s="186" t="s">
        <v>961</v>
      </c>
      <c r="AJ16" s="50">
        <v>0</v>
      </c>
      <c r="AK16" s="50">
        <v>0</v>
      </c>
      <c r="AL16" s="50">
        <v>0</v>
      </c>
      <c r="AM16" s="50" t="s">
        <v>961</v>
      </c>
      <c r="AN16" s="50" t="s">
        <v>961</v>
      </c>
    </row>
    <row r="17" spans="2:40">
      <c r="B17" s="50" t="s">
        <v>936</v>
      </c>
      <c r="C17" s="50">
        <v>15</v>
      </c>
      <c r="D17" s="50" t="s">
        <v>1939</v>
      </c>
      <c r="E17" s="95">
        <v>45513</v>
      </c>
      <c r="F17" s="50">
        <v>1</v>
      </c>
      <c r="G17" s="98">
        <v>1</v>
      </c>
      <c r="H17" s="184" t="s">
        <v>970</v>
      </c>
      <c r="I17" s="50" t="s">
        <v>961</v>
      </c>
      <c r="J17" s="50" t="s">
        <v>961</v>
      </c>
      <c r="K17" s="50" t="s">
        <v>961</v>
      </c>
      <c r="L17" s="50" t="s">
        <v>961</v>
      </c>
      <c r="M17" s="50" t="s">
        <v>961</v>
      </c>
      <c r="N17" s="50" t="s">
        <v>961</v>
      </c>
      <c r="O17" s="50" t="s">
        <v>961</v>
      </c>
      <c r="P17" s="50" t="s">
        <v>961</v>
      </c>
      <c r="Q17" s="50" t="s">
        <v>961</v>
      </c>
      <c r="R17" s="50" t="s">
        <v>961</v>
      </c>
      <c r="S17" s="50" t="s">
        <v>961</v>
      </c>
      <c r="T17" s="50" t="s">
        <v>961</v>
      </c>
      <c r="U17" s="50" t="s">
        <v>961</v>
      </c>
      <c r="V17" s="50" t="s">
        <v>961</v>
      </c>
      <c r="W17" s="50" t="s">
        <v>961</v>
      </c>
      <c r="X17" s="50" t="s">
        <v>961</v>
      </c>
      <c r="Y17" s="50" t="s">
        <v>961</v>
      </c>
      <c r="Z17" s="186" t="s">
        <v>961</v>
      </c>
      <c r="AA17" s="186" t="s">
        <v>961</v>
      </c>
      <c r="AB17" s="186" t="s">
        <v>961</v>
      </c>
      <c r="AC17" s="186" t="s">
        <v>961</v>
      </c>
      <c r="AD17" s="186" t="s">
        <v>961</v>
      </c>
      <c r="AE17" s="186" t="s">
        <v>961</v>
      </c>
      <c r="AF17" s="186" t="s">
        <v>961</v>
      </c>
      <c r="AG17" s="186" t="s">
        <v>961</v>
      </c>
      <c r="AH17" s="186" t="s">
        <v>961</v>
      </c>
      <c r="AI17" s="186" t="s">
        <v>961</v>
      </c>
      <c r="AJ17" s="50" t="s">
        <v>961</v>
      </c>
      <c r="AK17" s="50" t="s">
        <v>961</v>
      </c>
      <c r="AL17" s="50" t="s">
        <v>961</v>
      </c>
      <c r="AM17" s="50" t="s">
        <v>961</v>
      </c>
      <c r="AN17" s="50" t="s">
        <v>961</v>
      </c>
    </row>
    <row r="18" spans="2:40">
      <c r="B18" s="50" t="s">
        <v>938</v>
      </c>
      <c r="C18" s="50">
        <v>16</v>
      </c>
      <c r="D18" s="50" t="s">
        <v>1939</v>
      </c>
      <c r="E18" s="95">
        <v>45513</v>
      </c>
      <c r="F18" s="50">
        <v>1</v>
      </c>
      <c r="G18" s="98">
        <v>1</v>
      </c>
      <c r="H18" s="184" t="s">
        <v>970</v>
      </c>
      <c r="I18" s="50" t="s">
        <v>961</v>
      </c>
      <c r="J18" s="50" t="s">
        <v>961</v>
      </c>
      <c r="K18" s="50" t="s">
        <v>961</v>
      </c>
      <c r="L18" s="50" t="s">
        <v>961</v>
      </c>
      <c r="M18" s="50" t="s">
        <v>961</v>
      </c>
      <c r="N18" s="50" t="s">
        <v>961</v>
      </c>
      <c r="O18" s="50" t="s">
        <v>961</v>
      </c>
      <c r="P18" s="50" t="s">
        <v>961</v>
      </c>
      <c r="Q18" s="50" t="s">
        <v>961</v>
      </c>
      <c r="R18" s="50" t="s">
        <v>961</v>
      </c>
      <c r="S18" s="50" t="s">
        <v>961</v>
      </c>
      <c r="T18" s="50" t="s">
        <v>961</v>
      </c>
      <c r="U18" s="50" t="s">
        <v>961</v>
      </c>
      <c r="V18" s="50" t="s">
        <v>961</v>
      </c>
      <c r="W18" s="50" t="s">
        <v>961</v>
      </c>
      <c r="X18" s="50" t="s">
        <v>961</v>
      </c>
      <c r="Y18" s="50" t="s">
        <v>961</v>
      </c>
      <c r="Z18" s="186" t="s">
        <v>961</v>
      </c>
      <c r="AA18" s="186" t="s">
        <v>961</v>
      </c>
      <c r="AB18" s="186" t="s">
        <v>961</v>
      </c>
      <c r="AC18" s="186" t="s">
        <v>961</v>
      </c>
      <c r="AD18" s="186" t="s">
        <v>961</v>
      </c>
      <c r="AE18" s="186" t="s">
        <v>961</v>
      </c>
      <c r="AF18" s="186" t="s">
        <v>961</v>
      </c>
      <c r="AG18" s="186" t="s">
        <v>961</v>
      </c>
      <c r="AH18" s="186" t="s">
        <v>961</v>
      </c>
      <c r="AI18" s="186" t="s">
        <v>961</v>
      </c>
      <c r="AJ18" s="50" t="s">
        <v>961</v>
      </c>
      <c r="AK18" s="50" t="s">
        <v>961</v>
      </c>
      <c r="AL18" s="50" t="s">
        <v>961</v>
      </c>
      <c r="AM18" s="50" t="s">
        <v>961</v>
      </c>
      <c r="AN18" s="50" t="s">
        <v>961</v>
      </c>
    </row>
    <row r="19" spans="2:40">
      <c r="B19" s="50" t="s">
        <v>940</v>
      </c>
      <c r="C19" s="50">
        <v>17</v>
      </c>
      <c r="D19" s="50" t="s">
        <v>1940</v>
      </c>
      <c r="E19" s="95">
        <v>45513</v>
      </c>
      <c r="F19" s="50">
        <v>1</v>
      </c>
      <c r="G19" s="50" t="s">
        <v>1941</v>
      </c>
      <c r="H19" s="242" t="s">
        <v>1942</v>
      </c>
      <c r="I19" s="50" t="s">
        <v>961</v>
      </c>
      <c r="J19" s="50" t="s">
        <v>961</v>
      </c>
      <c r="K19" s="50" t="s">
        <v>961</v>
      </c>
      <c r="L19" s="50" t="s">
        <v>961</v>
      </c>
      <c r="M19" s="50" t="s">
        <v>961</v>
      </c>
      <c r="N19" s="50" t="s">
        <v>961</v>
      </c>
      <c r="O19" s="50" t="s">
        <v>961</v>
      </c>
      <c r="P19" s="50" t="s">
        <v>961</v>
      </c>
      <c r="Q19" s="97" t="s">
        <v>961</v>
      </c>
      <c r="R19" s="50" t="s">
        <v>961</v>
      </c>
      <c r="S19" s="50" t="s">
        <v>961</v>
      </c>
      <c r="T19" s="50" t="s">
        <v>961</v>
      </c>
      <c r="U19" s="50" t="s">
        <v>961</v>
      </c>
      <c r="V19" s="50" t="s">
        <v>961</v>
      </c>
      <c r="W19" s="50" t="s">
        <v>961</v>
      </c>
      <c r="X19" s="50" t="s">
        <v>961</v>
      </c>
      <c r="Y19" s="50" t="s">
        <v>961</v>
      </c>
      <c r="Z19" s="186" t="s">
        <v>961</v>
      </c>
      <c r="AA19" s="186" t="s">
        <v>961</v>
      </c>
      <c r="AB19" s="186" t="s">
        <v>961</v>
      </c>
      <c r="AC19" s="186" t="s">
        <v>961</v>
      </c>
      <c r="AD19" s="186" t="s">
        <v>961</v>
      </c>
      <c r="AE19" s="186" t="s">
        <v>961</v>
      </c>
      <c r="AF19" s="186" t="s">
        <v>961</v>
      </c>
      <c r="AG19" s="186" t="s">
        <v>961</v>
      </c>
      <c r="AH19" s="186" t="s">
        <v>961</v>
      </c>
      <c r="AI19" s="186" t="s">
        <v>961</v>
      </c>
      <c r="AJ19" s="50" t="s">
        <v>961</v>
      </c>
      <c r="AK19" s="50" t="s">
        <v>961</v>
      </c>
      <c r="AL19" s="50" t="s">
        <v>961</v>
      </c>
      <c r="AM19" s="50" t="s">
        <v>961</v>
      </c>
      <c r="AN19" s="50" t="s">
        <v>961</v>
      </c>
    </row>
    <row r="20" spans="2:40">
      <c r="B20" s="50" t="s">
        <v>942</v>
      </c>
      <c r="C20" s="50">
        <v>18</v>
      </c>
      <c r="D20" s="50" t="s">
        <v>1940</v>
      </c>
      <c r="E20" s="95">
        <v>45513</v>
      </c>
      <c r="F20" s="50">
        <v>1</v>
      </c>
      <c r="G20" s="209" t="s">
        <v>1943</v>
      </c>
      <c r="H20" s="254" t="s">
        <v>1944</v>
      </c>
      <c r="I20" s="50" t="s">
        <v>961</v>
      </c>
      <c r="J20" s="50" t="s">
        <v>961</v>
      </c>
      <c r="K20" s="50" t="s">
        <v>961</v>
      </c>
      <c r="L20" s="50" t="s">
        <v>961</v>
      </c>
      <c r="M20" s="50" t="s">
        <v>961</v>
      </c>
      <c r="N20" s="50" t="s">
        <v>961</v>
      </c>
      <c r="O20" s="50" t="s">
        <v>961</v>
      </c>
      <c r="P20" s="50" t="s">
        <v>961</v>
      </c>
      <c r="Q20" s="50" t="s">
        <v>961</v>
      </c>
      <c r="R20" s="50" t="s">
        <v>961</v>
      </c>
      <c r="S20" s="50" t="s">
        <v>961</v>
      </c>
      <c r="T20" s="50" t="s">
        <v>961</v>
      </c>
      <c r="U20" s="50" t="s">
        <v>961</v>
      </c>
      <c r="V20" s="50" t="s">
        <v>961</v>
      </c>
      <c r="W20" s="50" t="s">
        <v>961</v>
      </c>
      <c r="X20" s="50" t="s">
        <v>961</v>
      </c>
      <c r="Y20" s="50" t="s">
        <v>961</v>
      </c>
      <c r="Z20" s="186" t="s">
        <v>961</v>
      </c>
      <c r="AA20" s="186" t="s">
        <v>961</v>
      </c>
      <c r="AB20" s="186" t="s">
        <v>961</v>
      </c>
      <c r="AC20" s="186" t="s">
        <v>961</v>
      </c>
      <c r="AD20" s="186" t="s">
        <v>961</v>
      </c>
      <c r="AE20" s="186" t="s">
        <v>961</v>
      </c>
      <c r="AF20" s="186" t="s">
        <v>961</v>
      </c>
      <c r="AG20" s="186" t="s">
        <v>961</v>
      </c>
      <c r="AH20" s="186" t="s">
        <v>961</v>
      </c>
      <c r="AI20" s="186" t="s">
        <v>961</v>
      </c>
      <c r="AJ20" s="50" t="s">
        <v>961</v>
      </c>
      <c r="AK20" s="50" t="s">
        <v>961</v>
      </c>
      <c r="AL20" s="50" t="s">
        <v>961</v>
      </c>
      <c r="AM20" s="50" t="s">
        <v>961</v>
      </c>
      <c r="AN20" s="50" t="s">
        <v>961</v>
      </c>
    </row>
    <row r="21" spans="2:40">
      <c r="B21" s="50" t="s">
        <v>944</v>
      </c>
      <c r="C21" s="50">
        <v>19</v>
      </c>
      <c r="D21" s="50" t="s">
        <v>1945</v>
      </c>
      <c r="E21" s="95">
        <v>45513</v>
      </c>
      <c r="F21" s="50">
        <v>1</v>
      </c>
      <c r="G21" s="208" cm="1">
        <f t="array" aca="1" ref="G21" ca="1">SUMPRODUCT(--(ISNUMBER((SEARCH(I27:AN27,I21:AN21)))))/COUNTA(I21:AN21)</f>
        <v>0.96875</v>
      </c>
      <c r="H21" s="184" t="s">
        <v>970</v>
      </c>
      <c r="I21" s="50" t="s">
        <v>995</v>
      </c>
      <c r="J21" s="50" t="s">
        <v>995</v>
      </c>
      <c r="K21" s="50" t="s">
        <v>995</v>
      </c>
      <c r="L21" s="50" t="s">
        <v>995</v>
      </c>
      <c r="M21" s="50" t="s">
        <v>995</v>
      </c>
      <c r="N21" s="50" t="s">
        <v>995</v>
      </c>
      <c r="O21" s="50" t="s">
        <v>995</v>
      </c>
      <c r="P21" s="50" t="s">
        <v>995</v>
      </c>
      <c r="Q21" s="50" t="s">
        <v>995</v>
      </c>
      <c r="R21" s="50" t="s">
        <v>995</v>
      </c>
      <c r="S21" s="50" t="s">
        <v>995</v>
      </c>
      <c r="T21" s="50" t="s">
        <v>996</v>
      </c>
      <c r="U21" s="50" t="s">
        <v>996</v>
      </c>
      <c r="V21" s="50" t="s">
        <v>996</v>
      </c>
      <c r="W21" s="50" t="s">
        <v>996</v>
      </c>
      <c r="X21" s="50" t="s">
        <v>996</v>
      </c>
      <c r="Y21" s="50" t="s">
        <v>996</v>
      </c>
      <c r="Z21" s="186" t="s">
        <v>995</v>
      </c>
      <c r="AA21" s="186" t="s">
        <v>995</v>
      </c>
      <c r="AB21" s="186" t="s">
        <v>995</v>
      </c>
      <c r="AC21" s="186" t="s">
        <v>995</v>
      </c>
      <c r="AD21" s="186" t="s">
        <v>995</v>
      </c>
      <c r="AE21" s="186" t="s">
        <v>995</v>
      </c>
      <c r="AF21" s="186" t="s">
        <v>995</v>
      </c>
      <c r="AG21" s="186" t="s">
        <v>995</v>
      </c>
      <c r="AH21" s="186" t="s">
        <v>995</v>
      </c>
      <c r="AI21" s="186" t="s">
        <v>995</v>
      </c>
      <c r="AJ21" s="50" t="s">
        <v>995</v>
      </c>
      <c r="AK21" s="50" t="s">
        <v>995</v>
      </c>
      <c r="AL21" s="50" t="s">
        <v>995</v>
      </c>
      <c r="AM21" s="50" t="s">
        <v>995</v>
      </c>
      <c r="AN21" s="50" t="s">
        <v>997</v>
      </c>
    </row>
    <row r="22" spans="2:40">
      <c r="B22" s="50" t="s">
        <v>947</v>
      </c>
      <c r="C22" s="50">
        <v>20</v>
      </c>
      <c r="D22" s="50"/>
      <c r="E22" s="95"/>
      <c r="F22" s="50">
        <v>1</v>
      </c>
      <c r="G22" s="192" t="e" cm="1">
        <f t="array" aca="1" ref="G22" ca="1">SUM(IF(I2:AN2 = I26:AN26, 1, 0))/ COUNTA(I2:AN2)</f>
        <v>#NAME?</v>
      </c>
      <c r="H22" s="50" t="s">
        <v>961</v>
      </c>
      <c r="I22" s="50"/>
      <c r="J22" s="50"/>
      <c r="K22" s="50"/>
      <c r="L22" s="50"/>
      <c r="M22" s="50"/>
      <c r="N22" s="50"/>
      <c r="O22" s="50"/>
      <c r="P22" s="50"/>
      <c r="Q22" s="50"/>
      <c r="R22" s="50"/>
      <c r="S22" s="50"/>
      <c r="T22" s="50"/>
      <c r="U22" s="50"/>
      <c r="V22" s="50"/>
      <c r="W22" s="50"/>
      <c r="X22" s="50"/>
      <c r="Y22" s="50"/>
      <c r="Z22" s="186"/>
      <c r="AA22" s="186"/>
      <c r="AB22" s="186"/>
      <c r="AC22" s="186"/>
      <c r="AD22" s="186"/>
      <c r="AE22" s="186"/>
      <c r="AF22" s="186"/>
      <c r="AG22" s="186"/>
      <c r="AH22" s="186"/>
      <c r="AI22" s="186"/>
      <c r="AJ22" s="50"/>
      <c r="AK22" s="50"/>
      <c r="AL22" s="50"/>
      <c r="AM22" s="50"/>
      <c r="AN22" s="50"/>
    </row>
    <row r="23" spans="2:40">
      <c r="B23" s="50" t="s">
        <v>950</v>
      </c>
      <c r="C23" s="50">
        <v>21</v>
      </c>
      <c r="D23" s="50"/>
      <c r="E23" s="95"/>
      <c r="F23" s="50">
        <v>1</v>
      </c>
      <c r="G23" s="192" t="e" cm="1">
        <f t="array" aca="1" ref="G23" ca="1">SUM(IF(IF(G3:G22="null",1,G3:G22)=1,1,0))/COUNT(IF(G3:G22="null",1,1))</f>
        <v>#DIV/0!</v>
      </c>
      <c r="H23" s="50" t="s">
        <v>961</v>
      </c>
      <c r="I23" s="50"/>
      <c r="J23" s="50"/>
      <c r="K23" s="50"/>
      <c r="L23" s="50"/>
      <c r="M23" s="50"/>
      <c r="N23" s="50"/>
      <c r="O23" s="50"/>
      <c r="P23" s="50"/>
      <c r="Q23" s="50"/>
      <c r="R23" s="50"/>
      <c r="S23" s="50"/>
      <c r="T23" s="50"/>
      <c r="U23" s="50"/>
      <c r="V23" s="50"/>
      <c r="W23" s="50"/>
      <c r="X23" s="50"/>
      <c r="Y23" s="50"/>
      <c r="Z23" s="186"/>
      <c r="AA23" s="186"/>
      <c r="AB23" s="186"/>
      <c r="AC23" s="186"/>
      <c r="AD23" s="186"/>
      <c r="AE23" s="186"/>
      <c r="AF23" s="186"/>
      <c r="AG23" s="186"/>
      <c r="AH23" s="186"/>
      <c r="AI23" s="186"/>
      <c r="AJ23" s="50"/>
      <c r="AK23" s="50"/>
      <c r="AL23" s="50"/>
      <c r="AM23" s="50"/>
      <c r="AN23" s="50"/>
    </row>
    <row r="24" spans="2:40">
      <c r="B24" s="50"/>
      <c r="C24" s="50"/>
      <c r="D24" s="50"/>
      <c r="E24" s="95"/>
      <c r="F24" s="50"/>
      <c r="G24" s="50"/>
      <c r="H24" s="50"/>
      <c r="I24" s="50"/>
      <c r="J24" s="50"/>
      <c r="K24" s="50"/>
      <c r="L24" s="50"/>
      <c r="M24" s="50"/>
      <c r="N24" s="50"/>
      <c r="O24" s="50"/>
      <c r="P24" s="50"/>
      <c r="Q24" s="50"/>
      <c r="R24" s="50"/>
      <c r="S24" s="50"/>
    </row>
    <row r="25" spans="2:40">
      <c r="B25" s="130" t="s">
        <v>1067</v>
      </c>
    </row>
    <row r="26" spans="2:40">
      <c r="B26" s="128" t="s">
        <v>953</v>
      </c>
      <c r="C26" s="129" t="s">
        <v>954</v>
      </c>
      <c r="D26" s="129" t="s">
        <v>955</v>
      </c>
      <c r="E26" s="129" t="s">
        <v>956</v>
      </c>
      <c r="F26" s="129" t="s">
        <v>957</v>
      </c>
      <c r="G26" s="129" t="s">
        <v>958</v>
      </c>
      <c r="H26" s="129" t="s">
        <v>959</v>
      </c>
      <c r="I26" s="129" t="e" cm="1">
        <f t="array" aca="1" ref="I26" ca="1">TRANSPOSE(_xlfn.SORTBY(_xlfn._xlws.FILTER(Table3[NOME FÍSICO CAMPO],Table3[NOME FÍSICO TABELA]="loan_account"), _xlfn._xlws.FILTER(Table3[ORDEM], Table3[NOME FÍSICO TABELA]="loan_account"), 1))</f>
        <v>#NAME?</v>
      </c>
      <c r="J26" s="129"/>
      <c r="K26" s="129"/>
      <c r="L26" s="129"/>
      <c r="M26" s="129"/>
      <c r="N26" s="283"/>
      <c r="O26" s="283"/>
      <c r="P26" s="283"/>
      <c r="Q26" s="284"/>
      <c r="R26" s="284"/>
      <c r="S26" s="284"/>
      <c r="T26" s="284"/>
      <c r="U26" s="284"/>
      <c r="V26" s="282"/>
      <c r="W26" s="282"/>
      <c r="X26" s="282"/>
      <c r="Y26" s="282"/>
      <c r="Z26" s="282"/>
      <c r="AA26" s="282"/>
      <c r="AB26" s="282"/>
      <c r="AC26" s="282"/>
      <c r="AD26" s="282"/>
      <c r="AE26" s="282"/>
      <c r="AF26" s="282"/>
      <c r="AG26" s="282"/>
      <c r="AH26" s="282"/>
      <c r="AI26" s="282"/>
      <c r="AJ26" s="282"/>
      <c r="AK26" s="282"/>
      <c r="AL26" s="282"/>
      <c r="AM26" s="282"/>
      <c r="AN26" s="282"/>
    </row>
    <row r="27" spans="2:40">
      <c r="B27" s="107" t="s">
        <v>998</v>
      </c>
      <c r="C27" s="110">
        <v>21</v>
      </c>
      <c r="D27" s="104" t="s">
        <v>999</v>
      </c>
      <c r="E27" s="103" t="s">
        <v>1000</v>
      </c>
      <c r="F27" s="103" t="s">
        <v>206</v>
      </c>
      <c r="G27" s="103" t="s">
        <v>206</v>
      </c>
      <c r="H27" s="103" t="s">
        <v>206</v>
      </c>
      <c r="I27" s="103" t="e" cm="1">
        <f t="array" aca="1" ref="I27" ca="1">TRANSPOSE(_xlfn.SORTBY(_xlfn._xlws.FILTER(IF(Table3[FORMATO]:Table3[COMP_ CAMPO]&lt;&gt;"",Table3[FORMATO]:Table3[COMP_ CAMPO],9999999),Table3[NOME FÍSICO TABELA]="loan_account"), _xlfn._xlws.FILTER(Table3[ORDEM], Table3[NOME FÍSICO TABELA]="loan_account"), 1))</f>
        <v>#NAME?</v>
      </c>
      <c r="J27" s="103"/>
      <c r="K27" s="103"/>
      <c r="L27" s="103"/>
      <c r="M27" s="103"/>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row>
    <row r="28" spans="2:40">
      <c r="B28" s="107" t="s">
        <v>1001</v>
      </c>
      <c r="C28" s="110">
        <v>7</v>
      </c>
      <c r="D28" s="104" t="s">
        <v>999</v>
      </c>
      <c r="E28" s="103" t="s">
        <v>1000</v>
      </c>
      <c r="F28" s="105" t="s">
        <v>206</v>
      </c>
      <c r="G28" s="105" t="s">
        <v>206</v>
      </c>
      <c r="H28" s="105" t="s">
        <v>206</v>
      </c>
      <c r="I28" s="151"/>
      <c r="J28" s="151"/>
      <c r="K28" s="151"/>
      <c r="L28" s="151"/>
      <c r="M28" s="151"/>
      <c r="N28" s="110"/>
      <c r="O28" s="110"/>
      <c r="P28" s="110"/>
      <c r="Q28" s="110"/>
      <c r="R28" s="110"/>
      <c r="S28" s="110"/>
      <c r="T28" s="110"/>
      <c r="U28" s="110"/>
      <c r="V28" s="103"/>
      <c r="W28" s="103"/>
      <c r="X28" s="103"/>
      <c r="Y28" s="103"/>
      <c r="Z28" s="103"/>
      <c r="AA28" s="103"/>
      <c r="AB28" s="103"/>
      <c r="AC28" s="103"/>
      <c r="AD28" s="103"/>
      <c r="AE28" s="103"/>
      <c r="AF28" s="103"/>
      <c r="AG28" s="103"/>
      <c r="AH28" s="103"/>
      <c r="AI28" s="103"/>
      <c r="AJ28" s="103"/>
      <c r="AK28" s="103"/>
      <c r="AL28" s="103"/>
      <c r="AM28" s="103"/>
      <c r="AN28" s="103"/>
    </row>
    <row r="30" spans="2:40">
      <c r="B30" s="140" t="s">
        <v>1002</v>
      </c>
    </row>
    <row r="31" spans="2:40">
      <c r="B31" s="134" t="s">
        <v>1003</v>
      </c>
      <c r="C31" s="134" t="s">
        <v>1004</v>
      </c>
      <c r="D31" s="135" t="s">
        <v>1005</v>
      </c>
      <c r="E31" s="134" t="s">
        <v>1006</v>
      </c>
      <c r="F31" s="134" t="s">
        <v>1007</v>
      </c>
    </row>
    <row r="32" spans="2:40" ht="58">
      <c r="B32" s="137" t="s">
        <v>1111</v>
      </c>
      <c r="C32" s="138" t="s">
        <v>1472</v>
      </c>
      <c r="D32" s="232" t="s">
        <v>1112</v>
      </c>
      <c r="E32" s="147" t="s">
        <v>1946</v>
      </c>
      <c r="F32" s="197" t="s">
        <v>1947</v>
      </c>
    </row>
    <row r="33" spans="2:6" ht="58">
      <c r="B33" s="137" t="s">
        <v>1111</v>
      </c>
      <c r="C33" s="138" t="s">
        <v>546</v>
      </c>
      <c r="D33" s="232" t="s">
        <v>1112</v>
      </c>
      <c r="E33" s="147" t="s">
        <v>1946</v>
      </c>
      <c r="F33" s="197" t="s">
        <v>1947</v>
      </c>
    </row>
    <row r="34" spans="2:6" ht="58">
      <c r="B34" s="137" t="s">
        <v>1111</v>
      </c>
      <c r="C34" s="138" t="s">
        <v>548</v>
      </c>
      <c r="D34" s="232" t="s">
        <v>1112</v>
      </c>
      <c r="E34" s="147" t="s">
        <v>1946</v>
      </c>
      <c r="F34" s="197" t="s">
        <v>1947</v>
      </c>
    </row>
    <row r="35" spans="2:6" ht="58">
      <c r="B35" s="137" t="s">
        <v>1111</v>
      </c>
      <c r="C35" s="138" t="s">
        <v>517</v>
      </c>
      <c r="D35" s="232" t="s">
        <v>1112</v>
      </c>
      <c r="E35" s="147" t="s">
        <v>1946</v>
      </c>
      <c r="F35" s="197" t="s">
        <v>1947</v>
      </c>
    </row>
    <row r="36" spans="2:6" ht="58">
      <c r="B36" s="137" t="s">
        <v>1111</v>
      </c>
      <c r="C36" s="138" t="s">
        <v>392</v>
      </c>
      <c r="D36" s="232" t="s">
        <v>1112</v>
      </c>
      <c r="E36" s="147" t="s">
        <v>1946</v>
      </c>
      <c r="F36" s="197" t="s">
        <v>1947</v>
      </c>
    </row>
    <row r="37" spans="2:6" ht="58">
      <c r="B37" s="137" t="s">
        <v>1111</v>
      </c>
      <c r="C37" s="138" t="s">
        <v>404</v>
      </c>
      <c r="D37" s="232" t="s">
        <v>1112</v>
      </c>
      <c r="E37" s="147" t="s">
        <v>1946</v>
      </c>
      <c r="F37" s="197" t="s">
        <v>1947</v>
      </c>
    </row>
    <row r="38" spans="2:6" ht="58">
      <c r="B38" s="137" t="s">
        <v>1111</v>
      </c>
      <c r="C38" s="138" t="s">
        <v>424</v>
      </c>
      <c r="D38" s="232" t="s">
        <v>1112</v>
      </c>
      <c r="E38" s="147" t="s">
        <v>1946</v>
      </c>
      <c r="F38" s="197" t="s">
        <v>1947</v>
      </c>
    </row>
    <row r="39" spans="2:6" ht="58">
      <c r="B39" s="137" t="s">
        <v>1111</v>
      </c>
      <c r="C39" s="138" t="s">
        <v>432</v>
      </c>
      <c r="D39" s="232" t="s">
        <v>1112</v>
      </c>
      <c r="E39" s="147" t="s">
        <v>1946</v>
      </c>
      <c r="F39" s="197" t="s">
        <v>1947</v>
      </c>
    </row>
    <row r="40" spans="2:6" ht="58">
      <c r="B40" s="118" t="s">
        <v>1008</v>
      </c>
      <c r="C40" s="117" t="s">
        <v>135</v>
      </c>
      <c r="D40" s="123" t="s">
        <v>1948</v>
      </c>
      <c r="E40" s="146" t="s">
        <v>1949</v>
      </c>
      <c r="F40" s="136" t="s">
        <v>1011</v>
      </c>
    </row>
    <row r="41" spans="2:6">
      <c r="B41" s="137" t="s">
        <v>1018</v>
      </c>
      <c r="C41" s="138" t="s">
        <v>1019</v>
      </c>
      <c r="D41" s="232"/>
      <c r="E41" s="147" t="s">
        <v>1950</v>
      </c>
      <c r="F41" s="188"/>
    </row>
    <row r="42" spans="2:6">
      <c r="B42" s="137" t="s">
        <v>1076</v>
      </c>
      <c r="C42" s="138" t="s">
        <v>1019</v>
      </c>
      <c r="D42" s="232"/>
      <c r="E42" s="147" t="s">
        <v>1951</v>
      </c>
      <c r="F42" s="188"/>
    </row>
    <row r="43" spans="2:6" ht="72.5">
      <c r="B43" s="137" t="s">
        <v>1121</v>
      </c>
      <c r="C43" s="138" t="s">
        <v>547</v>
      </c>
      <c r="D43" s="139" t="s">
        <v>1122</v>
      </c>
      <c r="E43" s="147" t="s">
        <v>1946</v>
      </c>
      <c r="F43" s="197" t="s">
        <v>1947</v>
      </c>
    </row>
    <row r="44" spans="2:6" ht="72.5">
      <c r="B44" s="137" t="s">
        <v>1121</v>
      </c>
      <c r="C44" s="138" t="s">
        <v>548</v>
      </c>
      <c r="D44" s="232" t="s">
        <v>1122</v>
      </c>
      <c r="E44" s="147" t="s">
        <v>1946</v>
      </c>
      <c r="F44" s="188" t="s">
        <v>1947</v>
      </c>
    </row>
    <row r="45" spans="2:6" ht="72.5">
      <c r="B45" s="137" t="s">
        <v>1121</v>
      </c>
      <c r="C45" s="138" t="s">
        <v>517</v>
      </c>
      <c r="D45" s="232" t="s">
        <v>1122</v>
      </c>
      <c r="E45" s="147" t="s">
        <v>1946</v>
      </c>
      <c r="F45" s="188" t="s">
        <v>1947</v>
      </c>
    </row>
    <row r="46" spans="2:6" ht="72.5">
      <c r="B46" s="137" t="s">
        <v>1121</v>
      </c>
      <c r="C46" s="138" t="s">
        <v>414</v>
      </c>
      <c r="D46" s="232" t="s">
        <v>1122</v>
      </c>
      <c r="E46" s="147" t="s">
        <v>1946</v>
      </c>
      <c r="F46" s="188" t="s">
        <v>1947</v>
      </c>
    </row>
    <row r="47" spans="2:6" ht="72.5">
      <c r="B47" s="137" t="s">
        <v>1121</v>
      </c>
      <c r="C47" s="138" t="s">
        <v>424</v>
      </c>
      <c r="D47" s="232" t="s">
        <v>1122</v>
      </c>
      <c r="E47" s="147" t="s">
        <v>1946</v>
      </c>
      <c r="F47" s="188" t="s">
        <v>1947</v>
      </c>
    </row>
    <row r="48" spans="2:6" ht="72.5">
      <c r="B48" s="137" t="s">
        <v>1121</v>
      </c>
      <c r="C48" s="138" t="s">
        <v>432</v>
      </c>
      <c r="D48" s="232" t="s">
        <v>1122</v>
      </c>
      <c r="E48" s="147" t="s">
        <v>1946</v>
      </c>
      <c r="F48" s="188" t="s">
        <v>1947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BQ44"/>
  <sheetViews>
    <sheetView showGridLines="0" workbookViewId="0">
      <selection activeCell="A14" sqref="A14"/>
    </sheetView>
  </sheetViews>
  <sheetFormatPr defaultRowHeight="14.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6.453125" bestFit="1" customWidth="1"/>
    <col min="19" max="19" width="34.453125" bestFit="1" customWidth="1"/>
    <col min="20" max="20" width="32.26953125" customWidth="1"/>
    <col min="21" max="21" width="41.1796875" customWidth="1"/>
    <col min="22" max="22" width="21.54296875" customWidth="1"/>
    <col min="23" max="23" width="27.7265625" customWidth="1"/>
    <col min="24" max="24" width="20.7265625" bestFit="1" customWidth="1"/>
    <col min="25" max="25" width="34.81640625" bestFit="1" customWidth="1"/>
    <col min="26" max="26" width="27.7265625" bestFit="1" customWidth="1"/>
    <col min="27" max="27" width="29.26953125" bestFit="1" customWidth="1"/>
    <col min="28" max="28" width="34.54296875" bestFit="1" customWidth="1"/>
    <col min="29" max="29" width="36" bestFit="1" customWidth="1"/>
    <col min="30" max="30" width="27.54296875" bestFit="1" customWidth="1"/>
    <col min="31" max="31" width="30.7265625" bestFit="1" customWidth="1"/>
    <col min="32" max="32" width="31.54296875" bestFit="1" customWidth="1"/>
    <col min="33" max="33" width="32.81640625" bestFit="1" customWidth="1"/>
    <col min="34" max="34" width="32.26953125" bestFit="1" customWidth="1"/>
    <col min="35" max="35" width="30.81640625" bestFit="1" customWidth="1"/>
    <col min="36" max="36" width="32.1796875" bestFit="1" customWidth="1"/>
    <col min="37" max="37" width="34" bestFit="1" customWidth="1"/>
    <col min="38" max="38" width="30.81640625" bestFit="1" customWidth="1"/>
    <col min="39" max="39" width="33.1796875" bestFit="1" customWidth="1"/>
    <col min="40" max="40" width="34.54296875" bestFit="1" customWidth="1"/>
    <col min="41" max="41" width="31.453125" bestFit="1" customWidth="1"/>
    <col min="42" max="42" width="35.453125" bestFit="1" customWidth="1"/>
    <col min="43" max="43" width="30.453125" bestFit="1" customWidth="1"/>
    <col min="44" max="44" width="33" bestFit="1" customWidth="1"/>
    <col min="45" max="46" width="35" bestFit="1" customWidth="1"/>
    <col min="47" max="47" width="37.26953125" bestFit="1" customWidth="1"/>
    <col min="48" max="48" width="28.54296875" bestFit="1" customWidth="1"/>
    <col min="49" max="49" width="32.7265625" bestFit="1" customWidth="1"/>
    <col min="50" max="50" width="33.1796875" bestFit="1" customWidth="1"/>
    <col min="51" max="51" width="33.26953125" bestFit="1" customWidth="1"/>
    <col min="52" max="52" width="32.54296875" bestFit="1" customWidth="1"/>
    <col min="53" max="53" width="34.54296875" bestFit="1" customWidth="1"/>
    <col min="54" max="54" width="32.81640625" bestFit="1" customWidth="1"/>
    <col min="55" max="55" width="30.54296875" bestFit="1" customWidth="1"/>
    <col min="56" max="56" width="24" bestFit="1" customWidth="1"/>
    <col min="57" max="57" width="26" bestFit="1" customWidth="1"/>
    <col min="58" max="58" width="22.26953125" bestFit="1" customWidth="1"/>
    <col min="59" max="59" width="28.1796875" bestFit="1" customWidth="1"/>
    <col min="60" max="60" width="28.26953125" bestFit="1" customWidth="1"/>
    <col min="61" max="61" width="25.453125" bestFit="1" customWidth="1"/>
    <col min="62" max="62" width="27.453125" bestFit="1" customWidth="1"/>
    <col min="63" max="63" width="23.81640625" bestFit="1" customWidth="1"/>
    <col min="64" max="64" width="29.54296875" bestFit="1" customWidth="1"/>
    <col min="65" max="65" width="23" bestFit="1" customWidth="1"/>
    <col min="66" max="66" width="33.26953125" bestFit="1" customWidth="1"/>
    <col min="67" max="67" width="14.7265625" bestFit="1" customWidth="1"/>
    <col min="68" max="68" width="17.453125" bestFit="1" customWidth="1"/>
    <col min="69" max="69" width="26.81640625" bestFit="1" customWidth="1"/>
  </cols>
  <sheetData>
    <row r="1" spans="2:69" ht="27.75" customHeight="1"/>
    <row r="2" spans="2:69">
      <c r="B2" s="76" t="s">
        <v>1078</v>
      </c>
      <c r="C2" s="76" t="s">
        <v>954</v>
      </c>
      <c r="D2" s="76" t="s">
        <v>955</v>
      </c>
      <c r="E2" s="76" t="s">
        <v>956</v>
      </c>
      <c r="F2" s="76" t="s">
        <v>957</v>
      </c>
      <c r="G2" s="76" t="s">
        <v>958</v>
      </c>
      <c r="H2" s="76" t="s">
        <v>959</v>
      </c>
      <c r="I2" s="76" t="s">
        <v>102</v>
      </c>
      <c r="J2" s="76" t="s">
        <v>112</v>
      </c>
      <c r="K2" s="76" t="s">
        <v>116</v>
      </c>
      <c r="L2" s="76" t="s">
        <v>121</v>
      </c>
      <c r="M2" s="76" t="s">
        <v>127</v>
      </c>
      <c r="N2" s="76" t="s">
        <v>132</v>
      </c>
      <c r="O2" s="76" t="s">
        <v>135</v>
      </c>
      <c r="P2" s="76" t="s">
        <v>537</v>
      </c>
      <c r="Q2" s="76" t="s">
        <v>1952</v>
      </c>
      <c r="R2" s="76" t="s">
        <v>1953</v>
      </c>
      <c r="S2" s="76" t="s">
        <v>1954</v>
      </c>
      <c r="T2" s="76" t="s">
        <v>1955</v>
      </c>
      <c r="U2" s="76" t="s">
        <v>138</v>
      </c>
      <c r="V2" s="76" t="s">
        <v>144</v>
      </c>
      <c r="W2" s="76" t="s">
        <v>149</v>
      </c>
      <c r="X2" s="76" t="s">
        <v>155</v>
      </c>
      <c r="Y2" s="76" t="s">
        <v>1679</v>
      </c>
      <c r="Z2" s="76" t="s">
        <v>160</v>
      </c>
      <c r="AA2" s="76" t="s">
        <v>169</v>
      </c>
      <c r="AB2" s="76" t="s">
        <v>1956</v>
      </c>
      <c r="AC2" s="76" t="s">
        <v>1957</v>
      </c>
      <c r="AD2" s="76" t="s">
        <v>508</v>
      </c>
      <c r="AE2" s="76" t="s">
        <v>319</v>
      </c>
      <c r="AF2" s="76" t="s">
        <v>175</v>
      </c>
      <c r="AG2" s="76" t="s">
        <v>1958</v>
      </c>
      <c r="AH2" s="76" t="s">
        <v>1959</v>
      </c>
      <c r="AI2" s="76" t="s">
        <v>1960</v>
      </c>
      <c r="AJ2" s="76" t="s">
        <v>183</v>
      </c>
      <c r="AK2" s="76" t="s">
        <v>1961</v>
      </c>
      <c r="AL2" s="76" t="s">
        <v>1962</v>
      </c>
      <c r="AM2" s="76" t="s">
        <v>1963</v>
      </c>
      <c r="AN2" s="76" t="s">
        <v>1964</v>
      </c>
      <c r="AO2" s="76" t="s">
        <v>362</v>
      </c>
      <c r="AP2" s="76" t="s">
        <v>510</v>
      </c>
      <c r="AQ2" s="76" t="s">
        <v>511</v>
      </c>
      <c r="AR2" s="76" t="s">
        <v>512</v>
      </c>
      <c r="AS2" s="76" t="s">
        <v>1965</v>
      </c>
      <c r="AT2" s="76" t="s">
        <v>1966</v>
      </c>
      <c r="AU2" s="76" t="s">
        <v>1967</v>
      </c>
      <c r="AV2" s="76" t="s">
        <v>513</v>
      </c>
      <c r="AW2" s="76" t="s">
        <v>514</v>
      </c>
      <c r="AX2" s="76" t="s">
        <v>1968</v>
      </c>
      <c r="AY2" s="76" t="s">
        <v>1969</v>
      </c>
      <c r="AZ2" s="76" t="s">
        <v>1970</v>
      </c>
      <c r="BA2" s="76" t="s">
        <v>1971</v>
      </c>
      <c r="BB2" s="76" t="s">
        <v>515</v>
      </c>
      <c r="BC2" s="76" t="s">
        <v>545</v>
      </c>
      <c r="BD2" s="76" t="s">
        <v>546</v>
      </c>
      <c r="BE2" s="76" t="s">
        <v>547</v>
      </c>
      <c r="BF2" s="76" t="s">
        <v>548</v>
      </c>
      <c r="BG2" s="76" t="s">
        <v>517</v>
      </c>
      <c r="BH2" s="76" t="s">
        <v>392</v>
      </c>
      <c r="BI2" s="76" t="s">
        <v>404</v>
      </c>
      <c r="BJ2" s="76" t="s">
        <v>414</v>
      </c>
      <c r="BK2" s="76" t="s">
        <v>424</v>
      </c>
      <c r="BL2" s="76" t="s">
        <v>432</v>
      </c>
      <c r="BM2" s="76" t="s">
        <v>190</v>
      </c>
      <c r="BN2" s="76" t="s">
        <v>196</v>
      </c>
      <c r="BO2" s="76" t="s">
        <v>202</v>
      </c>
      <c r="BP2" s="76" t="s">
        <v>208</v>
      </c>
      <c r="BQ2" s="76" t="s">
        <v>213</v>
      </c>
    </row>
    <row r="3" spans="2:69">
      <c r="B3" s="50" t="s">
        <v>907</v>
      </c>
      <c r="C3" s="50">
        <v>1</v>
      </c>
      <c r="D3" s="50" t="s">
        <v>1972</v>
      </c>
      <c r="E3" s="95">
        <v>45534</v>
      </c>
      <c r="F3" s="50">
        <v>1</v>
      </c>
      <c r="G3" s="254">
        <v>1</v>
      </c>
      <c r="H3" s="181" t="s">
        <v>1973</v>
      </c>
      <c r="I3" s="50" t="s">
        <v>961</v>
      </c>
      <c r="J3" s="50" t="s">
        <v>961</v>
      </c>
      <c r="K3" s="50" t="s">
        <v>961</v>
      </c>
      <c r="L3" s="50" t="s">
        <v>961</v>
      </c>
      <c r="M3" s="50" t="s">
        <v>961</v>
      </c>
      <c r="N3" s="50" t="s">
        <v>961</v>
      </c>
      <c r="O3" s="50" t="s">
        <v>961</v>
      </c>
      <c r="P3" s="50" t="s">
        <v>961</v>
      </c>
      <c r="Q3" s="50" t="s">
        <v>961</v>
      </c>
      <c r="R3" s="50" t="s">
        <v>961</v>
      </c>
      <c r="S3" s="50" t="s">
        <v>961</v>
      </c>
      <c r="T3" s="50" t="s">
        <v>961</v>
      </c>
      <c r="U3" s="50" t="s">
        <v>961</v>
      </c>
      <c r="V3" s="50" t="s">
        <v>961</v>
      </c>
      <c r="W3" s="50" t="s">
        <v>961</v>
      </c>
      <c r="X3" s="50" t="s">
        <v>961</v>
      </c>
      <c r="Y3" s="50" t="s">
        <v>961</v>
      </c>
      <c r="Z3" s="50" t="s">
        <v>961</v>
      </c>
      <c r="AA3" s="50" t="s">
        <v>961</v>
      </c>
      <c r="AB3" s="50" t="s">
        <v>961</v>
      </c>
      <c r="AC3" s="50" t="s">
        <v>961</v>
      </c>
      <c r="AD3" s="50" t="s">
        <v>961</v>
      </c>
      <c r="AE3" s="50" t="s">
        <v>961</v>
      </c>
      <c r="AF3" s="50" t="s">
        <v>961</v>
      </c>
      <c r="AG3" s="50" t="s">
        <v>961</v>
      </c>
      <c r="AH3" s="50" t="s">
        <v>961</v>
      </c>
      <c r="AI3" s="50" t="s">
        <v>961</v>
      </c>
      <c r="AJ3" s="50" t="s">
        <v>961</v>
      </c>
      <c r="AK3" s="50" t="s">
        <v>961</v>
      </c>
      <c r="AL3" s="50" t="s">
        <v>961</v>
      </c>
      <c r="AM3" s="50" t="s">
        <v>961</v>
      </c>
      <c r="AN3" s="50" t="s">
        <v>961</v>
      </c>
      <c r="AO3" s="50" t="s">
        <v>961</v>
      </c>
      <c r="AP3" s="50" t="s">
        <v>961</v>
      </c>
      <c r="AQ3" s="50" t="s">
        <v>961</v>
      </c>
      <c r="AR3" s="50" t="s">
        <v>961</v>
      </c>
      <c r="AS3" s="50" t="s">
        <v>961</v>
      </c>
      <c r="AT3" s="50" t="s">
        <v>961</v>
      </c>
      <c r="AU3" s="50" t="s">
        <v>961</v>
      </c>
      <c r="AV3" s="50" t="s">
        <v>961</v>
      </c>
      <c r="AW3" s="50" t="s">
        <v>961</v>
      </c>
      <c r="AX3" s="50" t="s">
        <v>961</v>
      </c>
      <c r="AY3" s="50" t="s">
        <v>961</v>
      </c>
      <c r="AZ3" s="50" t="s">
        <v>961</v>
      </c>
      <c r="BA3" s="50" t="s">
        <v>961</v>
      </c>
      <c r="BB3" s="50" t="s">
        <v>961</v>
      </c>
      <c r="BC3" s="50" t="s">
        <v>961</v>
      </c>
      <c r="BD3" s="50" t="s">
        <v>961</v>
      </c>
      <c r="BE3" s="50" t="s">
        <v>961</v>
      </c>
      <c r="BF3" s="50" t="s">
        <v>961</v>
      </c>
      <c r="BG3" s="50" t="s">
        <v>961</v>
      </c>
      <c r="BH3" s="50" t="s">
        <v>961</v>
      </c>
      <c r="BI3" s="50" t="s">
        <v>961</v>
      </c>
      <c r="BJ3" s="50" t="s">
        <v>961</v>
      </c>
      <c r="BK3" s="50" t="s">
        <v>961</v>
      </c>
      <c r="BL3" s="50" t="s">
        <v>961</v>
      </c>
      <c r="BM3" s="50" t="s">
        <v>961</v>
      </c>
      <c r="BN3" s="50" t="s">
        <v>961</v>
      </c>
      <c r="BO3" s="50" t="s">
        <v>961</v>
      </c>
      <c r="BP3" s="50" t="s">
        <v>961</v>
      </c>
      <c r="BQ3" s="50" t="s">
        <v>961</v>
      </c>
    </row>
    <row r="4" spans="2:69">
      <c r="B4" s="50" t="s">
        <v>909</v>
      </c>
      <c r="C4" s="50">
        <v>2</v>
      </c>
      <c r="D4" s="50" t="s">
        <v>1974</v>
      </c>
      <c r="E4" s="95">
        <v>45534</v>
      </c>
      <c r="F4" s="50">
        <v>1</v>
      </c>
      <c r="G4" s="254">
        <v>1</v>
      </c>
      <c r="H4" s="98" t="s">
        <v>970</v>
      </c>
      <c r="I4" s="50" t="s">
        <v>961</v>
      </c>
      <c r="J4" s="50" t="s">
        <v>961</v>
      </c>
      <c r="K4" s="50" t="s">
        <v>961</v>
      </c>
      <c r="L4" s="50" t="s">
        <v>961</v>
      </c>
      <c r="M4" s="50" t="s">
        <v>961</v>
      </c>
      <c r="N4" s="50" t="s">
        <v>961</v>
      </c>
      <c r="O4" s="50" t="s">
        <v>961</v>
      </c>
      <c r="P4" s="50" t="s">
        <v>961</v>
      </c>
      <c r="Q4" s="50" t="s">
        <v>961</v>
      </c>
      <c r="R4" s="50" t="s">
        <v>961</v>
      </c>
      <c r="S4" s="50" t="s">
        <v>961</v>
      </c>
      <c r="T4" s="50" t="s">
        <v>961</v>
      </c>
      <c r="U4" s="50" t="s">
        <v>961</v>
      </c>
      <c r="V4" s="50" t="s">
        <v>961</v>
      </c>
      <c r="W4" s="50" t="s">
        <v>961</v>
      </c>
      <c r="X4" s="50" t="s">
        <v>961</v>
      </c>
      <c r="Y4" s="50" t="s">
        <v>961</v>
      </c>
      <c r="Z4" s="50" t="s">
        <v>961</v>
      </c>
      <c r="AA4" s="50" t="s">
        <v>961</v>
      </c>
      <c r="AB4" s="50" t="s">
        <v>961</v>
      </c>
      <c r="AC4" s="50" t="s">
        <v>961</v>
      </c>
      <c r="AD4" s="50" t="s">
        <v>961</v>
      </c>
      <c r="AE4" s="50" t="s">
        <v>961</v>
      </c>
      <c r="AF4" s="50" t="s">
        <v>961</v>
      </c>
      <c r="AG4" s="50" t="s">
        <v>961</v>
      </c>
      <c r="AH4" s="50" t="s">
        <v>961</v>
      </c>
      <c r="AI4" s="50" t="s">
        <v>961</v>
      </c>
      <c r="AJ4" s="50" t="s">
        <v>961</v>
      </c>
      <c r="AK4" s="50" t="s">
        <v>961</v>
      </c>
      <c r="AL4" s="50" t="s">
        <v>961</v>
      </c>
      <c r="AM4" s="50" t="s">
        <v>961</v>
      </c>
      <c r="AN4" s="50" t="s">
        <v>961</v>
      </c>
      <c r="AO4" s="50" t="s">
        <v>961</v>
      </c>
      <c r="AP4" s="50" t="s">
        <v>961</v>
      </c>
      <c r="AQ4" s="50" t="s">
        <v>961</v>
      </c>
      <c r="AR4" s="50" t="s">
        <v>961</v>
      </c>
      <c r="AS4" s="50" t="s">
        <v>961</v>
      </c>
      <c r="AT4" s="50" t="s">
        <v>961</v>
      </c>
      <c r="AU4" s="50" t="s">
        <v>961</v>
      </c>
      <c r="AV4" s="50" t="s">
        <v>961</v>
      </c>
      <c r="AW4" s="50" t="s">
        <v>961</v>
      </c>
      <c r="AX4" s="50" t="s">
        <v>961</v>
      </c>
      <c r="AY4" s="50" t="s">
        <v>961</v>
      </c>
      <c r="AZ4" s="50" t="s">
        <v>961</v>
      </c>
      <c r="BA4" s="50" t="s">
        <v>961</v>
      </c>
      <c r="BB4" s="50" t="s">
        <v>961</v>
      </c>
      <c r="BC4" s="50" t="s">
        <v>961</v>
      </c>
      <c r="BD4" s="50" t="s">
        <v>961</v>
      </c>
      <c r="BE4" s="50" t="s">
        <v>961</v>
      </c>
      <c r="BF4" s="50" t="s">
        <v>961</v>
      </c>
      <c r="BG4" s="50" t="s">
        <v>961</v>
      </c>
      <c r="BH4" s="50" t="s">
        <v>961</v>
      </c>
      <c r="BI4" s="50" t="s">
        <v>961</v>
      </c>
      <c r="BJ4" s="50" t="s">
        <v>961</v>
      </c>
      <c r="BK4" s="50" t="s">
        <v>961</v>
      </c>
      <c r="BL4" s="50" t="s">
        <v>961</v>
      </c>
      <c r="BM4" s="50" t="s">
        <v>961</v>
      </c>
      <c r="BN4" s="50" t="s">
        <v>961</v>
      </c>
      <c r="BO4" s="50" t="s">
        <v>961</v>
      </c>
      <c r="BP4" s="50" t="s">
        <v>961</v>
      </c>
      <c r="BQ4" s="50" t="s">
        <v>961</v>
      </c>
    </row>
    <row r="5" spans="2:69">
      <c r="B5" s="50" t="s">
        <v>911</v>
      </c>
      <c r="C5" s="50">
        <v>3</v>
      </c>
      <c r="D5" s="50" t="s">
        <v>1975</v>
      </c>
      <c r="E5" s="95">
        <v>45534</v>
      </c>
      <c r="F5" s="50">
        <v>1</v>
      </c>
      <c r="G5" s="254">
        <v>1</v>
      </c>
      <c r="H5" s="98" t="s">
        <v>970</v>
      </c>
      <c r="I5" s="50">
        <v>0</v>
      </c>
      <c r="J5" s="50">
        <v>0</v>
      </c>
      <c r="K5" s="50" t="s">
        <v>961</v>
      </c>
      <c r="L5" s="50" t="s">
        <v>961</v>
      </c>
      <c r="M5" s="50" t="s">
        <v>961</v>
      </c>
      <c r="N5" s="50" t="s">
        <v>961</v>
      </c>
      <c r="O5" s="50" t="s">
        <v>961</v>
      </c>
      <c r="P5" s="50" t="s">
        <v>961</v>
      </c>
      <c r="Q5" s="50" t="s">
        <v>961</v>
      </c>
      <c r="R5" s="50" t="s">
        <v>961</v>
      </c>
      <c r="S5" s="50" t="s">
        <v>961</v>
      </c>
      <c r="T5" s="50" t="s">
        <v>961</v>
      </c>
      <c r="U5" s="50" t="s">
        <v>961</v>
      </c>
      <c r="V5" s="50" t="s">
        <v>961</v>
      </c>
      <c r="W5" s="50" t="s">
        <v>961</v>
      </c>
      <c r="X5" s="50" t="s">
        <v>961</v>
      </c>
      <c r="Y5" s="50" t="s">
        <v>961</v>
      </c>
      <c r="Z5" s="50" t="s">
        <v>961</v>
      </c>
      <c r="AA5" s="50" t="s">
        <v>961</v>
      </c>
      <c r="AB5" s="50" t="s">
        <v>961</v>
      </c>
      <c r="AC5" s="50" t="s">
        <v>961</v>
      </c>
      <c r="AD5" s="50" t="s">
        <v>961</v>
      </c>
      <c r="AE5" s="50" t="s">
        <v>961</v>
      </c>
      <c r="AF5" s="50" t="s">
        <v>961</v>
      </c>
      <c r="AG5" s="50" t="s">
        <v>961</v>
      </c>
      <c r="AH5" s="50" t="s">
        <v>961</v>
      </c>
      <c r="AI5" s="50" t="s">
        <v>961</v>
      </c>
      <c r="AJ5" s="50" t="s">
        <v>961</v>
      </c>
      <c r="AK5" s="50" t="s">
        <v>961</v>
      </c>
      <c r="AL5" s="50" t="s">
        <v>961</v>
      </c>
      <c r="AM5" s="50" t="s">
        <v>961</v>
      </c>
      <c r="AN5" s="50" t="s">
        <v>961</v>
      </c>
      <c r="AO5" s="50" t="s">
        <v>961</v>
      </c>
      <c r="AP5" s="50" t="s">
        <v>961</v>
      </c>
      <c r="AQ5" s="50" t="s">
        <v>961</v>
      </c>
      <c r="AR5" s="50" t="s">
        <v>961</v>
      </c>
      <c r="AS5" s="50" t="s">
        <v>961</v>
      </c>
      <c r="AT5" s="50" t="s">
        <v>961</v>
      </c>
      <c r="AU5" s="50" t="s">
        <v>961</v>
      </c>
      <c r="AV5" s="50" t="s">
        <v>961</v>
      </c>
      <c r="AW5" s="50" t="s">
        <v>961</v>
      </c>
      <c r="AX5" s="50" t="s">
        <v>961</v>
      </c>
      <c r="AY5" s="50" t="s">
        <v>961</v>
      </c>
      <c r="AZ5" s="50" t="s">
        <v>961</v>
      </c>
      <c r="BA5" s="50" t="s">
        <v>961</v>
      </c>
      <c r="BB5" s="50" t="s">
        <v>961</v>
      </c>
      <c r="BC5" s="50" t="s">
        <v>961</v>
      </c>
      <c r="BD5" s="50" t="s">
        <v>961</v>
      </c>
      <c r="BE5" s="50" t="s">
        <v>961</v>
      </c>
      <c r="BF5" s="50" t="s">
        <v>961</v>
      </c>
      <c r="BG5" s="50" t="s">
        <v>961</v>
      </c>
      <c r="BH5" s="50" t="s">
        <v>961</v>
      </c>
      <c r="BI5" s="50" t="s">
        <v>961</v>
      </c>
      <c r="BJ5" s="50" t="s">
        <v>961</v>
      </c>
      <c r="BK5" s="50" t="s">
        <v>961</v>
      </c>
      <c r="BL5" s="50" t="s">
        <v>961</v>
      </c>
      <c r="BM5" s="50" t="s">
        <v>961</v>
      </c>
      <c r="BN5" s="50" t="s">
        <v>961</v>
      </c>
      <c r="BO5" s="50" t="s">
        <v>961</v>
      </c>
      <c r="BP5" s="50">
        <v>0</v>
      </c>
      <c r="BQ5" s="50" t="s">
        <v>961</v>
      </c>
    </row>
    <row r="6" spans="2:69">
      <c r="B6" s="97" t="s">
        <v>913</v>
      </c>
      <c r="C6" s="50">
        <v>4</v>
      </c>
      <c r="D6" s="50" t="s">
        <v>964</v>
      </c>
      <c r="E6" s="95" t="s">
        <v>961</v>
      </c>
      <c r="F6" s="50">
        <v>1</v>
      </c>
      <c r="G6" s="95" t="s">
        <v>961</v>
      </c>
      <c r="H6" s="98" t="s">
        <v>961</v>
      </c>
      <c r="I6" s="50" t="s">
        <v>961</v>
      </c>
      <c r="J6" s="50" t="s">
        <v>961</v>
      </c>
      <c r="K6" s="50" t="s">
        <v>961</v>
      </c>
      <c r="L6" s="50" t="s">
        <v>961</v>
      </c>
      <c r="M6" s="50" t="s">
        <v>961</v>
      </c>
      <c r="N6" s="50" t="s">
        <v>961</v>
      </c>
      <c r="O6" s="50" t="s">
        <v>961</v>
      </c>
      <c r="P6" s="50" t="s">
        <v>961</v>
      </c>
      <c r="Q6" s="50" t="s">
        <v>961</v>
      </c>
      <c r="R6" s="50" t="s">
        <v>961</v>
      </c>
      <c r="S6" s="50" t="s">
        <v>961</v>
      </c>
      <c r="T6" s="50" t="s">
        <v>961</v>
      </c>
      <c r="U6" s="50" t="s">
        <v>961</v>
      </c>
      <c r="V6" s="50" t="s">
        <v>961</v>
      </c>
      <c r="W6" s="50" t="s">
        <v>961</v>
      </c>
      <c r="X6" s="50" t="s">
        <v>961</v>
      </c>
      <c r="Y6" s="50" t="s">
        <v>961</v>
      </c>
      <c r="Z6" s="50" t="s">
        <v>961</v>
      </c>
      <c r="AA6" s="50" t="s">
        <v>961</v>
      </c>
      <c r="AB6" s="50" t="s">
        <v>961</v>
      </c>
      <c r="AC6" s="50" t="s">
        <v>961</v>
      </c>
      <c r="AD6" s="50" t="s">
        <v>961</v>
      </c>
      <c r="AE6" s="50" t="s">
        <v>961</v>
      </c>
      <c r="AF6" s="50" t="s">
        <v>961</v>
      </c>
      <c r="AG6" s="50" t="s">
        <v>961</v>
      </c>
      <c r="AH6" s="50" t="s">
        <v>961</v>
      </c>
      <c r="AI6" s="50" t="s">
        <v>961</v>
      </c>
      <c r="AJ6" s="50" t="s">
        <v>961</v>
      </c>
      <c r="AK6" s="50" t="s">
        <v>961</v>
      </c>
      <c r="AL6" s="50" t="s">
        <v>961</v>
      </c>
      <c r="AM6" s="50" t="s">
        <v>961</v>
      </c>
      <c r="AN6" s="50" t="s">
        <v>961</v>
      </c>
      <c r="AO6" s="50" t="s">
        <v>961</v>
      </c>
      <c r="AP6" s="50" t="s">
        <v>961</v>
      </c>
      <c r="AQ6" s="50" t="s">
        <v>961</v>
      </c>
      <c r="AR6" s="50" t="s">
        <v>961</v>
      </c>
      <c r="AS6" s="50" t="s">
        <v>961</v>
      </c>
      <c r="AT6" s="50" t="s">
        <v>961</v>
      </c>
      <c r="AU6" s="50" t="s">
        <v>961</v>
      </c>
      <c r="AV6" s="50" t="s">
        <v>961</v>
      </c>
      <c r="AW6" s="50" t="s">
        <v>961</v>
      </c>
      <c r="AX6" s="50" t="s">
        <v>961</v>
      </c>
      <c r="AY6" s="50" t="s">
        <v>961</v>
      </c>
      <c r="AZ6" s="50" t="s">
        <v>961</v>
      </c>
      <c r="BA6" s="50" t="s">
        <v>961</v>
      </c>
      <c r="BB6" s="50" t="s">
        <v>961</v>
      </c>
      <c r="BC6" s="50" t="s">
        <v>961</v>
      </c>
      <c r="BD6" s="50" t="s">
        <v>961</v>
      </c>
      <c r="BE6" s="50" t="s">
        <v>961</v>
      </c>
      <c r="BF6" s="50" t="s">
        <v>961</v>
      </c>
      <c r="BG6" s="50" t="s">
        <v>961</v>
      </c>
      <c r="BH6" s="50" t="s">
        <v>961</v>
      </c>
      <c r="BI6" s="50" t="s">
        <v>961</v>
      </c>
      <c r="BJ6" s="50" t="s">
        <v>961</v>
      </c>
      <c r="BK6" s="50" t="s">
        <v>961</v>
      </c>
      <c r="BL6" s="50" t="s">
        <v>961</v>
      </c>
      <c r="BM6" s="50" t="s">
        <v>961</v>
      </c>
      <c r="BN6" s="50" t="s">
        <v>961</v>
      </c>
      <c r="BO6" s="50" t="s">
        <v>961</v>
      </c>
      <c r="BP6" s="50" t="s">
        <v>961</v>
      </c>
      <c r="BQ6" s="50" t="s">
        <v>961</v>
      </c>
    </row>
    <row r="7" spans="2:69">
      <c r="B7" s="50" t="s">
        <v>915</v>
      </c>
      <c r="C7" s="50">
        <v>5</v>
      </c>
      <c r="D7" s="50" t="s">
        <v>964</v>
      </c>
      <c r="E7" s="95" t="s">
        <v>961</v>
      </c>
      <c r="F7" s="50">
        <v>1</v>
      </c>
      <c r="G7" s="95" t="s">
        <v>961</v>
      </c>
      <c r="H7" s="98" t="s">
        <v>961</v>
      </c>
      <c r="I7" s="50" t="s">
        <v>961</v>
      </c>
      <c r="J7" s="50" t="s">
        <v>961</v>
      </c>
      <c r="K7" s="50" t="s">
        <v>961</v>
      </c>
      <c r="L7" s="50" t="s">
        <v>961</v>
      </c>
      <c r="M7" s="50" t="s">
        <v>961</v>
      </c>
      <c r="N7" s="50" t="s">
        <v>961</v>
      </c>
      <c r="O7" s="50" t="s">
        <v>961</v>
      </c>
      <c r="P7" s="50" t="s">
        <v>961</v>
      </c>
      <c r="Q7" s="50" t="s">
        <v>961</v>
      </c>
      <c r="R7" s="50" t="s">
        <v>961</v>
      </c>
      <c r="S7" s="50" t="s">
        <v>961</v>
      </c>
      <c r="T7" s="50" t="s">
        <v>961</v>
      </c>
      <c r="U7" s="50" t="s">
        <v>961</v>
      </c>
      <c r="V7" s="50" t="s">
        <v>961</v>
      </c>
      <c r="W7" s="50" t="s">
        <v>961</v>
      </c>
      <c r="X7" s="50" t="s">
        <v>961</v>
      </c>
      <c r="Y7" s="50" t="s">
        <v>961</v>
      </c>
      <c r="Z7" s="50" t="s">
        <v>961</v>
      </c>
      <c r="AA7" s="50" t="s">
        <v>961</v>
      </c>
      <c r="AB7" s="50" t="s">
        <v>961</v>
      </c>
      <c r="AC7" s="50" t="s">
        <v>961</v>
      </c>
      <c r="AD7" s="50" t="s">
        <v>961</v>
      </c>
      <c r="AE7" s="50" t="s">
        <v>961</v>
      </c>
      <c r="AF7" s="50" t="s">
        <v>961</v>
      </c>
      <c r="AG7" s="50" t="s">
        <v>961</v>
      </c>
      <c r="AH7" s="50" t="s">
        <v>961</v>
      </c>
      <c r="AI7" s="50" t="s">
        <v>961</v>
      </c>
      <c r="AJ7" s="50" t="s">
        <v>961</v>
      </c>
      <c r="AK7" s="50" t="s">
        <v>961</v>
      </c>
      <c r="AL7" s="50" t="s">
        <v>961</v>
      </c>
      <c r="AM7" s="50" t="s">
        <v>961</v>
      </c>
      <c r="AN7" s="50" t="s">
        <v>961</v>
      </c>
      <c r="AO7" s="50" t="s">
        <v>961</v>
      </c>
      <c r="AP7" s="50" t="s">
        <v>961</v>
      </c>
      <c r="AQ7" s="50" t="s">
        <v>961</v>
      </c>
      <c r="AR7" s="50" t="s">
        <v>961</v>
      </c>
      <c r="AS7" s="50" t="s">
        <v>961</v>
      </c>
      <c r="AT7" s="50" t="s">
        <v>961</v>
      </c>
      <c r="AU7" s="50" t="s">
        <v>961</v>
      </c>
      <c r="AV7" s="50" t="s">
        <v>961</v>
      </c>
      <c r="AW7" s="50" t="s">
        <v>961</v>
      </c>
      <c r="AX7" s="50" t="s">
        <v>961</v>
      </c>
      <c r="AY7" s="50" t="s">
        <v>961</v>
      </c>
      <c r="AZ7" s="50" t="s">
        <v>961</v>
      </c>
      <c r="BA7" s="50" t="s">
        <v>961</v>
      </c>
      <c r="BB7" s="50" t="s">
        <v>961</v>
      </c>
      <c r="BC7" s="50" t="s">
        <v>961</v>
      </c>
      <c r="BD7" s="50" t="s">
        <v>961</v>
      </c>
      <c r="BE7" s="50" t="s">
        <v>961</v>
      </c>
      <c r="BF7" s="50" t="s">
        <v>961</v>
      </c>
      <c r="BG7" s="50" t="s">
        <v>961</v>
      </c>
      <c r="BH7" s="50" t="s">
        <v>961</v>
      </c>
      <c r="BI7" s="50" t="s">
        <v>961</v>
      </c>
      <c r="BJ7" s="50" t="s">
        <v>961</v>
      </c>
      <c r="BK7" s="50" t="s">
        <v>961</v>
      </c>
      <c r="BL7" s="50" t="s">
        <v>961</v>
      </c>
      <c r="BM7" s="50" t="s">
        <v>961</v>
      </c>
      <c r="BN7" s="50" t="s">
        <v>961</v>
      </c>
      <c r="BO7" s="50" t="s">
        <v>961</v>
      </c>
      <c r="BP7" s="50" t="s">
        <v>961</v>
      </c>
      <c r="BQ7" s="50" t="s">
        <v>961</v>
      </c>
    </row>
    <row r="8" spans="2:69">
      <c r="B8" s="97" t="s">
        <v>916</v>
      </c>
      <c r="C8" s="50">
        <v>6</v>
      </c>
      <c r="D8" s="50" t="s">
        <v>1976</v>
      </c>
      <c r="E8" s="95">
        <v>45534</v>
      </c>
      <c r="F8" s="50">
        <v>1</v>
      </c>
      <c r="G8" s="208" cm="1">
        <f t="array" ref="G8">SUMPRODUCT(--(I8:BQ8&gt;0))/COUNTA(I8:BQ8)</f>
        <v>1</v>
      </c>
      <c r="H8" s="98" t="s">
        <v>970</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919</v>
      </c>
      <c r="C9" s="50">
        <v>7</v>
      </c>
      <c r="D9" s="50" t="s">
        <v>1977</v>
      </c>
      <c r="E9" s="95">
        <v>45534</v>
      </c>
      <c r="F9" s="50">
        <v>1</v>
      </c>
      <c r="G9" s="208" t="e" cm="1">
        <f t="array" ref="G9">SUMPRODUCT(--(I9:BQ9 &lt;= I28:BQ28))/COUNTA(I28:BQ28)</f>
        <v>#DIV/0!</v>
      </c>
      <c r="H9" s="98" t="s">
        <v>970</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922</v>
      </c>
      <c r="C10" s="50">
        <v>8</v>
      </c>
      <c r="D10" s="50" t="s">
        <v>1978</v>
      </c>
      <c r="E10" s="95">
        <v>45534</v>
      </c>
      <c r="F10" s="50">
        <v>1</v>
      </c>
      <c r="G10" s="95" t="s">
        <v>961</v>
      </c>
      <c r="H10" s="98" t="s">
        <v>970</v>
      </c>
      <c r="I10" s="50">
        <v>90</v>
      </c>
      <c r="J10" s="50">
        <v>2.5690004500003999E+18</v>
      </c>
      <c r="K10" s="50" t="s">
        <v>1979</v>
      </c>
      <c r="L10" s="50">
        <v>0</v>
      </c>
      <c r="M10" s="50">
        <v>3</v>
      </c>
      <c r="N10" s="95">
        <v>31</v>
      </c>
      <c r="O10" s="50">
        <v>2.569E+18</v>
      </c>
      <c r="P10" s="50" t="s">
        <v>1980</v>
      </c>
      <c r="Q10" s="50">
        <v>0</v>
      </c>
      <c r="R10" s="50">
        <v>0</v>
      </c>
      <c r="S10" s="50">
        <v>0</v>
      </c>
      <c r="T10" s="50">
        <v>0</v>
      </c>
      <c r="U10" s="95">
        <v>33756</v>
      </c>
      <c r="V10" s="95">
        <v>34669</v>
      </c>
      <c r="W10" s="50">
        <v>978</v>
      </c>
      <c r="X10" s="50">
        <v>0</v>
      </c>
      <c r="Y10" s="50">
        <v>0</v>
      </c>
      <c r="Z10" s="50" t="s">
        <v>970</v>
      </c>
      <c r="AA10" s="50" t="s">
        <v>970</v>
      </c>
      <c r="AB10" s="50" t="s">
        <v>970</v>
      </c>
      <c r="AC10" s="50" t="s">
        <v>970</v>
      </c>
      <c r="AD10" s="181" t="s">
        <v>1981</v>
      </c>
      <c r="AE10" s="50" t="s">
        <v>970</v>
      </c>
      <c r="AF10" s="50" t="s">
        <v>970</v>
      </c>
      <c r="AG10" s="50" t="s">
        <v>970</v>
      </c>
      <c r="AH10" s="50" t="s">
        <v>970</v>
      </c>
      <c r="AI10" s="50" t="s">
        <v>970</v>
      </c>
      <c r="AJ10" s="50" t="s">
        <v>970</v>
      </c>
      <c r="AK10" s="50" t="s">
        <v>1982</v>
      </c>
      <c r="AL10" s="50" t="s">
        <v>970</v>
      </c>
      <c r="AM10" s="98">
        <v>-2480000</v>
      </c>
      <c r="AN10" s="50" t="s">
        <v>970</v>
      </c>
      <c r="AO10" s="95">
        <v>45535</v>
      </c>
      <c r="AP10" s="50" t="s">
        <v>970</v>
      </c>
      <c r="AQ10" s="95">
        <v>34684</v>
      </c>
      <c r="AR10" s="50" t="s">
        <v>970</v>
      </c>
      <c r="AS10" s="50" t="s">
        <v>970</v>
      </c>
      <c r="AT10" s="50" t="s">
        <v>970</v>
      </c>
      <c r="AU10" s="50" t="s">
        <v>970</v>
      </c>
      <c r="AV10" s="95">
        <v>37553</v>
      </c>
      <c r="AW10" s="50" t="s">
        <v>1136</v>
      </c>
      <c r="AX10" s="50" t="s">
        <v>970</v>
      </c>
      <c r="AY10" s="50" t="s">
        <v>970</v>
      </c>
      <c r="AZ10" s="95">
        <v>36708</v>
      </c>
      <c r="BA10" s="50" t="s">
        <v>970</v>
      </c>
      <c r="BB10" s="50">
        <v>0</v>
      </c>
      <c r="BC10" s="50" t="s">
        <v>1983</v>
      </c>
      <c r="BD10" s="50" t="s">
        <v>1984</v>
      </c>
      <c r="BE10" s="50" t="s">
        <v>970</v>
      </c>
      <c r="BF10" s="50" t="s">
        <v>970</v>
      </c>
      <c r="BG10" s="50" t="s">
        <v>970</v>
      </c>
      <c r="BH10" s="50" t="s">
        <v>1983</v>
      </c>
      <c r="BI10" s="50" t="s">
        <v>1984</v>
      </c>
      <c r="BJ10" s="50" t="s">
        <v>970</v>
      </c>
      <c r="BK10" s="50" t="s">
        <v>970</v>
      </c>
      <c r="BL10" s="50" t="s">
        <v>970</v>
      </c>
      <c r="BM10" s="50" t="s">
        <v>971</v>
      </c>
      <c r="BN10" s="50" t="s">
        <v>1617</v>
      </c>
      <c r="BO10" s="50" t="s">
        <v>1985</v>
      </c>
      <c r="BP10" s="95">
        <v>45534</v>
      </c>
      <c r="BQ10" s="50" t="s">
        <v>1986</v>
      </c>
    </row>
    <row r="11" spans="2:69">
      <c r="B11" s="50" t="s">
        <v>924</v>
      </c>
      <c r="C11" s="50">
        <v>9</v>
      </c>
      <c r="D11" s="50" t="s">
        <v>1987</v>
      </c>
      <c r="E11" s="95">
        <v>45534</v>
      </c>
      <c r="F11" s="50">
        <v>1</v>
      </c>
      <c r="G11" s="95" t="s">
        <v>961</v>
      </c>
      <c r="H11" s="98" t="s">
        <v>970</v>
      </c>
      <c r="I11" s="50">
        <v>90</v>
      </c>
      <c r="J11" s="50">
        <v>2.5690004500003999E+18</v>
      </c>
      <c r="K11" s="50"/>
      <c r="L11" s="50">
        <v>0</v>
      </c>
      <c r="M11" s="50">
        <v>3</v>
      </c>
      <c r="N11" s="95"/>
      <c r="O11" s="97">
        <v>2.569E+18</v>
      </c>
      <c r="P11" s="50" t="s">
        <v>1980</v>
      </c>
      <c r="Q11" s="50">
        <v>0</v>
      </c>
      <c r="R11" s="50">
        <v>0</v>
      </c>
      <c r="S11" s="50">
        <v>0</v>
      </c>
      <c r="T11" s="50">
        <v>0</v>
      </c>
      <c r="U11" s="50">
        <v>19920601</v>
      </c>
      <c r="V11" s="50">
        <v>19941201</v>
      </c>
      <c r="W11" s="50">
        <v>978</v>
      </c>
      <c r="X11" s="50">
        <v>0</v>
      </c>
      <c r="Y11" s="50">
        <v>0</v>
      </c>
      <c r="Z11" s="50" t="s">
        <v>1046</v>
      </c>
      <c r="AA11" s="50" t="s">
        <v>1046</v>
      </c>
      <c r="AB11" s="50" t="s">
        <v>1046</v>
      </c>
      <c r="AC11" s="50" t="s">
        <v>1046</v>
      </c>
      <c r="AD11" s="50" t="s">
        <v>1988</v>
      </c>
      <c r="AE11" s="50" t="s">
        <v>1046</v>
      </c>
      <c r="AF11" s="50" t="s">
        <v>1046</v>
      </c>
      <c r="AG11" s="50" t="s">
        <v>1046</v>
      </c>
      <c r="AH11" s="50" t="s">
        <v>1046</v>
      </c>
      <c r="AI11" s="50" t="s">
        <v>1046</v>
      </c>
      <c r="AJ11" s="50" t="s">
        <v>1046</v>
      </c>
      <c r="AK11" s="50" t="s">
        <v>1989</v>
      </c>
      <c r="AL11" s="50" t="s">
        <v>1046</v>
      </c>
      <c r="AM11" s="50" t="s">
        <v>1990</v>
      </c>
      <c r="AN11" s="50" t="s">
        <v>1046</v>
      </c>
      <c r="AO11" s="50">
        <v>20240831</v>
      </c>
      <c r="AP11" s="50" t="s">
        <v>1046</v>
      </c>
      <c r="AQ11" s="50">
        <v>19941216</v>
      </c>
      <c r="AR11" s="50" t="s">
        <v>1046</v>
      </c>
      <c r="AS11" s="50" t="s">
        <v>1046</v>
      </c>
      <c r="AT11" s="50" t="s">
        <v>1046</v>
      </c>
      <c r="AU11" s="50" t="s">
        <v>1046</v>
      </c>
      <c r="AV11" s="50">
        <v>20011120</v>
      </c>
      <c r="AW11" s="50" t="s">
        <v>1141</v>
      </c>
      <c r="AX11" s="50" t="s">
        <v>1046</v>
      </c>
      <c r="AY11" s="50" t="s">
        <v>1046</v>
      </c>
      <c r="AZ11" s="50">
        <v>20000515</v>
      </c>
      <c r="BA11" s="50" t="s">
        <v>1046</v>
      </c>
      <c r="BB11" s="50">
        <v>0</v>
      </c>
      <c r="BC11" s="50" t="s">
        <v>1983</v>
      </c>
      <c r="BD11" s="50" t="s">
        <v>1984</v>
      </c>
      <c r="BE11" s="50" t="s">
        <v>1991</v>
      </c>
      <c r="BF11" s="50" t="s">
        <v>1991</v>
      </c>
      <c r="BG11" s="50" t="s">
        <v>1991</v>
      </c>
      <c r="BH11" s="50" t="s">
        <v>1983</v>
      </c>
      <c r="BI11" s="50" t="s">
        <v>1984</v>
      </c>
      <c r="BJ11" s="50" t="s">
        <v>1991</v>
      </c>
      <c r="BK11" s="50" t="s">
        <v>1991</v>
      </c>
      <c r="BL11" s="50" t="s">
        <v>1991</v>
      </c>
      <c r="BM11" s="50">
        <v>1</v>
      </c>
      <c r="BN11" s="50" t="s">
        <v>1992</v>
      </c>
      <c r="BO11" s="50" t="s">
        <v>1985</v>
      </c>
      <c r="BP11" s="95">
        <v>45534</v>
      </c>
      <c r="BQ11" s="50" t="s">
        <v>1993</v>
      </c>
    </row>
    <row r="12" spans="2:69">
      <c r="B12" s="97" t="s">
        <v>926</v>
      </c>
      <c r="C12" s="50">
        <v>10</v>
      </c>
      <c r="D12" s="50" t="s">
        <v>1994</v>
      </c>
      <c r="E12" s="95">
        <v>45534</v>
      </c>
      <c r="F12" s="50">
        <v>1</v>
      </c>
      <c r="G12" s="95" t="s">
        <v>961</v>
      </c>
      <c r="H12" s="98" t="s">
        <v>970</v>
      </c>
      <c r="I12" s="50">
        <v>90</v>
      </c>
      <c r="J12" s="50">
        <v>2.3020041000509998E+22</v>
      </c>
      <c r="K12" s="50" t="s">
        <v>1979</v>
      </c>
      <c r="L12" s="50">
        <v>0</v>
      </c>
      <c r="M12" s="50" t="s">
        <v>1995</v>
      </c>
      <c r="N12" s="95">
        <v>31</v>
      </c>
      <c r="O12" s="50">
        <v>2.3020041E+22</v>
      </c>
      <c r="P12" s="50" t="s">
        <v>1996</v>
      </c>
      <c r="Q12" s="50">
        <v>9.9999999740799995E+20</v>
      </c>
      <c r="R12" s="50">
        <v>9999</v>
      </c>
      <c r="S12" s="50">
        <v>9999</v>
      </c>
      <c r="T12" s="50">
        <v>99999999999999</v>
      </c>
      <c r="U12" s="95">
        <v>45519</v>
      </c>
      <c r="V12" s="95">
        <v>54056</v>
      </c>
      <c r="W12" s="50">
        <v>978</v>
      </c>
      <c r="X12" s="50">
        <v>1</v>
      </c>
      <c r="Y12" s="50">
        <v>281</v>
      </c>
      <c r="Z12" s="181" t="s">
        <v>1997</v>
      </c>
      <c r="AA12" s="181" t="s">
        <v>1997</v>
      </c>
      <c r="AB12" s="181" t="s">
        <v>1997</v>
      </c>
      <c r="AC12" s="181" t="s">
        <v>1997</v>
      </c>
      <c r="AD12" s="181" t="s">
        <v>1998</v>
      </c>
      <c r="AE12" s="181" t="s">
        <v>1999</v>
      </c>
      <c r="AF12" s="181" t="s">
        <v>2000</v>
      </c>
      <c r="AG12" s="181" t="s">
        <v>2001</v>
      </c>
      <c r="AH12" s="181" t="s">
        <v>2002</v>
      </c>
      <c r="AI12" s="181" t="s">
        <v>2003</v>
      </c>
      <c r="AJ12" s="181" t="s">
        <v>2004</v>
      </c>
      <c r="AK12" s="181" t="s">
        <v>2005</v>
      </c>
      <c r="AL12" s="181" t="s">
        <v>2006</v>
      </c>
      <c r="AM12" s="181" t="s">
        <v>2007</v>
      </c>
      <c r="AN12" s="181" t="s">
        <v>2008</v>
      </c>
      <c r="AO12" s="95">
        <v>45898</v>
      </c>
      <c r="AP12" s="181" t="s">
        <v>2009</v>
      </c>
      <c r="AQ12" s="95">
        <v>45534</v>
      </c>
      <c r="AR12" s="181" t="s">
        <v>2010</v>
      </c>
      <c r="AS12" s="181" t="s">
        <v>2011</v>
      </c>
      <c r="AT12" s="181" t="s">
        <v>2012</v>
      </c>
      <c r="AU12" s="181" t="s">
        <v>2013</v>
      </c>
      <c r="AV12" s="95">
        <v>45533</v>
      </c>
      <c r="AW12" s="181" t="s">
        <v>2014</v>
      </c>
      <c r="AX12" s="181" t="s">
        <v>2015</v>
      </c>
      <c r="AY12" s="181" t="s">
        <v>2016</v>
      </c>
      <c r="AZ12" s="95">
        <v>45534</v>
      </c>
      <c r="BA12" s="181" t="s">
        <v>2017</v>
      </c>
      <c r="BB12" s="50">
        <v>281</v>
      </c>
      <c r="BC12" s="50" t="s">
        <v>2018</v>
      </c>
      <c r="BD12" s="50" t="s">
        <v>2019</v>
      </c>
      <c r="BE12" s="181" t="s">
        <v>2020</v>
      </c>
      <c r="BF12" s="181" t="s">
        <v>2021</v>
      </c>
      <c r="BG12" s="181" t="s">
        <v>2022</v>
      </c>
      <c r="BH12" s="50" t="s">
        <v>2018</v>
      </c>
      <c r="BI12" s="50" t="s">
        <v>2019</v>
      </c>
      <c r="BJ12" s="181" t="s">
        <v>2023</v>
      </c>
      <c r="BK12" s="181" t="s">
        <v>2024</v>
      </c>
      <c r="BL12" s="181" t="s">
        <v>2022</v>
      </c>
      <c r="BM12" s="50" t="s">
        <v>980</v>
      </c>
      <c r="BN12" s="50" t="s">
        <v>1149</v>
      </c>
      <c r="BO12" s="50" t="s">
        <v>1985</v>
      </c>
      <c r="BP12" s="95">
        <v>45534</v>
      </c>
      <c r="BQ12" s="50" t="s">
        <v>1986</v>
      </c>
    </row>
    <row r="13" spans="2:69">
      <c r="B13" s="50" t="s">
        <v>928</v>
      </c>
      <c r="C13" s="50">
        <v>11</v>
      </c>
      <c r="D13" s="50" t="s">
        <v>2025</v>
      </c>
      <c r="E13" s="95">
        <v>45534</v>
      </c>
      <c r="F13" s="50">
        <v>1</v>
      </c>
      <c r="G13" s="95" t="s">
        <v>961</v>
      </c>
      <c r="H13" s="98" t="s">
        <v>970</v>
      </c>
      <c r="I13" s="50">
        <v>90</v>
      </c>
      <c r="J13" s="50">
        <v>2.3020041000509998E+22</v>
      </c>
      <c r="K13" s="50"/>
      <c r="L13" s="50">
        <v>0</v>
      </c>
      <c r="M13" s="50" t="s">
        <v>1995</v>
      </c>
      <c r="N13" s="95"/>
      <c r="O13" s="50">
        <v>2.3020041E+22</v>
      </c>
      <c r="P13" s="50" t="s">
        <v>1996</v>
      </c>
      <c r="Q13" s="50">
        <v>9.9999999740799995E+20</v>
      </c>
      <c r="R13" s="50">
        <v>9999</v>
      </c>
      <c r="S13" s="50">
        <v>9999</v>
      </c>
      <c r="T13" s="50">
        <v>99999999999999</v>
      </c>
      <c r="U13" s="50">
        <v>20240815</v>
      </c>
      <c r="V13" s="50">
        <v>20471230</v>
      </c>
      <c r="W13" s="50">
        <v>978</v>
      </c>
      <c r="X13" s="50">
        <v>1</v>
      </c>
      <c r="Y13" s="50">
        <v>281</v>
      </c>
      <c r="Z13" s="50" t="s">
        <v>2026</v>
      </c>
      <c r="AA13" s="50" t="s">
        <v>2026</v>
      </c>
      <c r="AB13" s="50" t="s">
        <v>2026</v>
      </c>
      <c r="AC13" s="50" t="s">
        <v>2026</v>
      </c>
      <c r="AD13" s="50" t="s">
        <v>2027</v>
      </c>
      <c r="AE13" s="50" t="s">
        <v>2028</v>
      </c>
      <c r="AF13" s="50" t="s">
        <v>2029</v>
      </c>
      <c r="AG13" s="50" t="s">
        <v>2030</v>
      </c>
      <c r="AH13" s="50" t="s">
        <v>2031</v>
      </c>
      <c r="AI13" s="50" t="s">
        <v>2032</v>
      </c>
      <c r="AJ13" s="50" t="s">
        <v>2033</v>
      </c>
      <c r="AK13" s="50" t="s">
        <v>2034</v>
      </c>
      <c r="AL13" s="50" t="s">
        <v>2035</v>
      </c>
      <c r="AM13" s="50" t="s">
        <v>2036</v>
      </c>
      <c r="AN13" s="50" t="s">
        <v>2037</v>
      </c>
      <c r="AO13" s="50">
        <v>20250829</v>
      </c>
      <c r="AP13" s="50" t="s">
        <v>2038</v>
      </c>
      <c r="AQ13" s="50">
        <v>20240830</v>
      </c>
      <c r="AR13" s="50" t="s">
        <v>2039</v>
      </c>
      <c r="AS13" s="50" t="s">
        <v>2040</v>
      </c>
      <c r="AT13" s="50" t="s">
        <v>2041</v>
      </c>
      <c r="AU13" s="50" t="s">
        <v>2042</v>
      </c>
      <c r="AV13" s="50">
        <v>20240829</v>
      </c>
      <c r="AW13" s="50" t="s">
        <v>2043</v>
      </c>
      <c r="AX13" s="50" t="s">
        <v>2044</v>
      </c>
      <c r="AY13" s="50" t="s">
        <v>2045</v>
      </c>
      <c r="AZ13" s="50">
        <v>20240830</v>
      </c>
      <c r="BA13" s="50" t="s">
        <v>2046</v>
      </c>
      <c r="BB13" s="50">
        <v>281</v>
      </c>
      <c r="BC13" s="50" t="s">
        <v>2018</v>
      </c>
      <c r="BD13" s="50" t="s">
        <v>2019</v>
      </c>
      <c r="BE13" s="181" t="s">
        <v>2047</v>
      </c>
      <c r="BF13" s="181" t="s">
        <v>2048</v>
      </c>
      <c r="BG13" s="181" t="s">
        <v>2049</v>
      </c>
      <c r="BH13" s="50" t="s">
        <v>2018</v>
      </c>
      <c r="BI13" s="50" t="s">
        <v>2019</v>
      </c>
      <c r="BJ13" s="181" t="s">
        <v>2050</v>
      </c>
      <c r="BK13" s="181" t="s">
        <v>2051</v>
      </c>
      <c r="BL13" s="181" t="s">
        <v>2049</v>
      </c>
      <c r="BM13" s="50">
        <v>5</v>
      </c>
      <c r="BN13" s="50" t="s">
        <v>2052</v>
      </c>
      <c r="BO13" s="50" t="s">
        <v>1985</v>
      </c>
      <c r="BP13" s="95">
        <v>45534</v>
      </c>
      <c r="BQ13" s="50" t="s">
        <v>2053</v>
      </c>
    </row>
    <row r="14" spans="2:69">
      <c r="B14" s="50" t="s">
        <v>930</v>
      </c>
      <c r="C14" s="50">
        <v>12</v>
      </c>
      <c r="D14" s="50" t="s">
        <v>2054</v>
      </c>
      <c r="E14" s="95">
        <v>45534</v>
      </c>
      <c r="F14" s="50">
        <v>1</v>
      </c>
      <c r="G14" s="254" t="s">
        <v>2055</v>
      </c>
      <c r="H14" s="98" t="s">
        <v>970</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932</v>
      </c>
      <c r="C15" s="50">
        <v>13</v>
      </c>
      <c r="D15" s="50" t="s">
        <v>2056</v>
      </c>
      <c r="E15" s="95">
        <v>45534</v>
      </c>
      <c r="F15" s="50">
        <v>1</v>
      </c>
      <c r="G15" s="254">
        <v>1</v>
      </c>
      <c r="H15" s="98" t="s">
        <v>970</v>
      </c>
      <c r="I15" s="50" t="s">
        <v>961</v>
      </c>
      <c r="J15" s="50" t="s">
        <v>961</v>
      </c>
      <c r="K15" s="50" t="s">
        <v>961</v>
      </c>
      <c r="L15" s="50" t="s">
        <v>961</v>
      </c>
      <c r="M15" s="50" t="s">
        <v>961</v>
      </c>
      <c r="N15" s="95" t="s">
        <v>961</v>
      </c>
      <c r="O15" s="95" t="s">
        <v>961</v>
      </c>
      <c r="P15" s="50" t="s">
        <v>961</v>
      </c>
      <c r="Q15" s="50" t="s">
        <v>961</v>
      </c>
      <c r="R15" s="50" t="s">
        <v>961</v>
      </c>
      <c r="S15" s="50" t="s">
        <v>961</v>
      </c>
      <c r="T15" s="50" t="s">
        <v>961</v>
      </c>
      <c r="U15" s="50">
        <v>0</v>
      </c>
      <c r="V15" s="50">
        <v>0</v>
      </c>
      <c r="W15" s="50" t="s">
        <v>961</v>
      </c>
      <c r="X15" s="50" t="s">
        <v>961</v>
      </c>
      <c r="Y15" s="50" t="s">
        <v>961</v>
      </c>
      <c r="Z15" s="50" t="s">
        <v>961</v>
      </c>
      <c r="AA15" s="50" t="s">
        <v>961</v>
      </c>
      <c r="AB15" s="50" t="s">
        <v>961</v>
      </c>
      <c r="AC15" s="50" t="s">
        <v>961</v>
      </c>
      <c r="AD15" s="50" t="s">
        <v>961</v>
      </c>
      <c r="AE15" s="50" t="s">
        <v>961</v>
      </c>
      <c r="AF15" s="50" t="s">
        <v>961</v>
      </c>
      <c r="AG15" s="50" t="s">
        <v>961</v>
      </c>
      <c r="AH15" s="50" t="s">
        <v>961</v>
      </c>
      <c r="AI15" s="50" t="s">
        <v>961</v>
      </c>
      <c r="AJ15" s="50" t="s">
        <v>961</v>
      </c>
      <c r="AK15" s="50" t="s">
        <v>961</v>
      </c>
      <c r="AL15" s="50" t="s">
        <v>961</v>
      </c>
      <c r="AM15" s="50" t="s">
        <v>961</v>
      </c>
      <c r="AN15" s="50" t="s">
        <v>961</v>
      </c>
      <c r="AO15" s="50">
        <v>0</v>
      </c>
      <c r="AP15" s="50" t="s">
        <v>961</v>
      </c>
      <c r="AQ15" s="50">
        <v>0</v>
      </c>
      <c r="AR15" s="50" t="s">
        <v>961</v>
      </c>
      <c r="AS15" s="50" t="s">
        <v>961</v>
      </c>
      <c r="AT15" s="50" t="s">
        <v>961</v>
      </c>
      <c r="AU15" s="50" t="s">
        <v>961</v>
      </c>
      <c r="AV15" s="50">
        <v>0</v>
      </c>
      <c r="AW15" s="50" t="s">
        <v>961</v>
      </c>
      <c r="AX15" s="50" t="s">
        <v>961</v>
      </c>
      <c r="AY15" s="50" t="s">
        <v>961</v>
      </c>
      <c r="AZ15" s="50">
        <v>0</v>
      </c>
      <c r="BA15" s="50" t="s">
        <v>961</v>
      </c>
      <c r="BB15" s="50" t="s">
        <v>961</v>
      </c>
      <c r="BC15" s="50" t="s">
        <v>961</v>
      </c>
      <c r="BD15" s="50" t="s">
        <v>961</v>
      </c>
      <c r="BE15" s="50" t="s">
        <v>961</v>
      </c>
      <c r="BF15" s="50" t="s">
        <v>961</v>
      </c>
      <c r="BG15" s="50" t="s">
        <v>961</v>
      </c>
      <c r="BH15" s="50" t="s">
        <v>961</v>
      </c>
      <c r="BI15" s="50" t="s">
        <v>961</v>
      </c>
      <c r="BJ15" s="50" t="s">
        <v>961</v>
      </c>
      <c r="BK15" s="50" t="s">
        <v>961</v>
      </c>
      <c r="BL15" s="50" t="s">
        <v>961</v>
      </c>
      <c r="BM15" s="50" t="s">
        <v>961</v>
      </c>
      <c r="BN15" s="50" t="s">
        <v>961</v>
      </c>
      <c r="BO15" s="50" t="s">
        <v>961</v>
      </c>
      <c r="BP15" s="50" t="s">
        <v>961</v>
      </c>
      <c r="BQ15" s="50" t="s">
        <v>961</v>
      </c>
    </row>
    <row r="16" spans="2:69">
      <c r="B16" s="50" t="s">
        <v>934</v>
      </c>
      <c r="C16" s="50">
        <v>14</v>
      </c>
      <c r="D16" s="50" t="s">
        <v>2057</v>
      </c>
      <c r="E16" s="95">
        <v>45534</v>
      </c>
      <c r="F16" s="50">
        <v>1</v>
      </c>
      <c r="G16" s="254">
        <v>1</v>
      </c>
      <c r="H16" s="98" t="s">
        <v>970</v>
      </c>
      <c r="I16" s="50">
        <v>0</v>
      </c>
      <c r="J16" s="50">
        <v>0</v>
      </c>
      <c r="K16" s="50">
        <v>0</v>
      </c>
      <c r="L16" s="50" t="s">
        <v>961</v>
      </c>
      <c r="M16" s="50">
        <v>0</v>
      </c>
      <c r="N16" s="50">
        <v>0</v>
      </c>
      <c r="O16" s="50">
        <v>0</v>
      </c>
      <c r="P16" s="50" t="s">
        <v>961</v>
      </c>
      <c r="Q16" s="50" t="s">
        <v>961</v>
      </c>
      <c r="R16" s="50">
        <v>0</v>
      </c>
      <c r="S16" s="50">
        <v>0</v>
      </c>
      <c r="T16" s="50" t="s">
        <v>961</v>
      </c>
      <c r="U16" s="50" t="s">
        <v>961</v>
      </c>
      <c r="V16" s="50" t="s">
        <v>961</v>
      </c>
      <c r="W16" s="50">
        <v>0</v>
      </c>
      <c r="X16" s="50" t="s">
        <v>961</v>
      </c>
      <c r="Y16" s="50" t="s">
        <v>961</v>
      </c>
      <c r="Z16" s="50" t="s">
        <v>961</v>
      </c>
      <c r="AA16" s="50" t="s">
        <v>961</v>
      </c>
      <c r="AB16" s="50" t="s">
        <v>961</v>
      </c>
      <c r="AC16" s="50" t="s">
        <v>961</v>
      </c>
      <c r="AD16" s="50" t="s">
        <v>961</v>
      </c>
      <c r="AE16" s="50" t="s">
        <v>961</v>
      </c>
      <c r="AF16" s="50" t="s">
        <v>961</v>
      </c>
      <c r="AG16" s="50" t="s">
        <v>961</v>
      </c>
      <c r="AH16" s="50" t="s">
        <v>961</v>
      </c>
      <c r="AI16" s="50" t="s">
        <v>961</v>
      </c>
      <c r="AJ16" s="50" t="s">
        <v>961</v>
      </c>
      <c r="AK16" s="50" t="s">
        <v>961</v>
      </c>
      <c r="AL16" s="50" t="s">
        <v>961</v>
      </c>
      <c r="AM16" s="50" t="s">
        <v>961</v>
      </c>
      <c r="AN16" s="50" t="s">
        <v>961</v>
      </c>
      <c r="AO16" s="50" t="s">
        <v>961</v>
      </c>
      <c r="AP16" s="50" t="s">
        <v>961</v>
      </c>
      <c r="AQ16" s="50" t="s">
        <v>961</v>
      </c>
      <c r="AR16" s="50" t="s">
        <v>961</v>
      </c>
      <c r="AS16" s="50" t="s">
        <v>961</v>
      </c>
      <c r="AT16" s="50" t="s">
        <v>961</v>
      </c>
      <c r="AU16" s="50" t="s">
        <v>961</v>
      </c>
      <c r="AV16" s="50" t="s">
        <v>961</v>
      </c>
      <c r="AW16" s="50" t="s">
        <v>961</v>
      </c>
      <c r="AX16" s="50" t="s">
        <v>961</v>
      </c>
      <c r="AY16" s="50" t="s">
        <v>961</v>
      </c>
      <c r="AZ16" s="50" t="s">
        <v>961</v>
      </c>
      <c r="BA16" s="50" t="s">
        <v>961</v>
      </c>
      <c r="BB16" s="50" t="s">
        <v>961</v>
      </c>
      <c r="BC16" s="50" t="s">
        <v>961</v>
      </c>
      <c r="BD16" s="50" t="s">
        <v>961</v>
      </c>
      <c r="BE16" s="50" t="s">
        <v>961</v>
      </c>
      <c r="BF16" s="50" t="s">
        <v>961</v>
      </c>
      <c r="BG16" s="50" t="s">
        <v>961</v>
      </c>
      <c r="BH16" s="50">
        <v>0</v>
      </c>
      <c r="BI16" s="50" t="s">
        <v>961</v>
      </c>
      <c r="BJ16" s="50" t="s">
        <v>961</v>
      </c>
      <c r="BK16" s="50" t="s">
        <v>961</v>
      </c>
      <c r="BL16" s="50" t="s">
        <v>961</v>
      </c>
      <c r="BM16" s="50">
        <v>0</v>
      </c>
      <c r="BN16" s="50">
        <v>0</v>
      </c>
      <c r="BO16" s="50">
        <v>0</v>
      </c>
      <c r="BP16" s="50" t="s">
        <v>961</v>
      </c>
      <c r="BQ16" s="50" t="s">
        <v>961</v>
      </c>
    </row>
    <row r="17" spans="2:69">
      <c r="B17" s="50" t="s">
        <v>936</v>
      </c>
      <c r="C17" s="50">
        <v>15</v>
      </c>
      <c r="D17" s="50" t="s">
        <v>2058</v>
      </c>
      <c r="E17" s="95">
        <v>45534</v>
      </c>
      <c r="F17" s="50">
        <v>1</v>
      </c>
      <c r="G17" s="254">
        <v>1</v>
      </c>
      <c r="H17" s="98" t="s">
        <v>970</v>
      </c>
      <c r="I17" s="50" t="s">
        <v>961</v>
      </c>
      <c r="J17" s="50" t="s">
        <v>961</v>
      </c>
      <c r="K17" s="50" t="s">
        <v>961</v>
      </c>
      <c r="L17" s="50" t="s">
        <v>961</v>
      </c>
      <c r="M17" s="50" t="s">
        <v>961</v>
      </c>
      <c r="N17" s="97" t="s">
        <v>961</v>
      </c>
      <c r="O17" s="97" t="s">
        <v>961</v>
      </c>
      <c r="P17" s="50" t="s">
        <v>961</v>
      </c>
      <c r="Q17" s="50" t="s">
        <v>961</v>
      </c>
      <c r="R17" s="50" t="s">
        <v>961</v>
      </c>
      <c r="S17" s="50" t="s">
        <v>961</v>
      </c>
      <c r="T17" s="50" t="s">
        <v>961</v>
      </c>
      <c r="U17" s="50" t="s">
        <v>961</v>
      </c>
      <c r="V17" s="50" t="s">
        <v>961</v>
      </c>
      <c r="W17" s="50" t="s">
        <v>961</v>
      </c>
      <c r="X17" s="50" t="s">
        <v>961</v>
      </c>
      <c r="Y17" s="50" t="s">
        <v>961</v>
      </c>
      <c r="Z17" s="50" t="s">
        <v>961</v>
      </c>
      <c r="AA17" s="50" t="s">
        <v>961</v>
      </c>
      <c r="AB17" s="50" t="s">
        <v>961</v>
      </c>
      <c r="AC17" s="50" t="s">
        <v>961</v>
      </c>
      <c r="AD17" s="50" t="s">
        <v>961</v>
      </c>
      <c r="AE17" s="50" t="s">
        <v>961</v>
      </c>
      <c r="AF17" s="50" t="s">
        <v>961</v>
      </c>
      <c r="AG17" s="50" t="s">
        <v>961</v>
      </c>
      <c r="AH17" s="50" t="s">
        <v>961</v>
      </c>
      <c r="AI17" s="50" t="s">
        <v>961</v>
      </c>
      <c r="AJ17" s="50" t="s">
        <v>961</v>
      </c>
      <c r="AK17" s="50" t="s">
        <v>961</v>
      </c>
      <c r="AL17" s="50" t="s">
        <v>961</v>
      </c>
      <c r="AM17" s="50" t="s">
        <v>961</v>
      </c>
      <c r="AN17" s="50" t="s">
        <v>961</v>
      </c>
      <c r="AO17" s="50" t="s">
        <v>961</v>
      </c>
      <c r="AP17" s="50" t="s">
        <v>961</v>
      </c>
      <c r="AQ17" s="50" t="s">
        <v>961</v>
      </c>
      <c r="AR17" s="50" t="s">
        <v>961</v>
      </c>
      <c r="AS17" s="50" t="s">
        <v>961</v>
      </c>
      <c r="AT17" s="50" t="s">
        <v>961</v>
      </c>
      <c r="AU17" s="50" t="s">
        <v>961</v>
      </c>
      <c r="AV17" s="50" t="s">
        <v>961</v>
      </c>
      <c r="AW17" s="50" t="s">
        <v>961</v>
      </c>
      <c r="AX17" s="50" t="s">
        <v>961</v>
      </c>
      <c r="AY17" s="50" t="s">
        <v>961</v>
      </c>
      <c r="AZ17" s="50" t="s">
        <v>961</v>
      </c>
      <c r="BA17" s="50" t="s">
        <v>961</v>
      </c>
      <c r="BB17" s="50" t="s">
        <v>961</v>
      </c>
      <c r="BC17" s="50" t="s">
        <v>961</v>
      </c>
      <c r="BD17" s="50" t="s">
        <v>961</v>
      </c>
      <c r="BE17" s="50" t="s">
        <v>961</v>
      </c>
      <c r="BF17" s="50" t="s">
        <v>961</v>
      </c>
      <c r="BG17" s="50" t="s">
        <v>961</v>
      </c>
      <c r="BH17" s="50" t="s">
        <v>961</v>
      </c>
      <c r="BI17" s="50" t="s">
        <v>961</v>
      </c>
      <c r="BJ17" s="50" t="s">
        <v>961</v>
      </c>
      <c r="BK17" s="50" t="s">
        <v>961</v>
      </c>
      <c r="BL17" s="50" t="s">
        <v>961</v>
      </c>
      <c r="BM17" s="50" t="s">
        <v>961</v>
      </c>
      <c r="BN17" s="50" t="s">
        <v>961</v>
      </c>
      <c r="BO17" s="50" t="s">
        <v>961</v>
      </c>
      <c r="BP17" s="50" t="s">
        <v>961</v>
      </c>
      <c r="BQ17" s="50" t="s">
        <v>961</v>
      </c>
    </row>
    <row r="18" spans="2:69">
      <c r="B18" s="50" t="s">
        <v>938</v>
      </c>
      <c r="C18" s="50">
        <v>16</v>
      </c>
      <c r="D18" s="50" t="s">
        <v>2058</v>
      </c>
      <c r="E18" s="95">
        <v>45534</v>
      </c>
      <c r="F18" s="50">
        <v>1</v>
      </c>
      <c r="G18" s="254">
        <v>1</v>
      </c>
      <c r="H18" s="98" t="s">
        <v>970</v>
      </c>
      <c r="I18" s="50" t="s">
        <v>961</v>
      </c>
      <c r="J18" s="50" t="s">
        <v>961</v>
      </c>
      <c r="K18" s="50" t="s">
        <v>961</v>
      </c>
      <c r="L18" s="50" t="s">
        <v>961</v>
      </c>
      <c r="M18" s="50" t="s">
        <v>961</v>
      </c>
      <c r="N18" s="97" t="s">
        <v>961</v>
      </c>
      <c r="O18" s="97" t="s">
        <v>961</v>
      </c>
      <c r="P18" s="50" t="s">
        <v>961</v>
      </c>
      <c r="Q18" s="50" t="s">
        <v>961</v>
      </c>
      <c r="R18" s="50" t="s">
        <v>961</v>
      </c>
      <c r="S18" s="50" t="s">
        <v>961</v>
      </c>
      <c r="T18" s="50" t="s">
        <v>961</v>
      </c>
      <c r="U18" s="50" t="s">
        <v>961</v>
      </c>
      <c r="V18" s="50" t="s">
        <v>961</v>
      </c>
      <c r="W18" s="50" t="s">
        <v>961</v>
      </c>
      <c r="X18" s="50" t="s">
        <v>961</v>
      </c>
      <c r="Y18" s="50" t="s">
        <v>961</v>
      </c>
      <c r="Z18" s="50" t="s">
        <v>961</v>
      </c>
      <c r="AA18" s="50" t="s">
        <v>961</v>
      </c>
      <c r="AB18" s="50" t="s">
        <v>961</v>
      </c>
      <c r="AC18" s="50" t="s">
        <v>961</v>
      </c>
      <c r="AD18" s="50" t="s">
        <v>961</v>
      </c>
      <c r="AE18" s="50" t="s">
        <v>961</v>
      </c>
      <c r="AF18" s="50" t="s">
        <v>961</v>
      </c>
      <c r="AG18" s="50" t="s">
        <v>961</v>
      </c>
      <c r="AH18" s="50" t="s">
        <v>961</v>
      </c>
      <c r="AI18" s="50" t="s">
        <v>961</v>
      </c>
      <c r="AJ18" s="50" t="s">
        <v>961</v>
      </c>
      <c r="AK18" s="50" t="s">
        <v>961</v>
      </c>
      <c r="AL18" s="50" t="s">
        <v>961</v>
      </c>
      <c r="AM18" s="50" t="s">
        <v>961</v>
      </c>
      <c r="AN18" s="50" t="s">
        <v>961</v>
      </c>
      <c r="AO18" s="50" t="s">
        <v>961</v>
      </c>
      <c r="AP18" s="50" t="s">
        <v>961</v>
      </c>
      <c r="AQ18" s="50" t="s">
        <v>961</v>
      </c>
      <c r="AR18" s="50" t="s">
        <v>961</v>
      </c>
      <c r="AS18" s="50" t="s">
        <v>961</v>
      </c>
      <c r="AT18" s="50" t="s">
        <v>961</v>
      </c>
      <c r="AU18" s="50" t="s">
        <v>961</v>
      </c>
      <c r="AV18" s="50" t="s">
        <v>961</v>
      </c>
      <c r="AW18" s="50" t="s">
        <v>961</v>
      </c>
      <c r="AX18" s="50" t="s">
        <v>961</v>
      </c>
      <c r="AY18" s="50" t="s">
        <v>961</v>
      </c>
      <c r="AZ18" s="50" t="s">
        <v>961</v>
      </c>
      <c r="BA18" s="50" t="s">
        <v>961</v>
      </c>
      <c r="BB18" s="50" t="s">
        <v>961</v>
      </c>
      <c r="BC18" s="50" t="s">
        <v>961</v>
      </c>
      <c r="BD18" s="50" t="s">
        <v>961</v>
      </c>
      <c r="BE18" s="50" t="s">
        <v>961</v>
      </c>
      <c r="BF18" s="50" t="s">
        <v>961</v>
      </c>
      <c r="BG18" s="50" t="s">
        <v>961</v>
      </c>
      <c r="BH18" s="50" t="s">
        <v>961</v>
      </c>
      <c r="BI18" s="50" t="s">
        <v>961</v>
      </c>
      <c r="BJ18" s="50" t="s">
        <v>961</v>
      </c>
      <c r="BK18" s="50" t="s">
        <v>961</v>
      </c>
      <c r="BL18" s="50" t="s">
        <v>961</v>
      </c>
      <c r="BM18" s="50" t="s">
        <v>961</v>
      </c>
      <c r="BN18" s="50" t="s">
        <v>961</v>
      </c>
      <c r="BO18" s="50" t="s">
        <v>961</v>
      </c>
      <c r="BP18" s="50" t="s">
        <v>961</v>
      </c>
      <c r="BQ18" s="50" t="s">
        <v>961</v>
      </c>
    </row>
    <row r="19" spans="2:69">
      <c r="B19" s="50" t="s">
        <v>940</v>
      </c>
      <c r="C19" s="50">
        <v>17</v>
      </c>
      <c r="D19" s="50" t="s">
        <v>2059</v>
      </c>
      <c r="E19" s="95">
        <v>45534</v>
      </c>
      <c r="F19" s="50">
        <v>1</v>
      </c>
      <c r="G19" s="254" t="s">
        <v>2060</v>
      </c>
      <c r="H19" s="181" t="s">
        <v>2061</v>
      </c>
      <c r="I19" s="50" t="s">
        <v>961</v>
      </c>
      <c r="J19" s="50" t="s">
        <v>961</v>
      </c>
      <c r="K19" s="50" t="s">
        <v>961</v>
      </c>
      <c r="L19" s="50" t="s">
        <v>961</v>
      </c>
      <c r="M19" s="50" t="s">
        <v>961</v>
      </c>
      <c r="N19" s="50" t="s">
        <v>961</v>
      </c>
      <c r="O19" s="50" t="s">
        <v>961</v>
      </c>
      <c r="P19" s="50" t="s">
        <v>961</v>
      </c>
      <c r="Q19" s="50" t="s">
        <v>961</v>
      </c>
      <c r="R19" s="50" t="s">
        <v>961</v>
      </c>
      <c r="S19" s="50" t="s">
        <v>961</v>
      </c>
      <c r="T19" s="50" t="s">
        <v>961</v>
      </c>
      <c r="U19" s="50" t="s">
        <v>961</v>
      </c>
      <c r="V19" s="50" t="s">
        <v>961</v>
      </c>
      <c r="W19" s="50" t="s">
        <v>961</v>
      </c>
      <c r="X19" s="50" t="s">
        <v>961</v>
      </c>
      <c r="Y19" s="50" t="s">
        <v>961</v>
      </c>
      <c r="Z19" s="50" t="s">
        <v>961</v>
      </c>
      <c r="AA19" s="50" t="s">
        <v>961</v>
      </c>
      <c r="AB19" s="50" t="s">
        <v>961</v>
      </c>
      <c r="AC19" s="50" t="s">
        <v>961</v>
      </c>
      <c r="AD19" s="50" t="s">
        <v>961</v>
      </c>
      <c r="AE19" s="50" t="s">
        <v>961</v>
      </c>
      <c r="AF19" s="50" t="s">
        <v>961</v>
      </c>
      <c r="AG19" s="50" t="s">
        <v>961</v>
      </c>
      <c r="AH19" s="50" t="s">
        <v>961</v>
      </c>
      <c r="AI19" s="50" t="s">
        <v>961</v>
      </c>
      <c r="AJ19" s="50" t="s">
        <v>961</v>
      </c>
      <c r="AK19" s="50" t="s">
        <v>961</v>
      </c>
      <c r="AL19" s="50" t="s">
        <v>961</v>
      </c>
      <c r="AM19" s="50" t="s">
        <v>961</v>
      </c>
      <c r="AN19" s="50" t="s">
        <v>961</v>
      </c>
      <c r="AO19" s="50" t="s">
        <v>961</v>
      </c>
      <c r="AP19" s="50" t="s">
        <v>961</v>
      </c>
      <c r="AQ19" s="50" t="s">
        <v>961</v>
      </c>
      <c r="AR19" s="50" t="s">
        <v>961</v>
      </c>
      <c r="AS19" s="50" t="s">
        <v>961</v>
      </c>
      <c r="AT19" s="50" t="s">
        <v>961</v>
      </c>
      <c r="AU19" s="50" t="s">
        <v>961</v>
      </c>
      <c r="AV19" s="50" t="s">
        <v>961</v>
      </c>
      <c r="AW19" s="50" t="s">
        <v>961</v>
      </c>
      <c r="AX19" s="50" t="s">
        <v>961</v>
      </c>
      <c r="AY19" s="50" t="s">
        <v>961</v>
      </c>
      <c r="AZ19" s="50" t="s">
        <v>961</v>
      </c>
      <c r="BA19" s="50" t="s">
        <v>961</v>
      </c>
      <c r="BB19" s="50" t="s">
        <v>961</v>
      </c>
      <c r="BC19" s="50" t="s">
        <v>961</v>
      </c>
      <c r="BD19" s="50" t="s">
        <v>961</v>
      </c>
      <c r="BE19" s="50" t="s">
        <v>961</v>
      </c>
      <c r="BF19" s="50" t="s">
        <v>961</v>
      </c>
      <c r="BG19" s="50" t="s">
        <v>961</v>
      </c>
      <c r="BH19" s="50" t="s">
        <v>961</v>
      </c>
      <c r="BI19" s="50" t="s">
        <v>961</v>
      </c>
      <c r="BJ19" s="50" t="s">
        <v>961</v>
      </c>
      <c r="BK19" s="50" t="s">
        <v>961</v>
      </c>
      <c r="BL19" s="50" t="s">
        <v>961</v>
      </c>
      <c r="BM19" s="50" t="s">
        <v>961</v>
      </c>
      <c r="BN19" s="50" t="s">
        <v>961</v>
      </c>
      <c r="BO19" s="50" t="s">
        <v>961</v>
      </c>
      <c r="BP19" s="50" t="s">
        <v>961</v>
      </c>
      <c r="BQ19" s="50" t="s">
        <v>961</v>
      </c>
    </row>
    <row r="20" spans="2:69">
      <c r="B20" s="50" t="s">
        <v>942</v>
      </c>
      <c r="C20" s="50">
        <v>18</v>
      </c>
      <c r="D20" s="50" t="s">
        <v>2059</v>
      </c>
      <c r="E20" s="95">
        <v>45534</v>
      </c>
      <c r="F20" s="50">
        <v>1</v>
      </c>
      <c r="G20" s="254" t="s">
        <v>2062</v>
      </c>
      <c r="H20" s="181" t="s">
        <v>2063</v>
      </c>
      <c r="I20" s="50" t="s">
        <v>961</v>
      </c>
      <c r="J20" s="50" t="s">
        <v>961</v>
      </c>
      <c r="K20" s="50" t="s">
        <v>961</v>
      </c>
      <c r="L20" s="50" t="s">
        <v>961</v>
      </c>
      <c r="M20" s="50" t="s">
        <v>961</v>
      </c>
      <c r="N20" s="50" t="s">
        <v>961</v>
      </c>
      <c r="O20" s="50" t="s">
        <v>961</v>
      </c>
      <c r="P20" s="50" t="s">
        <v>961</v>
      </c>
      <c r="Q20" s="50" t="s">
        <v>961</v>
      </c>
      <c r="R20" s="50" t="s">
        <v>961</v>
      </c>
      <c r="S20" s="50" t="s">
        <v>961</v>
      </c>
      <c r="T20" s="50" t="s">
        <v>961</v>
      </c>
      <c r="U20" s="50" t="s">
        <v>961</v>
      </c>
      <c r="V20" s="50" t="s">
        <v>961</v>
      </c>
      <c r="W20" s="50" t="s">
        <v>961</v>
      </c>
      <c r="X20" s="50" t="s">
        <v>961</v>
      </c>
      <c r="Y20" s="50" t="s">
        <v>961</v>
      </c>
      <c r="Z20" s="50" t="s">
        <v>961</v>
      </c>
      <c r="AA20" s="50" t="s">
        <v>961</v>
      </c>
      <c r="AB20" s="50" t="s">
        <v>961</v>
      </c>
      <c r="AC20" s="50" t="s">
        <v>961</v>
      </c>
      <c r="AD20" s="50" t="s">
        <v>961</v>
      </c>
      <c r="AE20" s="50" t="s">
        <v>961</v>
      </c>
      <c r="AF20" s="50" t="s">
        <v>961</v>
      </c>
      <c r="AG20" s="50" t="s">
        <v>961</v>
      </c>
      <c r="AH20" s="50" t="s">
        <v>961</v>
      </c>
      <c r="AI20" s="50" t="s">
        <v>961</v>
      </c>
      <c r="AJ20" s="50" t="s">
        <v>961</v>
      </c>
      <c r="AK20" s="50" t="s">
        <v>961</v>
      </c>
      <c r="AL20" s="50" t="s">
        <v>961</v>
      </c>
      <c r="AM20" s="50" t="s">
        <v>961</v>
      </c>
      <c r="AN20" s="50" t="s">
        <v>961</v>
      </c>
      <c r="AO20" s="50" t="s">
        <v>961</v>
      </c>
      <c r="AP20" s="50" t="s">
        <v>961</v>
      </c>
      <c r="AQ20" s="50" t="s">
        <v>961</v>
      </c>
      <c r="AR20" s="50" t="s">
        <v>961</v>
      </c>
      <c r="AS20" s="50" t="s">
        <v>961</v>
      </c>
      <c r="AT20" s="50" t="s">
        <v>961</v>
      </c>
      <c r="AU20" s="50" t="s">
        <v>961</v>
      </c>
      <c r="AV20" s="50" t="s">
        <v>961</v>
      </c>
      <c r="AW20" s="50" t="s">
        <v>961</v>
      </c>
      <c r="AX20" s="50" t="s">
        <v>961</v>
      </c>
      <c r="AY20" s="50" t="s">
        <v>961</v>
      </c>
      <c r="AZ20" s="50" t="s">
        <v>961</v>
      </c>
      <c r="BA20" s="50" t="s">
        <v>961</v>
      </c>
      <c r="BB20" s="50" t="s">
        <v>961</v>
      </c>
      <c r="BC20" s="50" t="s">
        <v>961</v>
      </c>
      <c r="BD20" s="50" t="s">
        <v>961</v>
      </c>
      <c r="BE20" s="50" t="s">
        <v>961</v>
      </c>
      <c r="BF20" s="50" t="s">
        <v>961</v>
      </c>
      <c r="BG20" s="50" t="s">
        <v>961</v>
      </c>
      <c r="BH20" s="50" t="s">
        <v>961</v>
      </c>
      <c r="BI20" s="50" t="s">
        <v>961</v>
      </c>
      <c r="BJ20" s="50" t="s">
        <v>961</v>
      </c>
      <c r="BK20" s="50" t="s">
        <v>961</v>
      </c>
      <c r="BL20" s="50" t="s">
        <v>961</v>
      </c>
      <c r="BM20" s="50" t="s">
        <v>961</v>
      </c>
      <c r="BN20" s="50" t="s">
        <v>961</v>
      </c>
      <c r="BO20" s="50" t="s">
        <v>961</v>
      </c>
      <c r="BP20" s="50" t="s">
        <v>961</v>
      </c>
      <c r="BQ20" s="50" t="s">
        <v>961</v>
      </c>
    </row>
    <row r="21" spans="2:69">
      <c r="B21" s="50" t="s">
        <v>944</v>
      </c>
      <c r="C21" s="50">
        <v>19</v>
      </c>
      <c r="D21" s="50" t="s">
        <v>2064</v>
      </c>
      <c r="E21" s="95">
        <v>45534</v>
      </c>
      <c r="F21" s="50">
        <v>1</v>
      </c>
      <c r="G21" s="254" cm="1">
        <f t="array" aca="1" ref="G21" ca="1">SUMPRODUCT(--(ISNUMBER((SEARCH(I27:BQ27,I21:BQ21)))))/COUNTA(I21:BQ21)</f>
        <v>0.98360655737704916</v>
      </c>
      <c r="H21" s="98" t="s">
        <v>970</v>
      </c>
      <c r="I21" s="50" t="s">
        <v>995</v>
      </c>
      <c r="J21" s="50" t="s">
        <v>995</v>
      </c>
      <c r="K21" s="50" t="s">
        <v>995</v>
      </c>
      <c r="L21" s="50" t="s">
        <v>995</v>
      </c>
      <c r="M21" s="50" t="s">
        <v>995</v>
      </c>
      <c r="N21" s="50" t="s">
        <v>995</v>
      </c>
      <c r="O21" s="50" t="s">
        <v>995</v>
      </c>
      <c r="P21" s="50" t="s">
        <v>995</v>
      </c>
      <c r="Q21" s="50" t="s">
        <v>995</v>
      </c>
      <c r="R21" s="50" t="s">
        <v>995</v>
      </c>
      <c r="S21" s="50" t="s">
        <v>995</v>
      </c>
      <c r="T21" s="50" t="s">
        <v>995</v>
      </c>
      <c r="U21" s="50" t="s">
        <v>995</v>
      </c>
      <c r="V21" s="50" t="s">
        <v>995</v>
      </c>
      <c r="W21" s="50" t="s">
        <v>995</v>
      </c>
      <c r="X21" s="50" t="s">
        <v>995</v>
      </c>
      <c r="Y21" s="50" t="s">
        <v>1385</v>
      </c>
      <c r="Z21" s="50" t="s">
        <v>996</v>
      </c>
      <c r="AA21" s="50" t="s">
        <v>996</v>
      </c>
      <c r="AB21" s="50" t="s">
        <v>996</v>
      </c>
      <c r="AC21" s="50" t="s">
        <v>996</v>
      </c>
      <c r="AD21" s="50" t="s">
        <v>996</v>
      </c>
      <c r="AE21" s="50" t="s">
        <v>996</v>
      </c>
      <c r="AF21" s="50" t="s">
        <v>996</v>
      </c>
      <c r="AG21" s="50" t="s">
        <v>996</v>
      </c>
      <c r="AH21" s="50" t="s">
        <v>996</v>
      </c>
      <c r="AI21" s="50" t="s">
        <v>996</v>
      </c>
      <c r="AJ21" s="50" t="s">
        <v>996</v>
      </c>
      <c r="AK21" s="50" t="s">
        <v>996</v>
      </c>
      <c r="AL21" s="50" t="s">
        <v>996</v>
      </c>
      <c r="AM21" s="50" t="s">
        <v>996</v>
      </c>
      <c r="AN21" s="50" t="s">
        <v>996</v>
      </c>
      <c r="AO21" s="50" t="s">
        <v>995</v>
      </c>
      <c r="AP21" s="50" t="s">
        <v>996</v>
      </c>
      <c r="AQ21" s="50" t="s">
        <v>995</v>
      </c>
      <c r="AR21" s="50" t="s">
        <v>996</v>
      </c>
      <c r="AS21" s="50" t="s">
        <v>996</v>
      </c>
      <c r="AT21" s="50" t="s">
        <v>996</v>
      </c>
      <c r="AU21" s="50" t="s">
        <v>996</v>
      </c>
      <c r="AV21" s="50" t="s">
        <v>995</v>
      </c>
      <c r="AW21" s="50" t="s">
        <v>996</v>
      </c>
      <c r="AX21" s="50" t="s">
        <v>996</v>
      </c>
      <c r="AY21" s="50" t="s">
        <v>996</v>
      </c>
      <c r="AZ21" s="50" t="s">
        <v>995</v>
      </c>
      <c r="BA21" s="50" t="s">
        <v>996</v>
      </c>
      <c r="BB21" s="50" t="s">
        <v>1385</v>
      </c>
      <c r="BC21" s="50" t="s">
        <v>995</v>
      </c>
      <c r="BD21" s="50" t="s">
        <v>995</v>
      </c>
      <c r="BE21" s="50" t="s">
        <v>996</v>
      </c>
      <c r="BF21" s="50" t="s">
        <v>996</v>
      </c>
      <c r="BG21" s="50" t="s">
        <v>996</v>
      </c>
      <c r="BH21" s="50" t="s">
        <v>995</v>
      </c>
      <c r="BI21" s="50" t="s">
        <v>995</v>
      </c>
      <c r="BJ21" s="50" t="s">
        <v>996</v>
      </c>
      <c r="BK21" s="50" t="s">
        <v>996</v>
      </c>
      <c r="BL21" s="50" t="s">
        <v>996</v>
      </c>
      <c r="BM21" s="50" t="s">
        <v>995</v>
      </c>
      <c r="BN21" s="50" t="s">
        <v>995</v>
      </c>
      <c r="BO21" s="50" t="s">
        <v>995</v>
      </c>
      <c r="BP21" s="50" t="s">
        <v>995</v>
      </c>
      <c r="BQ21" s="50" t="s">
        <v>997</v>
      </c>
    </row>
    <row r="22" spans="2:69">
      <c r="B22" s="50" t="s">
        <v>947</v>
      </c>
      <c r="C22" s="50">
        <v>20</v>
      </c>
      <c r="D22" s="50"/>
      <c r="E22" s="95"/>
      <c r="F22" s="50"/>
      <c r="G22" s="192" t="e" cm="1">
        <f t="array" aca="1" ref="G22" ca="1">SUM(IF(I2:O2 = I26:O26, 1, 0))/ COUNTA(I2:O2)</f>
        <v>#NAME?</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950</v>
      </c>
      <c r="C23" s="50">
        <v>21</v>
      </c>
      <c r="D23" s="50"/>
      <c r="E23" s="95"/>
      <c r="F23" s="50"/>
      <c r="G23" s="192" t="e" cm="1">
        <f t="array" aca="1" ref="G23" ca="1">SUM(IF(IF(G3:G22="null",1,G3:G22)=1,1,0))/COUNT(IF(G3:G22="null",1,1))</f>
        <v>#DIV/0!</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30" t="s">
        <v>1067</v>
      </c>
    </row>
    <row r="26" spans="2:69">
      <c r="B26" s="128" t="s">
        <v>953</v>
      </c>
      <c r="C26" s="129" t="s">
        <v>954</v>
      </c>
      <c r="D26" s="129" t="s">
        <v>955</v>
      </c>
      <c r="E26" s="129" t="s">
        <v>956</v>
      </c>
      <c r="F26" s="129" t="s">
        <v>957</v>
      </c>
      <c r="G26" s="129" t="s">
        <v>958</v>
      </c>
      <c r="H26" s="129" t="s">
        <v>959</v>
      </c>
      <c r="I26" s="129" t="e" cm="1">
        <f t="array" aca="1" ref="I26" ca="1">TRANSPOSE(_xlfn.SORTBY(_xlfn._xlws.FILTER(Table3[NOME FÍSICO CAMPO],Table3[NOME FÍSICO TABELA]="leasing"), _xlfn._xlws.FILTER(Table3[ORDEM], Table3[NOME FÍSICO TABELA]="leasing"), 1))</f>
        <v>#NAME?</v>
      </c>
      <c r="J26" s="129"/>
      <c r="K26" s="129"/>
      <c r="L26" s="129"/>
      <c r="M26" s="129"/>
      <c r="N26" s="129"/>
      <c r="O26" s="129"/>
      <c r="P26" s="129"/>
      <c r="Q26" s="129"/>
      <c r="R26" s="129"/>
      <c r="S26" s="129"/>
      <c r="T26" s="287"/>
      <c r="U26" s="287"/>
      <c r="V26" s="287"/>
      <c r="W26" s="287"/>
      <c r="X26" s="287"/>
      <c r="Y26" s="288"/>
      <c r="Z26" s="288"/>
      <c r="AA26" s="288"/>
      <c r="AB26" s="288"/>
      <c r="AC26" s="288"/>
      <c r="AD26" s="288"/>
      <c r="AE26" s="288"/>
      <c r="AF26" s="288"/>
      <c r="AG26" s="288"/>
      <c r="AH26" s="288"/>
      <c r="AI26" s="288"/>
      <c r="AJ26" s="288"/>
      <c r="AK26" s="288"/>
      <c r="AL26" s="288"/>
      <c r="AM26" s="288"/>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8"/>
      <c r="BK26" s="288"/>
      <c r="BL26" s="288"/>
      <c r="BM26" s="288"/>
      <c r="BN26" s="288"/>
      <c r="BO26" s="288"/>
      <c r="BP26" s="288"/>
      <c r="BQ26" s="215"/>
    </row>
    <row r="27" spans="2:69">
      <c r="B27" s="107" t="s">
        <v>998</v>
      </c>
      <c r="C27" s="93">
        <v>21</v>
      </c>
      <c r="D27" s="92" t="s">
        <v>999</v>
      </c>
      <c r="E27" t="s">
        <v>1000</v>
      </c>
      <c r="F27" t="s">
        <v>206</v>
      </c>
      <c r="G27" t="s">
        <v>206</v>
      </c>
      <c r="H27" t="s">
        <v>206</v>
      </c>
      <c r="I27" t="e" cm="1">
        <f t="array" aca="1" ref="I27" ca="1">TRANSPOSE(_xlfn.SORTBY(_xlfn._xlws.FILTER(IF(Table3[FORMATO]:Table3[COMP_ CAMPO]&lt;&gt;"",Table3[FORMATO]:Table3[COMP_ CAMPO],9999999),Table3[NOME FÍSICO TABELA]="leasing"), _xlfn._xlws.FILTER(Table3[ORDEM], Table3[NOME FÍSICO TABELA]="leasing"), 1))</f>
        <v>#NAME?</v>
      </c>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5"/>
      <c r="BJ27" s="105"/>
      <c r="BK27" s="105"/>
      <c r="BL27" s="105"/>
      <c r="BM27" s="105"/>
      <c r="BN27" s="105"/>
      <c r="BO27" s="105"/>
      <c r="BP27" s="105"/>
      <c r="BQ27" s="108"/>
    </row>
    <row r="28" spans="2:69">
      <c r="B28" s="107" t="s">
        <v>1001</v>
      </c>
      <c r="C28" s="151">
        <v>7</v>
      </c>
      <c r="D28" s="106" t="s">
        <v>999</v>
      </c>
      <c r="E28" s="105" t="s">
        <v>1000</v>
      </c>
      <c r="F28" s="105" t="s">
        <v>206</v>
      </c>
      <c r="G28" s="105" t="s">
        <v>206</v>
      </c>
      <c r="H28" s="105" t="s">
        <v>206</v>
      </c>
      <c r="I28" s="151"/>
      <c r="J28" s="151"/>
      <c r="K28" s="151"/>
      <c r="L28" s="151"/>
      <c r="M28" s="151"/>
      <c r="N28" s="151"/>
      <c r="O28" s="151"/>
      <c r="P28" s="151"/>
      <c r="Q28" s="151"/>
      <c r="R28" s="151"/>
      <c r="S28" s="151"/>
      <c r="T28" s="151"/>
      <c r="U28" s="151"/>
      <c r="V28" s="151"/>
      <c r="W28" s="151"/>
      <c r="X28" s="151"/>
      <c r="Y28" s="151"/>
      <c r="Z28" s="151"/>
      <c r="AA28" s="151"/>
      <c r="AB28" s="151"/>
      <c r="AC28" s="151"/>
      <c r="AD28" s="151"/>
      <c r="AE28" s="151"/>
      <c r="AF28" s="151"/>
      <c r="AG28" s="151"/>
      <c r="AH28" s="151"/>
      <c r="AI28" s="151"/>
      <c r="AJ28" s="151"/>
      <c r="AK28" s="151"/>
      <c r="AL28" s="151"/>
      <c r="AM28" s="151"/>
      <c r="AN28" s="151"/>
      <c r="AO28" s="151"/>
      <c r="AP28" s="151"/>
      <c r="AQ28" s="151"/>
      <c r="AR28" s="151"/>
      <c r="AS28" s="151"/>
      <c r="AT28" s="151"/>
      <c r="AU28" s="151"/>
      <c r="AV28" s="151"/>
      <c r="AW28" s="151"/>
      <c r="AX28" s="151"/>
      <c r="AY28" s="151"/>
      <c r="AZ28" s="151"/>
      <c r="BA28" s="151"/>
      <c r="BB28" s="151"/>
      <c r="BC28" s="151"/>
      <c r="BD28" s="151"/>
      <c r="BE28" s="151"/>
      <c r="BF28" s="151"/>
      <c r="BG28" s="151"/>
      <c r="BH28" s="151"/>
      <c r="BI28" s="151"/>
      <c r="BJ28" s="151"/>
      <c r="BK28" s="151"/>
      <c r="BL28" s="151"/>
      <c r="BM28" s="151"/>
      <c r="BN28" s="151"/>
      <c r="BO28" s="151"/>
      <c r="BP28" s="151"/>
      <c r="BQ28" s="152"/>
    </row>
    <row r="30" spans="2:69">
      <c r="B30" s="140" t="s">
        <v>1002</v>
      </c>
    </row>
    <row r="31" spans="2:69">
      <c r="B31" s="134" t="s">
        <v>1003</v>
      </c>
      <c r="C31" s="134" t="s">
        <v>1004</v>
      </c>
      <c r="D31" s="135" t="s">
        <v>1005</v>
      </c>
      <c r="E31" s="134" t="s">
        <v>1006</v>
      </c>
      <c r="F31" s="134" t="s">
        <v>1007</v>
      </c>
    </row>
    <row r="32" spans="2:69" ht="29">
      <c r="B32" s="111" t="s">
        <v>1111</v>
      </c>
      <c r="C32" s="115" t="s">
        <v>537</v>
      </c>
      <c r="D32" s="53" t="s">
        <v>2065</v>
      </c>
      <c r="E32" s="153" t="s">
        <v>2066</v>
      </c>
      <c r="F32" s="136" t="s">
        <v>1014</v>
      </c>
    </row>
    <row r="33" spans="2:6" ht="29">
      <c r="B33" s="137" t="s">
        <v>1008</v>
      </c>
      <c r="C33" s="138" t="s">
        <v>537</v>
      </c>
      <c r="D33" s="139" t="s">
        <v>2067</v>
      </c>
      <c r="E33" s="97" t="s">
        <v>2068</v>
      </c>
      <c r="F33" s="188" t="s">
        <v>1014</v>
      </c>
    </row>
    <row r="34" spans="2:6" ht="29">
      <c r="B34" s="137" t="s">
        <v>1008</v>
      </c>
      <c r="C34" s="138" t="s">
        <v>1952</v>
      </c>
      <c r="D34" s="139" t="s">
        <v>2067</v>
      </c>
      <c r="E34" s="97" t="s">
        <v>2069</v>
      </c>
      <c r="F34" s="188" t="s">
        <v>1014</v>
      </c>
    </row>
    <row r="35" spans="2:6" ht="29">
      <c r="B35" s="137" t="s">
        <v>1008</v>
      </c>
      <c r="C35" s="138" t="s">
        <v>1955</v>
      </c>
      <c r="D35" s="139" t="s">
        <v>2067</v>
      </c>
      <c r="E35" s="97" t="s">
        <v>2069</v>
      </c>
      <c r="F35" s="188" t="s">
        <v>1014</v>
      </c>
    </row>
    <row r="36" spans="2:6" ht="29">
      <c r="B36" s="137" t="s">
        <v>1008</v>
      </c>
      <c r="C36" s="138" t="s">
        <v>362</v>
      </c>
      <c r="D36" s="139" t="s">
        <v>2067</v>
      </c>
      <c r="E36" s="97" t="s">
        <v>2070</v>
      </c>
      <c r="F36" s="188" t="s">
        <v>1014</v>
      </c>
    </row>
    <row r="37" spans="2:6" ht="29">
      <c r="B37" s="137" t="s">
        <v>1008</v>
      </c>
      <c r="C37" s="138" t="s">
        <v>511</v>
      </c>
      <c r="D37" s="139" t="s">
        <v>2067</v>
      </c>
      <c r="E37" s="97" t="s">
        <v>2071</v>
      </c>
      <c r="F37" s="188" t="s">
        <v>1014</v>
      </c>
    </row>
    <row r="38" spans="2:6" ht="29">
      <c r="B38" s="137" t="s">
        <v>1008</v>
      </c>
      <c r="C38" s="138" t="s">
        <v>513</v>
      </c>
      <c r="D38" s="139" t="s">
        <v>2067</v>
      </c>
      <c r="E38" s="97" t="s">
        <v>2072</v>
      </c>
      <c r="F38" s="188" t="s">
        <v>1014</v>
      </c>
    </row>
    <row r="39" spans="2:6" ht="29">
      <c r="B39" s="137" t="s">
        <v>1008</v>
      </c>
      <c r="C39" s="138" t="s">
        <v>1970</v>
      </c>
      <c r="D39" s="139" t="s">
        <v>2067</v>
      </c>
      <c r="E39" s="97" t="s">
        <v>2073</v>
      </c>
      <c r="F39" s="188" t="s">
        <v>1014</v>
      </c>
    </row>
    <row r="40" spans="2:6" ht="29">
      <c r="B40" s="137" t="s">
        <v>1008</v>
      </c>
      <c r="C40" s="138" t="s">
        <v>546</v>
      </c>
      <c r="D40" s="139" t="s">
        <v>2067</v>
      </c>
      <c r="E40" s="97" t="s">
        <v>2074</v>
      </c>
      <c r="F40" s="188" t="s">
        <v>1014</v>
      </c>
    </row>
    <row r="41" spans="2:6" ht="29">
      <c r="B41" s="137" t="s">
        <v>1008</v>
      </c>
      <c r="C41" s="138" t="s">
        <v>404</v>
      </c>
      <c r="D41" s="139" t="s">
        <v>2067</v>
      </c>
      <c r="E41" s="97" t="s">
        <v>2074</v>
      </c>
      <c r="F41" s="188" t="s">
        <v>1014</v>
      </c>
    </row>
    <row r="42" spans="2:6" ht="43.5">
      <c r="B42" s="137" t="s">
        <v>1008</v>
      </c>
      <c r="C42" s="138" t="s">
        <v>196</v>
      </c>
      <c r="D42" s="139" t="s">
        <v>2075</v>
      </c>
      <c r="E42" s="97" t="s">
        <v>2076</v>
      </c>
      <c r="F42" s="188" t="s">
        <v>1014</v>
      </c>
    </row>
    <row r="43" spans="2:6" ht="72.5">
      <c r="B43" s="137" t="s">
        <v>1018</v>
      </c>
      <c r="C43" s="138" t="s">
        <v>1797</v>
      </c>
      <c r="D43" s="139" t="s">
        <v>2077</v>
      </c>
      <c r="E43" s="97" t="s">
        <v>2078</v>
      </c>
      <c r="F43" s="188" t="s">
        <v>1011</v>
      </c>
    </row>
    <row r="44" spans="2:6" ht="29">
      <c r="B44" s="137" t="s">
        <v>1076</v>
      </c>
      <c r="C44" s="138" t="s">
        <v>1797</v>
      </c>
      <c r="D44" s="139" t="s">
        <v>2079</v>
      </c>
      <c r="E44" s="97" t="s">
        <v>2080</v>
      </c>
      <c r="F44" s="188" t="s">
        <v>1017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4B716AE4-4069-47EB-A553-C42B544B36A1}"/>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033acc51-e3f8-436e-8884-9964a1c8f944"/>
    <ds:schemaRef ds:uri="d684d7fb-4383-4b3c-a3f0-89c54ea9bc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Margarida Moreira Santos</cp:lastModifiedBy>
  <cp:revision/>
  <dcterms:created xsi:type="dcterms:W3CDTF">2023-01-24T18:52:31Z</dcterms:created>
  <dcterms:modified xsi:type="dcterms:W3CDTF">2025-09-03T16:54:40Z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2025-09-03T16:54:40Z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448e7f40-5706-4f3d-a387-2daabfdcbed3</vt:lpwstr>
  </property>
  <property fmtid="{D5CDD505-2E9C-101B-9397-08002B2CF9AE}" pid="12" name="MSIP_Label_3c41c091-3cbc-4dba-8b59-ce62f19500db_ContentBits">
    <vt:lpwstr>1</vt:lpwstr>
  </property>
</Properties>
</file>