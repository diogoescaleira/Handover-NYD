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371" documentId="11_99781EA9493C85964DDD2AB1DADB6A9DF14A63BE" xr6:coauthVersionLast="47" xr6:coauthVersionMax="47" xr10:uidLastSave="{E8B4DA7D-68D4-4DD7-83ED-F7848074B441}"/>
  <bookViews>
    <workbookView xWindow="10" yWindow="0" windowWidth="19180" windowHeight="10200" tabRatio="636" firstSheet="2" activeTab="4"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<sst xmlns="http://schemas.openxmlformats.org/spreadsheetml/2006/main" count="26423" uniqueCount="4218">
  <si>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</si>
  <si>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</si>
  <si>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</si>
  <si>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</si>
  <si>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</si>
  <si>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</si>
  <si>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</si>
  <si>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</si>
  <si>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</si>
  <si>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</si>
  <si>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</si>
  <si>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</si>
  <si>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</si>
  <si>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</si>
  <si>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</si>
  <si>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</si>
  <si>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</si>
  <si>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</si>
  <si>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</si>
  <si>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</si>
  <si>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</si>
  <si>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</si>
  <si>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</si>
  <si>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</si>
  <si>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</si>
  <si>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</si>
  <si>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</si>
  <si>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</si>
  <si>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</si>
  <si>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</si>
  <si>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</si>
  <si>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</si>
  <si>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</si>
  <si>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</si>
  <si>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</si>
  <si>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</si>
  <si>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</si>
  <si>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</si>
  <si>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</si>
  <si>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</si>
  <si>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</si>
  <si>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</si>
  <si>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</si>
  <si>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</si>
  <si>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</si>
  <si>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</si>
  <si>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</si>
  <si>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</si>
  <si>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</si>
  <si>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</si>
  <si>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</si>
  <si>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</si>
  <si>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</si>
  <si>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</si>
  <si>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</si>
  <si>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</si>
  <si>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</si>
  <si>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</si>
  <si>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</si>
  <si>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</si>
  <si>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</si>
  <si>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</si>
  <si>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</si>
  <si>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</si>
  <si>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</si>
  <si>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</si>
  <si>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</si>
  <si>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</si>
  <si>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</si>
  <si>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</si>
  <si>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</si>
  <si>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</si>
  <si>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</si>
  <si>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</si>
  <si>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</si>
  <si>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</si>
  <si>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</si>
  <si>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</si>
  <si>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</si>
  <si>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</si>
  <si>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</si>
  <si>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</si>
  <si>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</si>
  <si>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</si>
  <si>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</si>
  <si>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</si>
  <si>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</si>
  <si>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</si>
  <si>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</si>
  <si>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</si>
  <si>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</si>
  <si>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</si>
  <si>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</si>
  <si>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</si>
  <si>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</si>
  <si>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</si>
  <si>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</si>
  <si>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</si>
  <si>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</si>
  <si>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</si>
  <si>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</si>
  <si>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</si>
  <si>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</si>
  <si>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</si>
  <si>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</si>
  <si>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</si>
  <si>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</si>
  <si>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</si>
  <si>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</si>
  <si>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</si>
  <si>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</si>
  <si>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</si>
  <si>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</si>
  <si>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</si>
  <si>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</si>
  <si>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</si>
  <si>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</si>
  <si>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</si>
  <si>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</si>
  <si>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</si>
  <si>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</si>
  <si>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</si>
  <si>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</si>
  <si>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</si>
  <si>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</si>
  <si>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</si>
  <si>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</si>
  <si>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</si>
  <si>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</si>
  <si>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</si>
  <si>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</si>
  <si>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</si>
  <si>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</si>
  <si>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</si>
  <si>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</si>
  <si>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</si>
  <si>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</si>
  <si>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</si>
  <si>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</si>
  <si>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</si>
  <si>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</si>
  <si>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</si>
  <si>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</si>
  <si>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</si>
  <si>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</si>
  <si>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</si>
  <si>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</si>
  <si>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</si>
  <si>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</si>
  <si>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</si>
  <si>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</si>
  <si>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</si>
  <si>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</si>
  <si>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</si>
  <si>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</si>
  <si>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</si>
  <si>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</si>
  <si>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</si>
  <si>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</si>
  <si>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</si>
  <si>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</si>
  <si>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</si>
  <si>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</si>
  <si>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</si>
  <si>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</si>
  <si>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</si>
  <si>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</si>
  <si>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</si>
  <si>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</si>
  <si>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</si>
  <si>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</si>
  <si>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</si>
  <si>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</si>
  <si>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</si>
  <si>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</si>
  <si>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</si>
  <si>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</si>
  <si>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</si>
  <si>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</si>
  <si>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</si>
  <si>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</si>
  <si>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</si>
  <si>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</si>
  <si>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</si>
  <si>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</si>
  <si>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</si>
  <si>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</si>
  <si>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</si>
  <si>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</si>
  <si>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</si>
  <si>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</si>
  <si>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</si>
  <si>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</si>
  <si>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</si>
  <si>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</si>
  <si>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</si>
  <si>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</si>
  <si>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</si>
  <si>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</si>
  <si>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</si>
  <si>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</si>
  <si>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</si>
  <si>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</si>
  <si>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</si>
  <si>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</si>
  <si>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</si>
  <si>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</si>
  <si>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</si>
  <si>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</si>
  <si>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</si>
  <si>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</si>
  <si>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</si>
  <si>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</si>
  <si>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</si>
  <si>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</si>
  <si>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</si>
  <si>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</si>
  <si>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</si>
  <si>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</si>
  <si>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</si>
  <si>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</si>
  <si>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</si>
  <si>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</si>
  <si>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</si>
  <si>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</si>
  <si>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</si>
  <si>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</si>
  <si>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</si>
  <si>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</si>
  <si>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</si>
  <si>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</si>
  <si>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</si>
  <si>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</si>
  <si>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</si>
  <si>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</si>
  <si>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</si>
  <si>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</si>
  <si>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</si>
  <si>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</si>
  <si>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</si>
  <si>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</si>
  <si>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</si>
  <si>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</si>
  <si>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</si>
  <si>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</si>
  <si>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</si>
  <si>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</si>
  <si>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</si>
  <si>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</si>
  <si>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</si>
  <si>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</si>
  <si>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</si>
  <si>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</si>
  <si>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</si>
  <si>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</si>
  <si>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</si>
  <si>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</si>
  <si>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</si>
  <si>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</si>
  <si>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</si>
  <si>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</si>
  <si>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</si>
  <si>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</si>
  <si>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</si>
  <si>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</si>
  <si>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</si>
  <si>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</si>
  <si>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</si>
  <si>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</si>
  <si>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</si>
  <si>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</si>
  <si>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</si>
  <si>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</si>
  <si>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</si>
  <si>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</si>
  <si>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</si>
  <si>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</si>
  <si>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</si>
  <si>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</si>
  <si>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</si>
  <si>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</si>
  <si>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</si>
  <si>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</si>
  <si>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</si>
  <si>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</si>
  <si>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</si>
  <si>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</si>
  <si>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</si>
  <si>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</si>
  <si>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</si>
  <si>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</si>
  <si>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</si>
  <si>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</si>
  <si>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</si>
  <si>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</si>
  <si>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</si>
  <si>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</si>
  <si>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</si>
  <si>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</si>
  <si>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</si>
  <si>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</si>
  <si>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</si>
  <si>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</si>
  <si>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</si>
  <si>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</si>
  <si>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</si>
  <si>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</si>
  <si>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</si>
  <si>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</si>
  <si>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</si>
  <si>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</si>
  <si>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</si>
  <si>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</si>
  <si>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</si>
  <si>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</si>
  <si>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</si>
  <si>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</si>
  <si>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</si>
  <si>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</si>
  <si>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</si>
  <si>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</si>
  <si>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</si>
  <si>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</si>
  <si>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</si>
  <si>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</si>
  <si>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</si>
  <si>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</si>
  <si>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</si>
  <si>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</si>
  <si>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</si>
  <si>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</si>
  <si>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</si>
  <si>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</si>
  <si>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</si>
  <si>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</si>
  <si>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</si>
  <si>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</si>
  <si>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</si>
  <si>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</si>
  <si>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</si>
  <si>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</si>
  <si>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</si>
  <si>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</si>
  <si>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</si>
  <si>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</si>
  <si>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</si>
  <si>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</si>
  <si>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</si>
  <si>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</si>
  <si>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</si>
  <si>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</si>
  <si>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</si>
  <si>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</si>
  <si>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</si>
  <si>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</si>
  <si>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</si>
  <si>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</si>
  <si>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</si>
  <si>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</si>
  <si>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</si>
  <si>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</si>
  <si>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</si>
  <si>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</si>
  <si>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</si>
  <si>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</si>
  <si>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</si>
  <si>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</si>
  <si>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</si>
  <si>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</si>
  <si>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</si>
  <si>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</si>
  <si>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</si>
  <si>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</si>
  <si>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</si>
  <si>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</si>
  <si>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</si>
  <si>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</si>
  <si>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</si>
  <si>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</si>
  <si>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</si>
  <si>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</si>
  <si>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</si>
  <si>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</si>
  <si>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</si>
  <si>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</si>
  <si>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</si>
  <si>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NULL,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</si>
  <si>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</si>
  <si>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</si>
  <si>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NULL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</si>
  <si>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</si>
  <si>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</si>
  <si>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</si>
  <si>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</si>
  <si>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</si>
  <si>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</si>
  <si>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</si>
  <si>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</si>
  <si>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</si>
  <si>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</si>
  <si>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</si>
  <si>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</si>
  <si>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</si>
  <si>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</si>
  <si>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</si>
  <si>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</si>
  <si>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</si>
  <si>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</si>
  <si>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</si>
  <si>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</si>
  <si>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</si>
  <si>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</si>
  <si>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</si>
  <si>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</si>
  <si>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</si>
  <si>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</si>
  <si>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</si>
  <si>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</si>
  <si>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</si>
  <si>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</si>
  <si>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</si>
  <si>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</si>
  <si>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</si>
  <si>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</si>
  <si>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</si>
  <si>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</si>
  <si>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</si>
  <si>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</si>
  <si>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</si>
  <si>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</si>
  <si>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</si>
  <si>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</si>
  <si>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</si>
  <si>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</si>
  <si>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</si>
  <si>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</si>
  <si>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</si>
  <si>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</si>
  <si>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</si>
  <si>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</si>
  <si>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</si>
  <si>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</si>
  <si>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</si>
  <si>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</si>
  <si>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</si>
  <si>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</si>
  <si>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</si>
  <si>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family val="2"/>
        <scheme val="minor"/>
      </rPr>
      <t xml:space="preserve">SELECT </t>
    </r>
    <r>
      <rPr>
        <sz val="11"/>
        <color rgb="FF000000"/>
        <rFont val="Calibri"/>
        <family val="2"/>
        <scheme val="minor"/>
      </rPr>
      <t xml:space="preserve">CAST( CONTRACTS.STATUSID AS STRING) IF( TRIM( CONTRACTS.STATUSID ) = '', NULL, CONF_GENERAL_CONVERTER.CDM_VALUE )
</t>
    </r>
    <r>
      <rPr>
        <b/>
        <sz val="11"/>
        <color rgb="FF000000"/>
        <rFont val="Calibri"/>
        <family val="2"/>
        <scheme val="minor"/>
      </rPr>
      <t xml:space="preserve">WHERE </t>
    </r>
    <r>
      <rPr>
        <sz val="11"/>
        <color rgb="FF000000"/>
        <rFont val="Calibri"/>
        <family val="2"/>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</si>
  <si>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</si>
  <si>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</si>
  <si>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</si>
  <si>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</si>
  <si>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</si>
  <si>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</si>
  <si>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</si>
  <si>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</si>
  <si>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</si>
  <si>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</si>
  <si>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</si>
  <si>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</si>
  <si>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</si>
  <si>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</si>
  <si>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</si>
  <si>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</si>
  <si>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</si>
  <si>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</si>
  <si>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</si>
  <si>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</si>
  <si>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</si>
  <si>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</si>
  <si>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</si>
  <si>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</si>
  <si>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</si>
  <si>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</si>
  <si>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</si>
  <si>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</si>
  <si>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</si>
  <si>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</si>
  <si>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</si>
  <si>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</si>
  <si>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</si>
  <si>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</si>
  <si>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</si>
  <si>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</si>
  <si>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</si>
  <si>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</si>
  <si>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</si>
  <si>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</si>
  <si>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</si>
  <si>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</si>
  <si>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</si>
  <si>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</si>
  <si>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</si>
  <si>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</si>
  <si>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</si>
  <si>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</si>
  <si>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</si>
  <si>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</si>
  <si>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</si>
  <si>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</si>
  <si>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</si>
  <si>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</si>
  <si>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</si>
  <si>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</si>
  <si>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</si>
  <si>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</si>
  <si>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</si>
  <si>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</si>
  <si>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</si>
  <si>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</si>
  <si>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</si>
  <si>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</si>
  <si>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</si>
  <si>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</si>
  <si>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</si>
  <si>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</si>
  <si>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</si>
  <si>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</si>
  <si>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</si>
  <si>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</si>
  <si>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</si>
  <si>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</si>
  <si>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</si>
  <si>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</si>
  <si>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</si>
  <si>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</si>
  <si>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</si>
  <si>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</si>
  <si>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</si>
  <si>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</si>
  <si>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</si>
  <si>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</si>
  <si>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</si>
  <si>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</si>
  <si>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</si>
  <si>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</si>
  <si>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</si>
  <si>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</si>
  <si>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</si>
  <si>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</si>
  <si>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</si>
  <si>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</si>
  <si>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</si>
  <si>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</si>
  <si>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</si>
  <si>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</si>
  <si>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</si>
  <si>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</si>
  <si>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</si>
  <si>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</si>
  <si>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</si>
  <si>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</si>
  <si>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</si>
  <si>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</si>
  <si>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</si>
  <si>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</si>
  <si>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</si>
  <si>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</si>
  <si>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</si>
  <si>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</si>
  <si>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</si>
  <si>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</si>
  <si>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</si>
  <si>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</si>
  <si>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</si>
  <si>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</si>
  <si>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</si>
  <si>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</si>
  <si>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</si>
  <si>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</si>
  <si>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</si>
  <si>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</si>
  <si>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</si>
  <si>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</si>
  <si>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</si>
  <si>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</si>
  <si>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</si>
  <si>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</si>
  <si>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</si>
  <si>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</si>
  <si>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</si>
  <si>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</si>
  <si>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</si>
  <si>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</si>
  <si>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</si>
  <si>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</si>
  <si>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</si>
  <si>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</si>
  <si>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</si>
  <si>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</si>
  <si>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</si>
  <si>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</si>
  <si>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</si>
  <si>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</si>
  <si>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</si>
  <si>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</si>
  <si>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</si>
  <si>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</si>
  <si>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</si>
  <si>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</si>
  <si>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</si>
  <si>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</si>
  <si>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</si>
  <si>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</si>
  <si>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</si>
  <si>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</si>
  <si>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</si>
  <si>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</si>
  <si>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</si>
  <si>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</si>
  <si>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</si>
  <si>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</si>
  <si>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</si>
  <si>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</si>
  <si>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</si>
  <si>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</si>
  <si>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</si>
  <si>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</si>
  <si>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</si>
  <si>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</si>
  <si>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</si>
  <si>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</si>
  <si>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</si>
  <si>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</si>
  <si>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</si>
  <si>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</si>
  <si>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</si>
  <si>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</si>
  <si>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</si>
  <si>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</si>
  <si>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</si>
  <si>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</si>
  <si>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</si>
  <si>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</si>
  <si>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</si>
  <si>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</si>
  <si>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</si>
  <si>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</si>
  <si>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</si>
  <si>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</si>
  <si>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</si>
  <si>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</si>
  <si>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</si>
  <si>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</si>
  <si>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</si>
  <si>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</si>
  <si>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</si>
  <si>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</si>
  <si>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</si>
  <si>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</si>
  <si>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</si>
  <si>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</si>
  <si>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</si>
  <si>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</si>
  <si>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</si>
  <si>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</si>
  <si>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</si>
  <si>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</si>
  <si>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</si>
  <si>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</si>
  <si>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</si>
  <si>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</si>
  <si>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</si>
  <si>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</si>
  <si>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</si>
  <si>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</si>
  <si>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</si>
  <si>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</si>
  <si>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</si>
  <si>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</si>
  <si>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</si>
  <si>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</si>
  <si>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</si>
  <si>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</si>
  <si>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</si>
  <si>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</si>
  <si>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</si>
  <si>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</si>
  <si>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</si>
  <si>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</si>
  <si>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</si>
  <si>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</si>
  <si>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</si>
  <si>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</si>
  <si>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</si>
  <si>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</si>
  <si>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</si>
  <si>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</si>
  <si>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</si>
  <si>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</si>
  <si>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</si>
  <si>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</si>
  <si>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</si>
  <si>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</si>
  <si>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</si>
  <si>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</si>
  <si>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</si>
  <si>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</si>
  <si>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</si>
  <si>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</si>
  <si>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</si>
  <si>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</si>
  <si>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</si>
  <si>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</si>
  <si>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</si>
  <si>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</si>
  <si>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</si>
  <si>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</si>
  <si>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</si>
  <si>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</si>
  <si>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</si>
  <si>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</si>
  <si>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</si>
  <si>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</si>
  <si>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</si>
  <si>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</si>
  <si>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</si>
  <si>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</si>
  <si>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</si>
  <si>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</si>
  <si>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</si>
  <si>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</si>
  <si>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</si>
  <si>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</si>
  <si>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</si>
  <si>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</si>
  <si>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</si>
  <si>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</si>
  <si>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</si>
  <si>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</si>
  <si>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</si>
  <si>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</si>
  <si>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</si>
  <si>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</si>
  <si>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</si>
  <si>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</si>
  <si>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</si>
  <si>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</si>
  <si>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</si>
  <si>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</si>
  <si>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</si>
  <si>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</si>
  <si>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</si>
  <si>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</si>
  <si>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</si>
  <si>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</si>
  <si>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</si>
  <si>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</si>
  <si>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</si>
  <si>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</si>
  <si>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</si>
  <si>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</si>
  <si>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</si>
  <si>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</si>
  <si>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</si>
  <si>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</si>
  <si>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</si>
  <si>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</si>
  <si>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</si>
  <si>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</si>
  <si>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</si>
  <si>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</si>
  <si>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</si>
  <si>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</si>
  <si>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</si>
  <si>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</si>
  <si>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</si>
  <si>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</si>
  <si>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</si>
  <si>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</si>
  <si>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</si>
  <si>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</si>
  <si>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</si>
  <si>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</si>
  <si>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</si>
  <si>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</si>
  <si>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</si>
  <si>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</si>
  <si>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</si>
  <si>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</si>
  <si>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</si>
  <si>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</si>
  <si>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</si>
  <si>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</si>
  <si>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</si>
  <si>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</si>
  <si>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</si>
  <si>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</si>
  <si>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</si>
  <si>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</si>
  <si>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</si>
  <si>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</si>
  <si>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</si>
  <si>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</si>
  <si>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</si>
  <si>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</si>
  <si>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</si>
  <si>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</si>
  <si>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</si>
  <si>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</si>
  <si>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</si>
  <si>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</si>
  <si>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</si>
  <si>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</si>
  <si>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</si>
  <si>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</si>
  <si>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</si>
  <si>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</si>
  <si>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</si>
  <si>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</si>
  <si>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</si>
  <si>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</si>
  <si>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</si>
  <si>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</si>
  <si>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</si>
  <si>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</si>
  <si>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</si>
  <si>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</si>
  <si>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</si>
  <si>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</si>
  <si>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</si>
  <si>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</si>
  <si>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</si>
  <si>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</si>
  <si>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</si>
  <si>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</si>
  <si>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</si>
  <si>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</si>
  <si>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</si>
  <si>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</si>
  <si>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</si>
  <si>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</si>
  <si>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</si>
  <si>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</si>
  <si>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</si>
  <si>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</si>
  <si>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</si>
  <si>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</si>
  <si>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</si>
  <si>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</si>
  <si>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</si>
  <si>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</si>
  <si>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</si>
  <si>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</si>
  <si>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</si>
  <si>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</si>
  <si>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</si>
  <si>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</si>
  <si>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</si>
  <si>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</si>
  <si>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</si>
  <si>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</si>
  <si>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</si>
  <si>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</si>
  <si>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</si>
  <si>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</si>
  <si>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</si>
  <si>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</si>
  <si>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</si>
  <si>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</si>
  <si>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</si>
  <si>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</si>
  <si>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</si>
  <si>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</si>
  <si>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</si>
  <si>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</si>
  <si>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</si>
  <si>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</si>
  <si>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</si>
  <si>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</si>
  <si>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</si>
  <si>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</si>
  <si>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</si>
  <si>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</si>
  <si>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</si>
  <si>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</si>
  <si>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</si>
  <si>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</si>
  <si>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</si>
  <si>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</si>
  <si>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</si>
  <si>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</si>
  <si>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</si>
  <si>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</si>
  <si>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</si>
  <si>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</si>
  <si>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</si>
  <si>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</si>
  <si>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</si>
  <si>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</si>
  <si>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</si>
  <si>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</si>
  <si>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</si>
  <si>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</si>
  <si>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</si>
  <si>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</si>
  <si>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</si>
  <si>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</si>
  <si>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</si>
  <si>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</si>
  <si>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</si>
  <si>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</si>
  <si>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</si>
  <si>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</si>
  <si>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</si>
  <si>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</si>
  <si>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</si>
  <si>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</si>
  <si>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</si>
  <si>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</si>
  <si>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</si>
  <si>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</si>
  <si>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</si>
  <si>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</si>
  <si>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</si>
  <si>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</si>
  <si>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</si>
  <si>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</si>
  <si>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</si>
  <si>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</si>
  <si>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</si>
  <si>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</si>
  <si>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</si>
  <si>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</si>
  <si>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</si>
  <si>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</si>
  <si>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</si>
  <si>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</si>
  <si>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</si>
  <si>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</si>
  <si>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</si>
  <si>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</si>
  <si>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</si>
  <si>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</si>
  <si>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</si>
  <si>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</si>
  <si>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</si>
  <si>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</si>
  <si>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</si>
  <si>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</si>
  <si>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</si>
  <si>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</si>
  <si>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</si>
  <si>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</si>
  <si>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</si>
  <si>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</si>
  <si>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</si>
  <si>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</si>
  <si>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</si>
  <si>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</si>
  <si>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</si>
  <si>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</si>
  <si>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</si>
  <si>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</si>
  <si>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</si>
  <si>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</si>
  <si>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</si>
  <si>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</si>
  <si>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</si>
  <si>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</si>
  <si>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</si>
  <si>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</si>
  <si>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</si>
  <si>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</si>
  <si>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</si>
  <si>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</si>
  <si>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</si>
  <si>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</si>
  <si>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</si>
  <si>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</si>
  <si>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</si>
  <si>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</si>
  <si>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</si>
  <si>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</si>
  <si>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</si>
  <si>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</si>
  <si>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</si>
  <si>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</si>
  <si>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</si>
  <si>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</si>
  <si>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</si>
  <si>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</si>
  <si>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</si>
  <si>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</si>
  <si>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</si>
  <si>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</si>
  <si>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</si>
  <si>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</si>
  <si>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</si>
  <si>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</si>
  <si>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</si>
  <si>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</si>
  <si>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</si>
  <si>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</si>
  <si>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</si>
  <si>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</si>
  <si>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</si>
  <si>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</si>
  <si>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</si>
  <si>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</si>
  <si>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</si>
  <si>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</si>
  <si>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</si>
  <si>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</si>
  <si>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</si>
  <si>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</si>
  <si>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</si>
  <si>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</si>
  <si>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</si>
  <si>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</si>
  <si>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</si>
  <si>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</si>
  <si>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</si>
  <si>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</si>
  <si>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</si>
  <si>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</si>
  <si>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CBALCAO, CNUMECTA, ZDEPOSIT</t>
  </si>
  <si>
    <r>
      <rPr>
        <b/>
        <sz val="11"/>
        <color rgb="FF000000"/>
        <rFont val="Calibri"/>
        <family val="2"/>
        <scheme val="minor"/>
      </rPr>
      <t xml:space="preserve">SELECT </t>
    </r>
    <r>
      <rPr>
        <sz val="11"/>
        <color rgb="FF000000"/>
        <rFont val="Calibri"/>
        <family val="2"/>
        <scheme val="minor"/>
      </rPr>
      <t xml:space="preserve">CONCAT( CL001_INTERV_CTO.CBALCAO, CL001_INTERV_CTO.CNUMECTA, CL001_INTERV_CTO.ZDEPOSIT )
</t>
    </r>
    <r>
      <rPr>
        <b/>
        <sz val="11"/>
        <color rgb="FF000000"/>
        <rFont val="Calibri"/>
        <family val="2"/>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</si>
  <si>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</si>
  <si>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</si>
  <si>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</si>
  <si>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</si>
  <si>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</si>
  <si>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</si>
  <si>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</si>
  <si>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</si>
  <si>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</si>
  <si>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</si>
  <si>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</si>
  <si>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</si>
  <si>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</si>
  <si>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</si>
  <si>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</si>
  <si>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</si>
  <si>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</si>
  <si>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</si>
  <si>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</si>
  <si>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</si>
  <si>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</si>
  <si>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</si>
  <si>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</si>
  <si>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</si>
  <si>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</si>
  <si>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</si>
  <si>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</si>
  <si>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</si>
  <si>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</si>
  <si>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</si>
  <si>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</si>
  <si>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</si>
  <si>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</si>
  <si>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</si>
  <si>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</si>
  <si>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</si>
  <si>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</si>
  <si>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</si>
  <si>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</si>
  <si>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</si>
  <si>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</si>
  <si>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</si>
  <si>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</si>
  <si>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</si>
  <si>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</si>
  <si>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</si>
  <si>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</si>
  <si>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</si>
  <si>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</si>
  <si>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</si>
  <si>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</si>
  <si>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</si>
  <si>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</si>
  <si>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</si>
  <si>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</si>
  <si>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</si>
  <si>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</si>
  <si>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</si>
  <si>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</si>
  <si>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</si>
  <si>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</si>
  <si>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</si>
  <si>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</si>
  <si>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</si>
  <si>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</si>
  <si>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</si>
  <si>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</si>
  <si>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</si>
  <si>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</si>
  <si>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</si>
  <si>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</si>
  <si>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</si>
  <si>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</si>
  <si>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</si>
  <si>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</si>
  <si>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</si>
  <si>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</si>
  <si>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</si>
  <si>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</si>
  <si>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</si>
  <si>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</si>
  <si>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</si>
  <si>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</si>
  <si>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</si>
  <si>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</si>
  <si>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</si>
  <si>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</si>
  <si>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</si>
  <si>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</si>
  <si>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</si>
  <si>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</si>
  <si>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</si>
  <si>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</si>
  <si>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</si>
  <si>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</si>
  <si>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</si>
  <si>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</si>
  <si>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</si>
  <si>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</si>
  <si>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</si>
  <si>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</si>
  <si>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family val="2"/>
        <scheme val="minor"/>
      </rPr>
      <t xml:space="preserve">SELECT </t>
    </r>
    <r>
      <rPr>
        <sz val="11"/>
        <color rgb="FF000000"/>
        <rFont val="Calibri"/>
        <family val="2"/>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</si>
  <si>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</si>
  <si>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</si>
  <si>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</si>
  <si>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</si>
  <si>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</si>
  <si>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</si>
  <si>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</si>
  <si>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</si>
  <si>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</si>
  <si>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</si>
  <si>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</si>
  <si>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</si>
  <si>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</si>
  <si>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</si>
  <si>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</si>
  <si>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</si>
  <si>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</si>
  <si>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</si>
  <si>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</si>
  <si>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</si>
  <si>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</si>
  <si>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</si>
  <si>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</si>
  <si>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</si>
  <si>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</si>
  <si>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</si>
  <si>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</si>
  <si>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</si>
  <si>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</si>
  <si>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</si>
  <si>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</si>
  <si>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</si>
  <si>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</si>
  <si>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family val="2"/>
        <scheme val="minor"/>
      </rPr>
      <t>SELECT</t>
    </r>
    <r>
      <rPr>
        <sz val="11"/>
        <color rgb="FF000000"/>
        <rFont val="Calibri"/>
        <family val="2"/>
        <scheme val="minor"/>
      </rPr>
      <t xml:space="preserve"> 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</si>
  <si>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</si>
  <si>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</si>
  <si>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</si>
  <si>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family val="2"/>
        <scheme val="minor"/>
      </rPr>
      <t>SELECT</t>
    </r>
    <r>
      <rPr>
        <sz val="11"/>
        <color rgb="FF000000"/>
        <rFont val="Calibri"/>
        <family val="2"/>
        <scheme val="minor"/>
      </rPr>
      <t xml:space="preserve"> 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</si>
  <si>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</si>
  <si>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</si>
  <si>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</si>
  <si>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</si>
  <si>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</si>
  <si>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</si>
  <si>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</si>
  <si>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</si>
  <si>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</si>
  <si>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</si>
  <si>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</si>
  <si>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</si>
  <si>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</si>
  <si>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</si>
  <si>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</si>
  <si>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</si>
  <si>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</si>
  <si>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</si>
  <si>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</si>
  <si>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</si>
  <si>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</si>
  <si>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</si>
  <si>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</si>
  <si>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</si>
  <si>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</si>
  <si>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</si>
  <si>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family val="2"/>
        <scheme val="minor"/>
      </rPr>
      <t>SELECT</t>
    </r>
    <r>
      <rPr>
        <sz val="11"/>
        <color rgb="FF000000"/>
        <rFont val="Calibri"/>
        <family val="2"/>
        <scheme val="minor"/>
      </rPr>
      <t xml:space="preserve"> 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</si>
  <si>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</si>
  <si>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</si>
  <si>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</si>
  <si>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</si>
  <si>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</si>
  <si>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</si>
  <si>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</si>
  <si>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</si>
  <si>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</si>
  <si>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</si>
  <si>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</si>
  <si>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</si>
  <si>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</si>
  <si>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</si>
  <si>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</si>
  <si>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</si>
  <si>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</si>
  <si>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</si>
  <si>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 'P', LPAD( CRT63_ADESECL.ZPLANO, 3, '0' ), '0001'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CONCAT( TCT09_OPERN.CKBALCAO, TCT09_OPERN.CKNUMCTA, '000000000000000'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</si>
  <si>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</si>
  <si>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</si>
  <si>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</si>
  <si>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</si>
  <si>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</si>
  <si>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</si>
  <si>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</si>
  <si>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</si>
  <si>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family val="2"/>
        <scheme val="minor"/>
      </rPr>
      <t xml:space="preserve">SELECT </t>
    </r>
    <r>
      <rPr>
        <sz val="11"/>
        <color rgb="FF000000"/>
        <rFont val="Calibri"/>
        <family val="2"/>
        <scheme val="minor"/>
      </rPr>
      <t xml:space="preserve">IF( TRIM( CRT50_TBPARBIN.CRT50DL_CKPRODUT ) = '', NULL, CRT50_TBPARBIN.CRT50DL_CKPRODUT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CRT50_TBPARBIN.CRT50DL_CKPRODUT ) = '', NULL, CRT50_TBPARBIN.CRT50DL_CKPRODUT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INTERFACE_DCT01.DCYR8101_CKPRODUT ) = '', NULL,  INTERFACE_DCT01.DCYR8101_CKPRODUT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TCT09_OPERN.CKPRODUT ) = '', NULL, TCT09_OPERN.CKPRODUT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</si>
  <si>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</si>
  <si>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</si>
  <si>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</si>
  <si>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</si>
  <si>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</si>
  <si>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family val="2"/>
        <scheme val="minor"/>
      </rPr>
      <t xml:space="preserve">SELECT </t>
    </r>
    <r>
      <rPr>
        <sz val="11"/>
        <color rgb="FF000000"/>
        <rFont val="Calibri"/>
        <family val="2"/>
        <scheme val="minor"/>
      </rPr>
      <t xml:space="preserve">IF( TRIM( CRT50_TBPARBIN.CRT50DL_CKSUBPRO ) = '', NULL, CRT50_TBPARBIN.CRT50DL_CKSUBPRO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CRT50_TBPARBIN.CRT50DL_CKSUBPRO ) = '', NULL, CRT50_TBPARBIN.CRT50DL_CKSUBPRO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TCT09_OPERN.CKSUBPRO ) = '', NULL, TCT09_OPERN.CKSUBPRO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</si>
  <si>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</si>
  <si>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</si>
  <si>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</si>
  <si>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</si>
  <si>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</si>
  <si>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</si>
  <si>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</si>
  <si>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</si>
  <si>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CONCAT( TCT09_OPERN.CKBALDO, tct09.CKCTADO ) ) = '', NULL, CONCAT( TCT09_OPERN.CKBALDO, TCT09_OPERN.CKCTADO, '000000000000000'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</si>
  <si>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</si>
  <si>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</si>
  <si>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</si>
  <si>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</si>
  <si>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</si>
  <si>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</si>
  <si>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</si>
  <si>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</si>
  <si>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</si>
  <si>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crt07.CKNUMCTA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</si>
  <si>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</si>
  <si>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</si>
  <si>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</si>
  <si>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family val="2"/>
        <scheme val="minor"/>
      </rPr>
      <t xml:space="preserve">SELECT </t>
    </r>
    <r>
      <rPr>
        <sz val="11"/>
        <color rgb="FF000000"/>
        <rFont val="Calibri"/>
        <family val="2"/>
        <scheme val="minor"/>
      </rPr>
      <t xml:space="preserve">IF( TRIM( CRT63_ADESECL.DTINTENC ) = '', NULL, CAST( CRT63_ADESECL.DTINTENC AS STRING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TCT09_OPERN.DCONTRAT ) = '', NULL, TCT09_OPERN.DCONTRAT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</si>
  <si>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</si>
  <si>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</si>
  <si>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</si>
  <si>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family val="2"/>
        <scheme val="minor"/>
      </rPr>
      <t xml:space="preserve">SELECT </t>
    </r>
    <r>
      <rPr>
        <sz val="11"/>
        <color rgb="FF000000"/>
        <rFont val="Calibri"/>
        <family val="2"/>
        <scheme val="minor"/>
      </rPr>
      <t xml:space="preserve">CAST( ADD_MONTHS( CRT63_ADESECL.DTCRIA , CRT63_ADESECL.ZTOTPREST ) AS STRING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'9999-12-31',
    IF( TRIM( TCT09_OPERN.DVENCIM) = '', 
        NULL,
        CAST( TCT09_OPERN.DVENCIM AS STRING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INTERFACE_DCT01.DCYR8100_DTVENCIM ) = '', NULL, CAST( INTERFACE_DCT01.DCYR8100_DTVENCIM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TCT09_OPERN.DVENCIM ) = '', NULL, TCT09_OPERN.DVENCIM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</si>
  <si>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</si>
  <si>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</si>
  <si>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</si>
  <si>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</si>
  <si>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</si>
  <si>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</si>
  <si>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</si>
  <si>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</si>
  <si>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family val="2"/>
        <scheme val="minor"/>
      </rPr>
      <t xml:space="preserve">SELECT </t>
    </r>
    <r>
      <rPr>
        <sz val="11"/>
        <color rgb="FF000000"/>
        <rFont val="Calibri"/>
        <family val="2"/>
        <scheme val="minor"/>
      </rPr>
      <t xml:space="preserve">IF( TRIM( CRT07_TBCTATAR.CLAMONEUR ) = '', NULL, CRT07_TBCTATAR.CLAMONEUR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CRT07_TBCTATAR.CLAMONEUR ) = '', NULL, CRT07_TBCTATAR.CLAMONEUR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TAT91_TABELAS.TAYD91C0_CELEMTAB ) = '', NULL, TAT91_TABELAS.TAYD91C0_CELEMTAB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</si>
  <si>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</si>
  <si>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</si>
  <si>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</si>
  <si>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 '0', '1'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</si>
  <si>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</si>
  <si>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</si>
  <si>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</si>
  <si>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</si>
  <si>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</si>
  <si>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</si>
  <si>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</si>
  <si>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</si>
  <si>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</si>
  <si>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TRIM( CRT07_TBCTATAR.FORPAGO ) = '', NULL, CRT07_TBCTATAR.FORPAGO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</si>
  <si>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</si>
  <si>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</si>
  <si>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</si>
  <si>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</si>
  <si>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</si>
  <si>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</si>
  <si>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</si>
  <si>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</si>
  <si>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SELECT</t>
    </r>
    <r>
      <rPr>
        <sz val="11"/>
        <color rgb="FF000000"/>
        <rFont val="Calibri"/>
        <family val="2"/>
        <scheme val="minor"/>
      </rPr>
      <t xml:space="preserve"> IF( CRT07_TBCTATAR.FORPAGO = 2,
    CAST( CAST( CRT07_TBCTATAR.IMPFPAGOA AS DECIMAL( 23, 6 ) ) AS STRING ),
    CAST( CAST(0.00 AS DECIMAL( 23, 6 ) ) AS STRING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</si>
  <si>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</si>
  <si>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</si>
  <si>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</si>
  <si>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</si>
  <si>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</si>
  <si>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</si>
  <si>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</si>
  <si>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</si>
  <si>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</si>
  <si>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</si>
  <si>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</si>
  <si>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family val="2"/>
        <scheme val="minor"/>
      </rPr>
      <t xml:space="preserve">SELECT </t>
    </r>
    <r>
      <rPr>
        <sz val="11"/>
        <color rgb="FF000000"/>
        <rFont val="Calibri"/>
        <family val="2"/>
        <scheme val="minor"/>
      </rPr>
      <t xml:space="preserve">CAST( CRT63_ADESECL.ZTOTPREST AS STRING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</si>
  <si>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</si>
  <si>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</si>
  <si>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</si>
  <si>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</si>
  <si>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</si>
  <si>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</si>
  <si>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</si>
  <si>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family val="2"/>
        <scheme val="minor"/>
      </rPr>
      <t xml:space="preserve">SELECT  </t>
    </r>
    <r>
      <rPr>
        <sz val="11"/>
        <color rgb="FF000000"/>
        <rFont val="Calibri"/>
        <family val="2"/>
        <scheme val="minor"/>
      </rPr>
      <t xml:space="preserve">CAST( CRT63_ADESECL.MTRANSF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CRT07_TBCTATAR.LIMCRECTA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</si>
  <si>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</si>
  <si>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</si>
  <si>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</si>
  <si>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</si>
  <si>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</si>
  <si>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</si>
  <si>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</si>
  <si>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family val="2"/>
        <scheme val="minor"/>
      </rPr>
      <t xml:space="preserve">SELECT </t>
    </r>
    <r>
      <rPr>
        <sz val="11"/>
        <color rgb="FF000000"/>
        <rFont val="Calibri"/>
        <family val="2"/>
        <scheme val="minor"/>
      </rPr>
      <t xml:space="preserve">CAST( 0.00 AS DECIMAL( 23,6 )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CAST( - CARTEIRAS.ICYR0N00_MONTANTE AS DECIMAL( 23, 6 )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</si>
  <si>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</si>
  <si>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</si>
  <si>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</si>
  <si>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</si>
  <si>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</si>
  <si>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</si>
  <si>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</si>
  <si>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</si>
  <si>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</si>
  <si>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family val="2"/>
        <scheme val="minor"/>
      </rPr>
      <t xml:space="preserve">SELECT </t>
    </r>
    <r>
      <rPr>
        <sz val="11"/>
        <color rgb="FF000000"/>
        <rFont val="Calibri"/>
        <family val="2"/>
        <scheme val="minor"/>
      </rPr>
      <t xml:space="preserve">IF( CRT73_PRESTECL.MCAPPEND IS NOT NULL,
    CAST( CRT73_PRESTECL.MCAPPEND + CRT73_PRESTECL.MISELO + CRT73_PRESTECL.MJUROS AS DECIMAL( 23, 6 ) ),
    CAST( 0.00 AS DECIMAL( 23, 6 )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 ZPREST )
    AND SUM( CRT73_PRESTECL.MISELO  ) AND SUM( CRT73_PRESTECL.MJUROS )
</t>
    </r>
    <r>
      <rPr>
        <b/>
        <sz val="11"/>
        <color rgb="FF000000"/>
        <rFont val="Calibri"/>
        <family val="2"/>
        <scheme val="minor"/>
      </rPr>
      <t xml:space="preserve">SELECT </t>
    </r>
    <r>
      <rPr>
        <sz val="11"/>
        <color rgb="FF000000"/>
        <rFont val="Calibri"/>
        <family val="2"/>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</si>
  <si>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</si>
  <si>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</si>
  <si>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</si>
  <si>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</si>
  <si>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</si>
  <si>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family val="2"/>
        <scheme val="minor"/>
      </rPr>
      <t xml:space="preserve">SELECT </t>
    </r>
    <r>
      <rPr>
        <sz val="11"/>
        <color rgb="FF000000"/>
        <rFont val="Calibri"/>
        <family val="2"/>
        <scheme val="minor"/>
      </rPr>
      <t xml:space="preserve">IF( CRT73_PRESTECL.MCAPPEND IS NOT NULL,
    CAST( CRT73_PRESTECL.MCAPPEND AS DECIMAL( 23, 6 ) ),
    CAST( 0.00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IF( TCT09_OPERN.CKBALCAO IS NULL,
    CAST( NULL AS DECIMAL( 23, 6)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</si>
  <si>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</si>
  <si>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</si>
  <si>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</si>
  <si>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</si>
  <si>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</si>
  <si>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</si>
  <si>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IF( CRT14_TBMOROSO.CAPITALACT IS NULL,
        CAST( 0.00 AS DECIMAL( 23, 6 ) ),
        CAST( CRT14_TBMOROSO.CAPITALACT AS DECIMAL( 23, 6 ) ) ),
    CAST( 0.00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family val="2"/>
        <scheme val="minor"/>
      </rPr>
      <t xml:space="preserve">SELECT </t>
    </r>
    <r>
      <rPr>
        <sz val="11"/>
        <color rgb="FF000000"/>
        <rFont val="Calibri"/>
        <family val="2"/>
        <scheme val="minor"/>
      </rPr>
      <t xml:space="preserve">CAST( - INTERFACE_DCT01.DCYR8101_MSALDO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</si>
  <si>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</si>
  <si>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</si>
  <si>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</si>
  <si>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</si>
  <si>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TCT01_POSDIVID.MCAPITALD AS DECIMAL( 23, 6 ) )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</si>
  <si>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</si>
  <si>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</si>
  <si>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</si>
  <si>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</si>
  <si>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</si>
  <si>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</si>
  <si>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</si>
  <si>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</si>
  <si>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</si>
  <si>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</si>
  <si>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</si>
  <si>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</si>
  <si>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</si>
  <si>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</si>
  <si>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family val="2"/>
        <scheme val="minor"/>
      </rPr>
      <t xml:space="preserve">SELECT </t>
    </r>
    <r>
      <rPr>
        <sz val="11"/>
        <color rgb="FF000000"/>
        <rFont val="Calibri"/>
        <family val="2"/>
        <scheme val="minor"/>
      </rPr>
      <t xml:space="preserve">CAST( CRT73_PRESTECL.MCAP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 'A' AND MIN( CRT73_PRESTECL.ZPREST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</si>
  <si>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</si>
  <si>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</si>
  <si>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</si>
  <si>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</si>
  <si>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</si>
  <si>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</si>
  <si>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</si>
  <si>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family val="2"/>
        <scheme val="minor"/>
      </rPr>
      <t xml:space="preserve">SELECT </t>
    </r>
    <r>
      <rPr>
        <sz val="11"/>
        <color rgb="FF000000"/>
        <rFont val="Calibri"/>
        <family val="2"/>
        <scheme val="minor"/>
      </rPr>
      <t xml:space="preserve">IF( TRIM( CRT73_PRESTECL.DTENVIO ) = '', NULL, CAST( CRT73_PRESTECL.DTENVIO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</si>
  <si>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</si>
  <si>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</si>
  <si>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</si>
  <si>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</si>
  <si>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</si>
  <si>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family val="2"/>
        <scheme val="minor"/>
      </rPr>
      <t xml:space="preserve">SELECT </t>
    </r>
    <r>
      <rPr>
        <sz val="11"/>
        <color rgb="FF000000"/>
        <rFont val="Calibri"/>
        <family val="2"/>
        <scheme val="minor"/>
      </rPr>
      <t xml:space="preserve">CAST( CRT73_PRESTECL.MCAP AS DECIMAL( 23, 6 )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</si>
  <si>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</si>
  <si>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</si>
  <si>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</si>
  <si>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</si>
  <si>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</si>
  <si>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SELECT</t>
    </r>
    <r>
      <rPr>
        <sz val="11"/>
        <color rgb="FF000000"/>
        <rFont val="Calibri"/>
        <family val="2"/>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</si>
  <si>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</si>
  <si>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</si>
  <si>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</si>
  <si>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</si>
  <si>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</si>
  <si>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</si>
  <si>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</si>
  <si>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CONCAT( CRT44_TBTIPFAC.SIGNO, CRT12_TBMOVEXT_NEW.IMPFAC )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</si>
  <si>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</si>
  <si>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</si>
  <si>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</si>
  <si>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</si>
  <si>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family val="2"/>
        <scheme val="minor"/>
      </rPr>
      <t xml:space="preserve">SELECT </t>
    </r>
    <r>
      <rPr>
        <sz val="11"/>
        <color rgb="FF000000"/>
        <rFont val="Calibri"/>
        <family val="2"/>
        <scheme val="minor"/>
      </rPr>
      <t xml:space="preserve">IF( TRIM( CRT73_PRESTECL.DTENVIO ) = '', NULL, CAST( CRT73_PRESTECL.DTENVIO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</si>
  <si>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</si>
  <si>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</si>
  <si>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</si>
  <si>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</si>
  <si>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</si>
  <si>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</si>
  <si>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family val="2"/>
        <scheme val="minor"/>
      </rPr>
      <t xml:space="preserve">SELECT </t>
    </r>
    <r>
      <rPr>
        <sz val="11"/>
        <color rgb="FF000000"/>
        <rFont val="Calibri"/>
        <family val="2"/>
        <scheme val="minor"/>
      </rPr>
      <t xml:space="preserve">IF( TRIM( CRT73_PRESTECL.MCAP ) = '', NULL, CAST( CRT73_PRESTECL.MCAP AS STRING )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CAST( CONCAT( CRT44_TBTIPFAC.SIGNO, CRT12_TBMOVEXT_NEW.IMPFAC ) AS DECIMAL( 23, 6 ) ) AS STRING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</si>
  <si>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</si>
  <si>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</si>
  <si>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</si>
  <si>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</si>
  <si>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</si>
  <si>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family val="2"/>
        <scheme val="minor"/>
      </rPr>
      <t xml:space="preserve">SELECT </t>
    </r>
    <r>
      <rPr>
        <sz val="11"/>
        <color rgb="FF000000"/>
        <rFont val="Calibri"/>
        <family val="2"/>
        <scheme val="minor"/>
      </rPr>
      <t xml:space="preserve">CAST( CRT73_PRESTECL.ZPREST AS STRING )
</t>
    </r>
    <r>
      <rPr>
        <b/>
        <sz val="11"/>
        <color rgb="FF000000"/>
        <rFont val="Calibri"/>
        <family val="2"/>
        <scheme val="minor"/>
      </rPr>
      <t xml:space="preserve">WHERE </t>
    </r>
    <r>
      <rPr>
        <sz val="11"/>
        <color rgb="FF000000"/>
        <rFont val="Calibri"/>
        <family val="2"/>
        <scheme val="minor"/>
      </rPr>
      <t xml:space="preserve">CRT63_ADESECL.CESTADO = 'C'
    AND CRT73_PRESTECL.CESTADO IN ( 'P', 'E', 'L' ) AND MAX( CRT73_PRESTECL.ZPREST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</si>
  <si>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</si>
  <si>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</si>
  <si>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</si>
  <si>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</si>
  <si>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</si>
  <si>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family val="2"/>
        <scheme val="minor"/>
      </rPr>
      <t xml:space="preserve">SELECT </t>
    </r>
    <r>
      <rPr>
        <sz val="11"/>
        <color rgb="FF000000"/>
        <rFont val="Calibri"/>
        <family val="2"/>
        <scheme val="minor"/>
      </rPr>
      <t xml:space="preserve">'FIX'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'FIX'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</si>
  <si>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</si>
  <si>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</si>
  <si>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</si>
  <si>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</si>
  <si>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</si>
  <si>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</si>
  <si>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</si>
  <si>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family val="2"/>
        <scheme val="minor"/>
      </rPr>
      <t xml:space="preserve">SELECT </t>
    </r>
    <r>
      <rPr>
        <sz val="11"/>
        <color rgb="FF000000"/>
        <rFont val="Calibri"/>
        <family val="2"/>
        <scheme val="minor"/>
      </rPr>
      <t xml:space="preserve">CAST( CRT63_ADESECL.TAXA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CRT07_TBCTATAR.TAN AS DECIMAL( 23, 6 ) )
</t>
    </r>
    <r>
      <rPr>
        <b/>
        <sz val="11"/>
        <color rgb="FF000000"/>
        <rFont val="Calibri"/>
        <family val="2"/>
        <scheme val="minor"/>
      </rPr>
      <t>WHERE</t>
    </r>
    <r>
      <rPr>
        <sz val="11"/>
        <color rgb="FF000000"/>
        <rFont val="Calibri"/>
        <family val="2"/>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</si>
  <si>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</si>
  <si>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</si>
  <si>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</si>
  <si>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</si>
  <si>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</si>
  <si>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family val="2"/>
        <scheme val="minor"/>
      </rPr>
      <t xml:space="preserve">SELECT </t>
    </r>
    <r>
      <rPr>
        <sz val="11"/>
        <color rgb="FF000000"/>
        <rFont val="Calibri"/>
        <family val="2"/>
        <scheme val="minor"/>
      </rPr>
      <t xml:space="preserve">CAST( CRT63_ADESECL.TAXA AS DECIMAL( 23, 6 ) )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CAST( CRT07_TBCTATAR.TAN AS DECIMAL( 23, 6 )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</si>
  <si>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</si>
  <si>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</si>
  <si>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</si>
  <si>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</si>
  <si>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</si>
  <si>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</si>
  <si>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</si>
  <si>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</si>
  <si>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family val="2"/>
        <scheme val="minor"/>
      </rPr>
      <t xml:space="preserve">SELECT </t>
    </r>
    <r>
      <rPr>
        <sz val="11"/>
        <color rgb="FF000000"/>
        <rFont val="Calibri"/>
        <family val="2"/>
        <scheme val="minor"/>
      </rPr>
      <t xml:space="preserve">IF( TRIM( CRT63_ADESECL.CESTADO ) = '', NULL, 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family val="2"/>
        <scheme val="minor"/>
      </rPr>
      <t xml:space="preserve">SELECT </t>
    </r>
    <r>
      <rPr>
        <sz val="11"/>
        <color rgb="FF000000"/>
        <rFont val="Calibri"/>
        <family val="2"/>
        <scheme val="minor"/>
      </rPr>
      <t xml:space="preserve">IF( TRIM( TCT09_OPERN.ISITUAC ) = '', NULL, CONF_GENERAL_CODE_CONVERTER.CDM_VALUE)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</si>
  <si>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</si>
  <si>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</si>
  <si>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</si>
  <si>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</si>
  <si>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</si>
  <si>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family val="2"/>
        <scheme val="minor"/>
      </rPr>
      <t xml:space="preserve">SELECT IF (TRIM( CASE
    </t>
    </r>
    <r>
      <rPr>
        <b/>
        <sz val="11"/>
        <color rgb="FF000000"/>
        <rFont val="Calibri"/>
        <family val="2"/>
        <scheme val="minor"/>
      </rPr>
      <t xml:space="preserve">WHEN </t>
    </r>
    <r>
      <rPr>
        <sz val="11"/>
        <color rgb="FF000000"/>
        <rFont val="Calibri"/>
        <family val="2"/>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family val="2"/>
        <scheme val="minor"/>
      </rPr>
      <t xml:space="preserve">WHERE </t>
    </r>
    <r>
      <rPr>
        <sz val="11"/>
        <color rgb="FF000000"/>
        <rFont val="Calibri"/>
        <family val="2"/>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family val="2"/>
        <scheme val="minor"/>
      </rPr>
      <t xml:space="preserve">SELECT </t>
    </r>
    <r>
      <rPr>
        <sz val="11"/>
        <color rgb="FF000000"/>
        <rFont val="Calibri"/>
        <family val="2"/>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</si>
  <si>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</si>
  <si>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</si>
  <si>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</si>
  <si>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</si>
  <si>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</si>
  <si>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IF( TCT09_OPERN.CKBALCAO IS NULL, 'CR',  'TC' )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</si>
  <si>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</si>
  <si>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</si>
  <si>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</si>
  <si>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</si>
  <si>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</si>
  <si>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</si>
  <si>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</si>
  <si>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</si>
  <si>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</si>
  <si>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</si>
  <si>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</si>
  <si>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</si>
  <si>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</si>
  <si>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</si>
  <si>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family val="2"/>
        <scheme val="minor"/>
      </rPr>
      <t xml:space="preserve">SELECT </t>
    </r>
    <r>
      <rPr>
        <sz val="11"/>
        <color rgb="FF000000"/>
        <rFont val="Calibri"/>
        <family val="2"/>
        <scheme val="minor"/>
      </rPr>
      <t xml:space="preserve">IF( TRIM( INTERFACE_DCT01.DCYR_8101_CFAMILIA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</si>
  <si>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</si>
  <si>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</si>
  <si>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</si>
  <si>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</si>
  <si>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family val="2"/>
        <scheme val="minor"/>
      </rPr>
      <t xml:space="preserve">SELECT </t>
    </r>
    <r>
      <rPr>
        <sz val="11"/>
        <color rgb="FF000000"/>
        <rFont val="Calibri"/>
        <family val="2"/>
        <scheme val="minor"/>
      </rPr>
      <t xml:space="preserve">IF( TRIM( INTERFACE_DCT01.DCYR8101_CKPRODUT ) = '', NULL, INTERFACE_DCT01.DCYR8101_CKPRODUT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</si>
  <si>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</si>
  <si>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</si>
  <si>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</si>
  <si>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</si>
  <si>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family val="2"/>
        <scheme val="minor"/>
      </rPr>
      <t xml:space="preserve">SELECT </t>
    </r>
    <r>
      <rPr>
        <sz val="11"/>
        <color rgb="FF000000"/>
        <rFont val="Calibri"/>
        <family val="2"/>
        <scheme val="minor"/>
      </rPr>
      <t xml:space="preserve">IF( TRIM(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</si>
  <si>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</si>
  <si>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family val="2"/>
        <scheme val="minor"/>
      </rPr>
      <t xml:space="preserve">SELECT </t>
    </r>
    <r>
      <rPr>
        <sz val="11"/>
        <color rgb="FF000000"/>
        <rFont val="Calibri"/>
        <family val="2"/>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</si>
  <si>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</si>
  <si>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</si>
  <si>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</si>
  <si>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</si>
  <si>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</si>
  <si>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</si>
  <si>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r>
      <rPr>
        <b/>
        <sz val="11"/>
        <color rgb="FF000000"/>
        <rFont val="Calibri"/>
        <family val="2"/>
        <scheme val="minor"/>
      </rPr>
      <t xml:space="preserve">SEELECT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</si>
  <si>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</si>
  <si>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</si>
  <si>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</si>
  <si>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</si>
  <si>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</si>
  <si>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</si>
  <si>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</si>
  <si>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</si>
  <si>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</si>
  <si>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</si>
  <si>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</si>
  <si>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</si>
  <si>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</si>
  <si>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</si>
  <si>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</si>
  <si>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</si>
  <si>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</si>
  <si>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</si>
  <si>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</si>
  <si>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</si>
  <si>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</si>
  <si>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</si>
  <si>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</si>
  <si>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</si>
  <si>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</si>
  <si>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family val="2"/>
        <scheme val="minor"/>
      </rPr>
      <t xml:space="preserve">SELECT </t>
    </r>
    <r>
      <rPr>
        <sz val="11"/>
        <color rgb="FF000000"/>
        <rFont val="Calibri"/>
        <family val="2"/>
        <scheme val="minor"/>
      </rPr>
      <t xml:space="preserve">CAST( INTERFACE_DCT01.DCYR8101_MDESAUT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</si>
  <si>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</si>
  <si>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</si>
  <si>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</si>
  <si>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</si>
  <si>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</si>
  <si>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family val="2"/>
        <scheme val="minor"/>
      </rPr>
      <t xml:space="preserve">    </t>
    </r>
    <r>
      <rPr>
        <sz val="11"/>
        <color rgb="FF000000"/>
        <rFont val="Calibri"/>
        <family val="2"/>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</si>
  <si>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</si>
  <si>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</si>
  <si>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</si>
  <si>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</si>
  <si>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</si>
  <si>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</si>
  <si>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</si>
  <si>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</si>
  <si>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family val="2"/>
        <scheme val="minor"/>
      </rPr>
      <t xml:space="preserve">   </t>
    </r>
    <r>
      <rPr>
        <sz val="11"/>
        <color rgb="FF000000"/>
        <rFont val="Calibri"/>
        <family val="2"/>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</si>
  <si>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</si>
  <si>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</si>
  <si>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</si>
  <si>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</si>
  <si>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</si>
  <si>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</si>
  <si>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family val="2"/>
        <scheme val="minor"/>
      </rPr>
      <t xml:space="preserve">SELECT </t>
    </r>
    <r>
      <rPr>
        <sz val="11"/>
        <color rgb="FF000000"/>
        <rFont val="Calibri"/>
        <family val="2"/>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</si>
  <si>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</si>
  <si>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</si>
  <si>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</si>
  <si>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</si>
  <si>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</si>
  <si>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</si>
  <si>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family val="2"/>
        <scheme val="minor"/>
      </rPr>
      <t xml:space="preserve">SELECT </t>
    </r>
    <r>
      <rPr>
        <sz val="11"/>
        <color rgb="FF000000"/>
        <rFont val="Calibri"/>
        <family val="2"/>
        <scheme val="minor"/>
      </rPr>
      <t xml:space="preserve">IF( TCT09_OPERN.CKBALCAO IS NULL, CAST( 0.00 AS DECIMAL( 23, 6 ) ), TCT01_POSDIVID.MCAPITALD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</si>
  <si>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</si>
  <si>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</si>
  <si>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</si>
  <si>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</si>
  <si>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</si>
  <si>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</si>
  <si>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</si>
  <si>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</si>
  <si>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</si>
  <si>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</si>
  <si>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</si>
  <si>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</si>
  <si>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</si>
  <si>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</si>
  <si>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</si>
  <si>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</si>
  <si>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</si>
  <si>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</si>
  <si>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</si>
  <si>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</si>
  <si>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</si>
  <si>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</si>
  <si>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</si>
  <si>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</si>
  <si>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</si>
  <si>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</si>
  <si>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</si>
  <si>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</si>
  <si>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</si>
  <si>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</si>
  <si>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</si>
  <si>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</si>
  <si>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</si>
  <si>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</si>
  <si>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</si>
  <si>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</si>
  <si>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</si>
  <si>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</si>
  <si>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</si>
  <si>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</si>
  <si>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</si>
  <si>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</si>
  <si>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</si>
  <si>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</si>
  <si>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</si>
  <si>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</si>
  <si>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family val="2"/>
        <scheme val="minor"/>
      </rPr>
      <t xml:space="preserve">SELECT </t>
    </r>
    <r>
      <rPr>
        <sz val="11"/>
        <color rgb="FF000000"/>
        <rFont val="Calibri"/>
        <family val="2"/>
        <scheme val="minor"/>
      </rPr>
      <t xml:space="preserve">IF( TRIM( HISTORICO.CANAL_ENTRADA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</si>
  <si>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</si>
  <si>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</si>
  <si>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</si>
  <si>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</si>
  <si>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</si>
  <si>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</si>
  <si>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</si>
  <si>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</si>
  <si>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</si>
  <si>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</si>
  <si>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family val="2"/>
        <scheme val="minor"/>
      </rPr>
      <t xml:space="preserve">SELECT </t>
    </r>
    <r>
      <rPr>
        <sz val="11"/>
        <color rgb="FF000000"/>
        <rFont val="Calibri"/>
        <family val="2"/>
        <scheme val="minor"/>
      </rPr>
      <t xml:space="preserve">CRT63_ADESECL.DATA_DATE_PART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TCT09_OPERN.DATA_DATE_PART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</si>
  <si>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</si>
  <si>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</si>
  <si>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</si>
  <si>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</si>
  <si>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</si>
  <si>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</si>
  <si>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</si>
  <si>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</si>
  <si>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</si>
  <si>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</si>
  <si>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</si>
  <si>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</si>
  <si>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</si>
  <si>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</si>
  <si>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</si>
  <si>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</si>
  <si>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CRT63_ADESECL.CESTADO = 'C'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</si>
  <si>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</si>
  <si>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</si>
  <si>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</si>
  <si>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</si>
  <si>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</si>
  <si>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</si>
  <si>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</si>
  <si>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</si>
  <si>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</si>
  <si>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</si>
  <si>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</si>
  <si>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</si>
  <si>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</si>
  <si>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</si>
  <si>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</si>
  <si>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family val="2"/>
        <scheme val="minor"/>
      </rPr>
      <t xml:space="preserve">SELECT </t>
    </r>
    <r>
      <rPr>
        <sz val="11"/>
        <color rgb="FF000000"/>
        <rFont val="Calibri"/>
        <family val="2"/>
        <scheme val="minor"/>
      </rPr>
      <t xml:space="preserve">IF( TRIM( CRT07_TBCTATAR.BLOQUEACT ) = '', NULL, CONF_GENERAL_CONVERTER.CDM_VALUE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</si>
  <si>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</si>
  <si>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</si>
  <si>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</si>
  <si>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</si>
  <si>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</si>
  <si>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</si>
  <si>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</si>
  <si>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</si>
  <si>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</si>
  <si>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</si>
  <si>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</si>
  <si>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</si>
  <si>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</si>
  <si>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</si>
  <si>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</si>
  <si>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</si>
  <si>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</si>
  <si>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</si>
  <si>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</si>
  <si>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</si>
  <si>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</si>
  <si>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</si>
  <si>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</si>
  <si>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</si>
  <si>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</si>
  <si>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</si>
  <si>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</si>
  <si>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</si>
  <si>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</si>
  <si>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</si>
  <si>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</si>
  <si>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</si>
  <si>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</si>
  <si>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</si>
  <si>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</si>
  <si>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</si>
  <si>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</si>
  <si>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</si>
  <si>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</si>
  <si>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</si>
  <si>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</si>
  <si>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</si>
  <si>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</si>
  <si>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</si>
  <si>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</si>
  <si>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</si>
  <si>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</si>
  <si>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</si>
  <si>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</si>
  <si>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</si>
  <si>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</si>
  <si>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</si>
  <si>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</si>
  <si>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</si>
  <si>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</si>
  <si>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</si>
  <si>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</si>
  <si>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</si>
  <si>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</si>
  <si>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</si>
  <si>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</si>
  <si>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</si>
  <si>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</si>
  <si>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</si>
  <si>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</si>
  <si>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</si>
  <si>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</si>
  <si>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</si>
  <si>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</si>
  <si>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</si>
  <si>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</si>
  <si>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</si>
  <si>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</si>
  <si>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</si>
  <si>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</si>
  <si>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</si>
  <si>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</si>
  <si>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</si>
  <si>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</si>
  <si>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</si>
  <si>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</si>
  <si>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</si>
  <si>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</si>
  <si>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</si>
  <si>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</si>
  <si>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</si>
  <si>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</si>
  <si>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</si>
  <si>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</si>
  <si>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</si>
  <si>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</si>
  <si>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</si>
  <si>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</si>
  <si>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</si>
  <si>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</si>
  <si>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</si>
  <si>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</si>
  <si>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</si>
  <si>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</si>
  <si>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</si>
  <si>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</si>
  <si>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</si>
  <si>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</si>
  <si>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</si>
  <si>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</si>
  <si>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</si>
  <si>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</si>
  <si>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</si>
  <si>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</si>
  <si>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</si>
  <si>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</si>
  <si>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</si>
  <si>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</si>
  <si>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</si>
  <si>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</si>
  <si>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</si>
  <si>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</si>
  <si>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</si>
  <si>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</si>
  <si>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</si>
  <si>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</si>
  <si>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</si>
  <si>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</si>
  <si>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</si>
  <si>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</si>
  <si>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</si>
  <si>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</si>
  <si>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</si>
  <si>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</si>
  <si>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</si>
  <si>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</si>
  <si>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</si>
  <si>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</si>
  <si>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</si>
  <si>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</si>
  <si>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</si>
  <si>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</si>
  <si>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</si>
  <si>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</si>
  <si>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</si>
  <si>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</si>
  <si>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</si>
  <si>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</si>
  <si>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</si>
  <si>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</si>
  <si>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</si>
  <si>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</si>
  <si>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</si>
  <si>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</si>
  <si>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</si>
  <si>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</si>
  <si>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</si>
  <si>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</si>
  <si>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</si>
  <si>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</si>
  <si>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</si>
  <si>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</si>
  <si>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</si>
  <si>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</si>
  <si>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</si>
  <si>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</si>
  <si>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</si>
  <si>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</si>
  <si>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</si>
  <si>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</si>
  <si>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</si>
  <si>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</si>
  <si>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</si>
  <si>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</si>
  <si>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</si>
  <si>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</si>
  <si>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</si>
  <si>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</si>
  <si>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</si>
  <si>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</si>
  <si>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</si>
  <si>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</si>
  <si>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</si>
  <si>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</si>
  <si>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</si>
  <si>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</si>
  <si>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</si>
  <si>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</si>
  <si>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</si>
  <si>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</si>
  <si>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</si>
  <si>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</si>
  <si>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</si>
  <si>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</si>
  <si>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</si>
  <si>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</si>
  <si>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</si>
  <si>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</si>
  <si>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</si>
  <si>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</si>
  <si>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</si>
  <si>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</si>
  <si>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</si>
  <si>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</si>
  <si>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</si>
  <si>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</si>
  <si>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</si>
  <si>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</si>
  <si>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</si>
  <si>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</si>
  <si>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</si>
  <si>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</si>
  <si>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</si>
  <si>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</si>
  <si>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</si>
  <si>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</si>
  <si>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</si>
  <si>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</si>
  <si>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</si>
  <si>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</si>
  <si>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</si>
  <si>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</si>
  <si>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</si>
  <si>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</si>
  <si>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</si>
  <si>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</si>
  <si>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</si>
  <si>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</si>
  <si>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</si>
  <si>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</si>
  <si>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</si>
  <si>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</si>
  <si>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</si>
  <si>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</si>
  <si>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</si>
  <si>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</si>
  <si>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</si>
  <si>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</si>
  <si>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</si>
  <si>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</si>
  <si>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</si>
  <si>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</si>
  <si>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</si>
  <si>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</si>
  <si>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</si>
  <si>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</si>
  <si>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</si>
  <si>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</si>
  <si>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</si>
  <si>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</si>
  <si>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</si>
  <si>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</si>
  <si>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</si>
  <si>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</si>
  <si>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</si>
  <si>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</si>
  <si>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</si>
  <si>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</si>
  <si>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</si>
  <si>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</si>
  <si>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</si>
  <si>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</si>
  <si>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</si>
  <si>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</si>
  <si>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</si>
  <si>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</si>
  <si>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</si>
  <si>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</si>
  <si>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</si>
  <si>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</si>
  <si>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</si>
  <si>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</si>
  <si>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</si>
  <si>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</si>
  <si>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</si>
  <si>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</si>
  <si>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</si>
  <si>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</si>
  <si>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</si>
  <si>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</si>
  <si>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</si>
  <si>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</si>
  <si>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</si>
  <si>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</si>
  <si>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</si>
  <si>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</si>
  <si>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</si>
  <si>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</si>
  <si>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</si>
  <si>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</si>
  <si>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</si>
  <si>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</si>
  <si>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</si>
  <si>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</si>
  <si>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</si>
  <si>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</si>
  <si>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</si>
  <si>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</si>
  <si>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</si>
  <si>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</si>
  <si>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</si>
  <si>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</si>
  <si>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</si>
  <si>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</si>
  <si>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</si>
  <si>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</si>
  <si>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</si>
  <si>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</si>
  <si>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</si>
  <si>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</si>
  <si>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</si>
  <si>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</si>
  <si>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</si>
  <si>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</si>
  <si>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</si>
  <si>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</si>
  <si>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</si>
  <si>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</si>
  <si>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</si>
  <si>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</si>
  <si>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</si>
  <si>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</si>
  <si>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</si>
  <si>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</si>
  <si>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</si>
  <si>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</si>
  <si>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</si>
  <si>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</si>
  <si>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</si>
  <si>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</si>
  <si>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</si>
  <si>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</si>
  <si>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</si>
  <si>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</si>
  <si>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</si>
  <si>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</si>
  <si>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</si>
  <si>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</si>
  <si>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</si>
  <si>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</si>
  <si>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</si>
  <si>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</si>
  <si>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</si>
  <si>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</si>
  <si>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</si>
  <si>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</si>
  <si>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</si>
  <si>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</si>
  <si>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</si>
  <si>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</si>
  <si>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</si>
  <si>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</si>
  <si>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</si>
  <si>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</si>
  <si>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</si>
  <si>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</si>
  <si>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</si>
  <si>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</si>
  <si>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</si>
  <si>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</si>
  <si>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</si>
  <si>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</si>
  <si>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</si>
  <si>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</si>
  <si>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</si>
  <si>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</si>
  <si>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</si>
  <si>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</si>
  <si>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</si>
  <si>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</si>
  <si>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</si>
  <si>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</si>
  <si>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</si>
  <si>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</si>
  <si>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</si>
  <si>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</si>
  <si>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</si>
  <si>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</si>
  <si>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</si>
  <si>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</si>
  <si>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</si>
  <si>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</si>
  <si>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</si>
  <si>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</si>
  <si>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</si>
  <si>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</si>
  <si>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</si>
  <si>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</si>
  <si>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</si>
  <si>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</si>
  <si>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</si>
  <si>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</si>
  <si>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</si>
  <si>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</si>
  <si>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</si>
  <si>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</si>
  <si>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</si>
  <si>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</si>
  <si>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</si>
  <si>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</si>
  <si>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</si>
  <si>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</si>
  <si>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</si>
  <si>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</si>
  <si>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</si>
  <si>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</si>
  <si>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</si>
  <si>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</si>
  <si>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</si>
  <si>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</si>
  <si>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</si>
  <si>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</si>
  <si>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</si>
  <si>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</si>
  <si>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</si>
  <si>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</si>
  <si>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</si>
  <si>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</si>
  <si>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</si>
  <si>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</si>
  <si>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</si>
  <si>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</si>
  <si>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</si>
  <si>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</si>
  <si>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</si>
  <si>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</si>
  <si>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</si>
  <si>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</si>
  <si>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</si>
  <si>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</si>
  <si>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</si>
  <si>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</si>
  <si>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</si>
  <si>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</si>
  <si>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</si>
  <si>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</si>
  <si>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</si>
  <si>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</si>
  <si>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</si>
  <si>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</si>
  <si>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</si>
  <si>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</si>
  <si>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</si>
  <si>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</si>
  <si>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</si>
  <si>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</si>
  <si>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</si>
  <si>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</si>
  <si>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</si>
  <si>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</si>
  <si>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</si>
  <si>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</si>
  <si>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</si>
  <si>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</si>
  <si>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</si>
  <si>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</si>
  <si>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</si>
  <si>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</si>
  <si>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</si>
  <si>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</si>
  <si>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</si>
  <si>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</si>
  <si>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</si>
  <si>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</si>
  <si>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</si>
  <si>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</si>
  <si>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</si>
  <si>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</si>
  <si>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</si>
  <si>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</si>
  <si>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</si>
  <si>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</si>
  <si>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</si>
  <si>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</si>
  <si>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</si>
  <si>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</si>
  <si>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</si>
  <si>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</si>
  <si>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</si>
  <si>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</si>
  <si>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</si>
  <si>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</si>
  <si>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</si>
  <si>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</si>
  <si>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</si>
  <si>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</si>
  <si>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</si>
  <si>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</si>
  <si>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</si>
  <si>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</si>
  <si>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</si>
  <si>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</si>
  <si>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</si>
  <si>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</si>
  <si>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</si>
  <si>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</si>
  <si>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</si>
  <si>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</si>
  <si>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</si>
  <si>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</si>
  <si>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</si>
  <si>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</si>
  <si>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</si>
  <si>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</si>
  <si>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</si>
  <si>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</si>
  <si>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</si>
  <si>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</si>
  <si>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</si>
  <si>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</si>
  <si>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</si>
  <si>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</si>
  <si>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</si>
  <si>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</si>
  <si>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</si>
  <si>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</si>
  <si>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</si>
  <si>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</si>
  <si>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</si>
  <si>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</si>
  <si>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</si>
  <si>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</si>
  <si>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</si>
  <si>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</si>
  <si>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</si>
  <si>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</si>
  <si>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</si>
  <si>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</si>
  <si>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</si>
  <si>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</si>
  <si>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</si>
  <si>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</si>
  <si>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</si>
  <si>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</si>
  <si>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</si>
  <si>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</si>
  <si>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</si>
  <si>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</si>
  <si>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</si>
  <si>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</si>
  <si>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</si>
  <si>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</si>
  <si>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</si>
  <si>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</si>
  <si>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</si>
  <si>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</si>
  <si>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</si>
  <si>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</si>
  <si>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</si>
  <si>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</si>
  <si>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</si>
  <si>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</si>
  <si>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</si>
  <si>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</si>
  <si>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</si>
  <si>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</si>
  <si>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</si>
  <si>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</si>
  <si>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</si>
  <si>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</si>
  <si>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</si>
  <si>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</si>
  <si>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</si>
  <si>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</si>
  <si>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</si>
  <si>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</si>
  <si>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</si>
  <si>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</si>
  <si>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</si>
  <si>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</si>
  <si>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</si>
  <si>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</si>
  <si>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</si>
  <si>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</si>
  <si>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</si>
  <si>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</si>
  <si>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</si>
  <si>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</si>
  <si>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</si>
  <si>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</si>
  <si>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</si>
  <si>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</si>
  <si>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</si>
  <si>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</si>
  <si>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</si>
  <si>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</si>
  <si>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</si>
  <si>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</si>
  <si>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</si>
  <si>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</si>
  <si>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</si>
  <si>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</si>
  <si>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</si>
  <si>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</si>
  <si>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</si>
  <si>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</si>
  <si>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</si>
  <si>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</si>
  <si>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</si>
  <si>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t>
  </si>
  <si>
    <t>DFORMALI
FEULTREN</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</si>
  <si>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</si>
  <si>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</si>
  <si>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</si>
  <si>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</si>
  <si>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</si>
  <si>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</si>
  <si>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</si>
  <si>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</si>
  <si>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</si>
  <si>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</si>
  <si>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</si>
  <si>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</si>
  <si>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</si>
  <si>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</si>
  <si>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</si>
  <si>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</si>
  <si>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</si>
  <si>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</si>
  <si>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</si>
  <si>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</si>
  <si>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</si>
  <si>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</si>
  <si>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</si>
  <si>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</si>
  <si>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</si>
  <si>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</si>
  <si>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</si>
  <si>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</si>
  <si>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</si>
  <si>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WHERE</t>
    </r>
    <r>
      <rPr>
        <sz val="11"/>
        <color rgb="FF000000"/>
        <rFont val="Calibri"/>
        <family val="2"/>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</si>
  <si>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</si>
  <si>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</si>
  <si>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</si>
  <si>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</si>
  <si>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</si>
  <si>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CAST( EPT01_CONTAS.MSLDTEOR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</si>
  <si>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</si>
  <si>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</si>
  <si>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</si>
  <si>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</si>
  <si>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</si>
  <si>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</si>
  <si>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</si>
  <si>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</si>
  <si>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</si>
  <si>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</si>
  <si>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</si>
  <si>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</si>
  <si>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</si>
  <si>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</si>
  <si>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</si>
  <si>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</si>
  <si>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</si>
  <si>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</si>
  <si>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</si>
  <si>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</si>
  <si>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</si>
  <si>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</si>
  <si>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</si>
  <si>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</si>
  <si>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</si>
  <si>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</si>
  <si>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</si>
  <si>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</si>
  <si>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</si>
  <si>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</si>
  <si>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</si>
  <si>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</si>
  <si>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</si>
  <si>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</si>
  <si>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</si>
  <si>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</si>
  <si>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</si>
  <si>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</si>
  <si>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</si>
  <si>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</si>
  <si>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</si>
  <si>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EH_DET_REC_COB.E4279_IMPORCON IS NULL AND EH_DET_REC_COB.E4279_FECALTA IS NOT NULL, CAST( 0.00 AS DECIMAL( 23, 6 ) ), CAST( EH_DET_REC_COB.E4279_IMPORCON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</si>
  <si>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</si>
  <si>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</si>
  <si>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</si>
  <si>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</si>
  <si>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</si>
  <si>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</si>
  <si>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</si>
  <si>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</si>
  <si>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</si>
  <si>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</si>
  <si>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</si>
  <si>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</si>
  <si>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</si>
  <si>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</si>
  <si>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CAST( EPT07_MOVCTA.MMOVORIG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CAST( EH_OPER_CONTR.EH10_IMPOPERA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</si>
  <si>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</si>
  <si>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</si>
  <si>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</si>
  <si>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</si>
  <si>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</si>
  <si>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</si>
  <si>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</si>
  <si>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</si>
  <si>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</si>
  <si>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</si>
  <si>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</si>
  <si>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</si>
  <si>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</si>
  <si>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</si>
  <si>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</si>
  <si>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</si>
  <si>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</si>
  <si>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</si>
  <si>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</si>
  <si>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</si>
  <si>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</si>
  <si>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</si>
  <si>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</si>
  <si>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</si>
  <si>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</si>
  <si>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</si>
  <si>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</si>
  <si>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</si>
  <si>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</si>
  <si>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</si>
  <si>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</si>
  <si>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</si>
  <si>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</si>
  <si>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</si>
  <si>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</si>
  <si>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</si>
  <si>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</si>
  <si>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</si>
  <si>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</si>
  <si>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</si>
  <si>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</si>
  <si>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</si>
  <si>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</si>
  <si>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</si>
  <si>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</si>
  <si>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</si>
  <si>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</si>
  <si>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</si>
  <si>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</si>
  <si>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</si>
  <si>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</si>
  <si>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</si>
  <si>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</si>
  <si>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</si>
  <si>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</si>
  <si>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</si>
  <si>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</si>
  <si>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</si>
  <si>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</si>
  <si>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</si>
  <si>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</si>
  <si>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</si>
  <si>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</si>
  <si>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family val="2"/>
        <scheme val="minor"/>
      </rPr>
      <t xml:space="preserve">SELECT </t>
    </r>
    <r>
      <rPr>
        <sz val="11"/>
        <color rgb="FF000000"/>
        <rFont val="Calibri"/>
        <family val="2"/>
        <scheme val="minor"/>
      </rPr>
      <t xml:space="preserve">IF( TCT09_OPERCN.CKBALCAO IS NULL,
      IF( TRIM( EPT01_CONTAS.CSITTCTA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family val="2"/>
        <scheme val="minor"/>
      </rPr>
      <t xml:space="preserve">SELECT </t>
    </r>
    <r>
      <rPr>
        <sz val="11"/>
        <color rgb="FF000000"/>
        <rFont val="Calibri"/>
        <family val="2"/>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</si>
  <si>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</si>
  <si>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</si>
  <si>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</si>
  <si>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</si>
  <si>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</si>
  <si>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family val="2"/>
        <scheme val="minor"/>
      </rPr>
      <t xml:space="preserve">SELECT </t>
    </r>
    <r>
      <rPr>
        <sz val="11"/>
        <color rgb="FF000000"/>
        <rFont val="Calibri"/>
        <family val="2"/>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family val="2"/>
        <scheme val="minor"/>
      </rPr>
      <t>SELECT</t>
    </r>
    <r>
      <rPr>
        <sz val="11"/>
        <color rgb="FF000000"/>
        <rFont val="Calibri"/>
        <family val="2"/>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</si>
  <si>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</si>
  <si>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</si>
  <si>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</si>
  <si>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</si>
  <si>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</si>
  <si>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</si>
  <si>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</si>
  <si>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</si>
  <si>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</si>
  <si>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</si>
  <si>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</si>
  <si>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</si>
  <si>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</si>
  <si>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</si>
  <si>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</si>
  <si>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</si>
  <si>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</si>
  <si>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</si>
  <si>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</si>
  <si>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</si>
  <si>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</si>
  <si>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</si>
  <si>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</si>
  <si>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</si>
  <si>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</si>
  <si>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</si>
  <si>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</si>
  <si>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</si>
  <si>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</si>
  <si>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INTERFACE_DCT01.DCYR8100_DTVENCIM ) = '',
        NULL,
        INTERFACE_DCT01.DCYR8100_DTVENCIM ),
    IF( TRIM( TCT09_OPERN.DVENCIM) = '',
        NULL,
        CAST( TCT09_OPERN.DVENCIM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</si>
  <si>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</si>
  <si>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</si>
  <si>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</si>
  <si>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</si>
  <si>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</si>
  <si>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family val="2"/>
        <scheme val="minor"/>
      </rPr>
      <t xml:space="preserve">SELECT </t>
    </r>
    <r>
      <rPr>
        <sz val="11"/>
        <color rgb="FF000000"/>
        <rFont val="Calibri"/>
        <family val="2"/>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</si>
  <si>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</si>
  <si>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</si>
  <si>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</si>
  <si>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family val="2"/>
        <scheme val="minor"/>
      </rPr>
      <t xml:space="preserve">SELECT </t>
    </r>
    <r>
      <rPr>
        <sz val="11"/>
        <color rgb="FF000000"/>
        <rFont val="Calibri"/>
        <family val="2"/>
        <scheme val="minor"/>
      </rPr>
      <t xml:space="preserve">IF( TCT09_OPERN.CKBALCAO IS NULL, CAST( INTERFACE_DCT01.DCYR8101_MSALDODI AS DECIMAL( 23, 6 ) ), CAST( 0.00 AS DECIMAL( 23, 6 )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</si>
  <si>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</si>
  <si>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</si>
  <si>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family val="2"/>
        <scheme val="minor"/>
      </rPr>
      <t>SELECT</t>
    </r>
    <r>
      <rPr>
        <sz val="11"/>
        <color rgb="FF000000"/>
        <rFont val="Calibri"/>
        <family val="2"/>
        <scheme val="minor"/>
      </rPr>
      <t xml:space="preserve"> CAST( INTERFACE_DCT01.DCYR8101_MSLDCAT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</si>
  <si>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</si>
  <si>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</si>
  <si>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family val="2"/>
        <scheme val="minor"/>
      </rPr>
      <t xml:space="preserve">SELECT </t>
    </r>
    <r>
      <rPr>
        <sz val="11"/>
        <color rgb="FF000000"/>
        <rFont val="Calibri"/>
        <family val="2"/>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</si>
  <si>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</si>
  <si>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</si>
  <si>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family val="2"/>
        <scheme val="minor"/>
      </rPr>
      <t xml:space="preserve">SELECT </t>
    </r>
    <r>
      <rPr>
        <sz val="11"/>
        <color rgb="FF000000"/>
        <rFont val="Calibri"/>
        <family val="2"/>
        <scheme val="minor"/>
      </rPr>
      <t xml:space="preserve">IF( TCT09_OPERN.CKBALCAO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</si>
  <si>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</si>
  <si>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</si>
  <si>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</si>
  <si>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</si>
  <si>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</si>
  <si>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</si>
  <si>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</si>
  <si>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</si>
  <si>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</si>
  <si>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</si>
  <si>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</si>
  <si>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</si>
  <si>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</si>
  <si>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</si>
  <si>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</si>
  <si>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</si>
  <si>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family val="2"/>
        <scheme val="minor"/>
      </rPr>
      <t>SELECT</t>
    </r>
    <r>
      <rPr>
        <sz val="11"/>
        <color rgb="FF000000"/>
        <rFont val="Calibri"/>
        <family val="2"/>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</si>
  <si>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</si>
  <si>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</si>
  <si>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</si>
  <si>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</si>
  <si>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</si>
  <si>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</si>
  <si>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</si>
  <si>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</si>
  <si>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family val="2"/>
        <scheme val="minor"/>
      </rPr>
      <t>SELECT CONF_GENERAL_CODE_CONVERTER</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</si>
  <si>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</si>
  <si>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</si>
  <si>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</si>
  <si>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</si>
  <si>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</si>
  <si>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</si>
  <si>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</si>
  <si>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</si>
  <si>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'0', '1'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</si>
  <si>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</si>
  <si>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</si>
  <si>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</si>
  <si>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</si>
  <si>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IF( TCT09_OPERN.CKBALCAO IS NULL, CAST( 0.00 AS DECIMAL( 23, 6 ) ), TCT01_POSDIVID.MCAPITALD )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</si>
  <si>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</si>
  <si>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</si>
  <si>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</si>
  <si>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family val="2"/>
        <scheme val="minor"/>
      </rPr>
      <t xml:space="preserve">SELECT </t>
    </r>
    <r>
      <rPr>
        <sz val="11"/>
        <color rgb="FF000000"/>
        <rFont val="Calibri"/>
        <family val="2"/>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</si>
  <si>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</si>
  <si>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TCT09_OPERN.CKBALCAO IS NULL, 'DC', 'TC' )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</si>
  <si>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</si>
  <si>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</si>
  <si>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</si>
  <si>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</si>
  <si>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</si>
  <si>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</si>
  <si>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</si>
  <si>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</si>
  <si>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</si>
  <si>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</si>
  <si>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</si>
  <si>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</si>
  <si>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</si>
  <si>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</si>
  <si>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</si>
  <si>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</si>
  <si>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</si>
  <si>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</si>
  <si>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</si>
  <si>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</si>
  <si>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</si>
  <si>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</si>
  <si>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</si>
  <si>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</si>
  <si>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</si>
  <si>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</si>
  <si>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</si>
  <si>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</si>
  <si>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</si>
  <si>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</si>
  <si>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</si>
  <si>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</si>
  <si>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</si>
  <si>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</si>
  <si>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</si>
  <si>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</si>
  <si>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</si>
  <si>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</si>
  <si>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</si>
  <si>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</si>
  <si>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</si>
  <si>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</si>
  <si>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</si>
  <si>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</si>
  <si>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</si>
  <si>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</si>
  <si>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</si>
  <si>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</si>
  <si>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t>CURATED_INTERNAL_MAINFRAME_DEPOSITOSPRAZO OPERATIONS_COMMON_REFERENCEDATA_CORE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</si>
  <si>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</si>
  <si>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</si>
  <si>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</si>
  <si>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</si>
  <si>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</si>
  <si>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</si>
  <si>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</si>
  <si>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</si>
  <si>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</si>
  <si>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</si>
  <si>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</si>
  <si>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</si>
  <si>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</si>
  <si>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</si>
  <si>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</si>
  <si>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</si>
  <si>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</si>
  <si>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</si>
  <si>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</si>
  <si>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</si>
  <si>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</si>
  <si>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</si>
  <si>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</si>
  <si>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</si>
  <si>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</si>
  <si>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</si>
  <si>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</si>
  <si>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</si>
  <si>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</si>
  <si>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</si>
  <si>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</si>
  <si>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</si>
  <si>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</si>
  <si>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</si>
  <si>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</si>
  <si>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</si>
  <si>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</si>
  <si>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family val="2"/>
        <scheme val="minor"/>
      </rPr>
      <t xml:space="preserve">SELECT </t>
    </r>
    <r>
      <rPr>
        <sz val="11"/>
        <color rgb="FF000000"/>
        <rFont val="Calibri"/>
        <family val="2"/>
        <scheme val="minor"/>
      </rPr>
      <t xml:space="preserve">IF( TRIM( DP_DPYR0550_DEPOSITOS.CSITCTA ) = '', NULL, CONF_GENERAL_CONVERTER.CDM_VALUE)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</si>
  <si>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</si>
  <si>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</si>
  <si>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family val="2"/>
        <scheme val="minor"/>
      </rPr>
      <t xml:space="preserve">SELECT </t>
    </r>
    <r>
      <rPr>
        <sz val="11"/>
        <color rgb="FF000000"/>
        <rFont val="Calibri"/>
        <family val="2"/>
        <scheme val="minor"/>
      </rPr>
      <t xml:space="preserve">IF( DP_DPYR0580_MOVIMENTOS.CANAL ) = '', NULL, CONF_GENERAL_CODE_CONVERTER.CDM_VALUE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</si>
  <si>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</si>
  <si>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</si>
  <si>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</si>
  <si>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</si>
  <si>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</si>
  <si>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</si>
  <si>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</si>
  <si>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</si>
  <si>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</si>
  <si>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</si>
  <si>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</si>
  <si>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</si>
  <si>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</si>
  <si>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</si>
  <si>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</si>
  <si>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</si>
  <si>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</si>
  <si>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</si>
  <si>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</si>
  <si>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</si>
  <si>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</si>
  <si>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</si>
  <si>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</si>
  <si>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</si>
  <si>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</si>
  <si>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</si>
  <si>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</si>
  <si>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</si>
  <si>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</si>
  <si>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</si>
  <si>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</si>
  <si>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</si>
  <si>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</si>
  <si>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</si>
  <si>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</si>
  <si>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</si>
  <si>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</si>
  <si>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</si>
  <si>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</si>
  <si>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</si>
  <si>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</si>
  <si>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</si>
  <si>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</si>
  <si>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</si>
  <si>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</si>
  <si>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</si>
  <si>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</si>
  <si>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</si>
  <si>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</si>
  <si>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</si>
  <si>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</si>
  <si>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</si>
  <si>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</si>
  <si>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</si>
  <si>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</si>
  <si>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</si>
  <si>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</si>
  <si>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</si>
  <si>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</si>
  <si>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</si>
  <si>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</si>
  <si>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</si>
  <si>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</si>
  <si>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</si>
  <si>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</si>
  <si>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</si>
  <si>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</si>
  <si>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</si>
  <si>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</si>
  <si>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</si>
  <si>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</si>
  <si>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</si>
  <si>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</si>
  <si>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</si>
  <si>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</si>
  <si>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</si>
  <si>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</si>
  <si>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</si>
  <si>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</si>
  <si>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</si>
  <si>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</si>
  <si>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</si>
  <si>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</si>
  <si>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</si>
  <si>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</si>
  <si>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</si>
  <si>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</si>
  <si>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</si>
  <si>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</si>
  <si>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</si>
  <si>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</si>
  <si>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</si>
  <si>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</si>
  <si>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</si>
  <si>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</si>
  <si>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</si>
  <si>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</si>
  <si>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</si>
  <si>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</si>
  <si>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</si>
  <si>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</si>
  <si>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</si>
  <si>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</si>
  <si>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</si>
  <si>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</si>
  <si>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</si>
  <si>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</si>
  <si>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</si>
  <si>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</si>
  <si>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</si>
  <si>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</si>
  <si>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</si>
  <si>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</si>
  <si>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</si>
  <si>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</si>
  <si>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</si>
  <si>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</si>
  <si>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</si>
  <si>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</si>
  <si>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</si>
  <si>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</si>
  <si>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</si>
  <si>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</si>
  <si>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</si>
  <si>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</si>
  <si>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</si>
  <si>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</si>
  <si>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</si>
  <si>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</si>
  <si>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</si>
  <si>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</si>
  <si>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</si>
  <si>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</si>
  <si>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</si>
  <si>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</si>
  <si>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</si>
  <si>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</si>
  <si>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</si>
  <si>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</si>
  <si>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</si>
  <si>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</si>
  <si>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</si>
  <si>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</si>
  <si>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</si>
  <si>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</si>
  <si>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</si>
  <si>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</si>
  <si>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</si>
  <si>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</si>
  <si>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</si>
  <si>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</si>
  <si>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</si>
  <si>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</si>
  <si>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</si>
  <si>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</si>
  <si>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</si>
  <si>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</si>
  <si>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</si>
  <si>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</si>
  <si>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</si>
  <si>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</si>
  <si>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</si>
  <si>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</si>
  <si>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</si>
  <si>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</si>
  <si>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</si>
  <si>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</si>
  <si>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</si>
  <si>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</si>
  <si>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</si>
  <si>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</si>
  <si>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</si>
  <si>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</si>
  <si>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</si>
  <si>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</si>
  <si>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</si>
  <si>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</si>
  <si>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</si>
  <si>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</si>
  <si>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</si>
  <si>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</si>
  <si>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</si>
  <si>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</si>
  <si>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</si>
  <si>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</si>
  <si>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</si>
  <si>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</si>
  <si>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</si>
  <si>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</si>
  <si>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</si>
  <si>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</si>
  <si>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</si>
  <si>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</si>
  <si>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</si>
  <si>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</si>
  <si>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</si>
  <si>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</si>
  <si>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</si>
  <si>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</si>
  <si>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</si>
  <si>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</si>
  <si>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</si>
  <si>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</si>
  <si>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</si>
  <si>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</si>
  <si>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</si>
  <si>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</si>
  <si>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</si>
  <si>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</si>
  <si>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</si>
  <si>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DCYR8100_DTVENCIM 
N\A</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</si>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</sst>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amily val="2"/>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8"/>
      <color rgb="FFFFFFFF"/>
      <name val="Arial"/>
      <family val="2"/>
    </font>
    <font>
      <sz val="11"/>
      <color rgb="FF000000"/>
      <name val="Calibri"/>
      <family val="2"/>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sz val="11"/>
      <color rgb="FF000000"/>
      <name val="Calibri"/>
      <family val="2"/>
    </font>
    <font>
      <sz val="10"/>
      <color rgb="FFFF0000"/>
      <name val="Arial"/>
      <family val="2"/>
    </font>
    <font>
      <b/>
      <sz val="11"/>
      <color rgb="FF000000"/>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9" tableBorderDxfId="1188"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2">
      <filters>
        <filter val="contract_party_relationship"/>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4" totalsRowShown="0" headerRowDxfId="1153" dataDxfId="1152" tableBorderDxfId="1151">
  <autoFilter ref="B2:I134" xr:uid="{00000000-0009-0000-0100-000005000000}">
    <filterColumn colId="1">
      <filters>
        <filter val="loan"/>
      </filters>
    </filterColumn>
  </autoFilter>
  <sortState xmlns:xlrd2="http://schemas.microsoft.com/office/spreadsheetml/2017/richdata2" ref="B3:I134">
    <sortCondition ref="E2:E134"/>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ontract_party_relation"/>
      </filters>
    </filterColumn>
  </autoFilter>
  <sortState xmlns:xlrd2="http://schemas.microsoft.com/office/spreadsheetml/2017/richdata2" ref="B3:H28">
    <sortCondition ref="C2:C28"/>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2.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117" t="s">
        <v>7</v>
      </c>
      <c r="D7" s="48"/>
      <c r="E7" s="22"/>
    </row>
    <row r="8" spans="1:5" x14ac:dyDescent="0.25">
      <c r="A8" s="22"/>
      <c r="B8" s="39" t="s">
        <v>8</v>
      </c>
      <c r="C8" s="39" t="s">
        <v>9</v>
      </c>
      <c r="D8" s="25" t="s">
        <v>10</v>
      </c>
      <c r="E8" s="22"/>
    </row>
    <row r="9" spans="1:5" x14ac:dyDescent="0.25">
      <c r="A9" s="22"/>
      <c r="B9" s="39" t="s">
        <v>8</v>
      </c>
      <c r="C9" s="39" t="s">
        <v>11</v>
      </c>
      <c r="D9" s="40" t="s">
        <v>12</v>
      </c>
      <c r="E9" s="22"/>
    </row>
    <row r="10" spans="1:5" x14ac:dyDescent="0.25">
      <c r="B10" s="39" t="s">
        <v>13</v>
      </c>
      <c r="C10" s="39" t="s">
        <v>14</v>
      </c>
      <c r="D10" s="25" t="s">
        <v>15</v>
      </c>
    </row>
    <row r="11" spans="1:5" s="4" customFormat="1" x14ac:dyDescent="0.25">
      <c r="B11" s="39" t="s">
        <v>13</v>
      </c>
      <c r="C11" s="39" t="s">
        <v>16</v>
      </c>
      <c r="D11" s="25" t="s">
        <v>17</v>
      </c>
    </row>
    <row r="12" spans="1:5" s="4" customFormat="1" x14ac:dyDescent="0.25">
      <c r="B12" s="39" t="s">
        <v>13</v>
      </c>
      <c r="C12" s="25" t="s">
        <v>18</v>
      </c>
      <c r="D12" s="40"/>
    </row>
    <row r="13" spans="1:5" s="4" customFormat="1" x14ac:dyDescent="0.25">
      <c r="B13" s="39" t="s">
        <v>19</v>
      </c>
      <c r="C13" s="39" t="s">
        <v>20</v>
      </c>
      <c r="D13" s="25" t="s">
        <v>21</v>
      </c>
    </row>
    <row r="14" spans="1:5" s="4" customFormat="1" x14ac:dyDescent="0.25">
      <c r="B14" s="39" t="s">
        <v>19</v>
      </c>
      <c r="C14" s="39" t="s">
        <v>22</v>
      </c>
      <c r="D14" s="117" t="s">
        <v>23</v>
      </c>
    </row>
    <row r="15" spans="1:5" s="4" customFormat="1" x14ac:dyDescent="0.25">
      <c r="B15" s="39" t="s">
        <v>24</v>
      </c>
      <c r="C15" s="39" t="s">
        <v>25</v>
      </c>
      <c r="D15" s="25" t="s">
        <v>26</v>
      </c>
    </row>
    <row r="16" spans="1:5" s="4" customFormat="1" x14ac:dyDescent="0.25">
      <c r="B16" s="39" t="s">
        <v>24</v>
      </c>
      <c r="C16" s="39" t="s">
        <v>27</v>
      </c>
      <c r="D16" s="40" t="s">
        <v>28</v>
      </c>
    </row>
    <row r="17" spans="2:4" s="4" customFormat="1" x14ac:dyDescent="0.25">
      <c r="B17" s="39" t="s">
        <v>29</v>
      </c>
      <c r="C17" s="39" t="s">
        <v>30</v>
      </c>
      <c r="D17" s="361" t="s">
        <v>31</v>
      </c>
    </row>
    <row r="18" spans="2:4" s="4" customFormat="1" x14ac:dyDescent="0.25">
      <c r="B18" s="49" t="s">
        <v>29</v>
      </c>
      <c r="C18" s="49" t="s">
        <v>32</v>
      </c>
      <c r="D18" s="362" t="s">
        <v>33</v>
      </c>
    </row>
    <row r="19" spans="2:4" s="4" customFormat="1" x14ac:dyDescent="0.25">
      <c r="B19" s="39" t="s">
        <v>29</v>
      </c>
      <c r="C19" s="39" t="s">
        <v>34</v>
      </c>
      <c r="D19" s="361" t="s">
        <v>35</v>
      </c>
    </row>
    <row r="20" spans="2:4" s="4" customFormat="1" x14ac:dyDescent="0.25">
      <c r="B20" s="49" t="s">
        <v>29</v>
      </c>
      <c r="C20" s="49" t="s">
        <v>36</v>
      </c>
      <c r="D20" s="362" t="s">
        <v>37</v>
      </c>
    </row>
    <row r="21" spans="2:4" s="4" customFormat="1" x14ac:dyDescent="0.25">
      <c r="B21" s="39" t="s">
        <v>29</v>
      </c>
      <c r="C21" s="39" t="s">
        <v>38</v>
      </c>
      <c r="D21" s="361" t="s">
        <v>39</v>
      </c>
    </row>
    <row r="22" spans="2:4" s="4" customFormat="1" x14ac:dyDescent="0.25">
      <c r="B22" s="39" t="s">
        <v>29</v>
      </c>
      <c r="C22" s="25" t="s">
        <v>40</v>
      </c>
      <c r="D22" s="40"/>
    </row>
    <row r="23" spans="2:4" s="4" customFormat="1" x14ac:dyDescent="0.25">
      <c r="B23" s="39" t="s">
        <v>29</v>
      </c>
      <c r="C23" s="25" t="s">
        <v>41</v>
      </c>
      <c r="D23" s="40"/>
    </row>
    <row r="24" spans="2:4" s="4" customFormat="1" x14ac:dyDescent="0.25">
      <c r="B24" s="39" t="s">
        <v>29</v>
      </c>
      <c r="C24" s="25" t="s">
        <v>42</v>
      </c>
      <c r="D24" s="40"/>
    </row>
    <row r="25" spans="2:4" s="4" customFormat="1" x14ac:dyDescent="0.25">
      <c r="B25" s="39" t="s">
        <v>43</v>
      </c>
      <c r="C25" s="39" t="s">
        <v>44</v>
      </c>
      <c r="D25" s="25" t="s">
        <v>45</v>
      </c>
    </row>
    <row r="26" spans="2:4" s="4" customFormat="1" x14ac:dyDescent="0.25">
      <c r="B26" s="39" t="s">
        <v>43</v>
      </c>
      <c r="C26" s="39" t="s">
        <v>46</v>
      </c>
      <c r="D26" s="25" t="s">
        <v>47</v>
      </c>
    </row>
    <row r="27" spans="2:4" s="4" customFormat="1" x14ac:dyDescent="0.25">
      <c r="B27" s="39" t="s">
        <v>48</v>
      </c>
      <c r="C27" s="39" t="s">
        <v>49</v>
      </c>
      <c r="D27" s="25" t="s">
        <v>50</v>
      </c>
    </row>
    <row r="28" spans="2:4" s="4" customFormat="1" x14ac:dyDescent="0.25">
      <c r="B28" s="39" t="s">
        <v>48</v>
      </c>
      <c r="C28" s="39" t="s">
        <v>51</v>
      </c>
      <c r="D28" s="25" t="s">
        <v>52</v>
      </c>
    </row>
    <row r="29" spans="2:4" s="4" customFormat="1" x14ac:dyDescent="0.25">
      <c r="B29" s="39" t="s">
        <v>48</v>
      </c>
      <c r="C29" s="39" t="s">
        <v>53</v>
      </c>
      <c r="D29" s="40" t="s">
        <v>54</v>
      </c>
    </row>
    <row r="30" spans="2:4" s="4" customFormat="1" x14ac:dyDescent="0.25">
      <c r="B30" s="39" t="s">
        <v>48</v>
      </c>
      <c r="C30" s="39" t="s">
        <v>55</v>
      </c>
      <c r="D30" s="40"/>
    </row>
    <row r="31" spans="2:4" s="4" customFormat="1" x14ac:dyDescent="0.25">
      <c r="B31" s="39" t="s">
        <v>48</v>
      </c>
      <c r="C31" s="39" t="s">
        <v>56</v>
      </c>
      <c r="D31" s="40"/>
    </row>
    <row r="32" spans="2:4" s="4" customFormat="1" x14ac:dyDescent="0.25">
      <c r="B32" s="39" t="s">
        <v>48</v>
      </c>
      <c r="C32" s="39" t="s">
        <v>57</v>
      </c>
      <c r="D32" s="40"/>
    </row>
    <row r="33" spans="2:4" s="4" customFormat="1" x14ac:dyDescent="0.25">
      <c r="B33" s="39" t="s">
        <v>58</v>
      </c>
      <c r="C33" s="39" t="s">
        <v>59</v>
      </c>
      <c r="D33" s="362" t="s">
        <v>60</v>
      </c>
    </row>
    <row r="34" spans="2:4" s="4" customFormat="1" x14ac:dyDescent="0.25">
      <c r="B34" s="39" t="s">
        <v>58</v>
      </c>
      <c r="C34" s="39" t="s">
        <v>61</v>
      </c>
      <c r="D34" s="361" t="s">
        <v>62</v>
      </c>
    </row>
    <row r="35" spans="2:4" s="4" customFormat="1" x14ac:dyDescent="0.25">
      <c r="B35" s="39" t="s">
        <v>58</v>
      </c>
      <c r="C35" s="39" t="s">
        <v>63</v>
      </c>
      <c r="D35" s="362" t="s">
        <v>64</v>
      </c>
    </row>
    <row r="36" spans="2:4" s="4" customFormat="1" x14ac:dyDescent="0.25">
      <c r="B36" s="39" t="s">
        <v>65</v>
      </c>
      <c r="C36" s="39" t="s">
        <v>66</v>
      </c>
      <c r="D36" s="40" t="s">
        <v>67</v>
      </c>
    </row>
    <row r="37" spans="2:4" s="4" customFormat="1" x14ac:dyDescent="0.25">
      <c r="B37" s="39" t="s">
        <v>65</v>
      </c>
      <c r="C37" s="39" t="s">
        <v>68</v>
      </c>
      <c r="D37" s="25"/>
    </row>
    <row r="38" spans="2:4" s="4" customFormat="1" x14ac:dyDescent="0.25">
      <c r="B38" s="39" t="s">
        <v>69</v>
      </c>
      <c r="C38" s="39" t="s">
        <v>70</v>
      </c>
      <c r="D38" s="40"/>
    </row>
    <row r="39" spans="2:4" s="4" customFormat="1" x14ac:dyDescent="0.25">
      <c r="B39" s="39" t="s">
        <v>69</v>
      </c>
      <c r="C39" s="25" t="s">
        <v>71</v>
      </c>
      <c r="D39" s="40"/>
    </row>
    <row r="40" spans="2:4" s="4" customFormat="1" x14ac:dyDescent="0.25">
      <c r="B40" s="39" t="s">
        <v>72</v>
      </c>
      <c r="C40" s="39" t="s">
        <v>73</v>
      </c>
      <c r="D40" s="25" t="s">
        <v>74</v>
      </c>
    </row>
    <row r="41" spans="2:4" s="4" customFormat="1" x14ac:dyDescent="0.25">
      <c r="B41" s="39" t="s">
        <v>72</v>
      </c>
      <c r="C41" s="39" t="s">
        <v>75</v>
      </c>
      <c r="D41" s="25" t="s">
        <v>76</v>
      </c>
    </row>
    <row r="42" spans="2:4" s="4" customFormat="1" x14ac:dyDescent="0.25">
      <c r="B42" s="39" t="s">
        <v>77</v>
      </c>
      <c r="C42" s="363" t="s">
        <v>78</v>
      </c>
      <c r="D42" s="40" t="s">
        <v>79</v>
      </c>
    </row>
    <row r="43" spans="2:4" s="4" customFormat="1" x14ac:dyDescent="0.25">
      <c r="B43" s="39" t="s">
        <v>77</v>
      </c>
      <c r="C43" s="363" t="s">
        <v>80</v>
      </c>
      <c r="D43" s="25" t="s">
        <v>81</v>
      </c>
    </row>
    <row r="44" spans="2:4" s="4" customFormat="1" x14ac:dyDescent="0.25">
      <c r="B44" s="39" t="s">
        <v>82</v>
      </c>
      <c r="C44" s="363" t="s">
        <v>83</v>
      </c>
      <c r="D44" s="40" t="s">
        <v>84</v>
      </c>
    </row>
    <row r="45" spans="2:4" s="4" customFormat="1" x14ac:dyDescent="0.25">
      <c r="B45" s="39" t="s">
        <v>82</v>
      </c>
      <c r="C45" s="363" t="s">
        <v>85</v>
      </c>
      <c r="D45" s="40" t="s">
        <v>86</v>
      </c>
    </row>
    <row r="46" spans="2:4" s="4" customFormat="1" x14ac:dyDescent="0.25">
      <c r="B46" s="39" t="s">
        <v>87</v>
      </c>
      <c r="C46" s="363" t="s">
        <v>88</v>
      </c>
      <c r="D46" s="25" t="s">
        <v>89</v>
      </c>
    </row>
    <row r="47" spans="2:4" s="4" customFormat="1" x14ac:dyDescent="0.25">
      <c r="B47" s="39" t="s">
        <v>87</v>
      </c>
      <c r="C47" s="363" t="s">
        <v>90</v>
      </c>
      <c r="D47" s="25" t="s">
        <v>91</v>
      </c>
    </row>
    <row r="48" spans="2:4" s="4" customFormat="1" x14ac:dyDescent="0.25">
      <c r="B48" s="39" t="s">
        <v>87</v>
      </c>
      <c r="C48" s="363" t="s">
        <v>92</v>
      </c>
      <c r="D48" s="25" t="s">
        <v>93</v>
      </c>
    </row>
    <row r="49" spans="2:4" s="4" customFormat="1" x14ac:dyDescent="0.25">
      <c r="B49" s="39" t="s">
        <v>94</v>
      </c>
      <c r="C49" s="363" t="s">
        <v>95</v>
      </c>
      <c r="D49" s="25" t="s">
        <v>96</v>
      </c>
    </row>
    <row r="50" spans="2:4" s="4" customFormat="1" x14ac:dyDescent="0.25">
      <c r="B50" s="39" t="s">
        <v>94</v>
      </c>
      <c r="C50" s="363" t="s">
        <v>97</v>
      </c>
      <c r="D50" s="40" t="s">
        <v>98</v>
      </c>
    </row>
    <row r="51" spans="2:4" s="4" customFormat="1" x14ac:dyDescent="0.25">
      <c r="B51" s="39" t="s">
        <v>99</v>
      </c>
      <c r="C51" s="363" t="s">
        <v>100</v>
      </c>
      <c r="D51" s="40" t="s">
        <v>101</v>
      </c>
    </row>
    <row r="52" spans="2:4" s="4" customFormat="1" x14ac:dyDescent="0.25">
      <c r="B52" s="39" t="s">
        <v>99</v>
      </c>
      <c r="C52" s="363" t="s">
        <v>102</v>
      </c>
      <c r="D52" s="40" t="s">
        <v>103</v>
      </c>
    </row>
    <row r="53" spans="2:4" s="4" customFormat="1" x14ac:dyDescent="0.25">
      <c r="B53" s="39" t="s">
        <v>104</v>
      </c>
      <c r="C53" s="363" t="s">
        <v>105</v>
      </c>
      <c r="D53" s="25" t="s">
        <v>106</v>
      </c>
    </row>
    <row r="54" spans="2:4" s="4" customFormat="1" x14ac:dyDescent="0.25">
      <c r="B54" s="39" t="s">
        <v>104</v>
      </c>
      <c r="C54" s="363" t="s">
        <v>107</v>
      </c>
      <c r="D54" s="40" t="s">
        <v>108</v>
      </c>
    </row>
    <row r="55" spans="2:4" s="4" customFormat="1" x14ac:dyDescent="0.25">
      <c r="B55" s="39"/>
      <c r="C55" s="25"/>
      <c r="D55" s="40"/>
    </row>
    <row r="56" spans="2:4" s="4" customFormat="1" x14ac:dyDescent="0.25">
      <c r="B56" s="39"/>
      <c r="C56" s="25"/>
      <c r="D56" s="40"/>
    </row>
    <row r="57" spans="2:4" s="4" customFormat="1" x14ac:dyDescent="0.25">
      <c r="B57" s="39"/>
      <c r="C57" s="25"/>
      <c r="D57" s="40"/>
    </row>
    <row r="58" spans="2:4" s="4" customFormat="1" x14ac:dyDescent="0.25">
      <c r="B58" s="39"/>
      <c r="C58" s="25"/>
      <c r="D58" s="40"/>
    </row>
    <row r="59" spans="2:4" s="4" customFormat="1" x14ac:dyDescent="0.25">
      <c r="B59" s="39"/>
      <c r="C59" s="25"/>
      <c r="D59" s="40"/>
    </row>
    <row r="60" spans="2:4" s="4" customFormat="1" x14ac:dyDescent="0.25">
      <c r="B60" s="39"/>
      <c r="C60" s="25"/>
      <c r="D60" s="40"/>
    </row>
    <row r="61" spans="2:4" s="4" customFormat="1" x14ac:dyDescent="0.25">
      <c r="B61" s="39"/>
      <c r="C61" s="25"/>
      <c r="D61" s="40"/>
    </row>
    <row r="62" spans="2:4" s="4" customFormat="1" x14ac:dyDescent="0.25">
      <c r="B62" s="39"/>
      <c r="C62" s="25"/>
      <c r="D62" s="40"/>
    </row>
    <row r="63" spans="2:4" s="4" customFormat="1" x14ac:dyDescent="0.25">
      <c r="B63" s="39"/>
      <c r="C63" s="25"/>
      <c r="D63" s="40"/>
    </row>
    <row r="64" spans="2:4" s="4" customFormat="1" x14ac:dyDescent="0.25">
      <c r="B64" s="39"/>
      <c r="C64" s="25"/>
      <c r="D64" s="40"/>
    </row>
    <row r="65" spans="2:4" s="4" customFormat="1" x14ac:dyDescent="0.25">
      <c r="B65" s="39"/>
      <c r="C65" s="25"/>
      <c r="D65" s="40"/>
    </row>
    <row r="66" spans="2:4" s="4" customFormat="1" x14ac:dyDescent="0.25">
      <c r="B66" s="39"/>
      <c r="C66" s="25"/>
      <c r="D66" s="40"/>
    </row>
    <row r="67" spans="2:4" s="4" customFormat="1" x14ac:dyDescent="0.25">
      <c r="B67" s="39"/>
      <c r="C67" s="25"/>
      <c r="D67" s="40"/>
    </row>
    <row r="68" spans="2:4" s="4" customFormat="1" x14ac:dyDescent="0.25">
      <c r="B68" s="39"/>
      <c r="C68" s="25"/>
      <c r="D68" s="40"/>
    </row>
    <row r="69" spans="2:4" s="4" customFormat="1" x14ac:dyDescent="0.25">
      <c r="B69" s="39"/>
      <c r="C69" s="25"/>
      <c r="D69" s="40"/>
    </row>
    <row r="70" spans="2:4" s="4" customFormat="1" x14ac:dyDescent="0.25">
      <c r="B70" s="44"/>
      <c r="C70" s="45"/>
      <c r="D70" s="46"/>
    </row>
    <row r="71" spans="2:4" s="4" customFormat="1" x14ac:dyDescent="0.25">
      <c r="B71" s="25"/>
      <c r="C71" s="25"/>
      <c r="D71" s="25"/>
    </row>
    <row r="72" spans="2:4" s="4" customFormat="1" x14ac:dyDescent="0.25">
      <c r="B72" s="25"/>
      <c r="C72" s="25"/>
      <c r="D72" s="25"/>
    </row>
    <row r="73" spans="2:4" s="4" customFormat="1" x14ac:dyDescent="0.25">
      <c r="B73" s="25"/>
      <c r="C73" s="25"/>
      <c r="D73" s="25"/>
    </row>
    <row r="74" spans="2:4" s="4" customFormat="1" x14ac:dyDescent="0.25">
      <c r="B74" s="25"/>
      <c r="C74" s="25"/>
      <c r="D74" s="25"/>
    </row>
    <row r="75" spans="2:4" s="4" customFormat="1" x14ac:dyDescent="0.25">
      <c r="B75" s="25"/>
      <c r="C75" s="25"/>
      <c r="D75" s="25"/>
    </row>
    <row r="76" spans="2:4" s="4" customFormat="1" x14ac:dyDescent="0.25">
      <c r="B76" s="25"/>
      <c r="C76" s="25"/>
      <c r="D76" s="25"/>
    </row>
    <row r="77" spans="2:4" s="4" customFormat="1" x14ac:dyDescent="0.25">
      <c r="B77" s="25"/>
      <c r="C77" s="25"/>
      <c r="D77" s="25"/>
    </row>
    <row r="78" spans="2:4" s="4" customFormat="1" x14ac:dyDescent="0.25">
      <c r="B78" s="25"/>
      <c r="C78" s="25"/>
      <c r="D78" s="25"/>
    </row>
    <row r="79" spans="2:4" s="4" customFormat="1" x14ac:dyDescent="0.25">
      <c r="B79" s="25"/>
      <c r="C79" s="25"/>
      <c r="D79" s="25"/>
    </row>
    <row r="80" spans="2:4" s="4" customFormat="1" x14ac:dyDescent="0.25">
      <c r="B80" s="25"/>
      <c r="C80" s="25"/>
      <c r="D80" s="25"/>
    </row>
    <row r="81" spans="2:4" s="4" customFormat="1" x14ac:dyDescent="0.25">
      <c r="B81" s="25"/>
      <c r="C81" s="25"/>
      <c r="D81" s="25"/>
    </row>
    <row r="82" spans="2:4" s="4" customFormat="1" x14ac:dyDescent="0.25">
      <c r="B82" s="25"/>
      <c r="C82" s="25"/>
      <c r="D82" s="25"/>
    </row>
    <row r="83" spans="2:4" s="4" customFormat="1" x14ac:dyDescent="0.25">
      <c r="B83" s="25"/>
      <c r="C83" s="25"/>
      <c r="D83" s="25"/>
    </row>
    <row r="84" spans="2:4" s="4" customFormat="1" x14ac:dyDescent="0.25">
      <c r="B84" s="25"/>
      <c r="C84" s="25"/>
      <c r="D84" s="25"/>
    </row>
    <row r="85" spans="2:4" s="4" customFormat="1" x14ac:dyDescent="0.25">
      <c r="B85" s="25"/>
      <c r="C85" s="25"/>
      <c r="D85" s="25"/>
    </row>
    <row r="86" spans="2:4" s="4" customFormat="1" x14ac:dyDescent="0.25">
      <c r="B86" s="25"/>
      <c r="C86" s="25"/>
      <c r="D86" s="25"/>
    </row>
    <row r="87" spans="2:4" s="4" customFormat="1" x14ac:dyDescent="0.25">
      <c r="B87" s="25"/>
      <c r="C87" s="25"/>
      <c r="D87" s="25"/>
    </row>
    <row r="88" spans="2:4" s="4" customFormat="1" x14ac:dyDescent="0.25">
      <c r="B88" s="25"/>
      <c r="C88" s="25"/>
      <c r="D88" s="25"/>
    </row>
    <row r="89" spans="2:4" s="4" customFormat="1" x14ac:dyDescent="0.25">
      <c r="B89" s="25"/>
      <c r="C89" s="25"/>
      <c r="D89" s="25"/>
    </row>
    <row r="90" spans="2:4" s="4" customFormat="1" x14ac:dyDescent="0.25">
      <c r="B90" s="25"/>
      <c r="C90" s="25"/>
      <c r="D90" s="25"/>
    </row>
    <row r="91" spans="2:4" s="4" customFormat="1" x14ac:dyDescent="0.25">
      <c r="B91" s="25"/>
      <c r="C91" s="25"/>
      <c r="D91" s="25"/>
    </row>
    <row r="92" spans="2:4" s="4" customFormat="1" x14ac:dyDescent="0.25">
      <c r="B92" s="25"/>
      <c r="C92" s="25"/>
      <c r="D92" s="25"/>
    </row>
    <row r="93" spans="2:4" s="4" customFormat="1" x14ac:dyDescent="0.25">
      <c r="B93" s="25"/>
      <c r="C93" s="25"/>
      <c r="D93" s="25"/>
    </row>
    <row r="94" spans="2:4" s="4" customFormat="1" x14ac:dyDescent="0.25">
      <c r="B94" s="25"/>
      <c r="C94" s="25"/>
      <c r="D94" s="25"/>
    </row>
    <row r="95" spans="2:4" s="4" customFormat="1" x14ac:dyDescent="0.25">
      <c r="B95" s="25"/>
      <c r="C95" s="25"/>
      <c r="D95" s="25"/>
    </row>
    <row r="96" spans="2:4" s="4" customFormat="1" x14ac:dyDescent="0.25">
      <c r="B96" s="25"/>
      <c r="C96" s="25"/>
      <c r="D96" s="25"/>
    </row>
    <row r="97" spans="2:4" s="4" customFormat="1" x14ac:dyDescent="0.25">
      <c r="B97" s="25"/>
      <c r="C97" s="25"/>
      <c r="D97" s="25"/>
    </row>
    <row r="98" spans="2:4" s="4" customFormat="1" x14ac:dyDescent="0.25">
      <c r="B98" s="25"/>
      <c r="C98" s="25"/>
      <c r="D98" s="25"/>
    </row>
    <row r="99" spans="2:4" s="4" customFormat="1" x14ac:dyDescent="0.25">
      <c r="B99" s="25"/>
      <c r="C99" s="25"/>
      <c r="D99" s="25"/>
    </row>
    <row r="100" spans="2:4" s="4" customFormat="1" x14ac:dyDescent="0.25">
      <c r="B100" s="25"/>
      <c r="C100" s="25"/>
      <c r="D100" s="25"/>
    </row>
    <row r="101" spans="2:4" s="4" customFormat="1" x14ac:dyDescent="0.25">
      <c r="B101" s="25"/>
      <c r="C101" s="25"/>
      <c r="D101" s="25"/>
    </row>
    <row r="102" spans="2:4" s="4" customFormat="1" x14ac:dyDescent="0.25">
      <c r="B102" s="25"/>
      <c r="C102" s="25"/>
      <c r="D102" s="25"/>
    </row>
    <row r="103" spans="2:4" s="4" customFormat="1" x14ac:dyDescent="0.25">
      <c r="B103" s="25"/>
      <c r="C103" s="25"/>
      <c r="D103" s="25"/>
    </row>
    <row r="104" spans="2:4" s="4" customFormat="1" x14ac:dyDescent="0.25">
      <c r="B104" s="25"/>
      <c r="C104" s="25"/>
      <c r="D104" s="25"/>
    </row>
    <row r="105" spans="2:4" s="4" customFormat="1" x14ac:dyDescent="0.25">
      <c r="B105" s="25"/>
      <c r="C105" s="25"/>
      <c r="D105" s="25"/>
    </row>
    <row r="106" spans="2:4" s="4" customFormat="1" x14ac:dyDescent="0.25">
      <c r="B106" s="25"/>
      <c r="C106" s="25"/>
      <c r="D106" s="25"/>
    </row>
    <row r="107" spans="2:4" s="4" customFormat="1" x14ac:dyDescent="0.25">
      <c r="B107" s="25"/>
      <c r="C107" s="25"/>
      <c r="D107" s="25"/>
    </row>
    <row r="108" spans="2:4" s="4" customFormat="1" x14ac:dyDescent="0.25">
      <c r="B108" s="25"/>
      <c r="C108" s="25"/>
      <c r="D108" s="25"/>
    </row>
    <row r="109" spans="2:4" s="4" customFormat="1" x14ac:dyDescent="0.25">
      <c r="B109" s="25"/>
      <c r="C109" s="25"/>
      <c r="D109" s="25"/>
    </row>
    <row r="110" spans="2:4" s="4" customFormat="1" x14ac:dyDescent="0.25">
      <c r="B110" s="25"/>
      <c r="C110" s="25"/>
      <c r="D110" s="25"/>
    </row>
    <row r="111" spans="2:4" s="4" customFormat="1" x14ac:dyDescent="0.25">
      <c r="B111" s="25"/>
      <c r="C111" s="25"/>
      <c r="D111" s="25"/>
    </row>
    <row r="112" spans="2:4" s="4" customFormat="1" x14ac:dyDescent="0.25">
      <c r="B112" s="25"/>
      <c r="C112" s="25"/>
      <c r="D112" s="25"/>
    </row>
    <row r="113" spans="2:4" s="4" customFormat="1" x14ac:dyDescent="0.25">
      <c r="B113" s="25"/>
      <c r="C113" s="25"/>
      <c r="D113" s="25"/>
    </row>
    <row r="114" spans="2:4" s="4" customFormat="1" x14ac:dyDescent="0.25">
      <c r="B114" s="25"/>
      <c r="C114" s="25"/>
      <c r="D114" s="25"/>
    </row>
    <row r="115" spans="2:4" s="4" customFormat="1" x14ac:dyDescent="0.25">
      <c r="B115" s="25"/>
      <c r="C115" s="25"/>
      <c r="D115" s="25"/>
    </row>
    <row r="116" spans="2:4" s="4" customFormat="1" x14ac:dyDescent="0.25">
      <c r="B116" s="25"/>
      <c r="C116" s="25"/>
      <c r="D116" s="25"/>
    </row>
    <row r="117" spans="2:4" s="4" customFormat="1" x14ac:dyDescent="0.25">
      <c r="B117" s="25"/>
      <c r="C117" s="25"/>
      <c r="D117" s="25"/>
    </row>
    <row r="118" spans="2:4" s="4" customFormat="1" x14ac:dyDescent="0.25">
      <c r="B118" s="25"/>
      <c r="C118" s="25"/>
      <c r="D118" s="25"/>
    </row>
    <row r="119" spans="2:4" s="4" customFormat="1" x14ac:dyDescent="0.25">
      <c r="B119" s="25"/>
      <c r="C119" s="25"/>
      <c r="D119" s="25"/>
    </row>
    <row r="120" spans="2:4" s="4" customFormat="1" x14ac:dyDescent="0.25">
      <c r="B120" s="25"/>
      <c r="C120" s="25"/>
      <c r="D120" s="25"/>
    </row>
    <row r="121" spans="2:4" s="4" customFormat="1" x14ac:dyDescent="0.25">
      <c r="B121" s="25"/>
      <c r="C121" s="25"/>
      <c r="D121" s="25"/>
    </row>
    <row r="122" spans="2:4" s="4" customFormat="1" x14ac:dyDescent="0.25">
      <c r="B122" s="25"/>
      <c r="C122" s="25"/>
      <c r="D122" s="25"/>
    </row>
    <row r="123" spans="2:4" s="4" customFormat="1" x14ac:dyDescent="0.25">
      <c r="B123" s="25"/>
      <c r="C123" s="25"/>
      <c r="D123" s="25"/>
    </row>
    <row r="124" spans="2:4" s="4" customFormat="1" x14ac:dyDescent="0.25">
      <c r="B124" s="25"/>
      <c r="C124" s="25"/>
      <c r="D124" s="25"/>
    </row>
    <row r="125" spans="2:4" s="4" customFormat="1" x14ac:dyDescent="0.25">
      <c r="B125" s="25"/>
      <c r="C125" s="25"/>
      <c r="D125" s="25"/>
    </row>
    <row r="126" spans="2:4" s="4" customFormat="1" x14ac:dyDescent="0.25">
      <c r="B126" s="25"/>
      <c r="C126" s="25"/>
      <c r="D126" s="25"/>
    </row>
    <row r="127" spans="2:4" s="4" customFormat="1" x14ac:dyDescent="0.25">
      <c r="B127" s="25"/>
      <c r="C127" s="25"/>
      <c r="D127" s="25"/>
    </row>
    <row r="128" spans="2:4" s="4" customFormat="1" x14ac:dyDescent="0.25">
      <c r="B128" s="25"/>
      <c r="C128" s="25"/>
      <c r="D128" s="25"/>
    </row>
    <row r="129" spans="2:4" s="4" customFormat="1" x14ac:dyDescent="0.25">
      <c r="B129" s="25"/>
      <c r="C129" s="25"/>
      <c r="D129" s="25"/>
    </row>
    <row r="130" spans="2:4" s="4" customFormat="1" x14ac:dyDescent="0.25">
      <c r="B130" s="25"/>
      <c r="C130" s="25"/>
      <c r="D130" s="25"/>
    </row>
    <row r="131" spans="2:4" s="4" customFormat="1" x14ac:dyDescent="0.25">
      <c r="B131" s="25"/>
      <c r="C131" s="25"/>
      <c r="D131" s="25"/>
    </row>
    <row r="132" spans="2:4" s="4" customFormat="1" x14ac:dyDescent="0.25">
      <c r="B132" s="25"/>
      <c r="C132" s="25"/>
      <c r="D132" s="25"/>
    </row>
    <row r="133" spans="2:4" s="4" customFormat="1" x14ac:dyDescent="0.25">
      <c r="B133" s="25"/>
      <c r="C133" s="25"/>
      <c r="D133" s="25"/>
    </row>
    <row r="134" spans="2:4" s="4" customFormat="1" x14ac:dyDescent="0.25">
      <c r="B134" s="25"/>
      <c r="C134" s="25"/>
      <c r="D134" s="25"/>
    </row>
    <row r="135" spans="2:4" s="4" customFormat="1" x14ac:dyDescent="0.25">
      <c r="B135" s="25"/>
      <c r="C135" s="25"/>
      <c r="D135" s="25"/>
    </row>
    <row r="136" spans="2:4" s="4" customFormat="1" x14ac:dyDescent="0.25">
      <c r="B136" s="25"/>
      <c r="C136" s="25"/>
      <c r="D136" s="25"/>
    </row>
    <row r="137" spans="2:4" s="4" customFormat="1" x14ac:dyDescent="0.25">
      <c r="B137" s="25"/>
      <c r="C137" s="25"/>
      <c r="D137" s="25"/>
    </row>
    <row r="138" spans="2:4" s="4" customFormat="1" x14ac:dyDescent="0.25">
      <c r="B138" s="25"/>
      <c r="C138" s="25"/>
      <c r="D138" s="25"/>
    </row>
    <row r="139" spans="2:4" s="4" customFormat="1" x14ac:dyDescent="0.25">
      <c r="B139" s="25"/>
      <c r="C139" s="25"/>
      <c r="D139" s="25"/>
    </row>
    <row r="140" spans="2:4" s="4" customFormat="1" x14ac:dyDescent="0.25">
      <c r="B140" s="25"/>
      <c r="C140" s="25"/>
      <c r="D140" s="25"/>
    </row>
    <row r="141" spans="2:4" s="4" customFormat="1" x14ac:dyDescent="0.25">
      <c r="B141" s="25"/>
      <c r="C141" s="25"/>
      <c r="D141" s="25"/>
    </row>
    <row r="142" spans="2:4" s="4" customFormat="1" x14ac:dyDescent="0.25">
      <c r="B142" s="25"/>
      <c r="C142" s="25"/>
      <c r="D142" s="25"/>
    </row>
    <row r="143" spans="2:4" s="4" customFormat="1" x14ac:dyDescent="0.25">
      <c r="B143" s="25"/>
      <c r="C143" s="25"/>
      <c r="D143" s="25"/>
    </row>
    <row r="144" spans="2:4" s="4" customFormat="1" x14ac:dyDescent="0.25">
      <c r="B144" s="25"/>
      <c r="C144" s="25"/>
      <c r="D144" s="25"/>
    </row>
    <row r="145" spans="2:4" s="4" customFormat="1" x14ac:dyDescent="0.25">
      <c r="B145" s="25"/>
      <c r="C145" s="25"/>
      <c r="D145" s="25"/>
    </row>
    <row r="146" spans="2:4" s="4" customFormat="1" x14ac:dyDescent="0.25">
      <c r="B146" s="25"/>
      <c r="C146" s="25"/>
      <c r="D146" s="25"/>
    </row>
    <row r="147" spans="2:4" s="4" customFormat="1" x14ac:dyDescent="0.25">
      <c r="B147" s="25"/>
      <c r="C147" s="25"/>
      <c r="D147" s="25"/>
    </row>
    <row r="148" spans="2:4" s="4" customFormat="1" x14ac:dyDescent="0.25">
      <c r="B148" s="25"/>
      <c r="C148" s="25"/>
      <c r="D148" s="25"/>
    </row>
    <row r="149" spans="2:4" s="4" customFormat="1" x14ac:dyDescent="0.25">
      <c r="B149" s="25"/>
      <c r="C149" s="25"/>
      <c r="D149" s="25"/>
    </row>
    <row r="150" spans="2:4" s="4" customFormat="1" x14ac:dyDescent="0.25">
      <c r="B150" s="25"/>
      <c r="C150" s="25"/>
      <c r="D150" s="25"/>
    </row>
    <row r="151" spans="2:4" s="4" customFormat="1" x14ac:dyDescent="0.25">
      <c r="B151" s="25"/>
      <c r="C151" s="25"/>
      <c r="D151" s="25"/>
    </row>
    <row r="152" spans="2:4" s="4" customFormat="1" x14ac:dyDescent="0.25">
      <c r="B152" s="25"/>
      <c r="C152" s="25"/>
      <c r="D152" s="25"/>
    </row>
    <row r="153" spans="2:4" s="4" customFormat="1" x14ac:dyDescent="0.25">
      <c r="B153" s="25"/>
      <c r="C153" s="25"/>
      <c r="D153" s="25"/>
    </row>
    <row r="154" spans="2:4" s="4" customFormat="1" x14ac:dyDescent="0.25">
      <c r="B154" s="25"/>
      <c r="C154" s="25"/>
      <c r="D154" s="25"/>
    </row>
    <row r="155" spans="2:4" s="4" customFormat="1" x14ac:dyDescent="0.25">
      <c r="B155" s="25"/>
      <c r="C155" s="25"/>
      <c r="D155" s="25"/>
    </row>
    <row r="156" spans="2:4" s="4" customFormat="1" x14ac:dyDescent="0.25">
      <c r="B156" s="25"/>
      <c r="C156" s="25"/>
      <c r="D156" s="25"/>
    </row>
    <row r="157" spans="2:4" s="4" customFormat="1" x14ac:dyDescent="0.25">
      <c r="B157" s="25"/>
      <c r="C157" s="25"/>
      <c r="D157" s="25"/>
    </row>
    <row r="158" spans="2:4" s="4" customFormat="1" x14ac:dyDescent="0.25">
      <c r="B158" s="25"/>
      <c r="C158" s="25"/>
      <c r="D158" s="25"/>
    </row>
    <row r="159" spans="2:4" s="4" customFormat="1" x14ac:dyDescent="0.25">
      <c r="B159" s="25"/>
      <c r="C159" s="25"/>
      <c r="D159" s="25"/>
    </row>
    <row r="160" spans="2:4" s="4" customFormat="1" x14ac:dyDescent="0.25">
      <c r="B160" s="25"/>
      <c r="C160" s="25"/>
      <c r="D160" s="25"/>
    </row>
    <row r="161" spans="2:4" s="4" customFormat="1" x14ac:dyDescent="0.25">
      <c r="B161" s="25"/>
      <c r="C161" s="25"/>
      <c r="D161" s="25"/>
    </row>
    <row r="162" spans="2:4" s="4" customFormat="1" x14ac:dyDescent="0.25">
      <c r="B162" s="25"/>
      <c r="C162" s="25"/>
      <c r="D162" s="25"/>
    </row>
    <row r="163" spans="2:4" s="4" customFormat="1" x14ac:dyDescent="0.25">
      <c r="B163" s="25"/>
      <c r="C163" s="25"/>
      <c r="D163" s="25"/>
    </row>
    <row r="164" spans="2:4" s="4" customFormat="1" x14ac:dyDescent="0.25">
      <c r="B164" s="25"/>
      <c r="C164" s="25"/>
      <c r="D164" s="25"/>
    </row>
    <row r="165" spans="2:4" s="4" customFormat="1" x14ac:dyDescent="0.25">
      <c r="B165" s="25"/>
      <c r="C165" s="25"/>
      <c r="D165" s="25"/>
    </row>
    <row r="166" spans="2:4" s="4" customFormat="1" x14ac:dyDescent="0.25">
      <c r="B166" s="25"/>
      <c r="C166" s="25"/>
      <c r="D166" s="25"/>
    </row>
    <row r="167" spans="2:4" s="4" customFormat="1" x14ac:dyDescent="0.25">
      <c r="B167" s="25"/>
      <c r="C167" s="25"/>
      <c r="D167" s="25"/>
    </row>
    <row r="168" spans="2:4" s="4" customFormat="1" x14ac:dyDescent="0.25">
      <c r="B168" s="25"/>
      <c r="C168" s="25"/>
      <c r="D168" s="25"/>
    </row>
    <row r="169" spans="2:4" s="4" customFormat="1" x14ac:dyDescent="0.25">
      <c r="B169" s="25"/>
      <c r="C169" s="25"/>
      <c r="D169" s="25"/>
    </row>
    <row r="170" spans="2:4" s="4" customFormat="1" x14ac:dyDescent="0.25">
      <c r="B170" s="25"/>
      <c r="C170" s="25"/>
      <c r="D170" s="25"/>
    </row>
    <row r="171" spans="2:4" s="4" customFormat="1" x14ac:dyDescent="0.25">
      <c r="B171" s="25"/>
      <c r="C171" s="25"/>
      <c r="D171" s="25"/>
    </row>
    <row r="172" spans="2:4" s="4" customFormat="1" x14ac:dyDescent="0.25">
      <c r="B172" s="25"/>
      <c r="C172" s="25"/>
      <c r="D172" s="25"/>
    </row>
    <row r="173" spans="2:4" s="4" customFormat="1" x14ac:dyDescent="0.25">
      <c r="B173" s="25"/>
      <c r="C173" s="25"/>
      <c r="D173" s="25"/>
    </row>
    <row r="174" spans="2:4" s="4" customFormat="1" x14ac:dyDescent="0.25">
      <c r="B174" s="25"/>
      <c r="C174" s="25"/>
      <c r="D174" s="25"/>
    </row>
    <row r="175" spans="2:4" s="4" customFormat="1" x14ac:dyDescent="0.25">
      <c r="B175" s="25"/>
      <c r="C175" s="25"/>
      <c r="D175" s="25"/>
    </row>
    <row r="176" spans="2:4" s="4" customFormat="1" x14ac:dyDescent="0.25">
      <c r="B176" s="25"/>
      <c r="C176" s="25"/>
      <c r="D176" s="25"/>
    </row>
    <row r="177" spans="2:4" s="4" customFormat="1" x14ac:dyDescent="0.25">
      <c r="B177" s="25"/>
      <c r="C177" s="25"/>
      <c r="D177" s="25"/>
    </row>
    <row r="178" spans="2:4" s="4" customFormat="1" x14ac:dyDescent="0.25">
      <c r="B178" s="25"/>
      <c r="C178" s="25"/>
      <c r="D178" s="25"/>
    </row>
    <row r="179" spans="2:4" s="4" customFormat="1" x14ac:dyDescent="0.25">
      <c r="B179" s="25"/>
      <c r="C179" s="25"/>
      <c r="D179" s="25"/>
    </row>
    <row r="180" spans="2:4" s="4" customFormat="1" x14ac:dyDescent="0.25">
      <c r="B180" s="25"/>
      <c r="C180" s="25"/>
      <c r="D180" s="25"/>
    </row>
    <row r="181" spans="2:4" s="4" customFormat="1" x14ac:dyDescent="0.25">
      <c r="B181" s="25"/>
      <c r="C181" s="25"/>
      <c r="D181" s="25"/>
    </row>
    <row r="182" spans="2:4" s="4" customFormat="1" x14ac:dyDescent="0.25">
      <c r="B182" s="25"/>
      <c r="C182" s="25"/>
      <c r="D182" s="25"/>
    </row>
    <row r="183" spans="2:4" s="4" customFormat="1" x14ac:dyDescent="0.25">
      <c r="B183" s="25"/>
      <c r="C183" s="25"/>
      <c r="D183" s="25"/>
    </row>
    <row r="184" spans="2:4" s="4" customFormat="1" x14ac:dyDescent="0.25">
      <c r="B184" s="25"/>
      <c r="C184" s="25"/>
      <c r="D184" s="25"/>
    </row>
    <row r="185" spans="2:4" s="4" customFormat="1" x14ac:dyDescent="0.25">
      <c r="B185" s="25"/>
      <c r="C185" s="25"/>
      <c r="D185" s="25"/>
    </row>
    <row r="186" spans="2:4" s="4" customFormat="1" x14ac:dyDescent="0.25">
      <c r="B186" s="25"/>
      <c r="C186" s="25"/>
      <c r="D186" s="25"/>
    </row>
    <row r="187" spans="2:4" s="4" customFormat="1" x14ac:dyDescent="0.25">
      <c r="B187" s="25"/>
      <c r="C187" s="25"/>
      <c r="D187" s="25"/>
    </row>
    <row r="188" spans="2:4" s="4" customFormat="1" x14ac:dyDescent="0.25">
      <c r="B188" s="25"/>
      <c r="C188" s="25"/>
      <c r="D188" s="25"/>
    </row>
    <row r="189" spans="2:4" s="4" customFormat="1" x14ac:dyDescent="0.25">
      <c r="B189" s="25"/>
      <c r="C189" s="25"/>
      <c r="D189" s="25"/>
    </row>
    <row r="190" spans="2:4" s="4" customFormat="1" x14ac:dyDescent="0.25">
      <c r="B190" s="25"/>
      <c r="C190" s="25"/>
      <c r="D190" s="25"/>
    </row>
    <row r="191" spans="2:4" s="4" customFormat="1" x14ac:dyDescent="0.25">
      <c r="B191" s="25"/>
      <c r="C191" s="25"/>
      <c r="D191" s="25"/>
    </row>
    <row r="192" spans="2:4" s="4" customFormat="1" x14ac:dyDescent="0.25">
      <c r="B192" s="25"/>
      <c r="C192" s="25"/>
      <c r="D192" s="25"/>
    </row>
    <row r="193" spans="2:4" s="4" customFormat="1" x14ac:dyDescent="0.25">
      <c r="B193" s="25"/>
      <c r="C193" s="25"/>
      <c r="D193" s="25"/>
    </row>
    <row r="194" spans="2:4" s="4" customFormat="1" x14ac:dyDescent="0.25">
      <c r="B194" s="25"/>
      <c r="C194" s="25"/>
      <c r="D194" s="25"/>
    </row>
    <row r="195" spans="2:4" s="4" customFormat="1" x14ac:dyDescent="0.25">
      <c r="B195" s="25"/>
      <c r="C195" s="25"/>
      <c r="D195" s="25"/>
    </row>
    <row r="196" spans="2:4" s="4" customFormat="1" x14ac:dyDescent="0.25">
      <c r="B196" s="25"/>
      <c r="C196" s="25"/>
      <c r="D196" s="25"/>
    </row>
    <row r="197" spans="2:4" s="4" customFormat="1" x14ac:dyDescent="0.25">
      <c r="B197" s="25"/>
      <c r="C197" s="25"/>
      <c r="D197" s="25"/>
    </row>
    <row r="198" spans="2:4" s="4" customFormat="1" x14ac:dyDescent="0.25">
      <c r="B198" s="25"/>
      <c r="C198" s="25"/>
      <c r="D198" s="25"/>
    </row>
    <row r="199" spans="2:4" s="4" customFormat="1" x14ac:dyDescent="0.25">
      <c r="B199" s="25"/>
      <c r="C199" s="25"/>
      <c r="D199" s="25"/>
    </row>
    <row r="200" spans="2:4" s="4" customFormat="1" x14ac:dyDescent="0.25">
      <c r="B200" s="25"/>
      <c r="C200" s="25"/>
      <c r="D200" s="25"/>
    </row>
    <row r="201" spans="2:4" s="4" customFormat="1" x14ac:dyDescent="0.25">
      <c r="B201" s="25"/>
      <c r="C201" s="25"/>
      <c r="D201" s="25"/>
    </row>
    <row r="202" spans="2:4" s="4" customFormat="1" x14ac:dyDescent="0.25">
      <c r="B202" s="25"/>
      <c r="C202" s="25"/>
      <c r="D202" s="25"/>
    </row>
    <row r="203" spans="2:4" s="4" customFormat="1" x14ac:dyDescent="0.25">
      <c r="B203" s="25"/>
      <c r="C203" s="25"/>
      <c r="D203" s="25"/>
    </row>
    <row r="204" spans="2:4" s="4" customFormat="1" x14ac:dyDescent="0.25">
      <c r="B204" s="25"/>
      <c r="C204" s="25"/>
      <c r="D204" s="25"/>
    </row>
    <row r="205" spans="2:4" s="4" customFormat="1" x14ac:dyDescent="0.25">
      <c r="B205" s="25"/>
      <c r="C205" s="25"/>
      <c r="D205" s="25"/>
    </row>
    <row r="206" spans="2:4" s="4" customFormat="1" x14ac:dyDescent="0.25">
      <c r="B206" s="25"/>
      <c r="C206" s="25"/>
      <c r="D206" s="25"/>
    </row>
    <row r="207" spans="2:4" s="4" customFormat="1" x14ac:dyDescent="0.25">
      <c r="B207" s="25"/>
      <c r="C207" s="25"/>
      <c r="D207" s="25"/>
    </row>
    <row r="208" spans="2:4" s="4" customFormat="1" x14ac:dyDescent="0.25">
      <c r="B208" s="25"/>
      <c r="C208" s="25"/>
      <c r="D208" s="25"/>
    </row>
    <row r="209" spans="2:4" s="4" customFormat="1" x14ac:dyDescent="0.25">
      <c r="B209" s="25"/>
      <c r="C209" s="25"/>
      <c r="D209" s="25"/>
    </row>
    <row r="210" spans="2:4" s="4" customFormat="1" x14ac:dyDescent="0.25">
      <c r="B210" s="25"/>
      <c r="C210" s="25"/>
      <c r="D210" s="25"/>
    </row>
    <row r="211" spans="2:4" s="4" customFormat="1" x14ac:dyDescent="0.25">
      <c r="B211" s="25"/>
      <c r="C211" s="25"/>
      <c r="D211" s="25"/>
    </row>
    <row r="212" spans="2:4" s="4" customFormat="1" x14ac:dyDescent="0.25">
      <c r="B212" s="25"/>
      <c r="C212" s="25"/>
      <c r="D212" s="25"/>
    </row>
    <row r="213" spans="2:4" s="4" customFormat="1" x14ac:dyDescent="0.25">
      <c r="B213" s="25"/>
      <c r="C213" s="25"/>
      <c r="D213" s="25"/>
    </row>
    <row r="214" spans="2:4" s="4" customFormat="1" x14ac:dyDescent="0.25">
      <c r="B214" s="25"/>
      <c r="C214" s="25"/>
      <c r="D214" s="25"/>
    </row>
    <row r="215" spans="2:4" s="4" customFormat="1" x14ac:dyDescent="0.25">
      <c r="B215" s="25"/>
      <c r="C215" s="25"/>
      <c r="D215" s="25"/>
    </row>
    <row r="216" spans="2:4" s="4" customFormat="1" x14ac:dyDescent="0.25">
      <c r="B216" s="25"/>
      <c r="C216" s="25"/>
      <c r="D216" s="25"/>
    </row>
    <row r="217" spans="2:4" s="4" customFormat="1" x14ac:dyDescent="0.25">
      <c r="B217" s="25"/>
      <c r="C217" s="25"/>
      <c r="D217" s="25"/>
    </row>
    <row r="218" spans="2:4" s="4" customFormat="1" x14ac:dyDescent="0.25">
      <c r="B218" s="25"/>
      <c r="C218" s="25"/>
      <c r="D218" s="25"/>
    </row>
    <row r="219" spans="2:4" s="4" customFormat="1" x14ac:dyDescent="0.25">
      <c r="B219" s="25"/>
      <c r="C219" s="25"/>
      <c r="D219" s="25"/>
    </row>
    <row r="220" spans="2:4" s="4" customFormat="1" x14ac:dyDescent="0.25">
      <c r="B220" s="25"/>
      <c r="C220" s="25"/>
      <c r="D220" s="25"/>
    </row>
    <row r="221" spans="2:4" s="4" customFormat="1" x14ac:dyDescent="0.25">
      <c r="B221" s="25"/>
      <c r="C221" s="25"/>
      <c r="D221" s="25"/>
    </row>
    <row r="222" spans="2:4" s="4" customFormat="1" x14ac:dyDescent="0.25">
      <c r="B222" s="25"/>
      <c r="C222" s="25"/>
      <c r="D222" s="25"/>
    </row>
    <row r="223" spans="2:4" s="4" customFormat="1" x14ac:dyDescent="0.25">
      <c r="B223" s="25"/>
      <c r="C223" s="25"/>
      <c r="D223" s="25"/>
    </row>
    <row r="224" spans="2:4" s="4" customFormat="1" x14ac:dyDescent="0.25">
      <c r="B224" s="25"/>
      <c r="C224" s="25"/>
      <c r="D224" s="25"/>
    </row>
    <row r="225" spans="2:4" s="4" customFormat="1" x14ac:dyDescent="0.25">
      <c r="B225" s="25"/>
      <c r="C225" s="25"/>
      <c r="D225" s="25"/>
    </row>
    <row r="226" spans="2:4" s="4" customFormat="1" x14ac:dyDescent="0.25">
      <c r="B226" s="25"/>
      <c r="C226" s="25"/>
      <c r="D226" s="25"/>
    </row>
    <row r="227" spans="2:4" s="4" customFormat="1" x14ac:dyDescent="0.25">
      <c r="B227" s="25"/>
      <c r="C227" s="25"/>
      <c r="D227" s="25"/>
    </row>
    <row r="228" spans="2:4" s="4" customFormat="1" x14ac:dyDescent="0.25">
      <c r="B228" s="25"/>
      <c r="C228" s="25"/>
      <c r="D228" s="25"/>
    </row>
    <row r="229" spans="2:4" s="4" customFormat="1" x14ac:dyDescent="0.25">
      <c r="B229" s="25"/>
      <c r="C229" s="25"/>
      <c r="D229" s="25"/>
    </row>
    <row r="230" spans="2:4" s="4" customFormat="1" x14ac:dyDescent="0.25">
      <c r="B230" s="25"/>
      <c r="C230" s="25"/>
      <c r="D230" s="25"/>
    </row>
    <row r="231" spans="2:4" s="4" customFormat="1" x14ac:dyDescent="0.25">
      <c r="B231" s="25"/>
      <c r="C231" s="25"/>
      <c r="D231" s="25"/>
    </row>
    <row r="232" spans="2:4" s="4" customFormat="1" x14ac:dyDescent="0.25">
      <c r="B232" s="25"/>
      <c r="C232" s="25"/>
      <c r="D232" s="25"/>
    </row>
    <row r="233" spans="2:4" s="4" customFormat="1" x14ac:dyDescent="0.25">
      <c r="B233" s="25"/>
      <c r="C233" s="25"/>
      <c r="D233" s="25"/>
    </row>
    <row r="234" spans="2:4" s="4" customFormat="1" x14ac:dyDescent="0.25">
      <c r="B234" s="25"/>
      <c r="C234" s="25"/>
      <c r="D234" s="25"/>
    </row>
    <row r="235" spans="2:4" s="4" customFormat="1" x14ac:dyDescent="0.25">
      <c r="B235" s="25"/>
      <c r="C235" s="25"/>
      <c r="D235" s="25"/>
    </row>
    <row r="236" spans="2:4" s="4" customFormat="1" x14ac:dyDescent="0.25">
      <c r="B236" s="25"/>
      <c r="C236" s="25"/>
      <c r="D236" s="25"/>
    </row>
    <row r="237" spans="2:4" s="4" customFormat="1" x14ac:dyDescent="0.25">
      <c r="B237" s="25"/>
      <c r="C237" s="25"/>
      <c r="D237" s="25"/>
    </row>
    <row r="238" spans="2:4" s="4" customFormat="1" x14ac:dyDescent="0.25">
      <c r="B238" s="25"/>
      <c r="C238" s="25"/>
      <c r="D238" s="25"/>
    </row>
    <row r="239" spans="2:4" s="4" customFormat="1" x14ac:dyDescent="0.25">
      <c r="B239" s="25"/>
      <c r="C239" s="25"/>
      <c r="D239" s="25"/>
    </row>
    <row r="240" spans="2:4" s="4" customFormat="1" x14ac:dyDescent="0.25">
      <c r="B240" s="25"/>
      <c r="C240" s="25"/>
      <c r="D240" s="25"/>
    </row>
    <row r="241" spans="2:4" s="4" customFormat="1" x14ac:dyDescent="0.25">
      <c r="B241" s="25"/>
      <c r="C241" s="25"/>
      <c r="D241" s="25"/>
    </row>
    <row r="242" spans="2:4" s="4" customFormat="1" x14ac:dyDescent="0.25">
      <c r="B242" s="25"/>
      <c r="C242" s="25"/>
      <c r="D242" s="25"/>
    </row>
    <row r="243" spans="2:4" s="4" customFormat="1" x14ac:dyDescent="0.25">
      <c r="B243" s="25"/>
      <c r="C243" s="25"/>
      <c r="D243" s="25"/>
    </row>
    <row r="244" spans="2:4" s="4" customFormat="1" x14ac:dyDescent="0.25">
      <c r="B244" s="25"/>
      <c r="C244" s="25"/>
      <c r="D244" s="25"/>
    </row>
    <row r="245" spans="2:4" s="4" customFormat="1" x14ac:dyDescent="0.25">
      <c r="B245" s="25"/>
      <c r="C245" s="25"/>
      <c r="D245" s="25"/>
    </row>
    <row r="246" spans="2:4" s="4" customFormat="1" x14ac:dyDescent="0.25">
      <c r="B246" s="25"/>
      <c r="C246" s="25"/>
      <c r="D246" s="25"/>
    </row>
    <row r="247" spans="2:4" s="4" customFormat="1" x14ac:dyDescent="0.25">
      <c r="B247" s="25"/>
      <c r="C247" s="25"/>
      <c r="D247" s="25"/>
    </row>
    <row r="248" spans="2:4" s="4" customFormat="1" x14ac:dyDescent="0.25">
      <c r="B248" s="25"/>
      <c r="C248" s="25"/>
      <c r="D248" s="25"/>
    </row>
    <row r="249" spans="2:4" s="4" customFormat="1" x14ac:dyDescent="0.25">
      <c r="B249" s="25"/>
      <c r="C249" s="25"/>
      <c r="D249" s="25"/>
    </row>
    <row r="250" spans="2:4" s="4" customFormat="1" x14ac:dyDescent="0.25">
      <c r="B250" s="25"/>
      <c r="C250" s="25"/>
      <c r="D250" s="25"/>
    </row>
    <row r="251" spans="2:4" s="4" customFormat="1" x14ac:dyDescent="0.25">
      <c r="B251" s="25"/>
      <c r="C251" s="25"/>
      <c r="D251" s="25"/>
    </row>
    <row r="252" spans="2:4" s="4" customFormat="1" x14ac:dyDescent="0.25">
      <c r="B252" s="25"/>
      <c r="C252" s="25"/>
      <c r="D252" s="25"/>
    </row>
    <row r="253" spans="2:4" s="4" customFormat="1" x14ac:dyDescent="0.25">
      <c r="B253" s="25"/>
      <c r="C253" s="25"/>
      <c r="D253" s="25"/>
    </row>
    <row r="254" spans="2:4" s="4" customFormat="1" x14ac:dyDescent="0.25">
      <c r="B254" s="25"/>
      <c r="C254" s="25"/>
      <c r="D254" s="25"/>
    </row>
    <row r="255" spans="2:4" s="4" customFormat="1" x14ac:dyDescent="0.25">
      <c r="B255" s="25"/>
      <c r="C255" s="25"/>
      <c r="D255" s="25"/>
    </row>
    <row r="256" spans="2:4" s="4" customFormat="1" x14ac:dyDescent="0.25">
      <c r="B256" s="25"/>
      <c r="C256" s="25"/>
      <c r="D256" s="25"/>
    </row>
    <row r="257" spans="2:4" s="4" customFormat="1" x14ac:dyDescent="0.25">
      <c r="B257" s="25"/>
      <c r="C257" s="25"/>
      <c r="D257" s="25"/>
    </row>
    <row r="258" spans="2:4" s="4" customFormat="1" x14ac:dyDescent="0.25">
      <c r="B258" s="25"/>
      <c r="C258" s="25"/>
      <c r="D258" s="25"/>
    </row>
    <row r="259" spans="2:4" s="4" customFormat="1" x14ac:dyDescent="0.25">
      <c r="B259" s="25"/>
      <c r="C259" s="25"/>
      <c r="D259" s="25"/>
    </row>
    <row r="260" spans="2:4" s="4" customFormat="1" x14ac:dyDescent="0.25">
      <c r="B260" s="25"/>
      <c r="C260" s="25"/>
      <c r="D260" s="25"/>
    </row>
    <row r="261" spans="2:4" s="4" customFormat="1" x14ac:dyDescent="0.25">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opLeftCell="X170" zoomScale="85" zoomScaleNormal="85" workbookViewId="0">
      <selection activeCell="Z170" sqref="Z170"/>
    </sheetView>
  </sheetViews>
  <sheetFormatPr defaultColWidth="8.5703125" defaultRowHeight="15" customHeight="1" x14ac:dyDescent="0.25"/>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x14ac:dyDescent="0.2">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x14ac:dyDescent="0.25">
      <c r="B5" s="393" t="s">
        <v>109</v>
      </c>
      <c r="C5" s="394"/>
      <c r="D5" s="394"/>
      <c r="E5" s="394"/>
      <c r="F5" s="394"/>
      <c r="G5" s="394"/>
      <c r="H5" s="394"/>
      <c r="I5" s="394"/>
      <c r="J5" s="394"/>
      <c r="K5" s="394"/>
      <c r="L5" s="394"/>
      <c r="M5" s="394"/>
      <c r="N5" s="394"/>
      <c r="O5" s="394"/>
      <c r="P5" s="394"/>
      <c r="Q5" s="395"/>
      <c r="R5" s="398" t="s">
        <v>110</v>
      </c>
      <c r="S5" s="399"/>
      <c r="T5" s="400" t="s">
        <v>111</v>
      </c>
      <c r="U5" s="401"/>
      <c r="V5" s="401"/>
      <c r="W5" s="401"/>
      <c r="X5" s="401"/>
      <c r="Y5" s="387" t="s">
        <v>112</v>
      </c>
      <c r="Z5" s="388"/>
      <c r="AA5" s="388"/>
      <c r="AB5" s="389"/>
    </row>
    <row r="6" spans="1:28" ht="30" customHeight="1" x14ac:dyDescent="0.25">
      <c r="B6" s="396" t="s">
        <v>113</v>
      </c>
      <c r="C6" s="397"/>
      <c r="D6" s="397"/>
      <c r="E6" s="397"/>
      <c r="F6" s="397"/>
      <c r="G6" s="397"/>
      <c r="H6" s="397"/>
      <c r="I6" s="397"/>
      <c r="J6" s="397"/>
      <c r="K6" s="397"/>
      <c r="L6" s="397"/>
      <c r="M6" s="397"/>
      <c r="N6" s="397"/>
      <c r="O6" s="397"/>
      <c r="P6" s="397"/>
      <c r="Q6" s="397"/>
      <c r="R6" s="398" t="s">
        <v>114</v>
      </c>
      <c r="S6" s="399"/>
      <c r="T6" s="400" t="s">
        <v>115</v>
      </c>
      <c r="U6" s="401"/>
      <c r="V6" s="401"/>
      <c r="W6" s="402"/>
      <c r="X6" s="59" t="s">
        <v>116</v>
      </c>
      <c r="Y6" s="390" t="s">
        <v>117</v>
      </c>
      <c r="Z6" s="391"/>
      <c r="AA6" s="391"/>
      <c r="AB6" s="392"/>
    </row>
    <row r="7" spans="1:28" s="76" customFormat="1" ht="39.75" customHeight="1" x14ac:dyDescent="0.25">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x14ac:dyDescent="0.25">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x14ac:dyDescent="0.25">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x14ac:dyDescent="0.25">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x14ac:dyDescent="0.25">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x14ac:dyDescent="0.25">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x14ac:dyDescent="0.25">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x14ac:dyDescent="0.25">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x14ac:dyDescent="0.25">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x14ac:dyDescent="0.25">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x14ac:dyDescent="0.25">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x14ac:dyDescent="0.25">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x14ac:dyDescent="0.25">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x14ac:dyDescent="0.25">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x14ac:dyDescent="0.25">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x14ac:dyDescent="0.25">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x14ac:dyDescent="0.25">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x14ac:dyDescent="0.25">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x14ac:dyDescent="0.25">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x14ac:dyDescent="0.25">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x14ac:dyDescent="0.25">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x14ac:dyDescent="0.25">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x14ac:dyDescent="0.25">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x14ac:dyDescent="0.25">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x14ac:dyDescent="0.25">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x14ac:dyDescent="0.25">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x14ac:dyDescent="0.25">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x14ac:dyDescent="0.25">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x14ac:dyDescent="0.25">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x14ac:dyDescent="0.25">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x14ac:dyDescent="0.25">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x14ac:dyDescent="0.25">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x14ac:dyDescent="0.25">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x14ac:dyDescent="0.25">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x14ac:dyDescent="0.25">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x14ac:dyDescent="0.25">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x14ac:dyDescent="0.25">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x14ac:dyDescent="0.25">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x14ac:dyDescent="0.25">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x14ac:dyDescent="0.25">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x14ac:dyDescent="0.25">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x14ac:dyDescent="0.25">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x14ac:dyDescent="0.25">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x14ac:dyDescent="0.25">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x14ac:dyDescent="0.25">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x14ac:dyDescent="0.25">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x14ac:dyDescent="0.25">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x14ac:dyDescent="0.25">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x14ac:dyDescent="0.25">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x14ac:dyDescent="0.25">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x14ac:dyDescent="0.25">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x14ac:dyDescent="0.25">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x14ac:dyDescent="0.25">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x14ac:dyDescent="0.25">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x14ac:dyDescent="0.25">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x14ac:dyDescent="0.25">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x14ac:dyDescent="0.25">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x14ac:dyDescent="0.25">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x14ac:dyDescent="0.25">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x14ac:dyDescent="0.25">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x14ac:dyDescent="0.25">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x14ac:dyDescent="0.25">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x14ac:dyDescent="0.25">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x14ac:dyDescent="0.25">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x14ac:dyDescent="0.25">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x14ac:dyDescent="0.25">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x14ac:dyDescent="0.25">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x14ac:dyDescent="0.25">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x14ac:dyDescent="0.25">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x14ac:dyDescent="0.25">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x14ac:dyDescent="0.25">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x14ac:dyDescent="0.25">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x14ac:dyDescent="0.25">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x14ac:dyDescent="0.25">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x14ac:dyDescent="0.25">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x14ac:dyDescent="0.25">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x14ac:dyDescent="0.25">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x14ac:dyDescent="0.25">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x14ac:dyDescent="0.25">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x14ac:dyDescent="0.25">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x14ac:dyDescent="0.25">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x14ac:dyDescent="0.25">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x14ac:dyDescent="0.25">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x14ac:dyDescent="0.25">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x14ac:dyDescent="0.25">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x14ac:dyDescent="0.25">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x14ac:dyDescent="0.25">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x14ac:dyDescent="0.25">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x14ac:dyDescent="0.25">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x14ac:dyDescent="0.25">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x14ac:dyDescent="0.25">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x14ac:dyDescent="0.25">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x14ac:dyDescent="0.25">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x14ac:dyDescent="0.25">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x14ac:dyDescent="0.25">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x14ac:dyDescent="0.25">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x14ac:dyDescent="0.25">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x14ac:dyDescent="0.25">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x14ac:dyDescent="0.25">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x14ac:dyDescent="0.25">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x14ac:dyDescent="0.25">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x14ac:dyDescent="0.25">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x14ac:dyDescent="0.25">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x14ac:dyDescent="0.25">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x14ac:dyDescent="0.25">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x14ac:dyDescent="0.25">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x14ac:dyDescent="0.25">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x14ac:dyDescent="0.25">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x14ac:dyDescent="0.25">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x14ac:dyDescent="0.25">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x14ac:dyDescent="0.25">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x14ac:dyDescent="0.25">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x14ac:dyDescent="0.25">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x14ac:dyDescent="0.25">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x14ac:dyDescent="0.25">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x14ac:dyDescent="0.25">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x14ac:dyDescent="0.25">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x14ac:dyDescent="0.25">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x14ac:dyDescent="0.25">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x14ac:dyDescent="0.25">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x14ac:dyDescent="0.25">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x14ac:dyDescent="0.25">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x14ac:dyDescent="0.25">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x14ac:dyDescent="0.25">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x14ac:dyDescent="0.25">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x14ac:dyDescent="0.25">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x14ac:dyDescent="0.25">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x14ac:dyDescent="0.25">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x14ac:dyDescent="0.25">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x14ac:dyDescent="0.25">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x14ac:dyDescent="0.25">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x14ac:dyDescent="0.25">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x14ac:dyDescent="0.25">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x14ac:dyDescent="0.25">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x14ac:dyDescent="0.25">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x14ac:dyDescent="0.25">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x14ac:dyDescent="0.25">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x14ac:dyDescent="0.25">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x14ac:dyDescent="0.25">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x14ac:dyDescent="0.25">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x14ac:dyDescent="0.25">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x14ac:dyDescent="0.25">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x14ac:dyDescent="0.25">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x14ac:dyDescent="0.25">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x14ac:dyDescent="0.25">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x14ac:dyDescent="0.25">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x14ac:dyDescent="0.25">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x14ac:dyDescent="0.25">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x14ac:dyDescent="0.25">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x14ac:dyDescent="0.25">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x14ac:dyDescent="0.25">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x14ac:dyDescent="0.25">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x14ac:dyDescent="0.25">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x14ac:dyDescent="0.25">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x14ac:dyDescent="0.25">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x14ac:dyDescent="0.25">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x14ac:dyDescent="0.25">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x14ac:dyDescent="0.25">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x14ac:dyDescent="0.25">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x14ac:dyDescent="0.25">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x14ac:dyDescent="0.25">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x14ac:dyDescent="0.25">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x14ac:dyDescent="0.25">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customHeight="1" x14ac:dyDescent="0.25">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customHeight="1" x14ac:dyDescent="0.25">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customHeight="1" x14ac:dyDescent="0.25">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customHeight="1" x14ac:dyDescent="0.25">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customHeight="1" x14ac:dyDescent="0.25">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customHeight="1" x14ac:dyDescent="0.25">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customHeight="1" x14ac:dyDescent="0.25">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customHeight="1" x14ac:dyDescent="0.25">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x14ac:dyDescent="0.25">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x14ac:dyDescent="0.25">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x14ac:dyDescent="0.25">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x14ac:dyDescent="0.25">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x14ac:dyDescent="0.25">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x14ac:dyDescent="0.25">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x14ac:dyDescent="0.25">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x14ac:dyDescent="0.25">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x14ac:dyDescent="0.25">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x14ac:dyDescent="0.25">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x14ac:dyDescent="0.25">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x14ac:dyDescent="0.25">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x14ac:dyDescent="0.25">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x14ac:dyDescent="0.25">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x14ac:dyDescent="0.25">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x14ac:dyDescent="0.25">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x14ac:dyDescent="0.25">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x14ac:dyDescent="0.25">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x14ac:dyDescent="0.25">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x14ac:dyDescent="0.25">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x14ac:dyDescent="0.25">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x14ac:dyDescent="0.25">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x14ac:dyDescent="0.25">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x14ac:dyDescent="0.25">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x14ac:dyDescent="0.25">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x14ac:dyDescent="0.25">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x14ac:dyDescent="0.25">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x14ac:dyDescent="0.25">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x14ac:dyDescent="0.25">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x14ac:dyDescent="0.25">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x14ac:dyDescent="0.25">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x14ac:dyDescent="0.25">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x14ac:dyDescent="0.25">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x14ac:dyDescent="0.25">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x14ac:dyDescent="0.25">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x14ac:dyDescent="0.25">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x14ac:dyDescent="0.25">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x14ac:dyDescent="0.25">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x14ac:dyDescent="0.25">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x14ac:dyDescent="0.25">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x14ac:dyDescent="0.25">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x14ac:dyDescent="0.25">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x14ac:dyDescent="0.25">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x14ac:dyDescent="0.25">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x14ac:dyDescent="0.25">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x14ac:dyDescent="0.25">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x14ac:dyDescent="0.25">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x14ac:dyDescent="0.25">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x14ac:dyDescent="0.25">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x14ac:dyDescent="0.25">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x14ac:dyDescent="0.25">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1332</v>
      </c>
      <c r="V228" s="56" t="s">
        <v>846</v>
      </c>
      <c r="W228" s="86" t="s">
        <v>1333</v>
      </c>
      <c r="X228" s="73"/>
      <c r="Y228" s="56" t="s">
        <v>1246</v>
      </c>
      <c r="Z228" s="70" t="s">
        <v>1334</v>
      </c>
      <c r="AA228" s="54" t="s">
        <v>1335</v>
      </c>
      <c r="AB228" s="62" t="s">
        <v>1336</v>
      </c>
    </row>
    <row r="229" spans="2:28" ht="307.5" hidden="1" customHeight="1" x14ac:dyDescent="0.25">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x14ac:dyDescent="0.25">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x14ac:dyDescent="0.25">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x14ac:dyDescent="0.25">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x14ac:dyDescent="0.25">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x14ac:dyDescent="0.25">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hidden="1" customHeight="1" x14ac:dyDescent="0.25">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hidden="1" customHeight="1" x14ac:dyDescent="0.25">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hidden="1" customHeight="1" x14ac:dyDescent="0.25">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hidden="1" customHeight="1" x14ac:dyDescent="0.25">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hidden="1" customHeight="1" x14ac:dyDescent="0.25">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hidden="1" customHeight="1" x14ac:dyDescent="0.25">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hidden="1" customHeight="1" x14ac:dyDescent="0.25">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hidden="1" customHeight="1" x14ac:dyDescent="0.25">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hidden="1" customHeight="1" x14ac:dyDescent="0.25">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hidden="1" customHeight="1" x14ac:dyDescent="0.25">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hidden="1" customHeight="1" x14ac:dyDescent="0.25">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x14ac:dyDescent="0.25">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x14ac:dyDescent="0.25">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x14ac:dyDescent="0.25">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x14ac:dyDescent="0.25">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x14ac:dyDescent="0.25">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x14ac:dyDescent="0.25">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x14ac:dyDescent="0.25">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x14ac:dyDescent="0.25">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x14ac:dyDescent="0.25">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x14ac:dyDescent="0.25">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x14ac:dyDescent="0.25">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x14ac:dyDescent="0.25">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x14ac:dyDescent="0.25">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x14ac:dyDescent="0.25">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x14ac:dyDescent="0.25">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x14ac:dyDescent="0.25">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x14ac:dyDescent="0.25">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x14ac:dyDescent="0.25">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x14ac:dyDescent="0.25">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x14ac:dyDescent="0.25">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x14ac:dyDescent="0.25">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x14ac:dyDescent="0.25">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x14ac:dyDescent="0.25">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x14ac:dyDescent="0.25">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x14ac:dyDescent="0.25">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x14ac:dyDescent="0.25">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x14ac:dyDescent="0.25">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x14ac:dyDescent="0.25">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x14ac:dyDescent="0.25">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x14ac:dyDescent="0.25">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x14ac:dyDescent="0.25">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x14ac:dyDescent="0.25">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x14ac:dyDescent="0.25">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x14ac:dyDescent="0.25">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hidden="1" customHeight="1" x14ac:dyDescent="0.25">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x14ac:dyDescent="0.25">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x14ac:dyDescent="0.25">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x14ac:dyDescent="0.25">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x14ac:dyDescent="0.25">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x14ac:dyDescent="0.25">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x14ac:dyDescent="0.25">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x14ac:dyDescent="0.25">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x14ac:dyDescent="0.25">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x14ac:dyDescent="0.25">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x14ac:dyDescent="0.25">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hidden="1" customHeight="1" x14ac:dyDescent="0.25">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x14ac:dyDescent="0.25">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x14ac:dyDescent="0.25">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x14ac:dyDescent="0.25">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x14ac:dyDescent="0.25">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x14ac:dyDescent="0.25">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x14ac:dyDescent="0.25">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x14ac:dyDescent="0.25">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x14ac:dyDescent="0.25">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x14ac:dyDescent="0.25">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x14ac:dyDescent="0.25">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x14ac:dyDescent="0.25">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x14ac:dyDescent="0.25">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x14ac:dyDescent="0.25">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x14ac:dyDescent="0.25">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x14ac:dyDescent="0.25">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x14ac:dyDescent="0.25">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x14ac:dyDescent="0.25">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x14ac:dyDescent="0.25">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x14ac:dyDescent="0.25">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x14ac:dyDescent="0.25">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x14ac:dyDescent="0.25">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x14ac:dyDescent="0.25">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x14ac:dyDescent="0.25">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x14ac:dyDescent="0.25">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x14ac:dyDescent="0.25">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x14ac:dyDescent="0.25">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x14ac:dyDescent="0.25">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x14ac:dyDescent="0.25">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x14ac:dyDescent="0.25">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x14ac:dyDescent="0.25">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x14ac:dyDescent="0.25">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x14ac:dyDescent="0.25">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x14ac:dyDescent="0.25">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x14ac:dyDescent="0.25">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x14ac:dyDescent="0.25">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x14ac:dyDescent="0.25">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x14ac:dyDescent="0.25">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x14ac:dyDescent="0.25">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x14ac:dyDescent="0.25">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x14ac:dyDescent="0.25">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x14ac:dyDescent="0.25">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x14ac:dyDescent="0.25">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x14ac:dyDescent="0.25">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x14ac:dyDescent="0.25">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x14ac:dyDescent="0.25">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x14ac:dyDescent="0.25">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x14ac:dyDescent="0.25">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x14ac:dyDescent="0.25">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x14ac:dyDescent="0.25">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x14ac:dyDescent="0.25">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x14ac:dyDescent="0.25">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x14ac:dyDescent="0.25">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x14ac:dyDescent="0.25">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x14ac:dyDescent="0.25">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x14ac:dyDescent="0.25">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x14ac:dyDescent="0.25">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x14ac:dyDescent="0.25">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x14ac:dyDescent="0.25">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x14ac:dyDescent="0.25">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x14ac:dyDescent="0.25">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x14ac:dyDescent="0.25">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x14ac:dyDescent="0.25">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x14ac:dyDescent="0.25">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x14ac:dyDescent="0.25">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x14ac:dyDescent="0.25">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x14ac:dyDescent="0.25">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x14ac:dyDescent="0.25">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x14ac:dyDescent="0.25">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x14ac:dyDescent="0.25">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x14ac:dyDescent="0.25">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x14ac:dyDescent="0.25">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x14ac:dyDescent="0.25">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x14ac:dyDescent="0.25">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x14ac:dyDescent="0.25">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x14ac:dyDescent="0.25">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x14ac:dyDescent="0.25">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x14ac:dyDescent="0.25">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x14ac:dyDescent="0.25">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x14ac:dyDescent="0.25">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x14ac:dyDescent="0.25">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x14ac:dyDescent="0.25">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x14ac:dyDescent="0.25">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x14ac:dyDescent="0.25">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x14ac:dyDescent="0.25">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x14ac:dyDescent="0.25">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x14ac:dyDescent="0.25">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x14ac:dyDescent="0.25">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x14ac:dyDescent="0.25">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x14ac:dyDescent="0.25">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x14ac:dyDescent="0.25">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x14ac:dyDescent="0.25">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x14ac:dyDescent="0.25">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x14ac:dyDescent="0.25">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x14ac:dyDescent="0.25">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x14ac:dyDescent="0.25">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x14ac:dyDescent="0.25">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x14ac:dyDescent="0.25">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x14ac:dyDescent="0.25">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x14ac:dyDescent="0.25">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x14ac:dyDescent="0.25">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x14ac:dyDescent="0.25">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x14ac:dyDescent="0.25">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x14ac:dyDescent="0.25">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x14ac:dyDescent="0.25">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x14ac:dyDescent="0.25">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x14ac:dyDescent="0.25">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x14ac:dyDescent="0.25">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x14ac:dyDescent="0.25">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x14ac:dyDescent="0.25">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x14ac:dyDescent="0.25">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x14ac:dyDescent="0.25">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x14ac:dyDescent="0.25">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x14ac:dyDescent="0.25">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x14ac:dyDescent="0.25">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x14ac:dyDescent="0.25">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x14ac:dyDescent="0.25">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x14ac:dyDescent="0.25">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x14ac:dyDescent="0.25">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x14ac:dyDescent="0.25">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x14ac:dyDescent="0.25">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x14ac:dyDescent="0.25">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x14ac:dyDescent="0.25">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x14ac:dyDescent="0.25">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x14ac:dyDescent="0.25">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x14ac:dyDescent="0.25">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x14ac:dyDescent="0.25">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x14ac:dyDescent="0.25">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x14ac:dyDescent="0.25">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x14ac:dyDescent="0.25">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x14ac:dyDescent="0.25">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x14ac:dyDescent="0.25">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x14ac:dyDescent="0.25">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x14ac:dyDescent="0.25">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x14ac:dyDescent="0.25">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x14ac:dyDescent="0.25">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x14ac:dyDescent="0.25">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x14ac:dyDescent="0.25">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x14ac:dyDescent="0.25">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x14ac:dyDescent="0.25">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x14ac:dyDescent="0.25">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x14ac:dyDescent="0.25">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x14ac:dyDescent="0.25">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x14ac:dyDescent="0.25">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x14ac:dyDescent="0.25">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x14ac:dyDescent="0.25">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x14ac:dyDescent="0.25">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x14ac:dyDescent="0.25">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x14ac:dyDescent="0.25">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x14ac:dyDescent="0.25">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x14ac:dyDescent="0.25">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x14ac:dyDescent="0.25">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x14ac:dyDescent="0.25">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x14ac:dyDescent="0.25">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x14ac:dyDescent="0.25">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x14ac:dyDescent="0.25">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x14ac:dyDescent="0.25">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x14ac:dyDescent="0.25">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x14ac:dyDescent="0.25">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x14ac:dyDescent="0.25">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x14ac:dyDescent="0.25">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x14ac:dyDescent="0.25">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x14ac:dyDescent="0.25">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x14ac:dyDescent="0.25">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x14ac:dyDescent="0.25">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hidden="1" customHeight="1" x14ac:dyDescent="0.25">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hidden="1" customHeight="1" x14ac:dyDescent="0.25">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hidden="1" customHeight="1" x14ac:dyDescent="0.25">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hidden="1" customHeight="1" x14ac:dyDescent="0.25">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hidden="1" customHeight="1" x14ac:dyDescent="0.25">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hidden="1" customHeight="1" x14ac:dyDescent="0.25">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hidden="1" customHeight="1" x14ac:dyDescent="0.25">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hidden="1" customHeight="1" x14ac:dyDescent="0.25">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hidden="1" customHeight="1" x14ac:dyDescent="0.25">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hidden="1" customHeight="1" x14ac:dyDescent="0.25">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hidden="1" customHeight="1" x14ac:dyDescent="0.25">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hidden="1" customHeight="1" x14ac:dyDescent="0.25">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hidden="1" customHeight="1" x14ac:dyDescent="0.25">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hidden="1" customHeight="1" x14ac:dyDescent="0.25">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hidden="1" customHeight="1" x14ac:dyDescent="0.25">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hidden="1" customHeight="1" x14ac:dyDescent="0.25">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hidden="1" customHeight="1" x14ac:dyDescent="0.25">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hidden="1" customHeight="1" x14ac:dyDescent="0.25">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hidden="1" customHeight="1" x14ac:dyDescent="0.25">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hidden="1" customHeight="1" x14ac:dyDescent="0.25">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hidden="1" customHeight="1" x14ac:dyDescent="0.25">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hidden="1" customHeight="1" x14ac:dyDescent="0.25">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hidden="1" customHeight="1" x14ac:dyDescent="0.25">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hidden="1" customHeight="1" x14ac:dyDescent="0.25">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hidden="1" customHeight="1" x14ac:dyDescent="0.25">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hidden="1" customHeight="1" x14ac:dyDescent="0.25">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hidden="1" customHeight="1" x14ac:dyDescent="0.25">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hidden="1" customHeight="1" x14ac:dyDescent="0.25">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hidden="1" customHeight="1" x14ac:dyDescent="0.25">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hidden="1" customHeight="1" x14ac:dyDescent="0.25">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hidden="1" customHeight="1" x14ac:dyDescent="0.25">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hidden="1" customHeight="1" x14ac:dyDescent="0.25">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hidden="1" customHeight="1" x14ac:dyDescent="0.25">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hidden="1" customHeight="1" x14ac:dyDescent="0.25">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hidden="1" customHeight="1" x14ac:dyDescent="0.25">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hidden="1" customHeight="1" x14ac:dyDescent="0.25">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hidden="1" customHeight="1" x14ac:dyDescent="0.25">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hidden="1" customHeight="1" x14ac:dyDescent="0.25">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hidden="1" customHeight="1" x14ac:dyDescent="0.25">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hidden="1" customHeight="1" x14ac:dyDescent="0.25">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hidden="1" customHeight="1" x14ac:dyDescent="0.25">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hidden="1" customHeight="1" x14ac:dyDescent="0.25">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hidden="1" customHeight="1" x14ac:dyDescent="0.25">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hidden="1" customHeight="1" x14ac:dyDescent="0.25">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hidden="1" customHeight="1" x14ac:dyDescent="0.25">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hidden="1" customHeight="1" x14ac:dyDescent="0.25">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x14ac:dyDescent="0.25">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x14ac:dyDescent="0.25">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x14ac:dyDescent="0.25">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x14ac:dyDescent="0.25">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x14ac:dyDescent="0.25">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x14ac:dyDescent="0.25">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x14ac:dyDescent="0.25">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x14ac:dyDescent="0.25">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x14ac:dyDescent="0.25">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x14ac:dyDescent="0.25">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x14ac:dyDescent="0.25">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x14ac:dyDescent="0.25">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x14ac:dyDescent="0.25">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x14ac:dyDescent="0.25">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x14ac:dyDescent="0.25">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x14ac:dyDescent="0.25">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x14ac:dyDescent="0.25">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x14ac:dyDescent="0.25">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x14ac:dyDescent="0.25">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x14ac:dyDescent="0.25">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x14ac:dyDescent="0.25">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x14ac:dyDescent="0.25">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x14ac:dyDescent="0.25">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x14ac:dyDescent="0.25">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x14ac:dyDescent="0.25">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x14ac:dyDescent="0.25">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x14ac:dyDescent="0.25">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x14ac:dyDescent="0.25">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x14ac:dyDescent="0.25">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x14ac:dyDescent="0.25">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x14ac:dyDescent="0.25">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x14ac:dyDescent="0.25">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x14ac:dyDescent="0.25">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x14ac:dyDescent="0.25">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x14ac:dyDescent="0.25">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x14ac:dyDescent="0.25">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x14ac:dyDescent="0.25">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x14ac:dyDescent="0.25">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x14ac:dyDescent="0.25">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x14ac:dyDescent="0.25">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x14ac:dyDescent="0.25">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x14ac:dyDescent="0.25">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x14ac:dyDescent="0.25">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x14ac:dyDescent="0.25">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x14ac:dyDescent="0.25">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x14ac:dyDescent="0.25">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x14ac:dyDescent="0.25">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x14ac:dyDescent="0.25">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x14ac:dyDescent="0.25">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x14ac:dyDescent="0.25">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x14ac:dyDescent="0.25">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x14ac:dyDescent="0.25">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x14ac:dyDescent="0.25">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x14ac:dyDescent="0.25">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x14ac:dyDescent="0.25">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x14ac:dyDescent="0.25">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x14ac:dyDescent="0.25">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x14ac:dyDescent="0.25">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x14ac:dyDescent="0.25">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x14ac:dyDescent="0.25">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x14ac:dyDescent="0.25">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x14ac:dyDescent="0.25">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x14ac:dyDescent="0.25">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x14ac:dyDescent="0.25">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x14ac:dyDescent="0.25">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x14ac:dyDescent="0.25">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x14ac:dyDescent="0.25">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x14ac:dyDescent="0.25">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x14ac:dyDescent="0.25">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x14ac:dyDescent="0.25">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x14ac:dyDescent="0.25">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x14ac:dyDescent="0.25">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x14ac:dyDescent="0.25">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x14ac:dyDescent="0.25">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x14ac:dyDescent="0.25">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x14ac:dyDescent="0.25">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x14ac:dyDescent="0.25">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x14ac:dyDescent="0.25">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x14ac:dyDescent="0.25">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x14ac:dyDescent="0.25">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x14ac:dyDescent="0.25">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x14ac:dyDescent="0.25">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x14ac:dyDescent="0.25">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x14ac:dyDescent="0.25">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x14ac:dyDescent="0.25">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x14ac:dyDescent="0.25">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x14ac:dyDescent="0.25">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x14ac:dyDescent="0.25">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x14ac:dyDescent="0.25">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x14ac:dyDescent="0.25">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x14ac:dyDescent="0.25">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x14ac:dyDescent="0.25">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x14ac:dyDescent="0.25">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x14ac:dyDescent="0.25">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x14ac:dyDescent="0.25">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x14ac:dyDescent="0.25">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x14ac:dyDescent="0.25">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x14ac:dyDescent="0.25">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x14ac:dyDescent="0.25">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x14ac:dyDescent="0.25">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x14ac:dyDescent="0.25">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x14ac:dyDescent="0.25">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x14ac:dyDescent="0.25">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x14ac:dyDescent="0.25">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x14ac:dyDescent="0.25">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x14ac:dyDescent="0.25">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x14ac:dyDescent="0.25">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x14ac:dyDescent="0.25">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x14ac:dyDescent="0.25">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x14ac:dyDescent="0.25">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x14ac:dyDescent="0.25">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x14ac:dyDescent="0.25">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x14ac:dyDescent="0.25">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x14ac:dyDescent="0.25">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x14ac:dyDescent="0.25">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x14ac:dyDescent="0.25">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x14ac:dyDescent="0.25">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x14ac:dyDescent="0.25">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x14ac:dyDescent="0.25">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x14ac:dyDescent="0.25">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x14ac:dyDescent="0.25">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x14ac:dyDescent="0.25">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x14ac:dyDescent="0.25">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x14ac:dyDescent="0.25">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x14ac:dyDescent="0.25">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x14ac:dyDescent="0.25">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x14ac:dyDescent="0.25">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x14ac:dyDescent="0.25">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x14ac:dyDescent="0.25">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x14ac:dyDescent="0.25">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x14ac:dyDescent="0.25">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x14ac:dyDescent="0.25">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x14ac:dyDescent="0.25">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x14ac:dyDescent="0.25">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x14ac:dyDescent="0.25">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x14ac:dyDescent="0.25">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x14ac:dyDescent="0.25">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x14ac:dyDescent="0.25">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x14ac:dyDescent="0.25">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x14ac:dyDescent="0.25">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x14ac:dyDescent="0.25">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x14ac:dyDescent="0.25">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x14ac:dyDescent="0.25">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x14ac:dyDescent="0.25">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x14ac:dyDescent="0.25">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x14ac:dyDescent="0.25">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x14ac:dyDescent="0.25">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x14ac:dyDescent="0.25">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x14ac:dyDescent="0.25">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x14ac:dyDescent="0.25">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x14ac:dyDescent="0.25">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x14ac:dyDescent="0.25">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x14ac:dyDescent="0.25">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x14ac:dyDescent="0.25">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x14ac:dyDescent="0.25">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x14ac:dyDescent="0.25">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x14ac:dyDescent="0.25">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x14ac:dyDescent="0.25">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x14ac:dyDescent="0.25">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x14ac:dyDescent="0.25">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x14ac:dyDescent="0.25">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x14ac:dyDescent="0.25">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x14ac:dyDescent="0.25">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x14ac:dyDescent="0.25">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x14ac:dyDescent="0.25">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x14ac:dyDescent="0.25">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x14ac:dyDescent="0.25">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x14ac:dyDescent="0.25">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x14ac:dyDescent="0.25">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x14ac:dyDescent="0.25">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x14ac:dyDescent="0.25">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x14ac:dyDescent="0.25">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x14ac:dyDescent="0.25">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x14ac:dyDescent="0.25">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x14ac:dyDescent="0.25">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x14ac:dyDescent="0.25">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x14ac:dyDescent="0.25">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x14ac:dyDescent="0.25">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x14ac:dyDescent="0.25">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x14ac:dyDescent="0.25">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x14ac:dyDescent="0.25">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x14ac:dyDescent="0.25">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x14ac:dyDescent="0.25">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x14ac:dyDescent="0.25">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x14ac:dyDescent="0.25">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x14ac:dyDescent="0.25">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4"/>
  <sheetViews>
    <sheetView showGridLines="0" topLeftCell="F94" workbookViewId="0">
      <selection activeCell="F96" sqref="F96"/>
    </sheetView>
  </sheetViews>
  <sheetFormatPr defaultRowHeight="15" x14ac:dyDescent="0.2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x14ac:dyDescent="0.25"/>
    <row r="2" spans="2:9" x14ac:dyDescent="0.25">
      <c r="B2" s="60" t="s">
        <v>2781</v>
      </c>
      <c r="C2" s="60" t="s">
        <v>120</v>
      </c>
      <c r="D2" s="60" t="s">
        <v>2782</v>
      </c>
      <c r="E2" s="60" t="s">
        <v>2783</v>
      </c>
      <c r="F2" s="60" t="s">
        <v>2784</v>
      </c>
      <c r="G2" s="60" t="s">
        <v>2785</v>
      </c>
      <c r="H2" s="61" t="s">
        <v>2786</v>
      </c>
      <c r="I2" s="124" t="s">
        <v>2787</v>
      </c>
    </row>
    <row r="3" spans="2:9" ht="39.75" hidden="1" customHeight="1" x14ac:dyDescent="0.25">
      <c r="B3" s="52" t="s">
        <v>4</v>
      </c>
      <c r="C3" s="52" t="s">
        <v>5</v>
      </c>
      <c r="D3" s="52" t="s">
        <v>2788</v>
      </c>
      <c r="E3" s="52" t="s">
        <v>2789</v>
      </c>
      <c r="F3" s="52" t="s">
        <v>2788</v>
      </c>
      <c r="G3" s="52" t="s">
        <v>2790</v>
      </c>
      <c r="H3" s="56" t="s">
        <v>2791</v>
      </c>
      <c r="I3" s="56" t="s">
        <v>2792</v>
      </c>
    </row>
    <row r="4" spans="2:9" ht="39.75" hidden="1" customHeight="1" x14ac:dyDescent="0.25">
      <c r="B4" s="52" t="s">
        <v>4</v>
      </c>
      <c r="C4" s="52" t="s">
        <v>5</v>
      </c>
      <c r="D4" s="52" t="s">
        <v>2788</v>
      </c>
      <c r="E4" s="52" t="s">
        <v>2789</v>
      </c>
      <c r="F4" s="52" t="s">
        <v>2788</v>
      </c>
      <c r="G4" s="52" t="s">
        <v>2793</v>
      </c>
      <c r="H4" s="56" t="s">
        <v>2794</v>
      </c>
      <c r="I4" s="56" t="s">
        <v>2792</v>
      </c>
    </row>
    <row r="5" spans="2:9" ht="39.75" hidden="1" customHeight="1" x14ac:dyDescent="0.25">
      <c r="B5" s="52" t="s">
        <v>4</v>
      </c>
      <c r="C5" s="52" t="s">
        <v>5</v>
      </c>
      <c r="D5" s="52" t="s">
        <v>2788</v>
      </c>
      <c r="E5" s="52" t="s">
        <v>2789</v>
      </c>
      <c r="F5" s="52" t="s">
        <v>2788</v>
      </c>
      <c r="G5" s="52" t="s">
        <v>2795</v>
      </c>
      <c r="H5" s="56" t="s">
        <v>2796</v>
      </c>
      <c r="I5" s="56" t="s">
        <v>2792</v>
      </c>
    </row>
    <row r="6" spans="2:9" ht="39.75" hidden="1" customHeight="1" x14ac:dyDescent="0.25">
      <c r="B6" s="52" t="s">
        <v>4</v>
      </c>
      <c r="C6" s="52" t="s">
        <v>5</v>
      </c>
      <c r="D6" s="52" t="s">
        <v>2788</v>
      </c>
      <c r="E6" s="52" t="s">
        <v>2789</v>
      </c>
      <c r="F6" s="52" t="s">
        <v>2797</v>
      </c>
      <c r="G6" s="52" t="s">
        <v>2798</v>
      </c>
      <c r="H6" s="56" t="s">
        <v>2799</v>
      </c>
      <c r="I6" s="56" t="s">
        <v>2792</v>
      </c>
    </row>
    <row r="7" spans="2:9" ht="39.75" hidden="1" customHeight="1" x14ac:dyDescent="0.25">
      <c r="B7" s="52" t="s">
        <v>4</v>
      </c>
      <c r="C7" s="52" t="s">
        <v>5</v>
      </c>
      <c r="D7" s="52" t="s">
        <v>2788</v>
      </c>
      <c r="E7" s="52" t="s">
        <v>2789</v>
      </c>
      <c r="F7" s="52" t="s">
        <v>2797</v>
      </c>
      <c r="G7" s="52" t="s">
        <v>2800</v>
      </c>
      <c r="H7" s="56" t="s">
        <v>2801</v>
      </c>
      <c r="I7" s="56" t="s">
        <v>2792</v>
      </c>
    </row>
    <row r="8" spans="2:9" ht="39.75" hidden="1" customHeight="1" x14ac:dyDescent="0.25">
      <c r="B8" s="52" t="s">
        <v>4</v>
      </c>
      <c r="C8" s="52" t="s">
        <v>5</v>
      </c>
      <c r="D8" s="52" t="s">
        <v>2788</v>
      </c>
      <c r="E8" s="52" t="s">
        <v>2789</v>
      </c>
      <c r="F8" s="52" t="s">
        <v>2797</v>
      </c>
      <c r="G8" s="52" t="s">
        <v>2802</v>
      </c>
      <c r="H8" s="56" t="s">
        <v>2803</v>
      </c>
      <c r="I8" s="56" t="s">
        <v>2792</v>
      </c>
    </row>
    <row r="9" spans="2:9" ht="39.75" hidden="1" customHeight="1" x14ac:dyDescent="0.25">
      <c r="B9" s="52" t="s">
        <v>4</v>
      </c>
      <c r="C9" s="52" t="s">
        <v>5</v>
      </c>
      <c r="D9" s="52" t="s">
        <v>2788</v>
      </c>
      <c r="E9" s="52" t="s">
        <v>2789</v>
      </c>
      <c r="F9" s="52" t="s">
        <v>2797</v>
      </c>
      <c r="G9" s="52" t="s">
        <v>2804</v>
      </c>
      <c r="H9" s="56" t="s">
        <v>2805</v>
      </c>
      <c r="I9" s="56" t="s">
        <v>2792</v>
      </c>
    </row>
    <row r="10" spans="2:9" ht="39.75" hidden="1" customHeight="1" x14ac:dyDescent="0.25">
      <c r="B10" s="52" t="s">
        <v>4</v>
      </c>
      <c r="C10" s="52" t="s">
        <v>5</v>
      </c>
      <c r="D10" s="52" t="s">
        <v>2797</v>
      </c>
      <c r="E10" s="118" t="s">
        <v>2806</v>
      </c>
      <c r="F10" s="52" t="s">
        <v>2797</v>
      </c>
      <c r="G10" s="52" t="s">
        <v>2798</v>
      </c>
      <c r="H10" s="56" t="s">
        <v>2807</v>
      </c>
      <c r="I10" s="56" t="s">
        <v>2792</v>
      </c>
    </row>
    <row r="11" spans="2:9" ht="39.75" hidden="1" customHeight="1" x14ac:dyDescent="0.25">
      <c r="B11" s="52" t="s">
        <v>4</v>
      </c>
      <c r="C11" s="52" t="s">
        <v>5</v>
      </c>
      <c r="D11" s="52" t="s">
        <v>2808</v>
      </c>
      <c r="E11" s="52" t="s">
        <v>2809</v>
      </c>
      <c r="F11" s="52" t="s">
        <v>2808</v>
      </c>
      <c r="G11" s="52" t="s">
        <v>2810</v>
      </c>
      <c r="H11" s="56" t="s">
        <v>2811</v>
      </c>
      <c r="I11" s="56" t="s">
        <v>2792</v>
      </c>
    </row>
    <row r="12" spans="2:9" ht="39.75" hidden="1" customHeight="1" x14ac:dyDescent="0.25">
      <c r="B12" s="52" t="s">
        <v>8</v>
      </c>
      <c r="C12" s="52" t="s">
        <v>9</v>
      </c>
      <c r="D12" s="52" t="s">
        <v>2812</v>
      </c>
      <c r="E12" s="52" t="s">
        <v>2813</v>
      </c>
      <c r="F12" s="52" t="s">
        <v>2812</v>
      </c>
      <c r="G12" s="52" t="s">
        <v>2814</v>
      </c>
      <c r="H12" s="56" t="s">
        <v>2815</v>
      </c>
      <c r="I12" s="56" t="s">
        <v>2792</v>
      </c>
    </row>
    <row r="13" spans="2:9" ht="39.75" hidden="1" customHeight="1" x14ac:dyDescent="0.25">
      <c r="B13" s="52" t="s">
        <v>8</v>
      </c>
      <c r="C13" s="52" t="s">
        <v>9</v>
      </c>
      <c r="D13" s="52" t="s">
        <v>2812</v>
      </c>
      <c r="E13" s="51" t="s">
        <v>2813</v>
      </c>
      <c r="F13" s="52" t="s">
        <v>2812</v>
      </c>
      <c r="G13" s="52" t="s">
        <v>2816</v>
      </c>
      <c r="H13" s="56" t="s">
        <v>2817</v>
      </c>
      <c r="I13" s="56" t="s">
        <v>2792</v>
      </c>
    </row>
    <row r="14" spans="2:9" ht="39.75" hidden="1" customHeight="1" x14ac:dyDescent="0.25">
      <c r="B14" s="52" t="s">
        <v>8</v>
      </c>
      <c r="C14" s="52" t="s">
        <v>9</v>
      </c>
      <c r="D14" s="57" t="s">
        <v>2812</v>
      </c>
      <c r="E14" s="57" t="s">
        <v>2813</v>
      </c>
      <c r="F14" s="57" t="s">
        <v>2818</v>
      </c>
      <c r="G14" s="57" t="s">
        <v>2819</v>
      </c>
      <c r="H14" s="58" t="s">
        <v>2820</v>
      </c>
      <c r="I14" s="56" t="s">
        <v>2792</v>
      </c>
    </row>
    <row r="15" spans="2:9" ht="39.75" hidden="1" customHeight="1" x14ac:dyDescent="0.25">
      <c r="B15" s="52" t="s">
        <v>8</v>
      </c>
      <c r="C15" s="52" t="s">
        <v>11</v>
      </c>
      <c r="D15" s="57" t="s">
        <v>2812</v>
      </c>
      <c r="E15" s="57" t="s">
        <v>2821</v>
      </c>
      <c r="F15" s="57" t="s">
        <v>2812</v>
      </c>
      <c r="G15" s="57" t="s">
        <v>2813</v>
      </c>
      <c r="H15" s="58" t="s">
        <v>2822</v>
      </c>
      <c r="I15" s="58" t="s">
        <v>2823</v>
      </c>
    </row>
    <row r="16" spans="2:9" ht="39.75" hidden="1" customHeight="1" x14ac:dyDescent="0.25">
      <c r="B16" s="52" t="s">
        <v>8</v>
      </c>
      <c r="C16" s="52" t="s">
        <v>11</v>
      </c>
      <c r="D16" s="52" t="s">
        <v>2812</v>
      </c>
      <c r="E16" s="52" t="s">
        <v>2821</v>
      </c>
      <c r="F16" s="52" t="s">
        <v>2824</v>
      </c>
      <c r="G16" s="52" t="s">
        <v>2825</v>
      </c>
      <c r="H16" s="56" t="s">
        <v>2826</v>
      </c>
      <c r="I16" s="58" t="s">
        <v>2792</v>
      </c>
    </row>
    <row r="17" spans="2:9" ht="39.75" hidden="1" customHeight="1" x14ac:dyDescent="0.25">
      <c r="B17" s="52" t="s">
        <v>8</v>
      </c>
      <c r="C17" s="52" t="s">
        <v>11</v>
      </c>
      <c r="D17" s="52" t="s">
        <v>2812</v>
      </c>
      <c r="E17" s="52" t="s">
        <v>2821</v>
      </c>
      <c r="F17" s="52" t="s">
        <v>2824</v>
      </c>
      <c r="G17" s="52" t="s">
        <v>2825</v>
      </c>
      <c r="H17" s="56" t="s">
        <v>2827</v>
      </c>
      <c r="I17" s="58" t="s">
        <v>2792</v>
      </c>
    </row>
    <row r="18" spans="2:9" ht="39.75" hidden="1" customHeight="1" x14ac:dyDescent="0.25">
      <c r="B18" s="52" t="s">
        <v>13</v>
      </c>
      <c r="C18" s="52" t="s">
        <v>14</v>
      </c>
      <c r="D18" s="56" t="s">
        <v>2828</v>
      </c>
      <c r="E18" s="52" t="s">
        <v>2829</v>
      </c>
      <c r="F18" s="56" t="s">
        <v>2828</v>
      </c>
      <c r="G18" s="52" t="s">
        <v>2830</v>
      </c>
      <c r="H18" s="56" t="s">
        <v>2831</v>
      </c>
      <c r="I18" s="125" t="s">
        <v>2792</v>
      </c>
    </row>
    <row r="19" spans="2:9" ht="39.75" hidden="1" customHeight="1" x14ac:dyDescent="0.25">
      <c r="B19" s="52" t="s">
        <v>13</v>
      </c>
      <c r="C19" s="52" t="s">
        <v>14</v>
      </c>
      <c r="D19" s="56" t="s">
        <v>2828</v>
      </c>
      <c r="E19" s="56" t="s">
        <v>2832</v>
      </c>
      <c r="F19" s="52" t="s">
        <v>2808</v>
      </c>
      <c r="G19" s="52" t="s">
        <v>2833</v>
      </c>
      <c r="H19" s="86" t="s">
        <v>2834</v>
      </c>
      <c r="I19" s="125" t="s">
        <v>2792</v>
      </c>
    </row>
    <row r="20" spans="2:9" ht="39.75" hidden="1" customHeight="1" x14ac:dyDescent="0.25">
      <c r="B20" s="52" t="s">
        <v>13</v>
      </c>
      <c r="C20" s="52" t="s">
        <v>14</v>
      </c>
      <c r="D20" s="56" t="s">
        <v>2828</v>
      </c>
      <c r="E20" s="56" t="s">
        <v>2832</v>
      </c>
      <c r="F20" s="56" t="s">
        <v>2828</v>
      </c>
      <c r="G20" s="52" t="s">
        <v>2829</v>
      </c>
      <c r="H20" s="86" t="s">
        <v>2835</v>
      </c>
      <c r="I20" s="125" t="s">
        <v>2792</v>
      </c>
    </row>
    <row r="21" spans="2:9" ht="39.75" hidden="1" customHeight="1" x14ac:dyDescent="0.25">
      <c r="B21" s="52" t="s">
        <v>13</v>
      </c>
      <c r="C21" s="52" t="s">
        <v>14</v>
      </c>
      <c r="D21" s="56" t="s">
        <v>2828</v>
      </c>
      <c r="E21" s="56" t="s">
        <v>2832</v>
      </c>
      <c r="F21" s="56" t="s">
        <v>2828</v>
      </c>
      <c r="G21" s="52" t="s">
        <v>2836</v>
      </c>
      <c r="H21" s="56" t="s">
        <v>2837</v>
      </c>
      <c r="I21" s="125" t="s">
        <v>2792</v>
      </c>
    </row>
    <row r="22" spans="2:9" ht="39.75" hidden="1" customHeight="1" x14ac:dyDescent="0.25">
      <c r="B22" s="57" t="s">
        <v>13</v>
      </c>
      <c r="C22" s="52" t="s">
        <v>14</v>
      </c>
      <c r="D22" s="52" t="s">
        <v>2808</v>
      </c>
      <c r="E22" s="52" t="s">
        <v>2809</v>
      </c>
      <c r="F22" s="52" t="s">
        <v>2808</v>
      </c>
      <c r="G22" s="57" t="s">
        <v>2810</v>
      </c>
      <c r="H22" s="58" t="s">
        <v>2811</v>
      </c>
      <c r="I22" s="125" t="s">
        <v>2792</v>
      </c>
    </row>
    <row r="23" spans="2:9" ht="39.75" hidden="1" customHeight="1" x14ac:dyDescent="0.25">
      <c r="B23" s="52" t="s">
        <v>13</v>
      </c>
      <c r="C23" s="52" t="s">
        <v>16</v>
      </c>
      <c r="D23" s="52" t="s">
        <v>2828</v>
      </c>
      <c r="E23" s="52" t="s">
        <v>2829</v>
      </c>
      <c r="F23" s="52" t="s">
        <v>366</v>
      </c>
      <c r="G23" s="52" t="s">
        <v>366</v>
      </c>
      <c r="H23" s="57" t="s">
        <v>366</v>
      </c>
      <c r="I23" s="52" t="s">
        <v>366</v>
      </c>
    </row>
    <row r="24" spans="2:9" ht="39.75" hidden="1" customHeight="1" x14ac:dyDescent="0.25">
      <c r="B24" s="57" t="s">
        <v>4</v>
      </c>
      <c r="C24" s="57" t="s">
        <v>5</v>
      </c>
      <c r="D24" s="57" t="s">
        <v>2808</v>
      </c>
      <c r="E24" s="57" t="s">
        <v>2809</v>
      </c>
      <c r="F24" s="57" t="s">
        <v>2797</v>
      </c>
      <c r="G24" s="57" t="s">
        <v>2838</v>
      </c>
      <c r="H24" s="58" t="s">
        <v>2839</v>
      </c>
      <c r="I24" s="56" t="s">
        <v>2792</v>
      </c>
    </row>
    <row r="25" spans="2:9" ht="39.75" hidden="1" customHeight="1" x14ac:dyDescent="0.25">
      <c r="B25" s="57" t="s">
        <v>19</v>
      </c>
      <c r="C25" s="57" t="s">
        <v>20</v>
      </c>
      <c r="D25" s="57" t="s">
        <v>2840</v>
      </c>
      <c r="E25" s="57" t="s">
        <v>2841</v>
      </c>
      <c r="F25" s="57" t="s">
        <v>2840</v>
      </c>
      <c r="G25" s="52" t="s">
        <v>2842</v>
      </c>
      <c r="H25" s="56" t="s">
        <v>2843</v>
      </c>
      <c r="I25" s="56" t="s">
        <v>2792</v>
      </c>
    </row>
    <row r="26" spans="2:9" ht="39.75" hidden="1" customHeight="1" x14ac:dyDescent="0.25">
      <c r="B26" s="57" t="s">
        <v>19</v>
      </c>
      <c r="C26" s="57" t="s">
        <v>20</v>
      </c>
      <c r="D26" s="57" t="s">
        <v>2840</v>
      </c>
      <c r="E26" s="57" t="s">
        <v>2841</v>
      </c>
      <c r="F26" s="52" t="s">
        <v>2840</v>
      </c>
      <c r="G26" s="52" t="s">
        <v>2844</v>
      </c>
      <c r="H26" s="56" t="s">
        <v>2845</v>
      </c>
      <c r="I26" s="56" t="s">
        <v>2792</v>
      </c>
    </row>
    <row r="27" spans="2:9" ht="39.75" hidden="1" customHeight="1" x14ac:dyDescent="0.25">
      <c r="B27" s="57" t="s">
        <v>19</v>
      </c>
      <c r="C27" s="57" t="s">
        <v>20</v>
      </c>
      <c r="D27" s="52" t="s">
        <v>2840</v>
      </c>
      <c r="E27" s="52" t="s">
        <v>2841</v>
      </c>
      <c r="F27" s="52" t="s">
        <v>2818</v>
      </c>
      <c r="G27" s="52" t="s">
        <v>2846</v>
      </c>
      <c r="H27" s="56" t="s">
        <v>2847</v>
      </c>
      <c r="I27" s="56" t="s">
        <v>2792</v>
      </c>
    </row>
    <row r="28" spans="2:9" ht="39.75" hidden="1" customHeight="1" x14ac:dyDescent="0.25">
      <c r="B28" s="57" t="s">
        <v>19</v>
      </c>
      <c r="C28" s="57" t="s">
        <v>20</v>
      </c>
      <c r="D28" s="52" t="s">
        <v>2840</v>
      </c>
      <c r="E28" s="52" t="s">
        <v>2842</v>
      </c>
      <c r="F28" s="52" t="s">
        <v>2818</v>
      </c>
      <c r="G28" s="52" t="s">
        <v>2846</v>
      </c>
      <c r="H28" s="56" t="s">
        <v>2848</v>
      </c>
      <c r="I28" s="56" t="s">
        <v>2792</v>
      </c>
    </row>
    <row r="29" spans="2:9" ht="39.75" hidden="1" customHeight="1" x14ac:dyDescent="0.25">
      <c r="B29" s="57" t="s">
        <v>19</v>
      </c>
      <c r="C29" s="57" t="s">
        <v>20</v>
      </c>
      <c r="D29" s="52" t="s">
        <v>2840</v>
      </c>
      <c r="E29" s="52" t="s">
        <v>2842</v>
      </c>
      <c r="F29" s="52" t="s">
        <v>2849</v>
      </c>
      <c r="G29" s="52" t="s">
        <v>2850</v>
      </c>
      <c r="H29" s="58" t="s">
        <v>2851</v>
      </c>
      <c r="I29" s="56" t="s">
        <v>2792</v>
      </c>
    </row>
    <row r="30" spans="2:9" ht="39.75" hidden="1" customHeight="1" x14ac:dyDescent="0.25">
      <c r="B30" s="57" t="s">
        <v>19</v>
      </c>
      <c r="C30" s="57" t="s">
        <v>22</v>
      </c>
      <c r="D30" s="57" t="s">
        <v>2840</v>
      </c>
      <c r="E30" s="57" t="s">
        <v>2842</v>
      </c>
      <c r="F30" s="52" t="s">
        <v>2818</v>
      </c>
      <c r="G30" s="52" t="s">
        <v>2846</v>
      </c>
      <c r="H30" s="56" t="s">
        <v>2848</v>
      </c>
      <c r="I30" s="56" t="s">
        <v>2792</v>
      </c>
    </row>
    <row r="31" spans="2:9" ht="39.75" hidden="1" customHeight="1" x14ac:dyDescent="0.25">
      <c r="B31" s="57" t="s">
        <v>24</v>
      </c>
      <c r="C31" s="57" t="s">
        <v>2852</v>
      </c>
      <c r="D31" s="57" t="s">
        <v>2853</v>
      </c>
      <c r="E31" s="57" t="s">
        <v>2854</v>
      </c>
      <c r="F31" s="57" t="s">
        <v>366</v>
      </c>
      <c r="G31" s="57" t="s">
        <v>366</v>
      </c>
      <c r="H31" s="57" t="s">
        <v>366</v>
      </c>
      <c r="I31" s="57" t="s">
        <v>366</v>
      </c>
    </row>
    <row r="32" spans="2:9" ht="39.75" hidden="1" customHeight="1" x14ac:dyDescent="0.25">
      <c r="B32" s="57" t="s">
        <v>2855</v>
      </c>
      <c r="C32" s="57" t="s">
        <v>66</v>
      </c>
      <c r="D32" s="57" t="s">
        <v>2818</v>
      </c>
      <c r="E32" s="57" t="s">
        <v>2819</v>
      </c>
      <c r="F32" s="57" t="s">
        <v>2797</v>
      </c>
      <c r="G32" s="57" t="s">
        <v>2806</v>
      </c>
      <c r="H32" s="58" t="s">
        <v>2856</v>
      </c>
      <c r="I32" s="56" t="s">
        <v>2792</v>
      </c>
    </row>
    <row r="33" spans="2:9" ht="39.75" hidden="1" customHeight="1" x14ac:dyDescent="0.25">
      <c r="B33" s="57" t="s">
        <v>2855</v>
      </c>
      <c r="C33" s="57" t="s">
        <v>66</v>
      </c>
      <c r="D33" s="57" t="s">
        <v>2797</v>
      </c>
      <c r="E33" s="57" t="s">
        <v>2806</v>
      </c>
      <c r="F33" s="57" t="s">
        <v>2797</v>
      </c>
      <c r="G33" s="57" t="s">
        <v>2798</v>
      </c>
      <c r="H33" s="58" t="s">
        <v>2857</v>
      </c>
      <c r="I33" s="56" t="s">
        <v>2792</v>
      </c>
    </row>
    <row r="34" spans="2:9" ht="39.75" hidden="1" customHeight="1" x14ac:dyDescent="0.25">
      <c r="B34" s="57" t="s">
        <v>43</v>
      </c>
      <c r="C34" s="57" t="s">
        <v>44</v>
      </c>
      <c r="D34" s="57" t="s">
        <v>2818</v>
      </c>
      <c r="E34" s="57" t="s">
        <v>2819</v>
      </c>
      <c r="F34" s="57" t="s">
        <v>2858</v>
      </c>
      <c r="G34" s="57" t="s">
        <v>2859</v>
      </c>
      <c r="H34" s="58" t="s">
        <v>2860</v>
      </c>
      <c r="I34" s="56" t="s">
        <v>2792</v>
      </c>
    </row>
    <row r="35" spans="2:9" ht="39.75" hidden="1" customHeight="1" x14ac:dyDescent="0.25">
      <c r="B35" s="57" t="s">
        <v>43</v>
      </c>
      <c r="C35" s="57" t="s">
        <v>44</v>
      </c>
      <c r="D35" s="57" t="s">
        <v>2818</v>
      </c>
      <c r="E35" s="57" t="s">
        <v>2819</v>
      </c>
      <c r="F35" s="52" t="s">
        <v>2808</v>
      </c>
      <c r="G35" s="52" t="s">
        <v>2809</v>
      </c>
      <c r="H35" s="58" t="s">
        <v>2861</v>
      </c>
      <c r="I35" s="56" t="s">
        <v>2792</v>
      </c>
    </row>
    <row r="36" spans="2:9" ht="39.75" hidden="1" customHeight="1" x14ac:dyDescent="0.25">
      <c r="B36" s="57" t="s">
        <v>43</v>
      </c>
      <c r="C36" s="57" t="s">
        <v>44</v>
      </c>
      <c r="D36" s="52" t="s">
        <v>2808</v>
      </c>
      <c r="E36" s="52" t="s">
        <v>2809</v>
      </c>
      <c r="F36" s="52" t="s">
        <v>2808</v>
      </c>
      <c r="G36" s="52" t="s">
        <v>2810</v>
      </c>
      <c r="H36" s="58" t="s">
        <v>2811</v>
      </c>
      <c r="I36" s="56" t="s">
        <v>2792</v>
      </c>
    </row>
    <row r="37" spans="2:9" ht="39.75" hidden="1" customHeight="1" x14ac:dyDescent="0.25">
      <c r="B37" s="57" t="s">
        <v>58</v>
      </c>
      <c r="C37" s="57" t="s">
        <v>61</v>
      </c>
      <c r="D37" s="57" t="s">
        <v>2862</v>
      </c>
      <c r="E37" s="57" t="s">
        <v>2863</v>
      </c>
      <c r="F37" s="57" t="s">
        <v>2862</v>
      </c>
      <c r="G37" s="57" t="s">
        <v>2864</v>
      </c>
      <c r="H37" s="58" t="s">
        <v>2865</v>
      </c>
      <c r="I37" s="56" t="s">
        <v>2792</v>
      </c>
    </row>
    <row r="38" spans="2:9" ht="39.75" hidden="1" customHeight="1" x14ac:dyDescent="0.25">
      <c r="B38" s="57" t="s">
        <v>58</v>
      </c>
      <c r="C38" s="57" t="s">
        <v>61</v>
      </c>
      <c r="D38" s="57" t="s">
        <v>2862</v>
      </c>
      <c r="E38" s="57" t="s">
        <v>2863</v>
      </c>
      <c r="F38" s="57" t="s">
        <v>2862</v>
      </c>
      <c r="G38" s="57" t="s">
        <v>2866</v>
      </c>
      <c r="H38" s="58" t="s">
        <v>2867</v>
      </c>
      <c r="I38" s="56" t="s">
        <v>2792</v>
      </c>
    </row>
    <row r="39" spans="2:9" ht="39.75" hidden="1" customHeight="1" x14ac:dyDescent="0.25">
      <c r="B39" s="57" t="s">
        <v>29</v>
      </c>
      <c r="C39" s="57" t="s">
        <v>30</v>
      </c>
      <c r="D39" s="57" t="s">
        <v>2868</v>
      </c>
      <c r="E39" s="57" t="s">
        <v>2869</v>
      </c>
      <c r="F39" s="57" t="s">
        <v>2868</v>
      </c>
      <c r="G39" s="57" t="s">
        <v>2870</v>
      </c>
      <c r="H39" s="58" t="s">
        <v>2871</v>
      </c>
      <c r="I39" s="56" t="s">
        <v>2823</v>
      </c>
    </row>
    <row r="40" spans="2:9" ht="39.75" hidden="1" customHeight="1" x14ac:dyDescent="0.25">
      <c r="B40" s="57" t="s">
        <v>29</v>
      </c>
      <c r="C40" s="57" t="s">
        <v>30</v>
      </c>
      <c r="D40" s="57" t="s">
        <v>2868</v>
      </c>
      <c r="E40" s="57" t="s">
        <v>2869</v>
      </c>
      <c r="F40" s="57" t="s">
        <v>2868</v>
      </c>
      <c r="G40" s="57" t="s">
        <v>2872</v>
      </c>
      <c r="H40" s="58" t="s">
        <v>2873</v>
      </c>
      <c r="I40" s="56" t="s">
        <v>2792</v>
      </c>
    </row>
    <row r="41" spans="2:9" ht="39.75" hidden="1" customHeight="1" x14ac:dyDescent="0.25">
      <c r="B41" s="57" t="s">
        <v>29</v>
      </c>
      <c r="C41" s="57" t="s">
        <v>30</v>
      </c>
      <c r="D41" s="57" t="s">
        <v>2868</v>
      </c>
      <c r="E41" s="57" t="s">
        <v>2872</v>
      </c>
      <c r="F41" s="383" t="s">
        <v>2797</v>
      </c>
      <c r="G41" s="57" t="s">
        <v>2838</v>
      </c>
      <c r="H41" s="58" t="s">
        <v>2874</v>
      </c>
      <c r="I41" s="56" t="s">
        <v>2823</v>
      </c>
    </row>
    <row r="42" spans="2:9" ht="39.75" hidden="1" customHeight="1" x14ac:dyDescent="0.25">
      <c r="B42" s="57" t="s">
        <v>29</v>
      </c>
      <c r="C42" s="57" t="s">
        <v>30</v>
      </c>
      <c r="D42" s="57" t="s">
        <v>2868</v>
      </c>
      <c r="E42" s="57" t="s">
        <v>2872</v>
      </c>
      <c r="F42" s="52" t="s">
        <v>2875</v>
      </c>
      <c r="G42" s="52" t="s">
        <v>2876</v>
      </c>
      <c r="H42" s="384" t="s">
        <v>2877</v>
      </c>
      <c r="I42" s="52" t="s">
        <v>2792</v>
      </c>
    </row>
    <row r="43" spans="2:9" ht="39.75" hidden="1" customHeight="1" x14ac:dyDescent="0.25">
      <c r="B43" s="52" t="s">
        <v>48</v>
      </c>
      <c r="C43" s="52" t="s">
        <v>49</v>
      </c>
      <c r="D43" s="52" t="s">
        <v>2868</v>
      </c>
      <c r="E43" s="52" t="s">
        <v>2869</v>
      </c>
      <c r="F43" s="52" t="s">
        <v>2868</v>
      </c>
      <c r="G43" s="52" t="s">
        <v>2872</v>
      </c>
      <c r="H43" s="56" t="s">
        <v>2873</v>
      </c>
      <c r="I43" s="52" t="s">
        <v>2823</v>
      </c>
    </row>
    <row r="44" spans="2:9" ht="39.75" hidden="1" customHeight="1" x14ac:dyDescent="0.25">
      <c r="B44" s="52" t="s">
        <v>48</v>
      </c>
      <c r="C44" s="52" t="s">
        <v>49</v>
      </c>
      <c r="D44" s="52" t="s">
        <v>2868</v>
      </c>
      <c r="E44" s="52" t="s">
        <v>2869</v>
      </c>
      <c r="F44" s="52" t="s">
        <v>2868</v>
      </c>
      <c r="G44" s="52" t="s">
        <v>2870</v>
      </c>
      <c r="H44" s="56" t="s">
        <v>2878</v>
      </c>
      <c r="I44" s="52" t="s">
        <v>2792</v>
      </c>
    </row>
    <row r="45" spans="2:9" ht="39.75" hidden="1" customHeight="1" x14ac:dyDescent="0.25">
      <c r="B45" s="52" t="s">
        <v>48</v>
      </c>
      <c r="C45" s="52" t="s">
        <v>49</v>
      </c>
      <c r="D45" s="52" t="s">
        <v>2868</v>
      </c>
      <c r="E45" s="52" t="s">
        <v>2872</v>
      </c>
      <c r="F45" s="52" t="s">
        <v>2875</v>
      </c>
      <c r="G45" s="52" t="s">
        <v>2876</v>
      </c>
      <c r="H45" s="384" t="s">
        <v>2877</v>
      </c>
      <c r="I45" s="52" t="s">
        <v>2792</v>
      </c>
    </row>
    <row r="46" spans="2:9" ht="39.75" hidden="1" customHeight="1" x14ac:dyDescent="0.25">
      <c r="B46" s="52" t="s">
        <v>48</v>
      </c>
      <c r="C46" s="52" t="s">
        <v>49</v>
      </c>
      <c r="D46" s="57" t="s">
        <v>2868</v>
      </c>
      <c r="E46" s="57" t="s">
        <v>2872</v>
      </c>
      <c r="F46" s="57" t="s">
        <v>2797</v>
      </c>
      <c r="G46" s="57" t="s">
        <v>2838</v>
      </c>
      <c r="H46" s="58" t="s">
        <v>2874</v>
      </c>
      <c r="I46" s="57" t="s">
        <v>2823</v>
      </c>
    </row>
    <row r="47" spans="2:9" ht="39.75" hidden="1" customHeight="1" x14ac:dyDescent="0.25">
      <c r="B47" s="52" t="s">
        <v>87</v>
      </c>
      <c r="C47" s="52" t="s">
        <v>1585</v>
      </c>
      <c r="D47" s="52" t="s">
        <v>2868</v>
      </c>
      <c r="E47" s="52" t="s">
        <v>2872</v>
      </c>
      <c r="F47" s="52" t="s">
        <v>2875</v>
      </c>
      <c r="G47" s="52" t="s">
        <v>2876</v>
      </c>
      <c r="H47" s="384" t="s">
        <v>2877</v>
      </c>
      <c r="I47" s="52" t="s">
        <v>2792</v>
      </c>
    </row>
    <row r="48" spans="2:9" ht="39.75" hidden="1" customHeight="1" x14ac:dyDescent="0.25">
      <c r="B48" s="52" t="s">
        <v>87</v>
      </c>
      <c r="C48" s="52" t="s">
        <v>1585</v>
      </c>
      <c r="D48" s="52" t="s">
        <v>2868</v>
      </c>
      <c r="E48" s="52" t="s">
        <v>2869</v>
      </c>
      <c r="F48" s="52" t="s">
        <v>2868</v>
      </c>
      <c r="G48" s="52" t="s">
        <v>2870</v>
      </c>
      <c r="H48" s="56" t="s">
        <v>2871</v>
      </c>
      <c r="I48" s="52" t="s">
        <v>2823</v>
      </c>
    </row>
    <row r="49" spans="2:9" ht="39.75" hidden="1" customHeight="1" x14ac:dyDescent="0.25">
      <c r="B49" s="52" t="s">
        <v>87</v>
      </c>
      <c r="C49" s="52" t="s">
        <v>1585</v>
      </c>
      <c r="D49" s="52" t="s">
        <v>2868</v>
      </c>
      <c r="E49" s="52" t="s">
        <v>2869</v>
      </c>
      <c r="F49" s="52" t="s">
        <v>2868</v>
      </c>
      <c r="G49" s="52" t="s">
        <v>2872</v>
      </c>
      <c r="H49" s="56" t="s">
        <v>2873</v>
      </c>
      <c r="I49" s="52" t="s">
        <v>2792</v>
      </c>
    </row>
    <row r="50" spans="2:9" ht="39.75" hidden="1" customHeight="1" x14ac:dyDescent="0.25">
      <c r="B50" s="52" t="s">
        <v>87</v>
      </c>
      <c r="C50" s="52" t="s">
        <v>1585</v>
      </c>
      <c r="D50" s="52" t="s">
        <v>2868</v>
      </c>
      <c r="E50" s="52" t="s">
        <v>2869</v>
      </c>
      <c r="F50" s="52" t="s">
        <v>2868</v>
      </c>
      <c r="G50" s="52" t="s">
        <v>2870</v>
      </c>
      <c r="H50" s="56" t="s">
        <v>2878</v>
      </c>
      <c r="I50" s="52" t="s">
        <v>2792</v>
      </c>
    </row>
    <row r="51" spans="2:9" ht="39.75" hidden="1" customHeight="1" x14ac:dyDescent="0.25">
      <c r="B51" s="52" t="s">
        <v>87</v>
      </c>
      <c r="C51" s="52" t="s">
        <v>1585</v>
      </c>
      <c r="D51" s="57" t="s">
        <v>2868</v>
      </c>
      <c r="E51" s="57" t="s">
        <v>2872</v>
      </c>
      <c r="F51" s="57" t="s">
        <v>2797</v>
      </c>
      <c r="G51" s="57" t="s">
        <v>2838</v>
      </c>
      <c r="H51" s="58" t="s">
        <v>2874</v>
      </c>
      <c r="I51" s="57" t="s">
        <v>2823</v>
      </c>
    </row>
    <row r="52" spans="2:9" ht="48" hidden="1" customHeight="1" x14ac:dyDescent="0.25">
      <c r="B52" s="57" t="s">
        <v>29</v>
      </c>
      <c r="C52" s="57" t="s">
        <v>32</v>
      </c>
      <c r="D52" s="57" t="s">
        <v>2868</v>
      </c>
      <c r="E52" s="57" t="s">
        <v>2872</v>
      </c>
      <c r="F52" s="57" t="s">
        <v>2797</v>
      </c>
      <c r="G52" s="57" t="s">
        <v>2838</v>
      </c>
      <c r="H52" s="58" t="s">
        <v>2874</v>
      </c>
      <c r="I52" s="57" t="s">
        <v>2823</v>
      </c>
    </row>
    <row r="53" spans="2:9" ht="43.5" hidden="1" customHeight="1" x14ac:dyDescent="0.25">
      <c r="B53" s="57" t="s">
        <v>29</v>
      </c>
      <c r="C53" s="57" t="s">
        <v>32</v>
      </c>
      <c r="D53" s="57" t="s">
        <v>2868</v>
      </c>
      <c r="E53" s="57" t="s">
        <v>2872</v>
      </c>
      <c r="F53" s="57" t="s">
        <v>2868</v>
      </c>
      <c r="G53" s="57" t="s">
        <v>2879</v>
      </c>
      <c r="H53" s="58" t="s">
        <v>2880</v>
      </c>
      <c r="I53" s="52" t="s">
        <v>2792</v>
      </c>
    </row>
    <row r="54" spans="2:9" ht="50.25" hidden="1" customHeight="1" x14ac:dyDescent="0.25">
      <c r="B54" s="57" t="s">
        <v>29</v>
      </c>
      <c r="C54" s="57" t="s">
        <v>32</v>
      </c>
      <c r="D54" s="57" t="s">
        <v>2868</v>
      </c>
      <c r="E54" s="57" t="s">
        <v>2872</v>
      </c>
      <c r="F54" s="383" t="s">
        <v>2868</v>
      </c>
      <c r="G54" s="57" t="s">
        <v>2881</v>
      </c>
      <c r="H54" s="58" t="s">
        <v>2882</v>
      </c>
      <c r="I54" s="52" t="s">
        <v>2792</v>
      </c>
    </row>
    <row r="55" spans="2:9" ht="48.75" hidden="1" customHeight="1" x14ac:dyDescent="0.25">
      <c r="B55" s="57" t="s">
        <v>48</v>
      </c>
      <c r="C55" s="52" t="s">
        <v>51</v>
      </c>
      <c r="D55" s="57" t="s">
        <v>2868</v>
      </c>
      <c r="E55" s="57" t="s">
        <v>2872</v>
      </c>
      <c r="F55" s="57" t="s">
        <v>2797</v>
      </c>
      <c r="G55" s="57" t="s">
        <v>2838</v>
      </c>
      <c r="H55" s="58" t="s">
        <v>2874</v>
      </c>
      <c r="I55" s="57" t="s">
        <v>2823</v>
      </c>
    </row>
    <row r="56" spans="2:9" ht="51" hidden="1" customHeight="1" x14ac:dyDescent="0.25">
      <c r="B56" s="57" t="s">
        <v>48</v>
      </c>
      <c r="C56" s="57" t="s">
        <v>51</v>
      </c>
      <c r="D56" s="57" t="s">
        <v>2868</v>
      </c>
      <c r="E56" s="57" t="s">
        <v>2872</v>
      </c>
      <c r="F56" s="57" t="s">
        <v>2868</v>
      </c>
      <c r="G56" s="57" t="s">
        <v>2879</v>
      </c>
      <c r="H56" s="58" t="s">
        <v>2880</v>
      </c>
      <c r="I56" s="52" t="s">
        <v>2792</v>
      </c>
    </row>
    <row r="57" spans="2:9" ht="51.75" hidden="1" customHeight="1" x14ac:dyDescent="0.25">
      <c r="B57" s="57" t="s">
        <v>48</v>
      </c>
      <c r="C57" s="57" t="s">
        <v>51</v>
      </c>
      <c r="D57" s="57" t="s">
        <v>2868</v>
      </c>
      <c r="E57" s="57" t="s">
        <v>2872</v>
      </c>
      <c r="F57" s="57" t="s">
        <v>2868</v>
      </c>
      <c r="G57" s="57" t="s">
        <v>2881</v>
      </c>
      <c r="H57" s="58" t="s">
        <v>2882</v>
      </c>
      <c r="I57" s="57" t="s">
        <v>2792</v>
      </c>
    </row>
    <row r="58" spans="2:9" ht="47.25" hidden="1" customHeight="1" x14ac:dyDescent="0.25">
      <c r="B58" s="57" t="s">
        <v>48</v>
      </c>
      <c r="C58" s="57" t="s">
        <v>51</v>
      </c>
      <c r="D58" s="57" t="s">
        <v>2868</v>
      </c>
      <c r="E58" s="57" t="s">
        <v>2872</v>
      </c>
      <c r="F58" s="57" t="s">
        <v>2868</v>
      </c>
      <c r="G58" s="57" t="s">
        <v>2883</v>
      </c>
      <c r="H58" s="58" t="s">
        <v>2884</v>
      </c>
      <c r="I58" s="57" t="s">
        <v>2792</v>
      </c>
    </row>
    <row r="59" spans="2:9" ht="47.25" hidden="1" customHeight="1" x14ac:dyDescent="0.25">
      <c r="B59" s="57" t="s">
        <v>48</v>
      </c>
      <c r="C59" s="57" t="s">
        <v>51</v>
      </c>
      <c r="D59" s="57" t="s">
        <v>2868</v>
      </c>
      <c r="E59" s="57" t="s">
        <v>2883</v>
      </c>
      <c r="F59" s="57" t="s">
        <v>2885</v>
      </c>
      <c r="G59" s="57" t="s">
        <v>2886</v>
      </c>
      <c r="H59" s="58" t="s">
        <v>2887</v>
      </c>
      <c r="I59" s="57" t="s">
        <v>2792</v>
      </c>
    </row>
    <row r="60" spans="2:9" ht="47.25" hidden="1" customHeight="1" x14ac:dyDescent="0.25">
      <c r="B60" s="57" t="s">
        <v>48</v>
      </c>
      <c r="C60" s="57" t="s">
        <v>51</v>
      </c>
      <c r="D60" s="57" t="s">
        <v>2885</v>
      </c>
      <c r="E60" s="57" t="s">
        <v>2886</v>
      </c>
      <c r="F60" s="57" t="s">
        <v>2797</v>
      </c>
      <c r="G60" s="57" t="s">
        <v>2838</v>
      </c>
      <c r="H60" s="56" t="s">
        <v>2888</v>
      </c>
      <c r="I60" s="57" t="s">
        <v>2792</v>
      </c>
    </row>
    <row r="61" spans="2:9" ht="66.75" hidden="1" customHeight="1" x14ac:dyDescent="0.25">
      <c r="B61" s="52" t="s">
        <v>87</v>
      </c>
      <c r="C61" s="52" t="s">
        <v>1630</v>
      </c>
      <c r="D61" s="57" t="s">
        <v>2868</v>
      </c>
      <c r="E61" s="57" t="s">
        <v>2872</v>
      </c>
      <c r="F61" s="57" t="s">
        <v>2797</v>
      </c>
      <c r="G61" s="57" t="s">
        <v>2838</v>
      </c>
      <c r="H61" s="58" t="s">
        <v>2874</v>
      </c>
      <c r="I61" s="57" t="s">
        <v>2823</v>
      </c>
    </row>
    <row r="62" spans="2:9" ht="54" hidden="1" customHeight="1" x14ac:dyDescent="0.25">
      <c r="B62" s="52" t="s">
        <v>87</v>
      </c>
      <c r="C62" s="52" t="s">
        <v>1630</v>
      </c>
      <c r="D62" s="52" t="s">
        <v>2868</v>
      </c>
      <c r="E62" s="52" t="s">
        <v>2872</v>
      </c>
      <c r="F62" s="52" t="s">
        <v>2868</v>
      </c>
      <c r="G62" s="52" t="s">
        <v>2879</v>
      </c>
      <c r="H62" s="56" t="s">
        <v>2880</v>
      </c>
      <c r="I62" s="52" t="s">
        <v>2792</v>
      </c>
    </row>
    <row r="63" spans="2:9" ht="55.5" hidden="1" customHeight="1" x14ac:dyDescent="0.25">
      <c r="B63" s="52" t="s">
        <v>87</v>
      </c>
      <c r="C63" s="52" t="s">
        <v>1630</v>
      </c>
      <c r="D63" s="52" t="s">
        <v>2868</v>
      </c>
      <c r="E63" s="52" t="s">
        <v>2872</v>
      </c>
      <c r="F63" s="52" t="s">
        <v>2868</v>
      </c>
      <c r="G63" s="52" t="s">
        <v>2881</v>
      </c>
      <c r="H63" s="56" t="s">
        <v>2882</v>
      </c>
      <c r="I63" s="57" t="s">
        <v>2792</v>
      </c>
    </row>
    <row r="64" spans="2:9" ht="48" hidden="1" customHeight="1" x14ac:dyDescent="0.25">
      <c r="B64" s="52" t="s">
        <v>87</v>
      </c>
      <c r="C64" s="52" t="s">
        <v>1630</v>
      </c>
      <c r="D64" s="52" t="s">
        <v>2868</v>
      </c>
      <c r="E64" s="52" t="s">
        <v>2872</v>
      </c>
      <c r="F64" s="52" t="s">
        <v>2868</v>
      </c>
      <c r="G64" s="52" t="s">
        <v>2883</v>
      </c>
      <c r="H64" s="56" t="s">
        <v>2884</v>
      </c>
      <c r="I64" s="57" t="s">
        <v>2792</v>
      </c>
    </row>
    <row r="65" spans="2:9" ht="56.25" hidden="1" customHeight="1" x14ac:dyDescent="0.25">
      <c r="B65" s="52" t="s">
        <v>87</v>
      </c>
      <c r="C65" s="52" t="s">
        <v>1630</v>
      </c>
      <c r="D65" s="57" t="s">
        <v>2868</v>
      </c>
      <c r="E65" s="57" t="s">
        <v>2883</v>
      </c>
      <c r="F65" s="57" t="s">
        <v>2885</v>
      </c>
      <c r="G65" s="57" t="s">
        <v>2886</v>
      </c>
      <c r="H65" s="58" t="s">
        <v>2887</v>
      </c>
      <c r="I65" s="57" t="s">
        <v>2792</v>
      </c>
    </row>
    <row r="66" spans="2:9" ht="54" hidden="1" customHeight="1" x14ac:dyDescent="0.25">
      <c r="B66" s="52" t="s">
        <v>87</v>
      </c>
      <c r="C66" s="52" t="s">
        <v>1630</v>
      </c>
      <c r="D66" s="57" t="s">
        <v>2885</v>
      </c>
      <c r="E66" s="57" t="s">
        <v>2886</v>
      </c>
      <c r="F66" s="57" t="s">
        <v>2797</v>
      </c>
      <c r="G66" s="57" t="s">
        <v>2838</v>
      </c>
      <c r="H66" s="58" t="s">
        <v>2888</v>
      </c>
      <c r="I66" s="57" t="s">
        <v>2792</v>
      </c>
    </row>
    <row r="67" spans="2:9" ht="40.5" hidden="1" customHeight="1" x14ac:dyDescent="0.25">
      <c r="B67" s="57" t="s">
        <v>29</v>
      </c>
      <c r="C67" s="57" t="s">
        <v>34</v>
      </c>
      <c r="D67" s="57" t="s">
        <v>2868</v>
      </c>
      <c r="E67" s="57" t="s">
        <v>2872</v>
      </c>
      <c r="F67" s="57" t="s">
        <v>2849</v>
      </c>
      <c r="G67" s="57" t="s">
        <v>2850</v>
      </c>
      <c r="H67" s="58" t="s">
        <v>2889</v>
      </c>
      <c r="I67" s="52" t="s">
        <v>2792</v>
      </c>
    </row>
    <row r="68" spans="2:9" ht="47.25" hidden="1" customHeight="1" x14ac:dyDescent="0.25">
      <c r="B68" s="57" t="s">
        <v>29</v>
      </c>
      <c r="C68" s="57" t="s">
        <v>34</v>
      </c>
      <c r="D68" s="57" t="s">
        <v>2868</v>
      </c>
      <c r="E68" s="57" t="s">
        <v>2872</v>
      </c>
      <c r="F68" s="57" t="s">
        <v>2868</v>
      </c>
      <c r="G68" s="57" t="s">
        <v>2890</v>
      </c>
      <c r="H68" s="58" t="s">
        <v>2891</v>
      </c>
      <c r="I68" s="52" t="s">
        <v>2792</v>
      </c>
    </row>
    <row r="69" spans="2:9" ht="37.5" hidden="1" customHeight="1" x14ac:dyDescent="0.25">
      <c r="B69" s="57" t="s">
        <v>29</v>
      </c>
      <c r="C69" s="57" t="s">
        <v>34</v>
      </c>
      <c r="D69" s="57" t="s">
        <v>2868</v>
      </c>
      <c r="E69" s="57" t="s">
        <v>2872</v>
      </c>
      <c r="F69" s="57" t="s">
        <v>2868</v>
      </c>
      <c r="G69" s="57" t="s">
        <v>2892</v>
      </c>
      <c r="H69" s="58" t="s">
        <v>2893</v>
      </c>
      <c r="I69" s="52" t="s">
        <v>2792</v>
      </c>
    </row>
    <row r="70" spans="2:9" ht="42.75" hidden="1" customHeight="1" x14ac:dyDescent="0.25">
      <c r="B70" s="57" t="s">
        <v>29</v>
      </c>
      <c r="C70" s="57" t="s">
        <v>34</v>
      </c>
      <c r="D70" s="57" t="s">
        <v>2868</v>
      </c>
      <c r="E70" s="57" t="s">
        <v>2872</v>
      </c>
      <c r="F70" s="57" t="s">
        <v>2868</v>
      </c>
      <c r="G70" s="57" t="s">
        <v>2894</v>
      </c>
      <c r="H70" s="58" t="s">
        <v>2895</v>
      </c>
      <c r="I70" s="52" t="s">
        <v>2792</v>
      </c>
    </row>
    <row r="71" spans="2:9" ht="43.5" hidden="1" customHeight="1" x14ac:dyDescent="0.25">
      <c r="B71" s="57" t="s">
        <v>29</v>
      </c>
      <c r="C71" s="57" t="s">
        <v>34</v>
      </c>
      <c r="D71" s="57" t="s">
        <v>2868</v>
      </c>
      <c r="E71" s="57" t="s">
        <v>2872</v>
      </c>
      <c r="F71" s="57" t="s">
        <v>2868</v>
      </c>
      <c r="G71" s="57" t="s">
        <v>2881</v>
      </c>
      <c r="H71" s="58" t="s">
        <v>2896</v>
      </c>
      <c r="I71" s="52" t="s">
        <v>2792</v>
      </c>
    </row>
    <row r="72" spans="2:9" ht="50.25" hidden="1" customHeight="1" x14ac:dyDescent="0.25">
      <c r="B72" s="57" t="s">
        <v>29</v>
      </c>
      <c r="C72" s="57" t="s">
        <v>34</v>
      </c>
      <c r="D72" s="57" t="s">
        <v>2868</v>
      </c>
      <c r="E72" s="57" t="s">
        <v>2872</v>
      </c>
      <c r="F72" s="57" t="s">
        <v>2868</v>
      </c>
      <c r="G72" s="57" t="s">
        <v>2897</v>
      </c>
      <c r="H72" s="58" t="s">
        <v>2898</v>
      </c>
      <c r="I72" s="52" t="s">
        <v>2792</v>
      </c>
    </row>
    <row r="73" spans="2:9" ht="57.75" hidden="1" customHeight="1" x14ac:dyDescent="0.25">
      <c r="B73" s="57" t="s">
        <v>29</v>
      </c>
      <c r="C73" s="57" t="s">
        <v>34</v>
      </c>
      <c r="D73" s="57" t="s">
        <v>2868</v>
      </c>
      <c r="E73" s="57" t="s">
        <v>2872</v>
      </c>
      <c r="F73" s="57" t="s">
        <v>2868</v>
      </c>
      <c r="G73" s="57" t="s">
        <v>2879</v>
      </c>
      <c r="H73" s="58" t="s">
        <v>2899</v>
      </c>
      <c r="I73" s="52" t="s">
        <v>2792</v>
      </c>
    </row>
    <row r="74" spans="2:9" ht="45" hidden="1" customHeight="1" x14ac:dyDescent="0.25">
      <c r="B74" s="57" t="s">
        <v>29</v>
      </c>
      <c r="C74" s="57" t="s">
        <v>34</v>
      </c>
      <c r="D74" s="57" t="s">
        <v>2868</v>
      </c>
      <c r="E74" s="57" t="s">
        <v>2872</v>
      </c>
      <c r="F74" s="57" t="s">
        <v>2797</v>
      </c>
      <c r="G74" s="57" t="s">
        <v>2838</v>
      </c>
      <c r="H74" s="58" t="s">
        <v>2900</v>
      </c>
      <c r="I74" s="385" t="s">
        <v>2823</v>
      </c>
    </row>
    <row r="75" spans="2:9" ht="39" hidden="1" customHeight="1" x14ac:dyDescent="0.25">
      <c r="B75" s="57" t="s">
        <v>29</v>
      </c>
      <c r="C75" s="57" t="s">
        <v>34</v>
      </c>
      <c r="D75" s="57" t="s">
        <v>2868</v>
      </c>
      <c r="E75" s="57" t="s">
        <v>2872</v>
      </c>
      <c r="F75" s="57" t="s">
        <v>2808</v>
      </c>
      <c r="G75" s="57" t="s">
        <v>2833</v>
      </c>
      <c r="H75" s="58" t="s">
        <v>2901</v>
      </c>
      <c r="I75" s="52" t="s">
        <v>2792</v>
      </c>
    </row>
    <row r="76" spans="2:9" ht="39" hidden="1" customHeight="1" x14ac:dyDescent="0.25">
      <c r="B76" s="57" t="s">
        <v>29</v>
      </c>
      <c r="C76" s="57" t="s">
        <v>34</v>
      </c>
      <c r="D76" s="57" t="s">
        <v>2868</v>
      </c>
      <c r="E76" s="57" t="s">
        <v>2892</v>
      </c>
      <c r="F76" s="57" t="s">
        <v>2868</v>
      </c>
      <c r="G76" s="383" t="s">
        <v>2902</v>
      </c>
      <c r="H76" s="386" t="s">
        <v>2903</v>
      </c>
      <c r="I76" s="52" t="s">
        <v>2792</v>
      </c>
    </row>
    <row r="77" spans="2:9" ht="39" hidden="1" customHeight="1" x14ac:dyDescent="0.25">
      <c r="B77" s="57" t="s">
        <v>29</v>
      </c>
      <c r="C77" s="57" t="s">
        <v>34</v>
      </c>
      <c r="D77" s="57" t="s">
        <v>2868</v>
      </c>
      <c r="E77" s="57" t="s">
        <v>2904</v>
      </c>
      <c r="F77" s="57" t="s">
        <v>2868</v>
      </c>
      <c r="G77" s="52" t="s">
        <v>2872</v>
      </c>
      <c r="H77" s="56" t="s">
        <v>2905</v>
      </c>
      <c r="I77" s="52" t="s">
        <v>2823</v>
      </c>
    </row>
    <row r="78" spans="2:9" ht="47.25" hidden="1" customHeight="1" x14ac:dyDescent="0.25">
      <c r="B78" s="57" t="s">
        <v>29</v>
      </c>
      <c r="C78" s="57" t="s">
        <v>34</v>
      </c>
      <c r="D78" s="57" t="s">
        <v>2868</v>
      </c>
      <c r="E78" s="57" t="s">
        <v>2904</v>
      </c>
      <c r="F78" s="57" t="s">
        <v>2868</v>
      </c>
      <c r="G78" s="57" t="s">
        <v>2906</v>
      </c>
      <c r="H78" s="58" t="s">
        <v>2907</v>
      </c>
      <c r="I78" s="52" t="s">
        <v>2792</v>
      </c>
    </row>
    <row r="79" spans="2:9" ht="44.25" hidden="1" customHeight="1" x14ac:dyDescent="0.25">
      <c r="B79" s="57" t="s">
        <v>29</v>
      </c>
      <c r="C79" s="57" t="s">
        <v>34</v>
      </c>
      <c r="D79" s="383" t="s">
        <v>2908</v>
      </c>
      <c r="E79" s="383" t="s">
        <v>2909</v>
      </c>
      <c r="F79" s="57" t="s">
        <v>2868</v>
      </c>
      <c r="G79" s="57" t="s">
        <v>2872</v>
      </c>
      <c r="H79" s="386" t="s">
        <v>2910</v>
      </c>
      <c r="I79" s="385" t="s">
        <v>2792</v>
      </c>
    </row>
    <row r="80" spans="2:9" ht="44.25" hidden="1" customHeight="1" x14ac:dyDescent="0.25">
      <c r="B80" s="57" t="s">
        <v>29</v>
      </c>
      <c r="C80" s="57" t="s">
        <v>34</v>
      </c>
      <c r="D80" s="385" t="s">
        <v>2908</v>
      </c>
      <c r="E80" s="385" t="s">
        <v>2911</v>
      </c>
      <c r="F80" s="385" t="s">
        <v>2908</v>
      </c>
      <c r="G80" s="385" t="s">
        <v>2909</v>
      </c>
      <c r="H80" s="384" t="s">
        <v>2912</v>
      </c>
      <c r="I80" s="385" t="s">
        <v>2792</v>
      </c>
    </row>
    <row r="81" spans="2:9" ht="44.25" hidden="1" customHeight="1" x14ac:dyDescent="0.25">
      <c r="B81" s="57" t="s">
        <v>29</v>
      </c>
      <c r="C81" s="57" t="s">
        <v>34</v>
      </c>
      <c r="D81" s="385" t="s">
        <v>2908</v>
      </c>
      <c r="E81" s="385" t="s">
        <v>2913</v>
      </c>
      <c r="F81" s="57" t="s">
        <v>2868</v>
      </c>
      <c r="G81" s="57" t="s">
        <v>2872</v>
      </c>
      <c r="H81" s="384" t="s">
        <v>2914</v>
      </c>
      <c r="I81" s="385" t="s">
        <v>2792</v>
      </c>
    </row>
    <row r="82" spans="2:9" ht="44.25" hidden="1" customHeight="1" x14ac:dyDescent="0.25">
      <c r="B82" s="57" t="s">
        <v>29</v>
      </c>
      <c r="C82" s="57" t="s">
        <v>34</v>
      </c>
      <c r="D82" s="385" t="s">
        <v>2908</v>
      </c>
      <c r="E82" s="385" t="s">
        <v>2913</v>
      </c>
      <c r="F82" s="385" t="s">
        <v>2908</v>
      </c>
      <c r="G82" s="385" t="s">
        <v>2911</v>
      </c>
      <c r="H82" s="384" t="s">
        <v>2915</v>
      </c>
      <c r="I82" s="385" t="s">
        <v>2792</v>
      </c>
    </row>
    <row r="83" spans="2:9" ht="44.25" hidden="1" customHeight="1" x14ac:dyDescent="0.25">
      <c r="B83" s="57" t="s">
        <v>29</v>
      </c>
      <c r="C83" s="57" t="s">
        <v>34</v>
      </c>
      <c r="D83" s="52" t="s">
        <v>2808</v>
      </c>
      <c r="E83" s="52" t="s">
        <v>2833</v>
      </c>
      <c r="F83" s="57" t="s">
        <v>2797</v>
      </c>
      <c r="G83" s="57" t="s">
        <v>2838</v>
      </c>
      <c r="H83" s="56" t="s">
        <v>2916</v>
      </c>
      <c r="I83" s="52" t="s">
        <v>2792</v>
      </c>
    </row>
    <row r="84" spans="2:9" ht="39" hidden="1" customHeight="1" x14ac:dyDescent="0.25">
      <c r="B84" s="57" t="s">
        <v>29</v>
      </c>
      <c r="C84" s="57" t="s">
        <v>34</v>
      </c>
      <c r="D84" s="57" t="s">
        <v>2808</v>
      </c>
      <c r="E84" s="57" t="s">
        <v>2833</v>
      </c>
      <c r="F84" s="57" t="s">
        <v>2808</v>
      </c>
      <c r="G84" s="57" t="s">
        <v>2810</v>
      </c>
      <c r="H84" s="58" t="s">
        <v>2917</v>
      </c>
      <c r="I84" s="52" t="s">
        <v>2792</v>
      </c>
    </row>
    <row r="85" spans="2:9" ht="52.5" hidden="1" customHeight="1" x14ac:dyDescent="0.25">
      <c r="B85" s="57" t="s">
        <v>94</v>
      </c>
      <c r="C85" s="52" t="s">
        <v>2504</v>
      </c>
      <c r="D85" s="57" t="s">
        <v>2918</v>
      </c>
      <c r="E85" s="57" t="s">
        <v>2919</v>
      </c>
      <c r="F85" s="57" t="s">
        <v>2918</v>
      </c>
      <c r="G85" s="57" t="s">
        <v>2920</v>
      </c>
      <c r="H85" s="58" t="s">
        <v>2921</v>
      </c>
      <c r="I85" s="52" t="s">
        <v>2792</v>
      </c>
    </row>
    <row r="86" spans="2:9" ht="54" hidden="1" customHeight="1" x14ac:dyDescent="0.25">
      <c r="B86" s="57" t="s">
        <v>94</v>
      </c>
      <c r="C86" s="57" t="s">
        <v>2504</v>
      </c>
      <c r="D86" s="57" t="s">
        <v>2918</v>
      </c>
      <c r="E86" s="57" t="s">
        <v>2919</v>
      </c>
      <c r="F86" s="57" t="s">
        <v>2797</v>
      </c>
      <c r="G86" s="57" t="s">
        <v>2798</v>
      </c>
      <c r="H86" s="58" t="s">
        <v>2922</v>
      </c>
      <c r="I86" s="52" t="s">
        <v>2792</v>
      </c>
    </row>
    <row r="87" spans="2:9" ht="34.5" hidden="1" customHeight="1" x14ac:dyDescent="0.25">
      <c r="B87" s="57" t="s">
        <v>94</v>
      </c>
      <c r="C87" s="57" t="s">
        <v>2504</v>
      </c>
      <c r="D87" s="57" t="s">
        <v>2797</v>
      </c>
      <c r="E87" s="57" t="s">
        <v>2806</v>
      </c>
      <c r="F87" s="57" t="s">
        <v>2797</v>
      </c>
      <c r="G87" s="57" t="s">
        <v>2798</v>
      </c>
      <c r="H87" s="58" t="s">
        <v>2807</v>
      </c>
      <c r="I87" s="52" t="s">
        <v>2792</v>
      </c>
    </row>
    <row r="88" spans="2:9" ht="42.75" hidden="1" customHeight="1" x14ac:dyDescent="0.25">
      <c r="B88" s="57" t="s">
        <v>94</v>
      </c>
      <c r="C88" s="57" t="s">
        <v>2504</v>
      </c>
      <c r="D88" s="57" t="s">
        <v>2918</v>
      </c>
      <c r="E88" s="57" t="s">
        <v>2919</v>
      </c>
      <c r="F88" s="57" t="s">
        <v>2918</v>
      </c>
      <c r="G88" s="57" t="s">
        <v>2923</v>
      </c>
      <c r="H88" s="58" t="s">
        <v>2924</v>
      </c>
      <c r="I88" s="52" t="s">
        <v>2792</v>
      </c>
    </row>
    <row r="89" spans="2:9" ht="72" customHeight="1" x14ac:dyDescent="0.25">
      <c r="B89" s="57" t="s">
        <v>82</v>
      </c>
      <c r="C89" s="57" t="s">
        <v>2167</v>
      </c>
      <c r="D89" s="57" t="s">
        <v>2797</v>
      </c>
      <c r="E89" s="57" t="s">
        <v>2798</v>
      </c>
      <c r="F89" s="57" t="s">
        <v>2925</v>
      </c>
      <c r="G89" s="57" t="s">
        <v>2926</v>
      </c>
      <c r="H89" s="58" t="s">
        <v>2927</v>
      </c>
      <c r="I89" s="52" t="s">
        <v>2792</v>
      </c>
    </row>
    <row r="90" spans="2:9" ht="71.25" customHeight="1" x14ac:dyDescent="0.25">
      <c r="B90" s="57" t="s">
        <v>82</v>
      </c>
      <c r="C90" s="57" t="s">
        <v>2167</v>
      </c>
      <c r="D90" s="57" t="s">
        <v>2797</v>
      </c>
      <c r="E90" s="57" t="s">
        <v>2798</v>
      </c>
      <c r="F90" s="57" t="s">
        <v>2908</v>
      </c>
      <c r="G90" s="57" t="s">
        <v>2928</v>
      </c>
      <c r="H90" s="58" t="s">
        <v>2929</v>
      </c>
      <c r="I90" s="52" t="s">
        <v>2792</v>
      </c>
    </row>
    <row r="91" spans="2:9" ht="71.25" customHeight="1" x14ac:dyDescent="0.25">
      <c r="B91" s="57" t="s">
        <v>82</v>
      </c>
      <c r="C91" s="57" t="s">
        <v>2167</v>
      </c>
      <c r="D91" s="57" t="s">
        <v>2797</v>
      </c>
      <c r="E91" s="57" t="s">
        <v>2798</v>
      </c>
      <c r="F91" s="57" t="s">
        <v>2808</v>
      </c>
      <c r="G91" s="52" t="s">
        <v>2833</v>
      </c>
      <c r="H91" s="56" t="s">
        <v>2930</v>
      </c>
      <c r="I91" s="52" t="s">
        <v>2792</v>
      </c>
    </row>
    <row r="92" spans="2:9" ht="49.5" customHeight="1" x14ac:dyDescent="0.25">
      <c r="B92" s="57" t="s">
        <v>82</v>
      </c>
      <c r="C92" s="57" t="s">
        <v>2167</v>
      </c>
      <c r="D92" s="57" t="s">
        <v>2925</v>
      </c>
      <c r="E92" s="57" t="s">
        <v>2931</v>
      </c>
      <c r="F92" s="57" t="s">
        <v>2797</v>
      </c>
      <c r="G92" s="57" t="s">
        <v>2798</v>
      </c>
      <c r="H92" s="58" t="s">
        <v>2932</v>
      </c>
      <c r="I92" s="52" t="s">
        <v>2792</v>
      </c>
    </row>
    <row r="93" spans="2:9" ht="51.75" customHeight="1" x14ac:dyDescent="0.25">
      <c r="B93" s="57" t="s">
        <v>82</v>
      </c>
      <c r="C93" s="57" t="s">
        <v>2167</v>
      </c>
      <c r="D93" s="57" t="s">
        <v>2925</v>
      </c>
      <c r="E93" s="57" t="s">
        <v>2931</v>
      </c>
      <c r="F93" s="57" t="s">
        <v>2925</v>
      </c>
      <c r="G93" s="57" t="s">
        <v>2933</v>
      </c>
      <c r="H93" s="58" t="s">
        <v>2934</v>
      </c>
      <c r="I93" s="52" t="s">
        <v>2792</v>
      </c>
    </row>
    <row r="94" spans="2:9" ht="50.25" customHeight="1" x14ac:dyDescent="0.25">
      <c r="B94" s="57" t="s">
        <v>82</v>
      </c>
      <c r="C94" s="57" t="s">
        <v>2167</v>
      </c>
      <c r="D94" s="57" t="s">
        <v>2925</v>
      </c>
      <c r="E94" s="57" t="s">
        <v>2931</v>
      </c>
      <c r="F94" s="57" t="s">
        <v>2925</v>
      </c>
      <c r="G94" s="57" t="s">
        <v>2935</v>
      </c>
      <c r="H94" s="58" t="s">
        <v>2936</v>
      </c>
      <c r="I94" s="52" t="s">
        <v>2792</v>
      </c>
    </row>
    <row r="95" spans="2:9" ht="69.75" customHeight="1" x14ac:dyDescent="0.25">
      <c r="B95" s="57" t="s">
        <v>82</v>
      </c>
      <c r="C95" s="57" t="s">
        <v>2167</v>
      </c>
      <c r="D95" s="57" t="s">
        <v>2925</v>
      </c>
      <c r="E95" s="57" t="s">
        <v>2931</v>
      </c>
      <c r="F95" s="57" t="s">
        <v>2925</v>
      </c>
      <c r="G95" s="57" t="s">
        <v>2937</v>
      </c>
      <c r="H95" s="58" t="s">
        <v>2938</v>
      </c>
      <c r="I95" s="52" t="s">
        <v>2792</v>
      </c>
    </row>
    <row r="96" spans="2:9" ht="59.25" customHeight="1" x14ac:dyDescent="0.25">
      <c r="B96" s="57" t="s">
        <v>82</v>
      </c>
      <c r="C96" s="57" t="s">
        <v>2167</v>
      </c>
      <c r="D96" s="57" t="s">
        <v>2925</v>
      </c>
      <c r="E96" s="57" t="s">
        <v>2931</v>
      </c>
      <c r="F96" s="57" t="s">
        <v>2925</v>
      </c>
      <c r="G96" s="57" t="s">
        <v>2939</v>
      </c>
      <c r="H96" s="58" t="s">
        <v>2940</v>
      </c>
      <c r="I96" s="52" t="s">
        <v>2792</v>
      </c>
    </row>
    <row r="97" spans="2:9" ht="91.5" customHeight="1" x14ac:dyDescent="0.25">
      <c r="B97" s="57" t="s">
        <v>82</v>
      </c>
      <c r="C97" s="57" t="s">
        <v>2167</v>
      </c>
      <c r="D97" s="57" t="s">
        <v>2925</v>
      </c>
      <c r="E97" s="57" t="s">
        <v>2931</v>
      </c>
      <c r="F97" s="57" t="s">
        <v>2925</v>
      </c>
      <c r="G97" s="57" t="s">
        <v>2941</v>
      </c>
      <c r="H97" s="58" t="s">
        <v>2942</v>
      </c>
      <c r="I97" s="52" t="s">
        <v>2792</v>
      </c>
    </row>
    <row r="98" spans="2:9" ht="58.5" customHeight="1" x14ac:dyDescent="0.25">
      <c r="B98" s="57" t="s">
        <v>82</v>
      </c>
      <c r="C98" s="57" t="s">
        <v>2167</v>
      </c>
      <c r="D98" s="57" t="s">
        <v>2925</v>
      </c>
      <c r="E98" s="57" t="s">
        <v>2931</v>
      </c>
      <c r="F98" s="57" t="s">
        <v>2797</v>
      </c>
      <c r="G98" s="57" t="s">
        <v>2806</v>
      </c>
      <c r="H98" s="58" t="s">
        <v>2943</v>
      </c>
      <c r="I98" s="52" t="s">
        <v>2792</v>
      </c>
    </row>
    <row r="99" spans="2:9" ht="64.5" customHeight="1" x14ac:dyDescent="0.25">
      <c r="B99" s="57" t="s">
        <v>82</v>
      </c>
      <c r="C99" s="57" t="s">
        <v>2167</v>
      </c>
      <c r="D99" s="57" t="s">
        <v>2925</v>
      </c>
      <c r="E99" s="57" t="s">
        <v>2931</v>
      </c>
      <c r="F99" s="57" t="s">
        <v>2797</v>
      </c>
      <c r="G99" s="57" t="s">
        <v>2802</v>
      </c>
      <c r="H99" s="58" t="s">
        <v>2944</v>
      </c>
      <c r="I99" s="52" t="s">
        <v>2792</v>
      </c>
    </row>
    <row r="100" spans="2:9" ht="76.5" customHeight="1" x14ac:dyDescent="0.25">
      <c r="B100" s="57" t="s">
        <v>82</v>
      </c>
      <c r="C100" s="57" t="s">
        <v>2167</v>
      </c>
      <c r="D100" s="57" t="s">
        <v>2925</v>
      </c>
      <c r="E100" s="57" t="s">
        <v>2931</v>
      </c>
      <c r="F100" s="57" t="s">
        <v>2797</v>
      </c>
      <c r="G100" s="57" t="s">
        <v>2800</v>
      </c>
      <c r="H100" s="58" t="s">
        <v>2945</v>
      </c>
      <c r="I100" s="52" t="s">
        <v>2792</v>
      </c>
    </row>
    <row r="101" spans="2:9" ht="51" customHeight="1" x14ac:dyDescent="0.25">
      <c r="B101" s="57" t="s">
        <v>82</v>
      </c>
      <c r="C101" s="57" t="s">
        <v>2167</v>
      </c>
      <c r="D101" s="57" t="s">
        <v>2925</v>
      </c>
      <c r="E101" s="57" t="s">
        <v>2939</v>
      </c>
      <c r="F101" s="57" t="s">
        <v>2925</v>
      </c>
      <c r="G101" s="57" t="s">
        <v>2946</v>
      </c>
      <c r="H101" s="58" t="s">
        <v>2947</v>
      </c>
      <c r="I101" s="52" t="s">
        <v>2792</v>
      </c>
    </row>
    <row r="102" spans="2:9" ht="70.5" customHeight="1" x14ac:dyDescent="0.25">
      <c r="B102" s="57" t="s">
        <v>82</v>
      </c>
      <c r="C102" s="57" t="s">
        <v>2167</v>
      </c>
      <c r="D102" s="57" t="s">
        <v>2925</v>
      </c>
      <c r="E102" s="57" t="s">
        <v>2948</v>
      </c>
      <c r="F102" s="57" t="s">
        <v>2925</v>
      </c>
      <c r="G102" s="57" t="s">
        <v>2949</v>
      </c>
      <c r="H102" s="58" t="s">
        <v>2950</v>
      </c>
      <c r="I102" s="52" t="s">
        <v>2792</v>
      </c>
    </row>
    <row r="103" spans="2:9" ht="51.75" customHeight="1" x14ac:dyDescent="0.25">
      <c r="B103" s="57" t="s">
        <v>82</v>
      </c>
      <c r="C103" s="57" t="s">
        <v>2167</v>
      </c>
      <c r="D103" s="57" t="s">
        <v>2925</v>
      </c>
      <c r="E103" s="57" t="s">
        <v>2948</v>
      </c>
      <c r="F103" s="57" t="s">
        <v>2925</v>
      </c>
      <c r="G103" s="57" t="s">
        <v>2951</v>
      </c>
      <c r="H103" s="58" t="s">
        <v>2952</v>
      </c>
      <c r="I103" s="52" t="s">
        <v>2792</v>
      </c>
    </row>
    <row r="104" spans="2:9" ht="89.25" customHeight="1" x14ac:dyDescent="0.25">
      <c r="B104" s="57" t="s">
        <v>82</v>
      </c>
      <c r="C104" s="57" t="s">
        <v>2167</v>
      </c>
      <c r="D104" s="57" t="s">
        <v>2925</v>
      </c>
      <c r="E104" s="57" t="s">
        <v>2948</v>
      </c>
      <c r="F104" s="57" t="s">
        <v>2925</v>
      </c>
      <c r="G104" s="57" t="s">
        <v>2953</v>
      </c>
      <c r="H104" s="58" t="s">
        <v>2954</v>
      </c>
      <c r="I104" s="52" t="s">
        <v>2792</v>
      </c>
    </row>
    <row r="105" spans="2:9" ht="69.75" customHeight="1" x14ac:dyDescent="0.25">
      <c r="B105" s="57" t="s">
        <v>82</v>
      </c>
      <c r="C105" s="57" t="s">
        <v>2167</v>
      </c>
      <c r="D105" s="57" t="s">
        <v>2925</v>
      </c>
      <c r="E105" s="57" t="s">
        <v>2948</v>
      </c>
      <c r="F105" s="57" t="s">
        <v>2925</v>
      </c>
      <c r="G105" s="57" t="s">
        <v>2955</v>
      </c>
      <c r="H105" s="58" t="s">
        <v>2956</v>
      </c>
      <c r="I105" s="52" t="s">
        <v>2792</v>
      </c>
    </row>
    <row r="106" spans="2:9" ht="72.75" customHeight="1" x14ac:dyDescent="0.25">
      <c r="B106" s="57" t="s">
        <v>82</v>
      </c>
      <c r="C106" s="57" t="s">
        <v>2167</v>
      </c>
      <c r="D106" s="57" t="s">
        <v>2925</v>
      </c>
      <c r="E106" s="57" t="s">
        <v>2948</v>
      </c>
      <c r="F106" s="57" t="s">
        <v>2925</v>
      </c>
      <c r="G106" s="57" t="s">
        <v>2957</v>
      </c>
      <c r="H106" s="58" t="s">
        <v>2958</v>
      </c>
      <c r="I106" s="52" t="s">
        <v>2792</v>
      </c>
    </row>
    <row r="107" spans="2:9" ht="83.25" customHeight="1" x14ac:dyDescent="0.25">
      <c r="B107" s="57" t="s">
        <v>82</v>
      </c>
      <c r="C107" s="57" t="s">
        <v>2167</v>
      </c>
      <c r="D107" s="57" t="s">
        <v>2925</v>
      </c>
      <c r="E107" s="57" t="s">
        <v>2948</v>
      </c>
      <c r="F107" s="57" t="s">
        <v>2925</v>
      </c>
      <c r="G107" s="57" t="s">
        <v>2959</v>
      </c>
      <c r="H107" s="58" t="s">
        <v>2960</v>
      </c>
      <c r="I107" s="52" t="s">
        <v>2792</v>
      </c>
    </row>
    <row r="108" spans="2:9" ht="78" customHeight="1" x14ac:dyDescent="0.25">
      <c r="B108" s="57" t="s">
        <v>82</v>
      </c>
      <c r="C108" s="57" t="s">
        <v>2167</v>
      </c>
      <c r="D108" s="57" t="s">
        <v>2925</v>
      </c>
      <c r="E108" s="57" t="s">
        <v>2948</v>
      </c>
      <c r="F108" s="57" t="s">
        <v>2908</v>
      </c>
      <c r="G108" s="57" t="s">
        <v>2928</v>
      </c>
      <c r="H108" s="58" t="s">
        <v>2961</v>
      </c>
      <c r="I108" s="52" t="s">
        <v>2792</v>
      </c>
    </row>
    <row r="109" spans="2:9" ht="66.75" customHeight="1" x14ac:dyDescent="0.25">
      <c r="B109" s="57" t="s">
        <v>82</v>
      </c>
      <c r="C109" s="57" t="s">
        <v>2167</v>
      </c>
      <c r="D109" s="57" t="s">
        <v>2925</v>
      </c>
      <c r="E109" s="57" t="s">
        <v>2948</v>
      </c>
      <c r="F109" s="57" t="s">
        <v>2808</v>
      </c>
      <c r="G109" s="57" t="s">
        <v>2833</v>
      </c>
      <c r="H109" s="58" t="s">
        <v>2962</v>
      </c>
      <c r="I109" s="52" t="s">
        <v>2792</v>
      </c>
    </row>
    <row r="110" spans="2:9" ht="69" customHeight="1" x14ac:dyDescent="0.25">
      <c r="B110" s="57" t="s">
        <v>82</v>
      </c>
      <c r="C110" s="57" t="s">
        <v>2167</v>
      </c>
      <c r="D110" s="57" t="s">
        <v>2925</v>
      </c>
      <c r="E110" s="57" t="s">
        <v>2941</v>
      </c>
      <c r="F110" s="57" t="s">
        <v>2797</v>
      </c>
      <c r="G110" s="57" t="s">
        <v>2963</v>
      </c>
      <c r="H110" s="58" t="s">
        <v>2964</v>
      </c>
      <c r="I110" s="52" t="s">
        <v>2792</v>
      </c>
    </row>
    <row r="111" spans="2:9" ht="63" customHeight="1" x14ac:dyDescent="0.25">
      <c r="B111" s="57" t="s">
        <v>82</v>
      </c>
      <c r="C111" s="57" t="s">
        <v>2167</v>
      </c>
      <c r="D111" s="57" t="s">
        <v>2908</v>
      </c>
      <c r="E111" s="57" t="s">
        <v>2928</v>
      </c>
      <c r="F111" s="57" t="s">
        <v>2908</v>
      </c>
      <c r="G111" s="57" t="s">
        <v>2911</v>
      </c>
      <c r="H111" s="58" t="s">
        <v>2965</v>
      </c>
      <c r="I111" s="52" t="s">
        <v>2792</v>
      </c>
    </row>
    <row r="112" spans="2:9" ht="63" customHeight="1" x14ac:dyDescent="0.25">
      <c r="B112" s="57" t="s">
        <v>82</v>
      </c>
      <c r="C112" s="57" t="s">
        <v>2167</v>
      </c>
      <c r="D112" s="57" t="s">
        <v>2925</v>
      </c>
      <c r="E112" s="57" t="s">
        <v>2937</v>
      </c>
      <c r="F112" s="57" t="s">
        <v>2925</v>
      </c>
      <c r="G112" s="57" t="s">
        <v>2937</v>
      </c>
      <c r="H112" s="384" t="s">
        <v>2966</v>
      </c>
      <c r="I112" s="52" t="s">
        <v>2792</v>
      </c>
    </row>
    <row r="113" spans="2:9" ht="78" customHeight="1" x14ac:dyDescent="0.25">
      <c r="B113" s="57" t="s">
        <v>82</v>
      </c>
      <c r="C113" s="57" t="s">
        <v>2167</v>
      </c>
      <c r="D113" s="57" t="s">
        <v>2797</v>
      </c>
      <c r="E113" s="57" t="s">
        <v>2806</v>
      </c>
      <c r="F113" s="57" t="s">
        <v>2797</v>
      </c>
      <c r="G113" s="57" t="s">
        <v>2798</v>
      </c>
      <c r="H113" s="58" t="s">
        <v>2967</v>
      </c>
      <c r="I113" s="52" t="s">
        <v>2792</v>
      </c>
    </row>
    <row r="114" spans="2:9" ht="66" customHeight="1" x14ac:dyDescent="0.25">
      <c r="B114" s="57" t="s">
        <v>82</v>
      </c>
      <c r="C114" s="57" t="s">
        <v>2167</v>
      </c>
      <c r="D114" s="57" t="s">
        <v>2808</v>
      </c>
      <c r="E114" s="57" t="s">
        <v>2833</v>
      </c>
      <c r="F114" s="57" t="s">
        <v>2808</v>
      </c>
      <c r="G114" s="57" t="s">
        <v>2810</v>
      </c>
      <c r="H114" s="58" t="s">
        <v>2968</v>
      </c>
      <c r="I114" s="52" t="s">
        <v>2792</v>
      </c>
    </row>
    <row r="115" spans="2:9" ht="39.75" hidden="1" customHeight="1" x14ac:dyDescent="0.25">
      <c r="B115" s="57" t="s">
        <v>19</v>
      </c>
      <c r="C115" s="57" t="s">
        <v>20</v>
      </c>
      <c r="D115" s="57" t="s">
        <v>2808</v>
      </c>
      <c r="E115" s="57" t="s">
        <v>2809</v>
      </c>
      <c r="F115" s="52" t="s">
        <v>2808</v>
      </c>
      <c r="G115" s="57" t="s">
        <v>2810</v>
      </c>
      <c r="H115" s="58" t="s">
        <v>2811</v>
      </c>
      <c r="I115" s="56" t="s">
        <v>2792</v>
      </c>
    </row>
    <row r="116" spans="2:9" ht="69" hidden="1" customHeight="1" x14ac:dyDescent="0.25">
      <c r="B116" s="57" t="s">
        <v>19</v>
      </c>
      <c r="C116" s="57" t="s">
        <v>20</v>
      </c>
      <c r="D116" s="57" t="s">
        <v>2808</v>
      </c>
      <c r="E116" s="57" t="s">
        <v>2809</v>
      </c>
      <c r="F116" s="57" t="s">
        <v>2797</v>
      </c>
      <c r="G116" s="57" t="s">
        <v>2838</v>
      </c>
      <c r="H116" s="58" t="s">
        <v>2839</v>
      </c>
      <c r="I116" s="57" t="s">
        <v>2792</v>
      </c>
    </row>
    <row r="117" spans="2:9" ht="63" hidden="1" customHeight="1" x14ac:dyDescent="0.25">
      <c r="B117" s="57" t="s">
        <v>77</v>
      </c>
      <c r="C117" s="52" t="s">
        <v>2385</v>
      </c>
      <c r="D117" s="57" t="s">
        <v>2818</v>
      </c>
      <c r="E117" s="57" t="s">
        <v>2819</v>
      </c>
      <c r="F117" s="52" t="s">
        <v>2808</v>
      </c>
      <c r="G117" s="52" t="s">
        <v>2809</v>
      </c>
      <c r="H117" s="58" t="s">
        <v>2861</v>
      </c>
      <c r="I117" s="56" t="s">
        <v>2792</v>
      </c>
    </row>
    <row r="118" spans="2:9" ht="69.75" hidden="1" customHeight="1" x14ac:dyDescent="0.25">
      <c r="B118" s="57" t="s">
        <v>77</v>
      </c>
      <c r="C118" s="57" t="s">
        <v>2385</v>
      </c>
      <c r="D118" s="57" t="s">
        <v>2797</v>
      </c>
      <c r="E118" s="57" t="s">
        <v>2969</v>
      </c>
      <c r="F118" s="57" t="s">
        <v>2818</v>
      </c>
      <c r="G118" s="57" t="s">
        <v>2819</v>
      </c>
      <c r="H118" s="58" t="s">
        <v>2970</v>
      </c>
      <c r="I118" s="56" t="s">
        <v>2792</v>
      </c>
    </row>
    <row r="119" spans="2:9" ht="46.5" hidden="1" customHeight="1" x14ac:dyDescent="0.25">
      <c r="B119" s="57" t="s">
        <v>77</v>
      </c>
      <c r="C119" s="57" t="s">
        <v>2385</v>
      </c>
      <c r="D119" s="57" t="s">
        <v>2797</v>
      </c>
      <c r="E119" s="57" t="s">
        <v>2806</v>
      </c>
      <c r="F119" s="57" t="s">
        <v>2797</v>
      </c>
      <c r="G119" s="57" t="s">
        <v>2969</v>
      </c>
      <c r="H119" s="58" t="s">
        <v>2971</v>
      </c>
      <c r="I119" s="56" t="s">
        <v>2792</v>
      </c>
    </row>
    <row r="120" spans="2:9" ht="30" hidden="1" x14ac:dyDescent="0.25">
      <c r="B120" s="57" t="s">
        <v>77</v>
      </c>
      <c r="C120" s="57" t="s">
        <v>2385</v>
      </c>
      <c r="D120" s="57" t="s">
        <v>2808</v>
      </c>
      <c r="E120" s="57" t="s">
        <v>2809</v>
      </c>
      <c r="F120" s="57" t="s">
        <v>2808</v>
      </c>
      <c r="G120" s="57" t="s">
        <v>2810</v>
      </c>
      <c r="H120" s="58" t="s">
        <v>2811</v>
      </c>
      <c r="I120" s="56" t="s">
        <v>2792</v>
      </c>
    </row>
    <row r="121" spans="2:9" ht="48.75" hidden="1" customHeight="1" x14ac:dyDescent="0.25">
      <c r="B121" s="57" t="s">
        <v>104</v>
      </c>
      <c r="C121" s="52" t="s">
        <v>2447</v>
      </c>
      <c r="D121" s="57" t="s">
        <v>2818</v>
      </c>
      <c r="E121" s="57" t="s">
        <v>2819</v>
      </c>
      <c r="F121" s="52" t="s">
        <v>2808</v>
      </c>
      <c r="G121" s="52" t="s">
        <v>2809</v>
      </c>
      <c r="H121" s="58" t="s">
        <v>2861</v>
      </c>
      <c r="I121" s="56" t="s">
        <v>2792</v>
      </c>
    </row>
    <row r="122" spans="2:9" ht="30" hidden="1" x14ac:dyDescent="0.25">
      <c r="B122" s="57" t="s">
        <v>104</v>
      </c>
      <c r="C122" s="52" t="s">
        <v>2447</v>
      </c>
      <c r="D122" s="57" t="s">
        <v>2808</v>
      </c>
      <c r="E122" s="57" t="s">
        <v>2809</v>
      </c>
      <c r="F122" s="57" t="s">
        <v>2808</v>
      </c>
      <c r="G122" s="57" t="s">
        <v>2810</v>
      </c>
      <c r="H122" s="58" t="s">
        <v>2811</v>
      </c>
      <c r="I122" s="57" t="s">
        <v>2792</v>
      </c>
    </row>
    <row r="123" spans="2:9" ht="53.25" hidden="1" customHeight="1" x14ac:dyDescent="0.25">
      <c r="B123" s="57" t="s">
        <v>72</v>
      </c>
      <c r="C123" s="52" t="s">
        <v>73</v>
      </c>
      <c r="D123" s="57" t="s">
        <v>2972</v>
      </c>
      <c r="E123" s="57" t="s">
        <v>2973</v>
      </c>
      <c r="F123" s="57" t="s">
        <v>2908</v>
      </c>
      <c r="G123" s="57" t="s">
        <v>2911</v>
      </c>
      <c r="H123" s="58" t="s">
        <v>2974</v>
      </c>
      <c r="I123" s="51"/>
    </row>
    <row r="124" spans="2:9" hidden="1" x14ac:dyDescent="0.25">
      <c r="B124" s="57" t="s">
        <v>4</v>
      </c>
      <c r="C124" s="57" t="s">
        <v>5</v>
      </c>
      <c r="D124" s="52" t="s">
        <v>2788</v>
      </c>
      <c r="E124" s="52" t="s">
        <v>2789</v>
      </c>
      <c r="F124" s="57" t="s">
        <v>2797</v>
      </c>
      <c r="G124" s="57" t="s">
        <v>2975</v>
      </c>
      <c r="H124" s="58" t="s">
        <v>2976</v>
      </c>
      <c r="I124" s="56" t="s">
        <v>2792</v>
      </c>
    </row>
    <row r="125" spans="2:9" hidden="1" x14ac:dyDescent="0.25">
      <c r="B125" s="57" t="s">
        <v>4</v>
      </c>
      <c r="C125" s="57" t="s">
        <v>5</v>
      </c>
      <c r="D125" s="57" t="s">
        <v>2797</v>
      </c>
      <c r="E125" s="57" t="s">
        <v>2975</v>
      </c>
      <c r="F125" s="57" t="s">
        <v>2797</v>
      </c>
      <c r="G125" s="57" t="s">
        <v>2838</v>
      </c>
      <c r="H125" s="58" t="s">
        <v>2977</v>
      </c>
      <c r="I125" s="56" t="s">
        <v>2792</v>
      </c>
    </row>
    <row r="126" spans="2:9" hidden="1" x14ac:dyDescent="0.25">
      <c r="B126" s="57" t="s">
        <v>94</v>
      </c>
      <c r="C126" s="52" t="s">
        <v>2504</v>
      </c>
      <c r="D126" s="57" t="s">
        <v>2918</v>
      </c>
      <c r="E126" s="57" t="s">
        <v>2923</v>
      </c>
      <c r="F126" s="57" t="s">
        <v>2797</v>
      </c>
      <c r="G126" s="57" t="s">
        <v>2975</v>
      </c>
      <c r="H126" s="58" t="s">
        <v>2978</v>
      </c>
      <c r="I126" s="56" t="s">
        <v>2792</v>
      </c>
    </row>
    <row r="127" spans="2:9" hidden="1" x14ac:dyDescent="0.25">
      <c r="B127" s="57" t="s">
        <v>99</v>
      </c>
      <c r="C127" s="52" t="s">
        <v>2710</v>
      </c>
      <c r="D127" s="57" t="s">
        <v>2979</v>
      </c>
      <c r="E127" s="57" t="s">
        <v>2980</v>
      </c>
      <c r="F127" s="57" t="s">
        <v>2979</v>
      </c>
      <c r="G127" s="57" t="s">
        <v>2981</v>
      </c>
      <c r="H127" s="58" t="s">
        <v>2982</v>
      </c>
      <c r="I127" s="56" t="s">
        <v>2823</v>
      </c>
    </row>
    <row r="128" spans="2:9" hidden="1" x14ac:dyDescent="0.25">
      <c r="B128" s="57" t="s">
        <v>99</v>
      </c>
      <c r="C128" s="57" t="s">
        <v>2710</v>
      </c>
      <c r="D128" s="57" t="s">
        <v>2979</v>
      </c>
      <c r="E128" s="57" t="s">
        <v>2980</v>
      </c>
      <c r="F128" s="57" t="s">
        <v>2979</v>
      </c>
      <c r="G128" s="57" t="s">
        <v>2983</v>
      </c>
      <c r="H128" s="58" t="s">
        <v>2984</v>
      </c>
      <c r="I128" s="56" t="s">
        <v>2792</v>
      </c>
    </row>
    <row r="129" spans="2:9" hidden="1" x14ac:dyDescent="0.25">
      <c r="B129" s="57" t="s">
        <v>99</v>
      </c>
      <c r="C129" s="57" t="s">
        <v>2710</v>
      </c>
      <c r="D129" s="57" t="s">
        <v>2979</v>
      </c>
      <c r="E129" s="57" t="s">
        <v>2985</v>
      </c>
      <c r="F129" s="57" t="s">
        <v>2979</v>
      </c>
      <c r="G129" s="57" t="s">
        <v>2986</v>
      </c>
      <c r="H129" s="58" t="s">
        <v>2987</v>
      </c>
      <c r="I129" s="56" t="s">
        <v>2823</v>
      </c>
    </row>
    <row r="130" spans="2:9" hidden="1" x14ac:dyDescent="0.25">
      <c r="B130" s="57" t="s">
        <v>99</v>
      </c>
      <c r="C130" s="57" t="s">
        <v>2710</v>
      </c>
      <c r="D130" s="57" t="s">
        <v>2979</v>
      </c>
      <c r="E130" s="57" t="s">
        <v>2985</v>
      </c>
      <c r="F130" s="57" t="s">
        <v>2979</v>
      </c>
      <c r="G130" s="57" t="s">
        <v>2983</v>
      </c>
      <c r="H130" s="58" t="s">
        <v>2988</v>
      </c>
      <c r="I130" s="56" t="s">
        <v>2792</v>
      </c>
    </row>
    <row r="131" spans="2:9" hidden="1" x14ac:dyDescent="0.25">
      <c r="B131" s="57" t="s">
        <v>99</v>
      </c>
      <c r="C131" s="57" t="s">
        <v>2710</v>
      </c>
      <c r="D131" s="57" t="s">
        <v>2979</v>
      </c>
      <c r="E131" s="57" t="s">
        <v>2989</v>
      </c>
      <c r="F131" s="57" t="s">
        <v>2979</v>
      </c>
      <c r="G131" s="57" t="s">
        <v>2990</v>
      </c>
      <c r="H131" s="58" t="s">
        <v>2991</v>
      </c>
      <c r="I131" s="56" t="s">
        <v>2823</v>
      </c>
    </row>
    <row r="132" spans="2:9" hidden="1" x14ac:dyDescent="0.25">
      <c r="B132" s="57" t="s">
        <v>99</v>
      </c>
      <c r="C132" s="57" t="s">
        <v>2710</v>
      </c>
      <c r="D132" s="57" t="s">
        <v>2979</v>
      </c>
      <c r="E132" s="57" t="s">
        <v>2989</v>
      </c>
      <c r="F132" s="57" t="s">
        <v>2979</v>
      </c>
      <c r="G132" s="57" t="s">
        <v>2992</v>
      </c>
      <c r="H132" s="58" t="s">
        <v>2993</v>
      </c>
      <c r="I132" s="56" t="s">
        <v>2792</v>
      </c>
    </row>
    <row r="133" spans="2:9" hidden="1" x14ac:dyDescent="0.25">
      <c r="B133" s="57" t="s">
        <v>99</v>
      </c>
      <c r="C133" s="57" t="s">
        <v>2710</v>
      </c>
      <c r="D133" s="57" t="s">
        <v>2979</v>
      </c>
      <c r="E133" s="57" t="s">
        <v>2994</v>
      </c>
      <c r="F133" s="57" t="s">
        <v>2979</v>
      </c>
      <c r="G133" s="57" t="s">
        <v>2995</v>
      </c>
      <c r="H133" s="58" t="s">
        <v>2996</v>
      </c>
      <c r="I133" s="56" t="s">
        <v>2823</v>
      </c>
    </row>
    <row r="134" spans="2:9" hidden="1" x14ac:dyDescent="0.25">
      <c r="B134" s="57" t="s">
        <v>99</v>
      </c>
      <c r="C134" s="57" t="s">
        <v>2710</v>
      </c>
      <c r="D134" s="57" t="s">
        <v>2979</v>
      </c>
      <c r="E134" s="57" t="s">
        <v>2994</v>
      </c>
      <c r="F134" s="57" t="s">
        <v>2979</v>
      </c>
      <c r="G134" s="57" t="s">
        <v>2992</v>
      </c>
      <c r="H134" s="58" t="s">
        <v>2997</v>
      </c>
      <c r="I134" s="56" t="s">
        <v>2792</v>
      </c>
    </row>
    <row r="135" spans="2:9" x14ac:dyDescent="0.25">
      <c r="B135"/>
      <c r="C135"/>
      <c r="D135"/>
      <c r="E135"/>
      <c r="F135"/>
    </row>
    <row r="136" spans="2:9" x14ac:dyDescent="0.25">
      <c r="B136"/>
      <c r="C136"/>
      <c r="D136"/>
      <c r="E136"/>
      <c r="F136"/>
    </row>
    <row r="137" spans="2:9" x14ac:dyDescent="0.25">
      <c r="B137"/>
      <c r="C137"/>
      <c r="D137"/>
      <c r="E137"/>
      <c r="F137"/>
    </row>
    <row r="138" spans="2:9" x14ac:dyDescent="0.25">
      <c r="B138"/>
      <c r="C138"/>
      <c r="D138"/>
      <c r="E138"/>
      <c r="F138"/>
    </row>
    <row r="139" spans="2:9" x14ac:dyDescent="0.25">
      <c r="B139"/>
      <c r="C139"/>
      <c r="D139"/>
      <c r="E139"/>
      <c r="F139"/>
    </row>
    <row r="140" spans="2:9" x14ac:dyDescent="0.25">
      <c r="B140"/>
      <c r="C140"/>
      <c r="D140"/>
      <c r="E140"/>
      <c r="F140"/>
    </row>
    <row r="141" spans="2:9" x14ac:dyDescent="0.25">
      <c r="B141"/>
      <c r="C141"/>
      <c r="D141"/>
      <c r="E141"/>
      <c r="F141"/>
    </row>
    <row r="142" spans="2:9" x14ac:dyDescent="0.25">
      <c r="B142"/>
      <c r="C142"/>
      <c r="D142"/>
      <c r="E142"/>
      <c r="F142"/>
    </row>
    <row r="143" spans="2:9" x14ac:dyDescent="0.25">
      <c r="B143"/>
      <c r="C143"/>
      <c r="D143"/>
      <c r="E143"/>
      <c r="F143"/>
    </row>
    <row r="144" spans="2:9"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C584"/>
      <c r="D584"/>
      <c r="E584"/>
      <c r="F58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abSelected="1" topLeftCell="E1" workbookViewId="0">
      <selection activeCell="F47" sqref="F47"/>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60" t="s">
        <v>118</v>
      </c>
      <c r="C2" s="60" t="s">
        <v>120</v>
      </c>
      <c r="D2" s="60" t="s">
        <v>2998</v>
      </c>
      <c r="E2" s="60" t="s">
        <v>2999</v>
      </c>
      <c r="F2" s="60" t="s">
        <v>3000</v>
      </c>
      <c r="G2" s="60" t="s">
        <v>3001</v>
      </c>
      <c r="H2" s="60" t="s">
        <v>3002</v>
      </c>
    </row>
    <row r="3" spans="2:8" ht="39.75" hidden="1" customHeight="1" x14ac:dyDescent="0.25">
      <c r="B3" s="52" t="s">
        <v>4</v>
      </c>
      <c r="C3" s="52" t="s">
        <v>5</v>
      </c>
      <c r="D3" s="52" t="s">
        <v>2788</v>
      </c>
      <c r="E3" s="52" t="s">
        <v>2789</v>
      </c>
      <c r="F3" s="52" t="s">
        <v>3003</v>
      </c>
      <c r="G3" s="52" t="s">
        <v>3004</v>
      </c>
      <c r="H3" s="95" t="s">
        <v>3005</v>
      </c>
    </row>
    <row r="4" spans="2:8" ht="39.75" hidden="1" customHeight="1" x14ac:dyDescent="0.25">
      <c r="B4" s="52" t="s">
        <v>4</v>
      </c>
      <c r="C4" s="52" t="s">
        <v>5</v>
      </c>
      <c r="D4" s="52" t="s">
        <v>2808</v>
      </c>
      <c r="E4" s="57" t="s">
        <v>2809</v>
      </c>
      <c r="F4" s="52" t="s">
        <v>3006</v>
      </c>
      <c r="G4" s="52" t="s">
        <v>3007</v>
      </c>
      <c r="H4" s="56" t="s">
        <v>3008</v>
      </c>
    </row>
    <row r="5" spans="2:8" ht="39.75" hidden="1" customHeight="1" x14ac:dyDescent="0.25">
      <c r="B5" s="52" t="s">
        <v>4</v>
      </c>
      <c r="C5" s="52" t="s">
        <v>5</v>
      </c>
      <c r="D5" s="52" t="s">
        <v>2818</v>
      </c>
      <c r="E5" s="52" t="s">
        <v>2819</v>
      </c>
      <c r="F5" s="56" t="s">
        <v>3009</v>
      </c>
      <c r="G5" s="56" t="s">
        <v>3010</v>
      </c>
      <c r="H5" s="56" t="s">
        <v>3011</v>
      </c>
    </row>
    <row r="6" spans="2:8" ht="39.75" hidden="1" customHeight="1" x14ac:dyDescent="0.25">
      <c r="B6" s="52" t="s">
        <v>13</v>
      </c>
      <c r="C6" s="52" t="s">
        <v>3012</v>
      </c>
      <c r="D6" s="56" t="s">
        <v>2828</v>
      </c>
      <c r="E6" s="56" t="s">
        <v>2832</v>
      </c>
      <c r="F6" s="56" t="s">
        <v>3013</v>
      </c>
      <c r="G6" s="56" t="s">
        <v>3014</v>
      </c>
      <c r="H6" s="56" t="s">
        <v>3015</v>
      </c>
    </row>
    <row r="7" spans="2:8" ht="39.75" hidden="1" customHeight="1" x14ac:dyDescent="0.25">
      <c r="B7" s="52" t="s">
        <v>13</v>
      </c>
      <c r="C7" s="52" t="s">
        <v>3012</v>
      </c>
      <c r="D7" s="52" t="s">
        <v>2808</v>
      </c>
      <c r="E7" s="52" t="s">
        <v>2809</v>
      </c>
      <c r="F7" s="52" t="s">
        <v>3016</v>
      </c>
      <c r="G7" s="52" t="s">
        <v>3007</v>
      </c>
      <c r="H7" s="56" t="s">
        <v>3008</v>
      </c>
    </row>
    <row r="8" spans="2:8" ht="39.75" hidden="1" customHeight="1" x14ac:dyDescent="0.25">
      <c r="B8" s="52" t="s">
        <v>13</v>
      </c>
      <c r="C8" s="52" t="s">
        <v>3012</v>
      </c>
      <c r="D8" s="56" t="s">
        <v>2828</v>
      </c>
      <c r="E8" s="57" t="s">
        <v>2829</v>
      </c>
      <c r="F8" s="52" t="s">
        <v>3017</v>
      </c>
      <c r="G8" s="52" t="s">
        <v>3018</v>
      </c>
      <c r="H8" s="56" t="s">
        <v>3019</v>
      </c>
    </row>
    <row r="9" spans="2:8" ht="39.75" hidden="1" customHeight="1" x14ac:dyDescent="0.25">
      <c r="B9" s="52" t="s">
        <v>8</v>
      </c>
      <c r="C9" s="52" t="s">
        <v>9</v>
      </c>
      <c r="D9" s="52" t="s">
        <v>2812</v>
      </c>
      <c r="E9" s="52" t="s">
        <v>2813</v>
      </c>
      <c r="F9" s="52" t="s">
        <v>3020</v>
      </c>
      <c r="G9" s="56" t="s">
        <v>3021</v>
      </c>
      <c r="H9" s="56" t="s">
        <v>3022</v>
      </c>
    </row>
    <row r="10" spans="2:8" ht="39.75" hidden="1" customHeight="1" x14ac:dyDescent="0.25">
      <c r="B10" s="52" t="s">
        <v>19</v>
      </c>
      <c r="C10" s="52" t="s">
        <v>20</v>
      </c>
      <c r="D10" s="52" t="s">
        <v>2840</v>
      </c>
      <c r="E10" s="52" t="s">
        <v>2841</v>
      </c>
      <c r="F10" s="52" t="s">
        <v>3023</v>
      </c>
      <c r="G10" s="56" t="s">
        <v>3024</v>
      </c>
      <c r="H10" s="56" t="s">
        <v>3025</v>
      </c>
    </row>
    <row r="11" spans="2:8" ht="39.75" hidden="1" customHeight="1" x14ac:dyDescent="0.25">
      <c r="B11" s="52" t="s">
        <v>19</v>
      </c>
      <c r="C11" s="52" t="s">
        <v>20</v>
      </c>
      <c r="D11" s="52" t="s">
        <v>2840</v>
      </c>
      <c r="E11" s="52" t="s">
        <v>2842</v>
      </c>
      <c r="F11" s="52" t="s">
        <v>3026</v>
      </c>
      <c r="G11" s="52" t="s">
        <v>3018</v>
      </c>
      <c r="H11" s="56" t="s">
        <v>3027</v>
      </c>
    </row>
    <row r="12" spans="2:8" ht="39.75" hidden="1" customHeight="1" x14ac:dyDescent="0.25">
      <c r="B12" s="52" t="s">
        <v>19</v>
      </c>
      <c r="C12" s="52" t="s">
        <v>20</v>
      </c>
      <c r="D12" s="52" t="s">
        <v>2808</v>
      </c>
      <c r="E12" s="57" t="s">
        <v>2809</v>
      </c>
      <c r="F12" s="52" t="s">
        <v>3028</v>
      </c>
      <c r="G12" s="52" t="s">
        <v>3007</v>
      </c>
      <c r="H12" s="56" t="s">
        <v>3008</v>
      </c>
    </row>
    <row r="13" spans="2:8" ht="39.75" hidden="1" customHeight="1" x14ac:dyDescent="0.25">
      <c r="B13" s="52" t="s">
        <v>19</v>
      </c>
      <c r="C13" s="52" t="s">
        <v>20</v>
      </c>
      <c r="D13" s="52" t="s">
        <v>2808</v>
      </c>
      <c r="E13" s="57" t="s">
        <v>2810</v>
      </c>
      <c r="F13" s="52" t="s">
        <v>3029</v>
      </c>
      <c r="G13" s="57" t="s">
        <v>366</v>
      </c>
      <c r="H13" s="57" t="s">
        <v>366</v>
      </c>
    </row>
    <row r="14" spans="2:8" ht="39.75" hidden="1" customHeight="1" x14ac:dyDescent="0.25">
      <c r="B14" s="52" t="s">
        <v>19</v>
      </c>
      <c r="C14" s="52" t="s">
        <v>20</v>
      </c>
      <c r="D14" s="52" t="s">
        <v>2818</v>
      </c>
      <c r="E14" s="52" t="s">
        <v>2819</v>
      </c>
      <c r="F14" s="56" t="s">
        <v>3030</v>
      </c>
      <c r="G14" s="56" t="s">
        <v>3010</v>
      </c>
      <c r="H14" s="56" t="s">
        <v>3011</v>
      </c>
    </row>
    <row r="15" spans="2:8" ht="39.75" hidden="1" customHeight="1" x14ac:dyDescent="0.25">
      <c r="B15" s="52" t="s">
        <v>19</v>
      </c>
      <c r="C15" s="52" t="s">
        <v>22</v>
      </c>
      <c r="D15" s="52" t="s">
        <v>2840</v>
      </c>
      <c r="E15" s="52" t="s">
        <v>2842</v>
      </c>
      <c r="F15" s="52" t="s">
        <v>3026</v>
      </c>
      <c r="G15" s="52" t="s">
        <v>3018</v>
      </c>
      <c r="H15" s="56" t="s">
        <v>3027</v>
      </c>
    </row>
    <row r="16" spans="2:8" ht="39.75" customHeight="1" x14ac:dyDescent="0.25">
      <c r="B16" s="52" t="s">
        <v>24</v>
      </c>
      <c r="C16" s="52" t="s">
        <v>2852</v>
      </c>
      <c r="D16" s="52" t="s">
        <v>2853</v>
      </c>
      <c r="E16" s="52" t="s">
        <v>2854</v>
      </c>
      <c r="F16" s="52" t="s">
        <v>3031</v>
      </c>
      <c r="G16" s="52" t="s">
        <v>366</v>
      </c>
      <c r="H16" s="52" t="s">
        <v>366</v>
      </c>
    </row>
    <row r="17" spans="2:8" ht="39.75" hidden="1" customHeight="1" x14ac:dyDescent="0.25">
      <c r="B17" s="57" t="s">
        <v>43</v>
      </c>
      <c r="C17" s="57" t="s">
        <v>44</v>
      </c>
      <c r="D17" s="52" t="s">
        <v>2818</v>
      </c>
      <c r="E17" s="52" t="s">
        <v>2819</v>
      </c>
      <c r="F17" s="52" t="s">
        <v>3032</v>
      </c>
      <c r="G17" s="56" t="s">
        <v>3033</v>
      </c>
      <c r="H17" s="86" t="s">
        <v>3034</v>
      </c>
    </row>
    <row r="18" spans="2:8" ht="39.75" hidden="1" customHeight="1" x14ac:dyDescent="0.25">
      <c r="B18" s="57" t="s">
        <v>43</v>
      </c>
      <c r="C18" s="57" t="s">
        <v>44</v>
      </c>
      <c r="D18" s="52" t="s">
        <v>2808</v>
      </c>
      <c r="E18" s="52" t="s">
        <v>2809</v>
      </c>
      <c r="F18" s="52" t="s">
        <v>3016</v>
      </c>
      <c r="G18" s="52" t="s">
        <v>3007</v>
      </c>
      <c r="H18" s="56" t="s">
        <v>3008</v>
      </c>
    </row>
    <row r="19" spans="2:8" ht="75" hidden="1" x14ac:dyDescent="0.25">
      <c r="B19" s="57" t="s">
        <v>58</v>
      </c>
      <c r="C19" s="57" t="s">
        <v>61</v>
      </c>
      <c r="D19" s="52" t="s">
        <v>2862</v>
      </c>
      <c r="E19" s="57" t="s">
        <v>2863</v>
      </c>
      <c r="F19" s="52" t="s">
        <v>3035</v>
      </c>
      <c r="G19" s="52" t="s">
        <v>3036</v>
      </c>
      <c r="H19" s="56" t="s">
        <v>3037</v>
      </c>
    </row>
    <row r="20" spans="2:8" ht="80.25" hidden="1" customHeight="1" x14ac:dyDescent="0.25">
      <c r="B20" s="57" t="s">
        <v>2855</v>
      </c>
      <c r="C20" s="57" t="s">
        <v>66</v>
      </c>
      <c r="D20" s="57" t="s">
        <v>2818</v>
      </c>
      <c r="E20" s="57" t="s">
        <v>2819</v>
      </c>
      <c r="F20" s="57" t="s">
        <v>3038</v>
      </c>
      <c r="G20" s="58" t="s">
        <v>3039</v>
      </c>
      <c r="H20" s="58" t="s">
        <v>3040</v>
      </c>
    </row>
    <row r="21" spans="2:8" ht="90.75" hidden="1" customHeight="1" x14ac:dyDescent="0.25">
      <c r="B21" s="57" t="s">
        <v>29</v>
      </c>
      <c r="C21" s="57" t="s">
        <v>30</v>
      </c>
      <c r="D21" s="57" t="s">
        <v>2868</v>
      </c>
      <c r="E21" s="57" t="s">
        <v>2869</v>
      </c>
      <c r="F21" s="58" t="s">
        <v>3041</v>
      </c>
      <c r="G21" s="58" t="s">
        <v>3042</v>
      </c>
      <c r="H21" s="58" t="s">
        <v>3043</v>
      </c>
    </row>
    <row r="22" spans="2:8" ht="90.75" hidden="1" customHeight="1" x14ac:dyDescent="0.25">
      <c r="B22" s="57" t="s">
        <v>48</v>
      </c>
      <c r="C22" s="57" t="s">
        <v>49</v>
      </c>
      <c r="D22" s="57" t="s">
        <v>2868</v>
      </c>
      <c r="E22" s="57" t="s">
        <v>2872</v>
      </c>
      <c r="F22" s="385" t="s">
        <v>3044</v>
      </c>
      <c r="G22" s="385" t="s">
        <v>3045</v>
      </c>
      <c r="H22" s="385" t="s">
        <v>3045</v>
      </c>
    </row>
    <row r="23" spans="2:8" ht="89.25" hidden="1" customHeight="1" x14ac:dyDescent="0.25">
      <c r="B23" s="57" t="s">
        <v>48</v>
      </c>
      <c r="C23" s="57" t="s">
        <v>49</v>
      </c>
      <c r="D23" s="57" t="s">
        <v>2868</v>
      </c>
      <c r="E23" s="57" t="s">
        <v>2869</v>
      </c>
      <c r="F23" s="58" t="s">
        <v>3046</v>
      </c>
      <c r="G23" s="58" t="s">
        <v>3042</v>
      </c>
      <c r="H23" s="58" t="s">
        <v>3043</v>
      </c>
    </row>
    <row r="24" spans="2:8" ht="81" hidden="1" customHeight="1" x14ac:dyDescent="0.25">
      <c r="B24" s="57" t="s">
        <v>48</v>
      </c>
      <c r="C24" s="57" t="s">
        <v>51</v>
      </c>
      <c r="D24" s="57" t="s">
        <v>2868</v>
      </c>
      <c r="E24" s="57" t="s">
        <v>2872</v>
      </c>
      <c r="F24" s="58" t="s">
        <v>3047</v>
      </c>
      <c r="G24" s="58" t="s">
        <v>3048</v>
      </c>
      <c r="H24" s="57" t="s">
        <v>366</v>
      </c>
    </row>
    <row r="25" spans="2:8" ht="75.75" hidden="1" customHeight="1" x14ac:dyDescent="0.25">
      <c r="B25" s="57" t="s">
        <v>29</v>
      </c>
      <c r="C25" s="57" t="s">
        <v>32</v>
      </c>
      <c r="D25" s="57" t="s">
        <v>2868</v>
      </c>
      <c r="E25" s="57" t="s">
        <v>2872</v>
      </c>
      <c r="F25" s="58" t="s">
        <v>3049</v>
      </c>
      <c r="G25" s="58" t="s">
        <v>3048</v>
      </c>
      <c r="H25" s="57" t="s">
        <v>366</v>
      </c>
    </row>
    <row r="26" spans="2:8" ht="75.75" hidden="1" customHeight="1" x14ac:dyDescent="0.25">
      <c r="B26" s="57" t="s">
        <v>87</v>
      </c>
      <c r="C26" s="57" t="s">
        <v>1585</v>
      </c>
      <c r="D26" s="57" t="s">
        <v>2868</v>
      </c>
      <c r="E26" s="57" t="s">
        <v>2872</v>
      </c>
      <c r="F26" s="385" t="s">
        <v>3044</v>
      </c>
      <c r="G26" s="385" t="s">
        <v>3045</v>
      </c>
      <c r="H26" s="385" t="s">
        <v>3045</v>
      </c>
    </row>
    <row r="27" spans="2:8" ht="180" hidden="1" x14ac:dyDescent="0.25">
      <c r="B27" s="57" t="s">
        <v>87</v>
      </c>
      <c r="C27" s="57" t="s">
        <v>1585</v>
      </c>
      <c r="D27" s="57" t="s">
        <v>2868</v>
      </c>
      <c r="E27" s="57" t="s">
        <v>2869</v>
      </c>
      <c r="F27" s="58" t="s">
        <v>3050</v>
      </c>
      <c r="G27" s="58" t="s">
        <v>3042</v>
      </c>
      <c r="H27" s="58" t="s">
        <v>3043</v>
      </c>
    </row>
    <row r="28" spans="2:8" ht="63.75" hidden="1" customHeight="1" x14ac:dyDescent="0.25">
      <c r="B28" s="57" t="s">
        <v>87</v>
      </c>
      <c r="C28" s="57" t="s">
        <v>1630</v>
      </c>
      <c r="D28" s="57" t="s">
        <v>2868</v>
      </c>
      <c r="E28" s="57" t="s">
        <v>2872</v>
      </c>
      <c r="F28" s="58" t="s">
        <v>3051</v>
      </c>
      <c r="G28" s="58" t="s">
        <v>3048</v>
      </c>
      <c r="H28" s="57" t="s">
        <v>366</v>
      </c>
    </row>
    <row r="29" spans="2:8" ht="57" hidden="1" customHeight="1" x14ac:dyDescent="0.25">
      <c r="B29" s="57" t="s">
        <v>29</v>
      </c>
      <c r="C29" s="57" t="s">
        <v>34</v>
      </c>
      <c r="D29" s="57" t="s">
        <v>2868</v>
      </c>
      <c r="E29" s="57" t="s">
        <v>2872</v>
      </c>
      <c r="F29" s="58" t="s">
        <v>3052</v>
      </c>
      <c r="G29" s="58" t="s">
        <v>3048</v>
      </c>
      <c r="H29" s="57" t="s">
        <v>366</v>
      </c>
    </row>
    <row r="30" spans="2:8" ht="105.75" hidden="1" customHeight="1" x14ac:dyDescent="0.25">
      <c r="B30" s="57" t="s">
        <v>29</v>
      </c>
      <c r="C30" s="57" t="s">
        <v>34</v>
      </c>
      <c r="D30" s="57" t="s">
        <v>2868</v>
      </c>
      <c r="E30" s="57" t="s">
        <v>2904</v>
      </c>
      <c r="F30" s="57" t="s">
        <v>3053</v>
      </c>
      <c r="G30" s="58" t="s">
        <v>3054</v>
      </c>
      <c r="H30" s="58" t="s">
        <v>3055</v>
      </c>
    </row>
    <row r="31" spans="2:8" ht="55.5" hidden="1" customHeight="1" x14ac:dyDescent="0.25">
      <c r="B31" s="57" t="s">
        <v>29</v>
      </c>
      <c r="C31" s="57" t="s">
        <v>34</v>
      </c>
      <c r="D31" s="52" t="s">
        <v>2808</v>
      </c>
      <c r="E31" s="57" t="s">
        <v>2809</v>
      </c>
      <c r="F31" s="52" t="s">
        <v>3016</v>
      </c>
      <c r="G31" s="52" t="s">
        <v>3007</v>
      </c>
      <c r="H31" s="56" t="s">
        <v>3008</v>
      </c>
    </row>
    <row r="32" spans="2:8" ht="42.75" hidden="1" customHeight="1" x14ac:dyDescent="0.25">
      <c r="B32" s="57" t="s">
        <v>29</v>
      </c>
      <c r="C32" s="57" t="s">
        <v>34</v>
      </c>
      <c r="D32" s="57" t="s">
        <v>2808</v>
      </c>
      <c r="E32" s="57" t="s">
        <v>2809</v>
      </c>
      <c r="F32" s="52" t="s">
        <v>3056</v>
      </c>
      <c r="G32" s="52" t="s">
        <v>3007</v>
      </c>
      <c r="H32" s="56" t="s">
        <v>3008</v>
      </c>
    </row>
    <row r="33" spans="2:8" ht="75.75" hidden="1" customHeight="1" x14ac:dyDescent="0.25">
      <c r="B33" s="57" t="s">
        <v>29</v>
      </c>
      <c r="C33" s="57" t="s">
        <v>34</v>
      </c>
      <c r="D33" s="57" t="s">
        <v>2818</v>
      </c>
      <c r="E33" s="57" t="s">
        <v>2819</v>
      </c>
      <c r="F33" s="58" t="s">
        <v>3057</v>
      </c>
      <c r="G33" s="56" t="s">
        <v>3010</v>
      </c>
      <c r="H33" s="56" t="s">
        <v>3011</v>
      </c>
    </row>
    <row r="34" spans="2:8" ht="45" hidden="1" customHeight="1" x14ac:dyDescent="0.25">
      <c r="B34" s="57" t="s">
        <v>94</v>
      </c>
      <c r="C34" s="57" t="s">
        <v>2504</v>
      </c>
      <c r="D34" s="57" t="s">
        <v>2918</v>
      </c>
      <c r="E34" s="57" t="s">
        <v>2919</v>
      </c>
      <c r="F34" s="57" t="s">
        <v>3058</v>
      </c>
      <c r="G34" s="57" t="s">
        <v>3004</v>
      </c>
      <c r="H34" s="58" t="s">
        <v>3059</v>
      </c>
    </row>
    <row r="35" spans="2:8" ht="69.75" hidden="1" customHeight="1" x14ac:dyDescent="0.25">
      <c r="B35" s="57" t="s">
        <v>82</v>
      </c>
      <c r="C35" s="57" t="s">
        <v>2167</v>
      </c>
      <c r="D35" s="57" t="s">
        <v>2925</v>
      </c>
      <c r="E35" s="57" t="s">
        <v>2948</v>
      </c>
      <c r="F35" s="57" t="s">
        <v>3060</v>
      </c>
      <c r="G35" s="344" t="s">
        <v>3061</v>
      </c>
      <c r="H35" s="58" t="s">
        <v>3062</v>
      </c>
    </row>
    <row r="36" spans="2:8" ht="68.25" hidden="1" customHeight="1" x14ac:dyDescent="0.25">
      <c r="B36" s="57" t="s">
        <v>82</v>
      </c>
      <c r="C36" s="57" t="s">
        <v>2167</v>
      </c>
      <c r="D36" s="57" t="s">
        <v>2808</v>
      </c>
      <c r="E36" s="57" t="s">
        <v>2809</v>
      </c>
      <c r="F36" s="52" t="s">
        <v>3016</v>
      </c>
      <c r="G36" s="52" t="s">
        <v>3007</v>
      </c>
      <c r="H36" s="56" t="s">
        <v>3008</v>
      </c>
    </row>
    <row r="37" spans="2:8" ht="63" hidden="1" customHeight="1" x14ac:dyDescent="0.25">
      <c r="B37" s="57" t="s">
        <v>82</v>
      </c>
      <c r="C37" s="57" t="s">
        <v>2167</v>
      </c>
      <c r="D37" s="57" t="s">
        <v>2925</v>
      </c>
      <c r="E37" s="57" t="s">
        <v>2931</v>
      </c>
      <c r="F37" s="57" t="s">
        <v>3063</v>
      </c>
      <c r="G37" s="57" t="s">
        <v>3064</v>
      </c>
      <c r="H37" s="58" t="s">
        <v>3065</v>
      </c>
    </row>
    <row r="38" spans="2:8" ht="63" hidden="1" customHeight="1" x14ac:dyDescent="0.25">
      <c r="B38" s="57" t="s">
        <v>77</v>
      </c>
      <c r="C38" s="57" t="s">
        <v>2385</v>
      </c>
      <c r="D38" s="57" t="s">
        <v>2818</v>
      </c>
      <c r="E38" s="57" t="s">
        <v>2819</v>
      </c>
      <c r="F38" s="52" t="s">
        <v>3066</v>
      </c>
      <c r="G38" s="56" t="s">
        <v>3067</v>
      </c>
      <c r="H38" s="86" t="s">
        <v>3068</v>
      </c>
    </row>
    <row r="39" spans="2:8" ht="39.75" hidden="1" customHeight="1" x14ac:dyDescent="0.25">
      <c r="B39" s="57" t="s">
        <v>77</v>
      </c>
      <c r="C39" s="57" t="s">
        <v>2385</v>
      </c>
      <c r="D39" s="57" t="s">
        <v>2808</v>
      </c>
      <c r="E39" s="57" t="s">
        <v>2809</v>
      </c>
      <c r="F39" s="57" t="s">
        <v>3016</v>
      </c>
      <c r="G39" s="57" t="s">
        <v>3007</v>
      </c>
      <c r="H39" s="57" t="s">
        <v>3008</v>
      </c>
    </row>
    <row r="40" spans="2:8" ht="145.5" hidden="1" customHeight="1" x14ac:dyDescent="0.25">
      <c r="B40" s="57" t="s">
        <v>104</v>
      </c>
      <c r="C40" s="57" t="s">
        <v>2447</v>
      </c>
      <c r="D40" s="52" t="s">
        <v>2818</v>
      </c>
      <c r="E40" s="52" t="s">
        <v>2819</v>
      </c>
      <c r="F40" s="52" t="s">
        <v>3069</v>
      </c>
      <c r="G40" s="86" t="s">
        <v>3070</v>
      </c>
      <c r="H40" s="86" t="s">
        <v>3071</v>
      </c>
    </row>
    <row r="41" spans="2:8" ht="255" hidden="1" x14ac:dyDescent="0.25">
      <c r="B41" s="57" t="s">
        <v>104</v>
      </c>
      <c r="C41" s="57" t="s">
        <v>2447</v>
      </c>
      <c r="D41" s="52" t="s">
        <v>2808</v>
      </c>
      <c r="E41" s="52" t="s">
        <v>2809</v>
      </c>
      <c r="F41" s="52" t="s">
        <v>3016</v>
      </c>
      <c r="G41" s="52"/>
      <c r="H41" s="56" t="s">
        <v>3008</v>
      </c>
    </row>
    <row r="42" spans="2:8" ht="140.25" hidden="1" customHeight="1" x14ac:dyDescent="0.25">
      <c r="B42" s="57" t="s">
        <v>72</v>
      </c>
      <c r="C42" s="57" t="s">
        <v>73</v>
      </c>
      <c r="D42" s="57" t="s">
        <v>2972</v>
      </c>
      <c r="E42" s="57" t="s">
        <v>2973</v>
      </c>
      <c r="F42" s="58" t="s">
        <v>3072</v>
      </c>
      <c r="G42" s="58" t="s">
        <v>3073</v>
      </c>
      <c r="H42" s="58" t="s">
        <v>3074</v>
      </c>
    </row>
    <row r="43" spans="2:8" hidden="1" x14ac:dyDescent="0.25">
      <c r="B43" s="57" t="s">
        <v>99</v>
      </c>
      <c r="C43" s="57" t="s">
        <v>2710</v>
      </c>
      <c r="D43" s="57" t="s">
        <v>2979</v>
      </c>
      <c r="E43" s="57" t="s">
        <v>2981</v>
      </c>
      <c r="F43" s="57" t="s">
        <v>3075</v>
      </c>
      <c r="G43" s="57" t="s">
        <v>366</v>
      </c>
      <c r="H43" s="57" t="s">
        <v>366</v>
      </c>
    </row>
    <row r="44" spans="2:8" hidden="1" x14ac:dyDescent="0.25">
      <c r="B44" s="57" t="s">
        <v>99</v>
      </c>
      <c r="C44" s="57" t="s">
        <v>2710</v>
      </c>
      <c r="D44" s="57" t="s">
        <v>2979</v>
      </c>
      <c r="E44" s="57" t="s">
        <v>2986</v>
      </c>
      <c r="F44" s="57" t="s">
        <v>3076</v>
      </c>
      <c r="G44" s="57" t="s">
        <v>366</v>
      </c>
      <c r="H44" s="57" t="s">
        <v>366</v>
      </c>
    </row>
    <row r="45" spans="2:8" hidden="1" x14ac:dyDescent="0.25">
      <c r="B45" s="57" t="s">
        <v>99</v>
      </c>
      <c r="C45" s="57" t="s">
        <v>2710</v>
      </c>
      <c r="D45" s="57" t="s">
        <v>2979</v>
      </c>
      <c r="E45" s="57" t="s">
        <v>2990</v>
      </c>
      <c r="F45" s="57" t="s">
        <v>3077</v>
      </c>
      <c r="G45" s="57" t="s">
        <v>366</v>
      </c>
      <c r="H45" s="57" t="s">
        <v>366</v>
      </c>
    </row>
    <row r="46" spans="2:8" hidden="1" x14ac:dyDescent="0.25">
      <c r="B46" s="57" t="s">
        <v>99</v>
      </c>
      <c r="C46" s="57" t="s">
        <v>2710</v>
      </c>
      <c r="D46" s="57" t="s">
        <v>2979</v>
      </c>
      <c r="E46" s="57" t="s">
        <v>2995</v>
      </c>
      <c r="F46" s="57" t="s">
        <v>3078</v>
      </c>
      <c r="G46" s="57" t="s">
        <v>366</v>
      </c>
      <c r="H46" s="57" t="s">
        <v>366</v>
      </c>
    </row>
    <row r="47" spans="2:8" ht="405" x14ac:dyDescent="0.25">
      <c r="B47" s="57" t="s">
        <v>69</v>
      </c>
      <c r="C47" s="57" t="s">
        <v>70</v>
      </c>
      <c r="D47" s="57" t="s">
        <v>2818</v>
      </c>
      <c r="E47" s="57" t="s">
        <v>2819</v>
      </c>
      <c r="F47" s="57" t="s">
        <v>3079</v>
      </c>
      <c r="G47" s="58" t="s">
        <v>3080</v>
      </c>
      <c r="H47" s="58" t="s">
        <v>3081</v>
      </c>
    </row>
    <row r="48" spans="2:8"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5" x14ac:dyDescent="0.25"/>
  <cols>
    <col min="2" max="2" width="14" style="98" customWidth="1"/>
    <col min="3" max="3" width="35.42578125" customWidth="1"/>
    <col min="4" max="4" width="40.140625" style="50" customWidth="1"/>
    <col min="5" max="5" width="42.7109375" customWidth="1"/>
  </cols>
  <sheetData>
    <row r="1" spans="2:5" ht="45.75" customHeight="1" x14ac:dyDescent="0.25"/>
    <row r="2" spans="2:5" ht="39.75" customHeight="1" x14ac:dyDescent="0.25">
      <c r="B2" s="104" t="s">
        <v>469</v>
      </c>
      <c r="C2" s="103" t="s">
        <v>3082</v>
      </c>
      <c r="D2" s="103" t="s">
        <v>3083</v>
      </c>
      <c r="E2" s="108" t="s">
        <v>518</v>
      </c>
    </row>
    <row r="3" spans="2:5" ht="39.75" customHeight="1" x14ac:dyDescent="0.25">
      <c r="B3" s="105">
        <v>1</v>
      </c>
      <c r="C3" s="99" t="s">
        <v>3084</v>
      </c>
      <c r="D3" s="101" t="s">
        <v>3085</v>
      </c>
      <c r="E3" s="109"/>
    </row>
    <row r="4" spans="2:5" ht="39.75" customHeight="1" x14ac:dyDescent="0.25">
      <c r="B4" s="105">
        <v>2</v>
      </c>
      <c r="C4" s="99" t="s">
        <v>3086</v>
      </c>
      <c r="D4" s="101" t="s">
        <v>3087</v>
      </c>
      <c r="E4" s="109"/>
    </row>
    <row r="5" spans="2:5" ht="39.75" customHeight="1" x14ac:dyDescent="0.25">
      <c r="B5" s="105">
        <v>3</v>
      </c>
      <c r="C5" s="99" t="s">
        <v>3088</v>
      </c>
      <c r="D5" s="101" t="s">
        <v>3089</v>
      </c>
      <c r="E5" s="109"/>
    </row>
    <row r="6" spans="2:5" ht="39.75" customHeight="1" x14ac:dyDescent="0.25">
      <c r="B6" s="105">
        <v>4</v>
      </c>
      <c r="C6" s="101" t="s">
        <v>3090</v>
      </c>
      <c r="D6" s="101" t="s">
        <v>3091</v>
      </c>
      <c r="E6" s="109"/>
    </row>
    <row r="7" spans="2:5" ht="39.75" customHeight="1" x14ac:dyDescent="0.25">
      <c r="B7" s="106">
        <v>5</v>
      </c>
      <c r="C7" s="101" t="s">
        <v>3092</v>
      </c>
      <c r="D7" s="101" t="s">
        <v>3091</v>
      </c>
      <c r="E7" s="109"/>
    </row>
    <row r="8" spans="2:5" ht="39.75" customHeight="1" x14ac:dyDescent="0.25">
      <c r="B8" s="106">
        <v>6</v>
      </c>
      <c r="C8" s="101" t="s">
        <v>3093</v>
      </c>
      <c r="D8" s="101" t="s">
        <v>3094</v>
      </c>
      <c r="E8" s="218" t="s">
        <v>3095</v>
      </c>
    </row>
    <row r="9" spans="2:5" ht="39.75" customHeight="1" x14ac:dyDescent="0.25">
      <c r="B9" s="106">
        <v>7</v>
      </c>
      <c r="C9" s="99" t="s">
        <v>3096</v>
      </c>
      <c r="D9" s="101" t="s">
        <v>3097</v>
      </c>
      <c r="E9" s="109" t="s">
        <v>3098</v>
      </c>
    </row>
    <row r="10" spans="2:5" ht="39.75" customHeight="1" x14ac:dyDescent="0.25">
      <c r="B10" s="105">
        <v>8</v>
      </c>
      <c r="C10" s="99" t="s">
        <v>3099</v>
      </c>
      <c r="D10" s="101" t="s">
        <v>3100</v>
      </c>
      <c r="E10" s="109"/>
    </row>
    <row r="11" spans="2:5" ht="39.75" customHeight="1" x14ac:dyDescent="0.25">
      <c r="B11" s="106">
        <v>9</v>
      </c>
      <c r="C11" s="99" t="s">
        <v>3101</v>
      </c>
      <c r="D11" s="101" t="s">
        <v>3102</v>
      </c>
      <c r="E11" s="109"/>
    </row>
    <row r="12" spans="2:5" ht="39.75" customHeight="1" x14ac:dyDescent="0.25">
      <c r="B12" s="105">
        <v>10</v>
      </c>
      <c r="C12" s="101" t="s">
        <v>3103</v>
      </c>
      <c r="D12" s="101" t="s">
        <v>3104</v>
      </c>
      <c r="E12" s="109"/>
    </row>
    <row r="13" spans="2:5" ht="39.75" customHeight="1" x14ac:dyDescent="0.25">
      <c r="B13" s="106">
        <v>11</v>
      </c>
      <c r="C13" s="99" t="s">
        <v>3105</v>
      </c>
      <c r="D13" s="101" t="s">
        <v>3106</v>
      </c>
      <c r="E13" s="109"/>
    </row>
    <row r="14" spans="2:5" ht="39.75" customHeight="1" x14ac:dyDescent="0.25">
      <c r="B14" s="106">
        <v>12</v>
      </c>
      <c r="C14" s="99" t="s">
        <v>3107</v>
      </c>
      <c r="D14" s="101" t="s">
        <v>3108</v>
      </c>
      <c r="E14" s="109"/>
    </row>
    <row r="15" spans="2:5" ht="39.75" customHeight="1" x14ac:dyDescent="0.25">
      <c r="B15" s="106">
        <v>13</v>
      </c>
      <c r="C15" s="99" t="s">
        <v>3109</v>
      </c>
      <c r="D15" s="101" t="s">
        <v>3110</v>
      </c>
      <c r="E15" s="109"/>
    </row>
    <row r="16" spans="2:5" ht="39.75" customHeight="1" x14ac:dyDescent="0.25">
      <c r="B16" s="107">
        <v>14</v>
      </c>
      <c r="C16" s="102" t="s">
        <v>3111</v>
      </c>
      <c r="D16" s="101" t="s">
        <v>3112</v>
      </c>
      <c r="E16" s="109"/>
    </row>
    <row r="17" spans="2:5" ht="39.75" customHeight="1" x14ac:dyDescent="0.25">
      <c r="B17" s="106">
        <v>15</v>
      </c>
      <c r="C17" s="99" t="s">
        <v>3113</v>
      </c>
      <c r="D17" s="101" t="s">
        <v>3114</v>
      </c>
      <c r="E17" s="109"/>
    </row>
    <row r="18" spans="2:5" ht="39.75" customHeight="1" x14ac:dyDescent="0.25">
      <c r="B18" s="106">
        <v>16</v>
      </c>
      <c r="C18" s="99" t="s">
        <v>3115</v>
      </c>
      <c r="D18" s="101" t="s">
        <v>3116</v>
      </c>
      <c r="E18" s="109"/>
    </row>
    <row r="19" spans="2:5" ht="39.75" customHeight="1" x14ac:dyDescent="0.25">
      <c r="B19" s="106">
        <v>17</v>
      </c>
      <c r="C19" s="99" t="s">
        <v>3117</v>
      </c>
      <c r="D19" s="101" t="s">
        <v>3118</v>
      </c>
      <c r="E19" s="109"/>
    </row>
    <row r="20" spans="2:5" ht="39.75" customHeight="1" x14ac:dyDescent="0.25">
      <c r="B20" s="107">
        <v>18</v>
      </c>
      <c r="C20" s="102" t="s">
        <v>3119</v>
      </c>
      <c r="D20" s="100" t="s">
        <v>3120</v>
      </c>
      <c r="E20" s="110"/>
    </row>
    <row r="21" spans="2:5" ht="39.75" customHeight="1" x14ac:dyDescent="0.25">
      <c r="B21" s="107">
        <v>19</v>
      </c>
      <c r="C21" s="102" t="s">
        <v>3121</v>
      </c>
      <c r="D21" s="100" t="s">
        <v>3122</v>
      </c>
      <c r="E21" s="110" t="s">
        <v>3123</v>
      </c>
    </row>
    <row r="22" spans="2:5" ht="39.75" customHeight="1" x14ac:dyDescent="0.25">
      <c r="B22" s="106">
        <v>20</v>
      </c>
      <c r="C22" s="99" t="s">
        <v>3124</v>
      </c>
      <c r="D22" s="101" t="s">
        <v>3125</v>
      </c>
      <c r="E22" s="109" t="s">
        <v>3126</v>
      </c>
    </row>
    <row r="23" spans="2:5" ht="39.75" customHeight="1" x14ac:dyDescent="0.25">
      <c r="B23" s="107">
        <v>21</v>
      </c>
      <c r="C23" s="102" t="s">
        <v>3127</v>
      </c>
      <c r="D23" s="100" t="s">
        <v>3128</v>
      </c>
      <c r="E23" s="110" t="s">
        <v>3129</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98" t="s">
        <v>3130</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x14ac:dyDescent="0.25">
      <c r="B3" s="51" t="s">
        <v>3084</v>
      </c>
      <c r="C3" s="51">
        <v>1</v>
      </c>
      <c r="D3" s="51" t="s">
        <v>3137</v>
      </c>
      <c r="E3" s="119">
        <v>45439</v>
      </c>
      <c r="F3" s="51">
        <v>2</v>
      </c>
      <c r="G3" s="234">
        <v>1</v>
      </c>
      <c r="H3" s="51">
        <v>21676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row>
    <row r="4" spans="2:28" x14ac:dyDescent="0.25">
      <c r="B4" s="51" t="s">
        <v>3086</v>
      </c>
      <c r="C4" s="51">
        <v>2</v>
      </c>
      <c r="D4" s="51" t="s">
        <v>3139</v>
      </c>
      <c r="E4" s="119">
        <v>45439</v>
      </c>
      <c r="F4" s="51">
        <v>2</v>
      </c>
      <c r="G4" s="234">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row>
    <row r="5" spans="2:28" x14ac:dyDescent="0.25">
      <c r="B5" s="51" t="s">
        <v>3088</v>
      </c>
      <c r="C5" s="51">
        <v>3</v>
      </c>
      <c r="D5" s="51" t="s">
        <v>3140</v>
      </c>
      <c r="E5" s="119">
        <v>45439</v>
      </c>
      <c r="F5" s="51">
        <v>2</v>
      </c>
      <c r="G5" s="234">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v>0</v>
      </c>
      <c r="AB5" s="51" t="s">
        <v>3138</v>
      </c>
    </row>
    <row r="6" spans="2:28" x14ac:dyDescent="0.25">
      <c r="B6" s="121" t="s">
        <v>3090</v>
      </c>
      <c r="C6" s="51">
        <v>4</v>
      </c>
      <c r="D6" s="51" t="s">
        <v>3141</v>
      </c>
      <c r="E6" s="119" t="s">
        <v>3138</v>
      </c>
      <c r="F6" s="51">
        <v>2</v>
      </c>
      <c r="G6" s="234"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row>
    <row r="7" spans="2:28" x14ac:dyDescent="0.25">
      <c r="B7" s="51" t="s">
        <v>3092</v>
      </c>
      <c r="C7" s="51">
        <v>5</v>
      </c>
      <c r="D7" s="51" t="s">
        <v>3141</v>
      </c>
      <c r="E7" s="119" t="s">
        <v>3138</v>
      </c>
      <c r="F7" s="51">
        <v>2</v>
      </c>
      <c r="G7" s="234"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row>
    <row r="8" spans="2:28" x14ac:dyDescent="0.25">
      <c r="B8" s="51" t="s">
        <v>3093</v>
      </c>
      <c r="C8" s="51">
        <v>6</v>
      </c>
      <c r="D8" s="51" t="s">
        <v>3142</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x14ac:dyDescent="0.25">
      <c r="B9" s="51" t="s">
        <v>3096</v>
      </c>
      <c r="C9" s="51">
        <v>7</v>
      </c>
      <c r="D9" s="51" t="s">
        <v>3143</v>
      </c>
      <c r="E9" s="119">
        <v>45439</v>
      </c>
      <c r="F9" s="51">
        <v>2</v>
      </c>
      <c r="G9" s="234" cm="1">
        <f t="array" ref="G9">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x14ac:dyDescent="0.25">
      <c r="B10" s="121" t="s">
        <v>3099</v>
      </c>
      <c r="C10" s="51">
        <v>8</v>
      </c>
      <c r="D10" s="51" t="s">
        <v>3144</v>
      </c>
      <c r="E10" s="119">
        <v>45439</v>
      </c>
      <c r="F10" s="51">
        <v>2</v>
      </c>
      <c r="G10" s="234" t="s">
        <v>3138</v>
      </c>
      <c r="H10" s="51">
        <v>0</v>
      </c>
      <c r="I10" s="51">
        <v>31</v>
      </c>
      <c r="J10" s="51">
        <v>3.11009553029E+26</v>
      </c>
      <c r="K10" s="51" t="s">
        <v>3145</v>
      </c>
      <c r="L10" s="51">
        <v>29</v>
      </c>
      <c r="M10" s="51">
        <v>2</v>
      </c>
      <c r="N10" s="51">
        <v>31</v>
      </c>
      <c r="O10" s="119">
        <v>2.4340000999999999E+22</v>
      </c>
      <c r="P10" s="119">
        <v>21939</v>
      </c>
      <c r="Q10" s="122" t="s">
        <v>3146</v>
      </c>
      <c r="R10" s="51">
        <v>978</v>
      </c>
      <c r="S10" s="119">
        <v>0</v>
      </c>
      <c r="T10" s="119" t="s">
        <v>3147</v>
      </c>
      <c r="U10" s="51" t="s">
        <v>3147</v>
      </c>
      <c r="V10" s="122">
        <v>-754910000</v>
      </c>
      <c r="W10" s="122" t="s">
        <v>3147</v>
      </c>
      <c r="X10" s="51" t="s">
        <v>3148</v>
      </c>
      <c r="Y10" s="51" t="s">
        <v>3149</v>
      </c>
      <c r="Z10" s="122" t="s">
        <v>3150</v>
      </c>
      <c r="AA10" s="119">
        <v>45438</v>
      </c>
      <c r="AB10" s="119" t="s">
        <v>3151</v>
      </c>
    </row>
    <row r="11" spans="2:28" x14ac:dyDescent="0.25">
      <c r="B11" s="51" t="s">
        <v>3101</v>
      </c>
      <c r="C11" s="51">
        <v>9</v>
      </c>
      <c r="D11" s="51" t="s">
        <v>3152</v>
      </c>
      <c r="E11" s="119">
        <v>45439</v>
      </c>
      <c r="F11" s="51">
        <v>2</v>
      </c>
      <c r="G11" s="234" t="s">
        <v>3138</v>
      </c>
      <c r="H11" s="51">
        <v>0</v>
      </c>
      <c r="I11" s="51">
        <v>31</v>
      </c>
      <c r="J11" s="51">
        <v>2.6552000000265499E+19</v>
      </c>
      <c r="K11" s="51"/>
      <c r="L11" s="51">
        <v>0</v>
      </c>
      <c r="M11" s="51">
        <v>0</v>
      </c>
      <c r="N11" s="51"/>
      <c r="O11" s="119" t="e">
        <v>#N/A</v>
      </c>
      <c r="P11" s="119" t="s">
        <v>3146</v>
      </c>
      <c r="Q11" s="51" t="s">
        <v>3146</v>
      </c>
      <c r="R11" s="51">
        <v>36</v>
      </c>
      <c r="S11" s="119">
        <v>0</v>
      </c>
      <c r="T11" s="119" t="s">
        <v>3147</v>
      </c>
      <c r="U11" s="51" t="s">
        <v>3147</v>
      </c>
      <c r="V11" s="122">
        <v>-509358085210000</v>
      </c>
      <c r="W11" s="122" t="s">
        <v>3147</v>
      </c>
      <c r="X11" s="51">
        <v>0</v>
      </c>
      <c r="Y11" s="51" t="s">
        <v>3153</v>
      </c>
      <c r="Z11" s="122" t="s">
        <v>3150</v>
      </c>
      <c r="AA11" s="119">
        <v>44135</v>
      </c>
      <c r="AB11" s="119" t="s">
        <v>3154</v>
      </c>
    </row>
    <row r="12" spans="2:28" x14ac:dyDescent="0.25">
      <c r="B12" s="51" t="s">
        <v>3103</v>
      </c>
      <c r="C12" s="51">
        <v>10</v>
      </c>
      <c r="D12" s="51" t="s">
        <v>3155</v>
      </c>
      <c r="E12" s="119">
        <v>45439</v>
      </c>
      <c r="F12" s="51">
        <v>2</v>
      </c>
      <c r="G12" s="234" t="s">
        <v>3138</v>
      </c>
      <c r="H12" s="51">
        <v>0</v>
      </c>
      <c r="I12" s="51">
        <v>31</v>
      </c>
      <c r="J12" s="51">
        <v>962304890438110</v>
      </c>
      <c r="K12" s="51" t="s">
        <v>3145</v>
      </c>
      <c r="L12" s="51">
        <v>48</v>
      </c>
      <c r="M12" s="51">
        <v>213</v>
      </c>
      <c r="N12" s="51">
        <v>31</v>
      </c>
      <c r="O12" s="217">
        <v>2.3960180788801999E+29</v>
      </c>
      <c r="P12" s="119">
        <v>45447</v>
      </c>
      <c r="Q12" s="119">
        <v>2958465</v>
      </c>
      <c r="R12" s="51" t="s">
        <v>3156</v>
      </c>
      <c r="S12" s="119">
        <v>1</v>
      </c>
      <c r="T12" s="217">
        <v>58769262340000</v>
      </c>
      <c r="U12" s="122">
        <v>58769262340000</v>
      </c>
      <c r="V12" s="122">
        <v>774352080000</v>
      </c>
      <c r="W12" s="122">
        <v>325186000000</v>
      </c>
      <c r="X12" s="122" t="s">
        <v>3157</v>
      </c>
      <c r="Y12" s="122" t="s">
        <v>3149</v>
      </c>
      <c r="Z12" s="122" t="s">
        <v>3158</v>
      </c>
      <c r="AA12" s="119">
        <v>45450</v>
      </c>
      <c r="AB12" s="119" t="s">
        <v>3151</v>
      </c>
    </row>
    <row r="13" spans="2:28" x14ac:dyDescent="0.25">
      <c r="B13" s="51" t="s">
        <v>3105</v>
      </c>
      <c r="C13" s="51">
        <v>11</v>
      </c>
      <c r="D13" s="51" t="s">
        <v>3159</v>
      </c>
      <c r="E13" s="119">
        <v>45439</v>
      </c>
      <c r="F13" s="51">
        <v>2</v>
      </c>
      <c r="G13" s="234" t="s">
        <v>3138</v>
      </c>
      <c r="H13" s="51">
        <v>0</v>
      </c>
      <c r="I13" s="51">
        <v>31</v>
      </c>
      <c r="J13" s="51">
        <v>962304890438110</v>
      </c>
      <c r="K13" s="51"/>
      <c r="L13" s="51" t="s">
        <v>3160</v>
      </c>
      <c r="M13" s="51" t="s">
        <v>3161</v>
      </c>
      <c r="N13" s="51" t="e">
        <v>#N/A</v>
      </c>
      <c r="O13" s="217">
        <v>2.3970105815901999E+29</v>
      </c>
      <c r="P13" s="119">
        <v>2958465</v>
      </c>
      <c r="Q13" s="119">
        <v>2958465</v>
      </c>
      <c r="R13" s="51" t="s">
        <v>3162</v>
      </c>
      <c r="S13" s="119">
        <v>1</v>
      </c>
      <c r="T13" s="217">
        <v>58769262340000</v>
      </c>
      <c r="U13" s="122">
        <v>58769262340000</v>
      </c>
      <c r="V13" s="122">
        <v>2072551670000000</v>
      </c>
      <c r="W13" s="122">
        <v>14286165090000</v>
      </c>
      <c r="X13" s="122" t="s">
        <v>3163</v>
      </c>
      <c r="Y13" s="122" t="s">
        <v>3164</v>
      </c>
      <c r="Z13" s="122" t="s">
        <v>3158</v>
      </c>
      <c r="AA13" s="119">
        <v>45520</v>
      </c>
      <c r="AB13" s="119" t="s">
        <v>3165</v>
      </c>
    </row>
    <row r="14" spans="2:28" x14ac:dyDescent="0.25">
      <c r="B14" s="51" t="s">
        <v>3107</v>
      </c>
      <c r="C14" s="51">
        <v>12</v>
      </c>
      <c r="D14" s="51" t="s">
        <v>3166</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x14ac:dyDescent="0.25">
      <c r="B15" s="51" t="s">
        <v>3109</v>
      </c>
      <c r="C15" s="51">
        <v>13</v>
      </c>
      <c r="D15" s="51" t="s">
        <v>3167</v>
      </c>
      <c r="E15" s="119">
        <v>45439</v>
      </c>
      <c r="F15" s="51">
        <v>2</v>
      </c>
      <c r="G15" s="234">
        <v>1</v>
      </c>
      <c r="H15" s="51">
        <v>0</v>
      </c>
      <c r="I15" s="51" t="s">
        <v>3138</v>
      </c>
      <c r="J15" s="51" t="s">
        <v>3138</v>
      </c>
      <c r="K15" s="51" t="s">
        <v>3138</v>
      </c>
      <c r="L15" s="51" t="s">
        <v>3138</v>
      </c>
      <c r="M15" s="51" t="s">
        <v>3138</v>
      </c>
      <c r="N15" s="51" t="s">
        <v>3138</v>
      </c>
      <c r="O15" s="121" t="s">
        <v>3138</v>
      </c>
      <c r="P15" s="121">
        <v>0</v>
      </c>
      <c r="Q15" s="121">
        <v>0</v>
      </c>
      <c r="R15" s="51" t="s">
        <v>3138</v>
      </c>
      <c r="S15" s="51" t="s">
        <v>3138</v>
      </c>
      <c r="T15" s="121" t="s">
        <v>3138</v>
      </c>
      <c r="U15" s="51" t="s">
        <v>3138</v>
      </c>
      <c r="V15" s="51" t="s">
        <v>3138</v>
      </c>
      <c r="W15" s="51" t="s">
        <v>3138</v>
      </c>
      <c r="X15" s="51" t="s">
        <v>3138</v>
      </c>
      <c r="Y15" s="51" t="s">
        <v>3138</v>
      </c>
      <c r="Z15" s="51" t="s">
        <v>3138</v>
      </c>
      <c r="AA15" s="51" t="s">
        <v>3138</v>
      </c>
      <c r="AB15" s="51" t="s">
        <v>3138</v>
      </c>
    </row>
    <row r="16" spans="2:28" x14ac:dyDescent="0.25">
      <c r="B16" s="51" t="s">
        <v>3111</v>
      </c>
      <c r="C16" s="51">
        <v>14</v>
      </c>
      <c r="D16" s="51" t="s">
        <v>3168</v>
      </c>
      <c r="E16" s="119">
        <v>45439</v>
      </c>
      <c r="F16" s="51">
        <v>2</v>
      </c>
      <c r="G16" s="234">
        <v>1</v>
      </c>
      <c r="H16" s="51">
        <v>0</v>
      </c>
      <c r="I16" s="51">
        <v>0</v>
      </c>
      <c r="J16" s="51">
        <v>0</v>
      </c>
      <c r="K16" s="51">
        <v>0</v>
      </c>
      <c r="L16" s="51">
        <v>0</v>
      </c>
      <c r="M16" s="51">
        <v>0</v>
      </c>
      <c r="N16" s="51" t="s">
        <v>3138</v>
      </c>
      <c r="O16" s="51" t="s">
        <v>3138</v>
      </c>
      <c r="P16" s="51" t="s">
        <v>3138</v>
      </c>
      <c r="Q16" s="51" t="s">
        <v>3138</v>
      </c>
      <c r="R16" s="51">
        <v>0</v>
      </c>
      <c r="S16" s="121" t="s">
        <v>3138</v>
      </c>
      <c r="T16" s="51" t="s">
        <v>3138</v>
      </c>
      <c r="U16" s="51" t="s">
        <v>3138</v>
      </c>
      <c r="V16" s="51" t="s">
        <v>3138</v>
      </c>
      <c r="W16" s="51" t="s">
        <v>3138</v>
      </c>
      <c r="X16" s="51">
        <v>0</v>
      </c>
      <c r="Y16" s="51">
        <v>0</v>
      </c>
      <c r="Z16" s="51">
        <v>0</v>
      </c>
      <c r="AA16" s="51" t="s">
        <v>3138</v>
      </c>
      <c r="AB16" s="51" t="s">
        <v>3138</v>
      </c>
    </row>
    <row r="17" spans="2:30" x14ac:dyDescent="0.25">
      <c r="B17" s="51" t="s">
        <v>3113</v>
      </c>
      <c r="C17" s="51">
        <v>15</v>
      </c>
      <c r="D17" s="51" t="s">
        <v>3169</v>
      </c>
      <c r="E17" s="119">
        <v>45439</v>
      </c>
      <c r="F17" s="51">
        <v>2</v>
      </c>
      <c r="G17" s="234">
        <v>1</v>
      </c>
      <c r="H17" s="51">
        <v>0</v>
      </c>
      <c r="I17" s="51" t="s">
        <v>3138</v>
      </c>
      <c r="J17" s="51" t="s">
        <v>3138</v>
      </c>
      <c r="K17" s="51" t="s">
        <v>3138</v>
      </c>
      <c r="L17" s="51" t="s">
        <v>3138</v>
      </c>
      <c r="M17" s="51" t="s">
        <v>3138</v>
      </c>
      <c r="N17" s="51" t="s">
        <v>3138</v>
      </c>
      <c r="O17" s="51" t="s">
        <v>3138</v>
      </c>
      <c r="P17" s="51" t="s">
        <v>3138</v>
      </c>
      <c r="Q17" s="51" t="s">
        <v>3138</v>
      </c>
      <c r="R17" s="51" t="s">
        <v>3138</v>
      </c>
      <c r="S17" s="121" t="s">
        <v>3138</v>
      </c>
      <c r="T17" s="51" t="s">
        <v>3138</v>
      </c>
      <c r="U17" s="51" t="s">
        <v>3138</v>
      </c>
      <c r="V17" s="51" t="s">
        <v>3138</v>
      </c>
      <c r="W17" s="51" t="s">
        <v>3138</v>
      </c>
      <c r="X17" s="51" t="s">
        <v>3138</v>
      </c>
      <c r="Y17" s="51" t="s">
        <v>3138</v>
      </c>
      <c r="Z17" s="51" t="s">
        <v>3138</v>
      </c>
      <c r="AA17" s="51" t="s">
        <v>3138</v>
      </c>
      <c r="AB17" s="51" t="s">
        <v>3138</v>
      </c>
    </row>
    <row r="18" spans="2:30" x14ac:dyDescent="0.25">
      <c r="B18" s="51" t="s">
        <v>3115</v>
      </c>
      <c r="C18" s="51">
        <v>16</v>
      </c>
      <c r="D18" s="51" t="s">
        <v>3169</v>
      </c>
      <c r="E18" s="119">
        <v>45439</v>
      </c>
      <c r="F18" s="51">
        <v>2</v>
      </c>
      <c r="G18" s="234">
        <v>1</v>
      </c>
      <c r="H18" s="238">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row>
    <row r="19" spans="2:30" x14ac:dyDescent="0.25">
      <c r="B19" s="51" t="s">
        <v>3117</v>
      </c>
      <c r="C19" s="51">
        <v>17</v>
      </c>
      <c r="D19" s="51" t="s">
        <v>3170</v>
      </c>
      <c r="E19" s="119">
        <v>45439</v>
      </c>
      <c r="F19" s="51">
        <v>2</v>
      </c>
      <c r="G19" s="234">
        <v>0.99</v>
      </c>
      <c r="H19" s="51">
        <v>215</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row>
    <row r="20" spans="2:30" x14ac:dyDescent="0.25">
      <c r="B20" s="51" t="s">
        <v>3119</v>
      </c>
      <c r="C20" s="51">
        <v>18</v>
      </c>
      <c r="D20" s="51" t="s">
        <v>3170</v>
      </c>
      <c r="E20" s="119">
        <v>45439</v>
      </c>
      <c r="F20" s="51">
        <v>2</v>
      </c>
      <c r="G20" s="234">
        <v>1</v>
      </c>
      <c r="H20" s="51">
        <v>3</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row>
    <row r="21" spans="2:30" x14ac:dyDescent="0.25">
      <c r="B21" s="51" t="s">
        <v>3121</v>
      </c>
      <c r="C21" s="51">
        <v>19</v>
      </c>
      <c r="D21" s="51" t="s">
        <v>3171</v>
      </c>
      <c r="E21" s="119">
        <v>45439</v>
      </c>
      <c r="F21" s="51">
        <v>2</v>
      </c>
      <c r="G21" s="234" cm="1">
        <f t="array" ref="G21">SUMPRODUCT(--(ISNUMBER((SEARCH(I26:AB26,I21:AB21)))))/COUNTA(I21:AB21)</f>
        <v>1</v>
      </c>
      <c r="H21" s="51">
        <v>0</v>
      </c>
      <c r="I21" s="51" t="s">
        <v>3172</v>
      </c>
      <c r="J21" s="51" t="s">
        <v>3172</v>
      </c>
      <c r="K21" s="51" t="s">
        <v>3172</v>
      </c>
      <c r="L21" s="51" t="s">
        <v>3172</v>
      </c>
      <c r="M21" s="51" t="s">
        <v>3172</v>
      </c>
      <c r="N21" s="51" t="s">
        <v>3172</v>
      </c>
      <c r="O21" s="51" t="s">
        <v>3172</v>
      </c>
      <c r="P21" s="51" t="s">
        <v>3172</v>
      </c>
      <c r="Q21" s="51" t="s">
        <v>3172</v>
      </c>
      <c r="R21" s="51" t="s">
        <v>3172</v>
      </c>
      <c r="S21" s="51" t="s">
        <v>3172</v>
      </c>
      <c r="T21" s="51" t="s">
        <v>3173</v>
      </c>
      <c r="U21" s="51" t="s">
        <v>3173</v>
      </c>
      <c r="V21" s="51" t="s">
        <v>3173</v>
      </c>
      <c r="W21" s="51" t="s">
        <v>3173</v>
      </c>
      <c r="X21" s="51" t="s">
        <v>3172</v>
      </c>
      <c r="Y21" s="51" t="s">
        <v>3172</v>
      </c>
      <c r="Z21" s="51" t="s">
        <v>3172</v>
      </c>
      <c r="AA21" s="51" t="s">
        <v>3172</v>
      </c>
      <c r="AB21" s="51" t="s">
        <v>3174</v>
      </c>
    </row>
    <row r="22" spans="2:30" x14ac:dyDescent="0.25">
      <c r="B22" s="121" t="s">
        <v>3124</v>
      </c>
      <c r="C22" s="51">
        <v>20</v>
      </c>
      <c r="D22" s="51" t="s">
        <v>3171</v>
      </c>
      <c r="E22" s="119">
        <v>45439</v>
      </c>
      <c r="F22" s="51">
        <v>2</v>
      </c>
      <c r="G22" s="234" cm="1">
        <f t="array" ref="G22">SUM(IF(I2:AB2 = I25:AB25, 1, 0))/ COUNTA(I2:AB2)</f>
        <v>1</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row>
    <row r="23" spans="2:30" x14ac:dyDescent="0.25">
      <c r="B23" s="51" t="s">
        <v>3127</v>
      </c>
      <c r="C23" s="51">
        <v>21</v>
      </c>
      <c r="D23" s="51" t="s">
        <v>3171</v>
      </c>
      <c r="E23" s="119">
        <v>45439</v>
      </c>
      <c r="F23" s="51">
        <v>2</v>
      </c>
      <c r="G23" s="234" cm="1">
        <f t="array" ref="G23">SUM(IF(IF(G3:G22="null",1,G3:G22)=1,1,0))/COUNT(IF(G3:G22="null",1,1))</f>
        <v>0.9</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row>
    <row r="24" spans="2:30" x14ac:dyDescent="0.25">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x14ac:dyDescent="0.25">
      <c r="B25" s="157" t="s">
        <v>3130</v>
      </c>
      <c r="C25" s="153" t="s">
        <v>3131</v>
      </c>
      <c r="D25" s="153" t="s">
        <v>3132</v>
      </c>
      <c r="E25" s="153" t="s">
        <v>3133</v>
      </c>
      <c r="F25" s="153" t="s">
        <v>3134</v>
      </c>
      <c r="G25" s="153" t="s">
        <v>3135</v>
      </c>
      <c r="H25" s="153" t="s">
        <v>3136</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x14ac:dyDescent="0.25">
      <c r="B26" s="131" t="s">
        <v>3175</v>
      </c>
      <c r="C26" s="134">
        <v>21</v>
      </c>
      <c r="D26" s="128" t="s">
        <v>3176</v>
      </c>
      <c r="E26" s="127" t="s">
        <v>3177</v>
      </c>
      <c r="F26" s="127" t="s">
        <v>366</v>
      </c>
      <c r="G26" s="127" t="s">
        <v>366</v>
      </c>
      <c r="H26" s="127" t="s">
        <v>366</v>
      </c>
      <c r="I26" s="127" t="str" cm="1">
        <f t="array" ref="I26:AB27">TRANSPOSE(_xlfn.SORTBY(_xlfn._xlws.FILTER(IF(Table3[FORMATO]:Table3[COMP_ CAMPO]&lt;&gt;"",Table3[FORMATO]:Table3[COMP_ CAMPO],9999999),Table3[NOME FÍSICO TABELA]="bank_guarantee"), _xlfn._xlws.FILTER(Table3[ORDEM], Table3[NOME FÍSICO TABELA]="bank_guarantee"), 1))</f>
        <v>STRING</v>
      </c>
      <c r="J26" s="127" t="str">
        <v>STRING</v>
      </c>
      <c r="K26" s="127" t="str">
        <v>STRING</v>
      </c>
      <c r="L26" s="127" t="str">
        <v>STRING</v>
      </c>
      <c r="M26" s="127" t="str">
        <v>STRING</v>
      </c>
      <c r="N26" s="127" t="str">
        <v>STRING</v>
      </c>
      <c r="O26" s="127" t="str">
        <v>STRING</v>
      </c>
      <c r="P26" s="127" t="str">
        <v>STRING</v>
      </c>
      <c r="Q26" s="127" t="str">
        <v>STRING</v>
      </c>
      <c r="R26" s="127" t="str">
        <v>STRING</v>
      </c>
      <c r="S26" s="127" t="str">
        <v>STRING</v>
      </c>
      <c r="T26" s="127" t="str">
        <v>DECIMAL</v>
      </c>
      <c r="U26" s="127" t="str">
        <v>DECIMAL</v>
      </c>
      <c r="V26" s="127" t="str">
        <v>DECIMAL</v>
      </c>
      <c r="W26" s="127" t="str">
        <v>DECIMAL</v>
      </c>
      <c r="X26" s="127" t="str">
        <v>STRING</v>
      </c>
      <c r="Y26" s="127" t="str">
        <v>STRING</v>
      </c>
      <c r="Z26" s="127" t="str">
        <v>STRING</v>
      </c>
      <c r="AA26" s="127" t="str">
        <v>STRING</v>
      </c>
      <c r="AB26" s="127" t="str">
        <v>TIMESTAMP</v>
      </c>
      <c r="AC26" s="232"/>
    </row>
    <row r="27" spans="2:30" x14ac:dyDescent="0.25">
      <c r="B27" s="131" t="s">
        <v>3178</v>
      </c>
      <c r="C27" s="134">
        <v>7</v>
      </c>
      <c r="D27" s="128" t="s">
        <v>3176</v>
      </c>
      <c r="E27" s="127" t="s">
        <v>3177</v>
      </c>
      <c r="F27" s="129" t="s">
        <v>366</v>
      </c>
      <c r="G27" s="129" t="s">
        <v>366</v>
      </c>
      <c r="H27" s="129" t="s">
        <v>366</v>
      </c>
      <c r="I27" s="175">
        <v>4</v>
      </c>
      <c r="J27" s="175">
        <v>30</v>
      </c>
      <c r="K27" s="175">
        <v>4</v>
      </c>
      <c r="L27" s="175">
        <v>4</v>
      </c>
      <c r="M27" s="175">
        <v>4</v>
      </c>
      <c r="N27" s="175">
        <v>4</v>
      </c>
      <c r="O27" s="175">
        <v>30</v>
      </c>
      <c r="P27" s="175">
        <v>10</v>
      </c>
      <c r="Q27" s="175">
        <v>10</v>
      </c>
      <c r="R27" s="175">
        <v>4</v>
      </c>
      <c r="S27" s="175">
        <v>4</v>
      </c>
      <c r="T27" s="175">
        <v>23</v>
      </c>
      <c r="U27" s="175">
        <v>23</v>
      </c>
      <c r="V27" s="175">
        <v>23</v>
      </c>
      <c r="W27" s="175">
        <v>23</v>
      </c>
      <c r="X27" s="175">
        <v>4</v>
      </c>
      <c r="Y27" s="175">
        <v>4</v>
      </c>
      <c r="Z27" s="175">
        <v>2</v>
      </c>
      <c r="AA27" s="175">
        <v>10</v>
      </c>
      <c r="AB27" s="175">
        <v>23</v>
      </c>
      <c r="AC27" s="233"/>
      <c r="AD27" s="116"/>
    </row>
    <row r="29" spans="2:30" x14ac:dyDescent="0.25">
      <c r="B29" s="164" t="s">
        <v>3179</v>
      </c>
    </row>
    <row r="30" spans="2:30" x14ac:dyDescent="0.25">
      <c r="B30" s="158" t="s">
        <v>3180</v>
      </c>
      <c r="C30" s="158" t="s">
        <v>3181</v>
      </c>
      <c r="D30" s="159" t="s">
        <v>3182</v>
      </c>
      <c r="E30" s="158" t="s">
        <v>3183</v>
      </c>
      <c r="F30" s="158" t="s">
        <v>3184</v>
      </c>
    </row>
    <row r="31" spans="2:30" ht="90" x14ac:dyDescent="0.25">
      <c r="B31" s="161" t="s">
        <v>3185</v>
      </c>
      <c r="C31" s="162" t="s">
        <v>213</v>
      </c>
      <c r="D31" s="163" t="s">
        <v>3186</v>
      </c>
      <c r="E31" s="121" t="s">
        <v>3187</v>
      </c>
      <c r="F31" s="213" t="s">
        <v>3188</v>
      </c>
    </row>
    <row r="32" spans="2:30" ht="30" x14ac:dyDescent="0.25">
      <c r="B32" s="135" t="s">
        <v>3185</v>
      </c>
      <c r="C32" s="139" t="s">
        <v>203</v>
      </c>
      <c r="D32" s="320" t="s">
        <v>3189</v>
      </c>
      <c r="E32" s="177" t="s">
        <v>3190</v>
      </c>
      <c r="F32" s="160" t="s">
        <v>3191</v>
      </c>
    </row>
    <row r="33" spans="2:6" ht="30" x14ac:dyDescent="0.25">
      <c r="B33" s="135" t="s">
        <v>3185</v>
      </c>
      <c r="C33" s="139" t="s">
        <v>324</v>
      </c>
      <c r="D33" s="320" t="s">
        <v>3192</v>
      </c>
      <c r="E33" s="177" t="s">
        <v>3193</v>
      </c>
      <c r="F33" s="160" t="s">
        <v>3194</v>
      </c>
    </row>
    <row r="34" spans="2:6" ht="30" x14ac:dyDescent="0.25">
      <c r="B34" s="161" t="s">
        <v>3195</v>
      </c>
      <c r="C34" s="162" t="s">
        <v>3196</v>
      </c>
      <c r="D34" s="163" t="s">
        <v>3197</v>
      </c>
      <c r="E34" s="121" t="s">
        <v>3198</v>
      </c>
      <c r="F34" s="222" t="s">
        <v>3194</v>
      </c>
    </row>
    <row r="35" spans="2:6" ht="30" x14ac:dyDescent="0.25">
      <c r="B35" s="161" t="s">
        <v>3195</v>
      </c>
      <c r="C35" s="162" t="s">
        <v>3196</v>
      </c>
      <c r="D35" s="163" t="s">
        <v>3197</v>
      </c>
      <c r="E35" s="177" t="s">
        <v>3199</v>
      </c>
      <c r="F35" s="222" t="s">
        <v>3194</v>
      </c>
    </row>
    <row r="36" spans="2:6" ht="30" x14ac:dyDescent="0.25">
      <c r="B36" s="202" t="s">
        <v>3200</v>
      </c>
      <c r="C36" s="203" t="s">
        <v>3196</v>
      </c>
      <c r="D36" s="58" t="s">
        <v>3201</v>
      </c>
      <c r="E36" s="121" t="s">
        <v>3202</v>
      </c>
      <c r="F36" s="222" t="s">
        <v>3194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8" t="s">
        <v>3203</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3204</v>
      </c>
      <c r="W2" s="98" t="s">
        <v>3205</v>
      </c>
      <c r="X2" s="98" t="s">
        <v>597</v>
      </c>
      <c r="Y2" s="98" t="s">
        <v>292</v>
      </c>
      <c r="Z2" s="98" t="s">
        <v>302</v>
      </c>
      <c r="AA2" s="98" t="s">
        <v>3206</v>
      </c>
      <c r="AB2" s="98" t="s">
        <v>3207</v>
      </c>
      <c r="AC2" s="98" t="s">
        <v>3208</v>
      </c>
      <c r="AD2" s="98" t="s">
        <v>3209</v>
      </c>
      <c r="AE2" s="98" t="s">
        <v>645</v>
      </c>
      <c r="AF2" s="98" t="s">
        <v>655</v>
      </c>
      <c r="AG2" s="98" t="s">
        <v>664</v>
      </c>
      <c r="AH2" s="98" t="s">
        <v>673</v>
      </c>
      <c r="AI2" s="98" t="s">
        <v>681</v>
      </c>
      <c r="AJ2" s="98" t="s">
        <v>312</v>
      </c>
      <c r="AK2" s="98" t="s">
        <v>324</v>
      </c>
      <c r="AL2" s="98" t="s">
        <v>337</v>
      </c>
      <c r="AM2" s="98" t="s">
        <v>344</v>
      </c>
      <c r="AN2" s="98" t="s">
        <v>351</v>
      </c>
    </row>
    <row r="3" spans="2:40" s="116" customFormat="1" x14ac:dyDescent="0.25">
      <c r="B3" s="51" t="s">
        <v>3084</v>
      </c>
      <c r="C3" s="51">
        <v>1</v>
      </c>
      <c r="D3" s="51" t="s">
        <v>3210</v>
      </c>
      <c r="E3" s="119">
        <v>45422</v>
      </c>
      <c r="F3" s="51">
        <v>1</v>
      </c>
      <c r="G3" s="122">
        <v>1</v>
      </c>
      <c r="H3" s="122">
        <v>3529</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row>
    <row r="4" spans="2:40" s="116" customFormat="1" x14ac:dyDescent="0.25">
      <c r="B4" s="51" t="s">
        <v>3086</v>
      </c>
      <c r="C4" s="51">
        <v>2</v>
      </c>
      <c r="D4" s="51" t="s">
        <v>3211</v>
      </c>
      <c r="E4" s="119">
        <v>45422</v>
      </c>
      <c r="F4" s="51">
        <v>1</v>
      </c>
      <c r="G4" s="122">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row>
    <row r="5" spans="2:40" s="116" customFormat="1" x14ac:dyDescent="0.25">
      <c r="B5" s="51" t="s">
        <v>3088</v>
      </c>
      <c r="C5" s="51">
        <v>3</v>
      </c>
      <c r="D5" s="51" t="s">
        <v>3212</v>
      </c>
      <c r="E5" s="119">
        <v>45422</v>
      </c>
      <c r="F5" s="51">
        <v>1</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v>0</v>
      </c>
      <c r="AN5" s="51" t="s">
        <v>3138</v>
      </c>
    </row>
    <row r="6" spans="2:40" s="116" customFormat="1" x14ac:dyDescent="0.25">
      <c r="B6" s="121" t="s">
        <v>3090</v>
      </c>
      <c r="C6" s="51">
        <v>4</v>
      </c>
      <c r="D6" s="51" t="s">
        <v>3141</v>
      </c>
      <c r="E6" s="119" t="s">
        <v>3138</v>
      </c>
      <c r="F6" s="51">
        <v>1</v>
      </c>
      <c r="G6" s="119" t="s">
        <v>3138</v>
      </c>
      <c r="H6" s="51" t="s">
        <v>3147</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row>
    <row r="7" spans="2:40" s="116" customFormat="1" x14ac:dyDescent="0.25">
      <c r="B7" s="51" t="s">
        <v>3092</v>
      </c>
      <c r="C7" s="51">
        <v>5</v>
      </c>
      <c r="D7" s="51" t="s">
        <v>3141</v>
      </c>
      <c r="E7" s="119" t="s">
        <v>3138</v>
      </c>
      <c r="F7" s="51">
        <v>1</v>
      </c>
      <c r="G7" s="119" t="s">
        <v>3138</v>
      </c>
      <c r="H7" s="51" t="s">
        <v>3147</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row>
    <row r="8" spans="2:40" s="116" customFormat="1" x14ac:dyDescent="0.25">
      <c r="B8" s="51" t="s">
        <v>3093</v>
      </c>
      <c r="C8" s="51">
        <v>6</v>
      </c>
      <c r="D8" s="51" t="s">
        <v>3213</v>
      </c>
      <c r="E8" s="119">
        <v>45422</v>
      </c>
      <c r="F8" s="51">
        <v>1</v>
      </c>
      <c r="G8" s="51" cm="1">
        <f t="array" ref="G8">SUMPRODUCT(--(I8:AN8&gt;0))/COUNTA(I8:AN8)</f>
        <v>1</v>
      </c>
      <c r="H8" s="51" t="s">
        <v>3147</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x14ac:dyDescent="0.25">
      <c r="B9" s="51" t="s">
        <v>3096</v>
      </c>
      <c r="C9" s="51">
        <v>7</v>
      </c>
      <c r="D9" s="51" t="s">
        <v>3214</v>
      </c>
      <c r="E9" s="119">
        <v>45422</v>
      </c>
      <c r="F9" s="51">
        <v>1</v>
      </c>
      <c r="G9" s="51" cm="1">
        <f t="array" ref="G9">SUMPRODUCT(--(H9:AN9 &lt;= H28:AN28))/COUNTA(H28:AN28)</f>
        <v>1</v>
      </c>
      <c r="H9" s="51" t="s">
        <v>3147</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x14ac:dyDescent="0.25">
      <c r="B10" s="121" t="s">
        <v>3099</v>
      </c>
      <c r="C10" s="51">
        <v>8</v>
      </c>
      <c r="D10" s="51" t="s">
        <v>3215</v>
      </c>
      <c r="E10" s="119">
        <v>45422</v>
      </c>
      <c r="F10" s="51">
        <v>1</v>
      </c>
      <c r="G10" s="119" t="s">
        <v>3138</v>
      </c>
      <c r="H10" s="51" t="s">
        <v>3147</v>
      </c>
      <c r="I10" s="51">
        <v>31</v>
      </c>
      <c r="J10" s="51">
        <v>3.1000473009206903E+26</v>
      </c>
      <c r="K10" s="51" t="s">
        <v>3216</v>
      </c>
      <c r="L10" s="51">
        <v>90</v>
      </c>
      <c r="M10" s="51">
        <v>1</v>
      </c>
      <c r="N10" s="51">
        <v>31</v>
      </c>
      <c r="O10" s="51">
        <v>3.7234600100000003E+23</v>
      </c>
      <c r="P10" s="51">
        <v>31</v>
      </c>
      <c r="Q10" s="51">
        <v>310004730092</v>
      </c>
      <c r="R10" s="119" t="s">
        <v>3146</v>
      </c>
      <c r="S10" s="119">
        <v>33584</v>
      </c>
      <c r="T10" s="119">
        <v>978</v>
      </c>
      <c r="U10" s="119">
        <v>0</v>
      </c>
      <c r="V10" s="119">
        <v>22860000</v>
      </c>
      <c r="W10" s="119">
        <v>22860000</v>
      </c>
      <c r="X10" s="51" t="s">
        <v>3147</v>
      </c>
      <c r="Y10" s="119" t="s">
        <v>3147</v>
      </c>
      <c r="Z10" s="119" t="s">
        <v>3147</v>
      </c>
      <c r="AA10" s="119">
        <v>33588</v>
      </c>
      <c r="AB10" s="122" t="s">
        <v>3146</v>
      </c>
      <c r="AC10" s="122" t="s">
        <v>3147</v>
      </c>
      <c r="AD10" s="122" t="s">
        <v>3147</v>
      </c>
      <c r="AE10" s="51" t="s">
        <v>3217</v>
      </c>
      <c r="AF10" s="51" t="s">
        <v>3218</v>
      </c>
      <c r="AG10" s="122">
        <v>1900000</v>
      </c>
      <c r="AH10" s="122">
        <v>1900000</v>
      </c>
      <c r="AI10" s="122" t="s">
        <v>3147</v>
      </c>
      <c r="AJ10" s="122" t="s">
        <v>3216</v>
      </c>
      <c r="AK10" s="51" t="s">
        <v>3149</v>
      </c>
      <c r="AL10" s="51" t="s">
        <v>3219</v>
      </c>
      <c r="AM10" s="119">
        <v>45422</v>
      </c>
      <c r="AN10" s="119" t="s">
        <v>3220</v>
      </c>
    </row>
    <row r="11" spans="2:40" s="116" customFormat="1" x14ac:dyDescent="0.25">
      <c r="B11" s="51" t="s">
        <v>3101</v>
      </c>
      <c r="C11" s="51">
        <v>9</v>
      </c>
      <c r="D11" s="51" t="s">
        <v>3221</v>
      </c>
      <c r="E11" s="119">
        <v>45422</v>
      </c>
      <c r="F11" s="51">
        <v>1</v>
      </c>
      <c r="G11" s="119" t="s">
        <v>3138</v>
      </c>
      <c r="H11" s="51" t="s">
        <v>3147</v>
      </c>
      <c r="I11" s="51">
        <v>31</v>
      </c>
      <c r="J11" s="51">
        <v>3.1000473009206903E+26</v>
      </c>
      <c r="K11" s="51">
        <v>31</v>
      </c>
      <c r="L11" s="51">
        <v>90</v>
      </c>
      <c r="M11" s="51">
        <v>1</v>
      </c>
      <c r="N11" s="51">
        <v>31</v>
      </c>
      <c r="O11" s="51">
        <v>3.7234600100000003E+23</v>
      </c>
      <c r="P11" s="51">
        <v>31</v>
      </c>
      <c r="Q11" s="51">
        <v>310004730092</v>
      </c>
      <c r="R11" s="51" t="s">
        <v>3146</v>
      </c>
      <c r="S11" s="119">
        <v>33584</v>
      </c>
      <c r="T11" s="119">
        <v>978</v>
      </c>
      <c r="U11" s="119">
        <v>0</v>
      </c>
      <c r="V11" s="119" t="s">
        <v>3222</v>
      </c>
      <c r="W11" s="119" t="s">
        <v>3222</v>
      </c>
      <c r="X11" s="51" t="s">
        <v>3223</v>
      </c>
      <c r="Y11" s="119" t="s">
        <v>3223</v>
      </c>
      <c r="Z11" s="119" t="s">
        <v>3223</v>
      </c>
      <c r="AA11" s="119">
        <v>33588</v>
      </c>
      <c r="AB11" s="51" t="s">
        <v>3146</v>
      </c>
      <c r="AC11" s="51" t="s">
        <v>3223</v>
      </c>
      <c r="AD11" s="51" t="s">
        <v>3223</v>
      </c>
      <c r="AE11" s="51" t="s">
        <v>3217</v>
      </c>
      <c r="AF11" s="51" t="s">
        <v>3218</v>
      </c>
      <c r="AG11" s="122">
        <v>19000000000</v>
      </c>
      <c r="AH11" s="122">
        <v>190000</v>
      </c>
      <c r="AI11" s="122" t="s">
        <v>3224</v>
      </c>
      <c r="AJ11" s="122" t="s">
        <v>3225</v>
      </c>
      <c r="AK11" s="51" t="s">
        <v>3153</v>
      </c>
      <c r="AL11" s="51" t="s">
        <v>3219</v>
      </c>
      <c r="AM11" s="119">
        <v>45422</v>
      </c>
      <c r="AN11" s="119" t="s">
        <v>3226</v>
      </c>
    </row>
    <row r="12" spans="2:40" s="116" customFormat="1" x14ac:dyDescent="0.25">
      <c r="B12" s="51" t="s">
        <v>3103</v>
      </c>
      <c r="C12" s="51">
        <v>10</v>
      </c>
      <c r="D12" s="51" t="s">
        <v>3227</v>
      </c>
      <c r="E12" s="119">
        <v>45422</v>
      </c>
      <c r="F12" s="51">
        <v>1</v>
      </c>
      <c r="G12" s="119" t="s">
        <v>3138</v>
      </c>
      <c r="H12" s="51" t="s">
        <v>3147</v>
      </c>
      <c r="I12" s="51">
        <v>31</v>
      </c>
      <c r="J12" s="51">
        <v>5.4260000009409003E+29</v>
      </c>
      <c r="K12" s="123" t="s">
        <v>3216</v>
      </c>
      <c r="L12" s="51">
        <v>92</v>
      </c>
      <c r="M12" s="51" t="s">
        <v>3228</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3217</v>
      </c>
      <c r="AF12" s="122" t="s">
        <v>3218</v>
      </c>
      <c r="AG12" s="122">
        <v>1900000</v>
      </c>
      <c r="AH12" s="122">
        <v>1900000</v>
      </c>
      <c r="AI12" s="122">
        <v>32000000</v>
      </c>
      <c r="AJ12" s="122" t="s">
        <v>3216</v>
      </c>
      <c r="AK12" s="122" t="s">
        <v>3149</v>
      </c>
      <c r="AL12" s="51" t="s">
        <v>3158</v>
      </c>
      <c r="AM12" s="119">
        <v>45422</v>
      </c>
      <c r="AN12" s="119" t="s">
        <v>3220</v>
      </c>
    </row>
    <row r="13" spans="2:40" s="116" customFormat="1" x14ac:dyDescent="0.25">
      <c r="B13" s="51" t="s">
        <v>3105</v>
      </c>
      <c r="C13" s="51">
        <v>11</v>
      </c>
      <c r="D13" s="51" t="s">
        <v>3229</v>
      </c>
      <c r="E13" s="119">
        <v>45422</v>
      </c>
      <c r="F13" s="51">
        <v>1</v>
      </c>
      <c r="G13" s="119" t="s">
        <v>3138</v>
      </c>
      <c r="H13" s="51" t="s">
        <v>3147</v>
      </c>
      <c r="I13" s="51">
        <v>31</v>
      </c>
      <c r="J13" s="51">
        <v>5.4260000009409003E+29</v>
      </c>
      <c r="K13" s="51">
        <v>31</v>
      </c>
      <c r="L13" s="51">
        <v>92</v>
      </c>
      <c r="M13" s="51" t="s">
        <v>3228</v>
      </c>
      <c r="N13" s="51">
        <v>31</v>
      </c>
      <c r="O13" s="51">
        <v>2.3850155708002E+29</v>
      </c>
      <c r="P13" s="51">
        <v>31</v>
      </c>
      <c r="Q13" s="51">
        <v>542600000094090</v>
      </c>
      <c r="R13" s="119">
        <v>45422</v>
      </c>
      <c r="S13" s="119">
        <v>45802</v>
      </c>
      <c r="T13" s="119">
        <v>978</v>
      </c>
      <c r="U13" s="119">
        <v>1</v>
      </c>
      <c r="V13" s="119" t="s">
        <v>3230</v>
      </c>
      <c r="W13" s="119" t="s">
        <v>3231</v>
      </c>
      <c r="X13" s="51" t="s">
        <v>3231</v>
      </c>
      <c r="Y13" s="119" t="s">
        <v>3232</v>
      </c>
      <c r="Z13" s="119" t="s">
        <v>3233</v>
      </c>
      <c r="AA13" s="119">
        <v>45805</v>
      </c>
      <c r="AB13" s="119">
        <v>43962</v>
      </c>
      <c r="AC13" s="51" t="s">
        <v>3234</v>
      </c>
      <c r="AD13" s="122" t="s">
        <v>3235</v>
      </c>
      <c r="AE13" s="122" t="s">
        <v>3217</v>
      </c>
      <c r="AF13" s="122" t="s">
        <v>3218</v>
      </c>
      <c r="AG13" s="122">
        <v>19000000000</v>
      </c>
      <c r="AH13" s="122">
        <v>190000</v>
      </c>
      <c r="AI13" s="122">
        <v>3200000</v>
      </c>
      <c r="AJ13" s="122" t="s">
        <v>3236</v>
      </c>
      <c r="AK13" s="122" t="s">
        <v>3153</v>
      </c>
      <c r="AL13" s="51" t="s">
        <v>3158</v>
      </c>
      <c r="AM13" s="119">
        <v>45422</v>
      </c>
      <c r="AN13" s="119" t="s">
        <v>3237</v>
      </c>
    </row>
    <row r="14" spans="2:40" s="240" customFormat="1" x14ac:dyDescent="0.25">
      <c r="B14" s="238" t="s">
        <v>3107</v>
      </c>
      <c r="C14" s="238">
        <v>12</v>
      </c>
      <c r="D14" s="238" t="s">
        <v>3238</v>
      </c>
      <c r="E14" s="239">
        <v>45422</v>
      </c>
      <c r="F14" s="238">
        <v>1</v>
      </c>
      <c r="G14" s="238">
        <v>0.875</v>
      </c>
      <c r="H14" s="238" t="s">
        <v>3147</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x14ac:dyDescent="0.25">
      <c r="B15" s="51" t="s">
        <v>3109</v>
      </c>
      <c r="C15" s="51">
        <v>13</v>
      </c>
      <c r="D15" s="51" t="s">
        <v>3239</v>
      </c>
      <c r="E15" s="119">
        <v>45422</v>
      </c>
      <c r="F15" s="51">
        <v>1</v>
      </c>
      <c r="G15" s="122">
        <v>1</v>
      </c>
      <c r="H15" s="51" t="s">
        <v>3147</v>
      </c>
      <c r="I15" s="51" t="s">
        <v>3138</v>
      </c>
      <c r="J15" s="51" t="s">
        <v>3138</v>
      </c>
      <c r="K15" s="51" t="s">
        <v>3138</v>
      </c>
      <c r="L15" s="51" t="s">
        <v>3138</v>
      </c>
      <c r="M15" s="51" t="s">
        <v>3138</v>
      </c>
      <c r="N15" s="51" t="s">
        <v>3138</v>
      </c>
      <c r="O15" s="51" t="s">
        <v>3138</v>
      </c>
      <c r="P15" s="51" t="s">
        <v>3138</v>
      </c>
      <c r="Q15" s="51" t="s">
        <v>3138</v>
      </c>
      <c r="R15" s="121">
        <v>0</v>
      </c>
      <c r="S15" s="121">
        <v>0</v>
      </c>
      <c r="T15" s="121" t="s">
        <v>3138</v>
      </c>
      <c r="U15" s="121" t="s">
        <v>3138</v>
      </c>
      <c r="V15" s="121" t="s">
        <v>3138</v>
      </c>
      <c r="W15" s="121" t="s">
        <v>3138</v>
      </c>
      <c r="X15" s="51" t="s">
        <v>3138</v>
      </c>
      <c r="Y15" s="121" t="s">
        <v>3138</v>
      </c>
      <c r="Z15" s="121" t="s">
        <v>3138</v>
      </c>
      <c r="AA15" s="51">
        <v>0</v>
      </c>
      <c r="AB15" s="51">
        <v>0</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row>
    <row r="16" spans="2:40" s="116" customFormat="1" x14ac:dyDescent="0.25">
      <c r="B16" s="51" t="s">
        <v>3111</v>
      </c>
      <c r="C16" s="51">
        <v>14</v>
      </c>
      <c r="D16" s="51" t="s">
        <v>3240</v>
      </c>
      <c r="E16" s="119">
        <v>45422</v>
      </c>
      <c r="F16" s="51">
        <v>1</v>
      </c>
      <c r="G16" s="122">
        <v>1</v>
      </c>
      <c r="H16" s="51" t="s">
        <v>3147</v>
      </c>
      <c r="I16" s="51">
        <v>0</v>
      </c>
      <c r="J16" s="51">
        <v>0</v>
      </c>
      <c r="K16" s="51">
        <v>0</v>
      </c>
      <c r="L16" s="51">
        <v>0</v>
      </c>
      <c r="M16" s="51">
        <v>0</v>
      </c>
      <c r="N16" s="51">
        <v>0</v>
      </c>
      <c r="O16" s="51">
        <v>0</v>
      </c>
      <c r="P16" s="51">
        <v>0</v>
      </c>
      <c r="Q16" s="51">
        <v>0</v>
      </c>
      <c r="R16" s="51" t="s">
        <v>3138</v>
      </c>
      <c r="S16" s="51" t="s">
        <v>3138</v>
      </c>
      <c r="T16" s="51">
        <v>0</v>
      </c>
      <c r="U16" s="51" t="s">
        <v>3138</v>
      </c>
      <c r="V16" s="51" t="s">
        <v>3138</v>
      </c>
      <c r="W16" s="51" t="s">
        <v>3138</v>
      </c>
      <c r="X16" s="121" t="s">
        <v>3138</v>
      </c>
      <c r="Y16" s="121" t="s">
        <v>3138</v>
      </c>
      <c r="Z16" s="51" t="s">
        <v>3138</v>
      </c>
      <c r="AA16" s="51" t="s">
        <v>3138</v>
      </c>
      <c r="AB16" s="51" t="s">
        <v>3138</v>
      </c>
      <c r="AC16" s="51" t="s">
        <v>3138</v>
      </c>
      <c r="AD16" s="51" t="s">
        <v>3138</v>
      </c>
      <c r="AE16" s="51">
        <v>0</v>
      </c>
      <c r="AF16" s="51">
        <v>0</v>
      </c>
      <c r="AG16" s="51" t="s">
        <v>3138</v>
      </c>
      <c r="AH16" s="51" t="s">
        <v>3138</v>
      </c>
      <c r="AI16" s="51" t="s">
        <v>3138</v>
      </c>
      <c r="AJ16" s="51">
        <v>0</v>
      </c>
      <c r="AK16" s="51">
        <v>0</v>
      </c>
      <c r="AL16" s="51" t="s">
        <v>3138</v>
      </c>
      <c r="AM16" s="51" t="s">
        <v>3138</v>
      </c>
      <c r="AN16" s="51" t="s">
        <v>3138</v>
      </c>
    </row>
    <row r="17" spans="2:41" s="116" customFormat="1" x14ac:dyDescent="0.25">
      <c r="B17" s="51" t="s">
        <v>3113</v>
      </c>
      <c r="C17" s="51">
        <v>15</v>
      </c>
      <c r="D17" s="51" t="s">
        <v>3241</v>
      </c>
      <c r="E17" s="119">
        <v>45422</v>
      </c>
      <c r="F17" s="51">
        <v>1</v>
      </c>
      <c r="G17" s="122">
        <v>1</v>
      </c>
      <c r="H17" s="51" t="s">
        <v>3147</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12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row>
    <row r="18" spans="2:41" s="116" customFormat="1" x14ac:dyDescent="0.25">
      <c r="B18" s="51" t="s">
        <v>3115</v>
      </c>
      <c r="C18" s="51">
        <v>16</v>
      </c>
      <c r="D18" s="51" t="s">
        <v>3241</v>
      </c>
      <c r="E18" s="119">
        <v>45422</v>
      </c>
      <c r="F18" s="51">
        <v>1</v>
      </c>
      <c r="G18" s="122">
        <v>1</v>
      </c>
      <c r="H18" s="51"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row>
    <row r="19" spans="2:41" s="116" customFormat="1" x14ac:dyDescent="0.25">
      <c r="B19" s="51" t="s">
        <v>3117</v>
      </c>
      <c r="C19" s="51">
        <v>17</v>
      </c>
      <c r="D19" s="51" t="s">
        <v>3242</v>
      </c>
      <c r="E19" s="119">
        <v>45422</v>
      </c>
      <c r="F19" s="51">
        <v>1</v>
      </c>
      <c r="G19" s="236">
        <v>0.91980700000000004</v>
      </c>
      <c r="H19" s="122">
        <v>283</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row>
    <row r="20" spans="2:41" s="116" customFormat="1" x14ac:dyDescent="0.25">
      <c r="B20" s="51" t="s">
        <v>3119</v>
      </c>
      <c r="C20" s="51">
        <v>18</v>
      </c>
      <c r="D20" s="51" t="s">
        <v>3242</v>
      </c>
      <c r="E20" s="119">
        <v>45422</v>
      </c>
      <c r="F20" s="51">
        <v>1</v>
      </c>
      <c r="G20" s="235">
        <v>0.99997199999999997</v>
      </c>
      <c r="H20" s="122">
        <v>2</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row>
    <row r="21" spans="2:41" s="116" customFormat="1" x14ac:dyDescent="0.25">
      <c r="B21" s="51" t="s">
        <v>3121</v>
      </c>
      <c r="C21" s="51">
        <v>19</v>
      </c>
      <c r="D21" s="51" t="s">
        <v>3243</v>
      </c>
      <c r="E21" s="119">
        <v>45422</v>
      </c>
      <c r="F21" s="51">
        <v>1</v>
      </c>
      <c r="G21" s="217" cm="1">
        <f t="array" ref="G21">SUMPRODUCT(--(ISNUMBER((SEARCH(I27:AN27,I21:AN21)))))/COUNTA(I21:AN21)</f>
        <v>1</v>
      </c>
      <c r="H21" s="51"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3173</v>
      </c>
      <c r="W21" s="51" t="s">
        <v>3173</v>
      </c>
      <c r="X21" s="51" t="s">
        <v>3173</v>
      </c>
      <c r="Y21" s="51" t="s">
        <v>3173</v>
      </c>
      <c r="Z21" s="51" t="s">
        <v>3173</v>
      </c>
      <c r="AA21" s="51" t="s">
        <v>3172</v>
      </c>
      <c r="AB21" s="51" t="s">
        <v>3172</v>
      </c>
      <c r="AC21" s="51" t="s">
        <v>3173</v>
      </c>
      <c r="AD21" s="51" t="s">
        <v>3173</v>
      </c>
      <c r="AE21" s="51" t="s">
        <v>3172</v>
      </c>
      <c r="AF21" s="51" t="s">
        <v>3172</v>
      </c>
      <c r="AG21" s="51" t="s">
        <v>3173</v>
      </c>
      <c r="AH21" s="51" t="s">
        <v>3173</v>
      </c>
      <c r="AI21" s="51" t="s">
        <v>3173</v>
      </c>
      <c r="AJ21" s="51" t="s">
        <v>3172</v>
      </c>
      <c r="AK21" s="51" t="s">
        <v>3172</v>
      </c>
      <c r="AL21" s="51" t="s">
        <v>3172</v>
      </c>
      <c r="AM21" s="51" t="s">
        <v>3172</v>
      </c>
      <c r="AN21" s="51" t="s">
        <v>3174</v>
      </c>
    </row>
    <row r="22" spans="2:41" s="116" customFormat="1" x14ac:dyDescent="0.25">
      <c r="B22" s="121" t="s">
        <v>3124</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x14ac:dyDescent="0.25">
      <c r="B23" s="51" t="s">
        <v>3127</v>
      </c>
      <c r="C23" s="51">
        <v>21</v>
      </c>
      <c r="D23" s="51"/>
      <c r="E23" s="119"/>
      <c r="F23" s="119"/>
      <c r="G23" s="51" cm="1">
        <f t="array" ref="G23">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25">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x14ac:dyDescent="0.25">
      <c r="B25" s="164" t="s">
        <v>3244</v>
      </c>
      <c r="C25" s="166"/>
      <c r="D25" s="166"/>
      <c r="E25" s="166"/>
      <c r="F25" s="166"/>
      <c r="G25" s="166"/>
      <c r="H25" s="166"/>
    </row>
    <row r="26" spans="2:41" x14ac:dyDescent="0.25">
      <c r="B26" s="157" t="s">
        <v>3130</v>
      </c>
      <c r="C26" s="153" t="s">
        <v>3131</v>
      </c>
      <c r="D26" s="153" t="s">
        <v>3132</v>
      </c>
      <c r="E26" s="153" t="s">
        <v>3133</v>
      </c>
      <c r="F26" s="153" t="s">
        <v>3134</v>
      </c>
      <c r="G26" s="153" t="s">
        <v>3135</v>
      </c>
      <c r="H26" s="153" t="s">
        <v>3136</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x14ac:dyDescent="0.25">
      <c r="B27" s="141" t="s">
        <v>3175</v>
      </c>
      <c r="C27" s="137">
        <v>21</v>
      </c>
      <c r="D27" s="143" t="s">
        <v>3176</v>
      </c>
      <c r="E27" s="142" t="s">
        <v>3177</v>
      </c>
      <c r="F27" s="142" t="s">
        <v>366</v>
      </c>
      <c r="G27" s="142" t="s">
        <v>366</v>
      </c>
      <c r="H27" s="142" t="s">
        <v>366</v>
      </c>
      <c r="I27" s="142"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v>STRING</v>
      </c>
      <c r="K27" s="142" t="str">
        <v>STRING</v>
      </c>
      <c r="L27" s="142" t="str">
        <v>STRING</v>
      </c>
      <c r="M27" s="142" t="str">
        <v>STRING</v>
      </c>
      <c r="N27" s="142" t="str">
        <v>STRING</v>
      </c>
      <c r="O27" s="142" t="str">
        <v>STRING</v>
      </c>
      <c r="P27" s="142" t="str">
        <v>STRING</v>
      </c>
      <c r="Q27" s="142" t="str">
        <v>STRING</v>
      </c>
      <c r="R27" s="142" t="str">
        <v>STRING</v>
      </c>
      <c r="S27" s="142" t="str">
        <v>STRING</v>
      </c>
      <c r="T27" s="142" t="str">
        <v>STRING</v>
      </c>
      <c r="U27" s="142" t="str">
        <v>STRING</v>
      </c>
      <c r="V27" s="142" t="str">
        <v>DECIMAL</v>
      </c>
      <c r="W27" s="142" t="str">
        <v>DECIMAL</v>
      </c>
      <c r="X27" s="142" t="str">
        <v>DECIMAL</v>
      </c>
      <c r="Y27" s="142" t="str">
        <v>DECIMAL</v>
      </c>
      <c r="Z27" s="142" t="str">
        <v>DECIMAL</v>
      </c>
      <c r="AA27" s="142" t="str">
        <v>STRING</v>
      </c>
      <c r="AB27" s="142" t="str">
        <v>STRING</v>
      </c>
      <c r="AC27" s="142" t="str">
        <v>DECIMAL</v>
      </c>
      <c r="AD27" s="142" t="str">
        <v>DECIMAL</v>
      </c>
      <c r="AE27" s="142" t="str">
        <v>STRING</v>
      </c>
      <c r="AF27" s="142" t="str">
        <v>STRING</v>
      </c>
      <c r="AG27" s="142" t="str">
        <v>DECIMAL</v>
      </c>
      <c r="AH27" s="142" t="str">
        <v>DECIMAL</v>
      </c>
      <c r="AI27" s="142" t="str">
        <v>DECIMAL</v>
      </c>
      <c r="AJ27" s="142" t="str">
        <v>STRING</v>
      </c>
      <c r="AK27" s="142" t="str">
        <v>STRING</v>
      </c>
      <c r="AL27" s="142" t="str">
        <v>STRING</v>
      </c>
      <c r="AM27" s="142" t="str">
        <v>STRING</v>
      </c>
      <c r="AN27" s="142" t="str">
        <v>TIMESTAMP</v>
      </c>
    </row>
    <row r="28" spans="2:41" x14ac:dyDescent="0.25">
      <c r="B28" s="145" t="s">
        <v>3178</v>
      </c>
      <c r="C28" s="137">
        <v>7</v>
      </c>
      <c r="D28" s="138" t="s">
        <v>3176</v>
      </c>
      <c r="E28" s="137" t="s">
        <v>3177</v>
      </c>
      <c r="F28" s="167" t="s">
        <v>366</v>
      </c>
      <c r="G28" s="167" t="s">
        <v>366</v>
      </c>
      <c r="H28" s="167" t="s">
        <v>366</v>
      </c>
      <c r="I28" s="167">
        <v>4</v>
      </c>
      <c r="J28" s="167">
        <v>30</v>
      </c>
      <c r="K28" s="167">
        <v>4</v>
      </c>
      <c r="L28" s="167">
        <v>4</v>
      </c>
      <c r="M28" s="167">
        <v>4</v>
      </c>
      <c r="N28" s="167">
        <v>4</v>
      </c>
      <c r="O28" s="167">
        <v>30</v>
      </c>
      <c r="P28" s="167">
        <v>4</v>
      </c>
      <c r="Q28" s="167">
        <v>15</v>
      </c>
      <c r="R28" s="167">
        <v>10</v>
      </c>
      <c r="S28" s="167">
        <v>10</v>
      </c>
      <c r="T28" s="167">
        <v>4</v>
      </c>
      <c r="U28" s="167">
        <v>4</v>
      </c>
      <c r="V28" s="167">
        <v>23</v>
      </c>
      <c r="W28" s="167">
        <v>23</v>
      </c>
      <c r="X28" s="167">
        <v>23</v>
      </c>
      <c r="Y28" s="167">
        <v>23</v>
      </c>
      <c r="Z28" s="167">
        <v>23</v>
      </c>
      <c r="AA28" s="167">
        <v>10</v>
      </c>
      <c r="AB28" s="167">
        <v>10</v>
      </c>
      <c r="AC28" s="167">
        <v>23</v>
      </c>
      <c r="AD28" s="167">
        <v>23</v>
      </c>
      <c r="AE28" s="167">
        <v>3</v>
      </c>
      <c r="AF28" s="167">
        <v>3</v>
      </c>
      <c r="AG28" s="167">
        <v>23</v>
      </c>
      <c r="AH28" s="167">
        <v>23</v>
      </c>
      <c r="AI28" s="167">
        <v>23</v>
      </c>
      <c r="AJ28" s="167">
        <v>4</v>
      </c>
      <c r="AK28" s="167">
        <v>4</v>
      </c>
      <c r="AL28" s="167">
        <v>2</v>
      </c>
      <c r="AM28" s="167">
        <v>10</v>
      </c>
      <c r="AN28" s="167">
        <v>23</v>
      </c>
      <c r="AO28" s="51"/>
    </row>
    <row r="29" spans="2:41" x14ac:dyDescent="0.25">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x14ac:dyDescent="0.25">
      <c r="B30" s="164" t="s">
        <v>3179</v>
      </c>
    </row>
    <row r="31" spans="2:41" x14ac:dyDescent="0.25">
      <c r="B31" s="158" t="s">
        <v>3180</v>
      </c>
      <c r="C31" s="158" t="s">
        <v>3181</v>
      </c>
      <c r="D31" s="159" t="s">
        <v>3182</v>
      </c>
      <c r="E31" s="158" t="s">
        <v>3183</v>
      </c>
      <c r="F31" s="158" t="s">
        <v>3184</v>
      </c>
    </row>
    <row r="32" spans="2:41" ht="30" x14ac:dyDescent="0.25">
      <c r="B32" s="135" t="s">
        <v>3245</v>
      </c>
      <c r="C32" s="139" t="s">
        <v>655</v>
      </c>
      <c r="D32" s="54" t="s">
        <v>3246</v>
      </c>
      <c r="E32" s="170" t="s">
        <v>3247</v>
      </c>
      <c r="F32" s="160" t="s">
        <v>3191</v>
      </c>
    </row>
    <row r="33" spans="2:6" ht="30" x14ac:dyDescent="0.25">
      <c r="B33" s="135" t="s">
        <v>3245</v>
      </c>
      <c r="C33" s="139" t="s">
        <v>664</v>
      </c>
      <c r="D33" s="54" t="s">
        <v>3248</v>
      </c>
      <c r="E33" s="170" t="s">
        <v>3247</v>
      </c>
      <c r="F33" s="160" t="s">
        <v>3191</v>
      </c>
    </row>
    <row r="34" spans="2:6" ht="30" x14ac:dyDescent="0.25">
      <c r="B34" s="135" t="s">
        <v>3245</v>
      </c>
      <c r="C34" s="139" t="s">
        <v>673</v>
      </c>
      <c r="D34" s="54" t="s">
        <v>3248</v>
      </c>
      <c r="E34" s="170" t="s">
        <v>3247</v>
      </c>
      <c r="F34" s="160" t="s">
        <v>3191</v>
      </c>
    </row>
    <row r="35" spans="2:6" ht="75" x14ac:dyDescent="0.25">
      <c r="B35" s="135" t="s">
        <v>3245</v>
      </c>
      <c r="C35" s="139" t="s">
        <v>3204</v>
      </c>
      <c r="D35" s="54" t="s">
        <v>3249</v>
      </c>
      <c r="E35" s="170" t="s">
        <v>3250</v>
      </c>
      <c r="F35" s="160" t="s">
        <v>3188</v>
      </c>
    </row>
    <row r="36" spans="2:6" ht="30" x14ac:dyDescent="0.25">
      <c r="B36" s="135" t="s">
        <v>3195</v>
      </c>
      <c r="C36" s="139" t="s">
        <v>3196</v>
      </c>
      <c r="D36" s="54" t="s">
        <v>3251</v>
      </c>
      <c r="E36" s="170" t="s">
        <v>3252</v>
      </c>
      <c r="F36" s="160" t="s">
        <v>3191</v>
      </c>
    </row>
    <row r="37" spans="2:6" ht="45" x14ac:dyDescent="0.25">
      <c r="B37" s="161" t="s">
        <v>3253</v>
      </c>
      <c r="C37" s="162" t="s">
        <v>3196</v>
      </c>
      <c r="D37" s="163" t="s">
        <v>3254</v>
      </c>
      <c r="E37" s="171" t="s">
        <v>3202</v>
      </c>
      <c r="F37"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x14ac:dyDescent="0.25">
      <c r="B3" s="51" t="s">
        <v>3084</v>
      </c>
      <c r="C3" s="51">
        <v>1</v>
      </c>
      <c r="D3" s="51" t="s">
        <v>3256</v>
      </c>
      <c r="E3" s="119">
        <v>45457</v>
      </c>
      <c r="F3" s="51">
        <v>1</v>
      </c>
      <c r="G3" s="51">
        <v>1</v>
      </c>
      <c r="H3" s="215" t="s">
        <v>3257</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row>
    <row r="4" spans="2:36" x14ac:dyDescent="0.25">
      <c r="B4" s="51" t="s">
        <v>3086</v>
      </c>
      <c r="C4" s="51">
        <v>2</v>
      </c>
      <c r="D4" s="51" t="s">
        <v>3258</v>
      </c>
      <c r="E4" s="119">
        <v>45457</v>
      </c>
      <c r="F4" s="51">
        <v>1</v>
      </c>
      <c r="G4" s="51">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row>
    <row r="5" spans="2:36" x14ac:dyDescent="0.25">
      <c r="B5" s="51" t="s">
        <v>3088</v>
      </c>
      <c r="C5" s="51">
        <v>3</v>
      </c>
      <c r="D5" s="51" t="s">
        <v>3259</v>
      </c>
      <c r="E5" s="119">
        <v>45457</v>
      </c>
      <c r="F5" s="51">
        <v>1</v>
      </c>
      <c r="G5" s="51">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v>0</v>
      </c>
      <c r="AJ5" s="51" t="s">
        <v>3138</v>
      </c>
    </row>
    <row r="6" spans="2:36" x14ac:dyDescent="0.25">
      <c r="B6" s="121" t="s">
        <v>3090</v>
      </c>
      <c r="C6" s="51">
        <v>4</v>
      </c>
      <c r="D6" s="51" t="s">
        <v>3141</v>
      </c>
      <c r="E6" s="119" t="s">
        <v>3138</v>
      </c>
      <c r="F6" s="51">
        <v>1</v>
      </c>
      <c r="G6" s="119" t="s">
        <v>3138</v>
      </c>
      <c r="H6" s="51"/>
      <c r="I6" s="51" t="s">
        <v>3138</v>
      </c>
      <c r="J6" s="51" t="s">
        <v>3138</v>
      </c>
      <c r="K6" s="51" t="s">
        <v>3138</v>
      </c>
      <c r="L6" s="51" t="s">
        <v>3138</v>
      </c>
      <c r="M6" s="51" t="s">
        <v>3138</v>
      </c>
      <c r="N6" s="51" t="s">
        <v>3138</v>
      </c>
      <c r="O6" s="51" t="s">
        <v>3138</v>
      </c>
      <c r="P6" s="212" t="s">
        <v>3138</v>
      </c>
      <c r="Q6" s="212" t="s">
        <v>3138</v>
      </c>
      <c r="R6" s="51" t="s">
        <v>3138</v>
      </c>
      <c r="S6" s="122" t="s">
        <v>3138</v>
      </c>
      <c r="T6" s="122"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216" t="s">
        <v>3138</v>
      </c>
      <c r="AI6" s="51" t="s">
        <v>3138</v>
      </c>
      <c r="AJ6" s="51" t="s">
        <v>3138</v>
      </c>
    </row>
    <row r="7" spans="2:36" x14ac:dyDescent="0.25">
      <c r="B7" s="51" t="s">
        <v>3092</v>
      </c>
      <c r="C7" s="51">
        <v>5</v>
      </c>
      <c r="D7" s="51" t="s">
        <v>3141</v>
      </c>
      <c r="E7" s="119" t="s">
        <v>3138</v>
      </c>
      <c r="F7" s="51">
        <v>1</v>
      </c>
      <c r="G7" s="119" t="s">
        <v>3138</v>
      </c>
      <c r="H7" s="51"/>
      <c r="I7" s="51" t="s">
        <v>3138</v>
      </c>
      <c r="J7" s="51" t="s">
        <v>3138</v>
      </c>
      <c r="K7" s="51" t="s">
        <v>3138</v>
      </c>
      <c r="L7" s="51" t="s">
        <v>3138</v>
      </c>
      <c r="M7" s="51" t="s">
        <v>3138</v>
      </c>
      <c r="N7" s="51" t="s">
        <v>3138</v>
      </c>
      <c r="O7" s="51" t="s">
        <v>3138</v>
      </c>
      <c r="P7" s="212" t="s">
        <v>3138</v>
      </c>
      <c r="Q7" s="212"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216" t="s">
        <v>3138</v>
      </c>
      <c r="AI7" s="51" t="s">
        <v>3138</v>
      </c>
      <c r="AJ7" s="51" t="s">
        <v>3138</v>
      </c>
    </row>
    <row r="8" spans="2:36" x14ac:dyDescent="0.25">
      <c r="B8" s="51" t="s">
        <v>3093</v>
      </c>
      <c r="C8" s="51">
        <v>6</v>
      </c>
      <c r="D8" s="51" t="s">
        <v>3260</v>
      </c>
      <c r="E8" s="119">
        <v>45457</v>
      </c>
      <c r="F8" s="51">
        <v>1</v>
      </c>
      <c r="G8" s="51" cm="1">
        <f t="array" ref="G8">SUMPRODUCT(--(I8:AJ8&gt;0))/COUNTA(I8:AJ8)</f>
        <v>1</v>
      </c>
      <c r="H8" s="51" t="s">
        <v>3223</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3261</v>
      </c>
      <c r="AH8" s="51">
        <v>2</v>
      </c>
      <c r="AI8" s="51">
        <v>10</v>
      </c>
      <c r="AJ8" s="51">
        <v>23</v>
      </c>
    </row>
    <row r="9" spans="2:36" x14ac:dyDescent="0.25">
      <c r="B9" s="51" t="s">
        <v>3096</v>
      </c>
      <c r="C9" s="51">
        <v>7</v>
      </c>
      <c r="D9" s="51" t="s">
        <v>3262</v>
      </c>
      <c r="E9" s="119">
        <v>45457</v>
      </c>
      <c r="F9" s="51">
        <v>1</v>
      </c>
      <c r="G9" s="51" cm="1">
        <f t="array" ref="G9">SUMPRODUCT(--(I9:AJ9&lt;=I29:AJ29))/COUNTA(I29:AJ29)</f>
        <v>0.6785714285714286</v>
      </c>
      <c r="H9" s="51" t="s">
        <v>3223</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3261</v>
      </c>
      <c r="AH9" s="51">
        <v>2</v>
      </c>
      <c r="AI9" s="51">
        <v>10</v>
      </c>
      <c r="AJ9" s="51">
        <v>23</v>
      </c>
    </row>
    <row r="10" spans="2:36" x14ac:dyDescent="0.25">
      <c r="B10" s="121" t="s">
        <v>3099</v>
      </c>
      <c r="C10" s="51">
        <v>8</v>
      </c>
      <c r="D10" s="51" t="s">
        <v>3263</v>
      </c>
      <c r="E10" s="119">
        <v>45457</v>
      </c>
      <c r="F10" s="51">
        <v>1</v>
      </c>
      <c r="G10" s="119" t="s">
        <v>3138</v>
      </c>
      <c r="H10" s="51" t="s">
        <v>3223</v>
      </c>
      <c r="I10" s="51">
        <v>31</v>
      </c>
      <c r="J10" s="51">
        <v>2.0734299999999999E+22</v>
      </c>
      <c r="K10" s="51" t="s">
        <v>3264</v>
      </c>
      <c r="L10" s="51">
        <v>20</v>
      </c>
      <c r="M10" s="51">
        <v>100</v>
      </c>
      <c r="N10" s="51">
        <v>31</v>
      </c>
      <c r="O10" s="119">
        <v>2.0734001E+22</v>
      </c>
      <c r="P10" s="119">
        <v>30288</v>
      </c>
      <c r="Q10" s="122" t="s">
        <v>3146</v>
      </c>
      <c r="R10" s="51">
        <v>124</v>
      </c>
      <c r="S10" s="119" t="s">
        <v>3265</v>
      </c>
      <c r="T10" s="119" t="s">
        <v>3147</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3148</v>
      </c>
      <c r="AG10" s="51" t="s">
        <v>3261</v>
      </c>
      <c r="AH10" s="119" t="s">
        <v>3266</v>
      </c>
      <c r="AI10" s="119">
        <v>45457</v>
      </c>
      <c r="AJ10" s="51" t="s">
        <v>3267</v>
      </c>
    </row>
    <row r="11" spans="2:36" x14ac:dyDescent="0.25">
      <c r="B11" s="51" t="s">
        <v>3101</v>
      </c>
      <c r="C11" s="51">
        <v>9</v>
      </c>
      <c r="D11" s="51" t="s">
        <v>3268</v>
      </c>
      <c r="E11" s="119">
        <v>45457</v>
      </c>
      <c r="F11" s="51">
        <v>1</v>
      </c>
      <c r="G11" s="119" t="s">
        <v>3138</v>
      </c>
      <c r="H11" s="51" t="s">
        <v>3223</v>
      </c>
      <c r="I11" s="51">
        <v>31</v>
      </c>
      <c r="J11" s="51">
        <v>2.0734299999999999E+22</v>
      </c>
      <c r="K11" s="51" t="s">
        <v>3269</v>
      </c>
      <c r="L11" s="51">
        <v>20</v>
      </c>
      <c r="M11" s="51">
        <v>100</v>
      </c>
      <c r="N11" s="51">
        <v>31</v>
      </c>
      <c r="O11" s="119">
        <v>2.0734001E+22</v>
      </c>
      <c r="P11" s="119">
        <v>30288</v>
      </c>
      <c r="Q11" s="119" t="s">
        <v>3146</v>
      </c>
      <c r="R11" s="51">
        <v>124</v>
      </c>
      <c r="S11" s="119" t="s">
        <v>3270</v>
      </c>
      <c r="T11" s="119" t="s">
        <v>3223</v>
      </c>
      <c r="U11" s="51" t="s">
        <v>3271</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3266</v>
      </c>
      <c r="AI11" s="119">
        <v>45457</v>
      </c>
      <c r="AJ11" s="51" t="s">
        <v>3272</v>
      </c>
    </row>
    <row r="12" spans="2:36" x14ac:dyDescent="0.25">
      <c r="B12" s="51" t="s">
        <v>3103</v>
      </c>
      <c r="C12" s="51">
        <v>10</v>
      </c>
      <c r="D12" s="51" t="s">
        <v>3273</v>
      </c>
      <c r="E12" s="119">
        <v>45457</v>
      </c>
      <c r="F12" s="51">
        <v>1</v>
      </c>
      <c r="G12" s="119" t="s">
        <v>3138</v>
      </c>
      <c r="H12" s="51" t="s">
        <v>3223</v>
      </c>
      <c r="I12" s="51">
        <v>31</v>
      </c>
      <c r="J12" s="51">
        <v>2.3370179682002001E+29</v>
      </c>
      <c r="K12" s="51" t="s">
        <v>3264</v>
      </c>
      <c r="L12" s="51">
        <v>224</v>
      </c>
      <c r="M12" s="51" t="s">
        <v>3274</v>
      </c>
      <c r="N12" s="51">
        <v>31</v>
      </c>
      <c r="O12" s="212">
        <v>2.3950569509102E+29</v>
      </c>
      <c r="P12" s="212">
        <v>45457</v>
      </c>
      <c r="Q12" s="212" t="s">
        <v>3146</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3275</v>
      </c>
      <c r="AG12" s="51" t="s">
        <v>3261</v>
      </c>
      <c r="AH12" s="212" t="s">
        <v>3266</v>
      </c>
      <c r="AI12" s="119">
        <v>45457</v>
      </c>
      <c r="AJ12" s="51" t="s">
        <v>3267</v>
      </c>
    </row>
    <row r="13" spans="2:36" x14ac:dyDescent="0.25">
      <c r="B13" s="51" t="s">
        <v>3105</v>
      </c>
      <c r="C13" s="51">
        <v>11</v>
      </c>
      <c r="D13" s="51" t="s">
        <v>3276</v>
      </c>
      <c r="E13" s="119">
        <v>45457</v>
      </c>
      <c r="F13" s="51">
        <v>1</v>
      </c>
      <c r="G13" s="119" t="s">
        <v>3138</v>
      </c>
      <c r="H13" s="51" t="s">
        <v>3223</v>
      </c>
      <c r="I13" s="51">
        <v>31</v>
      </c>
      <c r="J13" s="51">
        <v>2.3370179682002001E+29</v>
      </c>
      <c r="K13" s="51" t="s">
        <v>3269</v>
      </c>
      <c r="L13" s="51">
        <v>224</v>
      </c>
      <c r="M13" s="51" t="s">
        <v>3274</v>
      </c>
      <c r="N13" s="51">
        <v>31</v>
      </c>
      <c r="O13" s="119">
        <v>2.3950569509102E+29</v>
      </c>
      <c r="P13" s="212">
        <v>45457</v>
      </c>
      <c r="Q13" s="212" t="s">
        <v>3146</v>
      </c>
      <c r="R13" s="51">
        <v>978</v>
      </c>
      <c r="S13" s="119" t="s">
        <v>3277</v>
      </c>
      <c r="T13" s="119" t="s">
        <v>3278</v>
      </c>
      <c r="U13" s="51" t="s">
        <v>3277</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3266</v>
      </c>
      <c r="AI13" s="119">
        <v>45457</v>
      </c>
      <c r="AJ13" s="51" t="s">
        <v>3279</v>
      </c>
    </row>
    <row r="14" spans="2:36" x14ac:dyDescent="0.25">
      <c r="B14" s="51" t="s">
        <v>3107</v>
      </c>
      <c r="C14" s="51">
        <v>12</v>
      </c>
      <c r="D14" s="51" t="s">
        <v>3280</v>
      </c>
      <c r="E14" s="119">
        <v>45457</v>
      </c>
      <c r="F14" s="51">
        <v>1</v>
      </c>
      <c r="G14" s="51">
        <v>0.93</v>
      </c>
      <c r="H14" s="51" t="s">
        <v>3223</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x14ac:dyDescent="0.25">
      <c r="B15" s="51" t="s">
        <v>3109</v>
      </c>
      <c r="C15" s="51">
        <v>13</v>
      </c>
      <c r="D15" s="51" t="s">
        <v>3281</v>
      </c>
      <c r="E15" s="119">
        <v>45457</v>
      </c>
      <c r="F15" s="51">
        <v>1</v>
      </c>
      <c r="G15" s="51">
        <v>1</v>
      </c>
      <c r="H15" s="51" t="s">
        <v>3223</v>
      </c>
      <c r="I15" s="51" t="s">
        <v>3138</v>
      </c>
      <c r="J15" s="51" t="s">
        <v>3138</v>
      </c>
      <c r="K15" s="51" t="s">
        <v>3138</v>
      </c>
      <c r="L15" s="51" t="s">
        <v>3138</v>
      </c>
      <c r="M15" s="51" t="s">
        <v>3138</v>
      </c>
      <c r="N15" s="51" t="s">
        <v>3138</v>
      </c>
      <c r="O15" s="121" t="s">
        <v>3138</v>
      </c>
      <c r="P15" s="121">
        <v>0</v>
      </c>
      <c r="Q15" s="121">
        <v>0</v>
      </c>
      <c r="R15" s="51" t="s">
        <v>3138</v>
      </c>
      <c r="S15" s="51" t="s">
        <v>3138</v>
      </c>
      <c r="T15" s="12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row>
    <row r="16" spans="2:36" x14ac:dyDescent="0.25">
      <c r="B16" s="51" t="s">
        <v>3111</v>
      </c>
      <c r="C16" s="51">
        <v>14</v>
      </c>
      <c r="D16" s="51" t="s">
        <v>3282</v>
      </c>
      <c r="E16" s="119">
        <v>45457</v>
      </c>
      <c r="F16" s="51">
        <v>1</v>
      </c>
      <c r="G16" s="51">
        <v>1</v>
      </c>
      <c r="H16" s="51" t="s">
        <v>3223</v>
      </c>
      <c r="I16" s="51" t="s">
        <v>3138</v>
      </c>
      <c r="J16" s="51" t="s">
        <v>3138</v>
      </c>
      <c r="K16" s="51" t="s">
        <v>3138</v>
      </c>
      <c r="L16" s="51" t="s">
        <v>3138</v>
      </c>
      <c r="M16" s="51" t="s">
        <v>3138</v>
      </c>
      <c r="N16" s="51" t="s">
        <v>3138</v>
      </c>
      <c r="O16" s="51" t="s">
        <v>3138</v>
      </c>
      <c r="P16" s="51" t="s">
        <v>3138</v>
      </c>
      <c r="Q16" s="51" t="s">
        <v>3138</v>
      </c>
      <c r="R16" s="51">
        <v>0</v>
      </c>
      <c r="S16" s="121" t="s">
        <v>3138</v>
      </c>
      <c r="T16" s="51" t="s">
        <v>3138</v>
      </c>
      <c r="U16" s="51" t="s">
        <v>3138</v>
      </c>
      <c r="V16" s="51">
        <v>0</v>
      </c>
      <c r="W16" s="51" t="s">
        <v>3138</v>
      </c>
      <c r="X16" s="51" t="s">
        <v>3138</v>
      </c>
      <c r="Y16" s="51" t="s">
        <v>3138</v>
      </c>
      <c r="Z16" s="51" t="s">
        <v>3138</v>
      </c>
      <c r="AA16" s="51">
        <v>0</v>
      </c>
      <c r="AB16" s="51" t="s">
        <v>3138</v>
      </c>
      <c r="AC16" s="51" t="s">
        <v>3138</v>
      </c>
      <c r="AD16" s="51" t="s">
        <v>3138</v>
      </c>
      <c r="AE16" s="51" t="s">
        <v>3138</v>
      </c>
      <c r="AF16" s="51">
        <v>0</v>
      </c>
      <c r="AG16" s="51">
        <v>0</v>
      </c>
      <c r="AH16" s="51">
        <v>0</v>
      </c>
      <c r="AI16" s="51" t="s">
        <v>3138</v>
      </c>
      <c r="AJ16" s="51" t="s">
        <v>3138</v>
      </c>
    </row>
    <row r="17" spans="2:36" x14ac:dyDescent="0.25">
      <c r="B17" s="51" t="s">
        <v>3113</v>
      </c>
      <c r="C17" s="51">
        <v>15</v>
      </c>
      <c r="D17" s="51" t="s">
        <v>3283</v>
      </c>
      <c r="E17" s="119">
        <v>45457</v>
      </c>
      <c r="F17" s="51">
        <v>1</v>
      </c>
      <c r="G17" s="51">
        <v>1</v>
      </c>
      <c r="H17" s="206" t="s">
        <v>3223</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row>
    <row r="18" spans="2:36" x14ac:dyDescent="0.25">
      <c r="B18" s="51" t="s">
        <v>3115</v>
      </c>
      <c r="C18" s="51">
        <v>16</v>
      </c>
      <c r="D18" s="51" t="s">
        <v>3283</v>
      </c>
      <c r="E18" s="119">
        <v>45457</v>
      </c>
      <c r="F18" s="51">
        <v>1</v>
      </c>
      <c r="G18" s="51">
        <v>1</v>
      </c>
      <c r="H18" s="206"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row>
    <row r="19" spans="2:36" x14ac:dyDescent="0.25">
      <c r="B19" s="51" t="s">
        <v>3117</v>
      </c>
      <c r="C19" s="51">
        <v>17</v>
      </c>
      <c r="D19" s="51" t="s">
        <v>3284</v>
      </c>
      <c r="E19" s="119">
        <v>45457</v>
      </c>
      <c r="F19" s="51">
        <v>1</v>
      </c>
      <c r="G19" s="51" t="s">
        <v>3285</v>
      </c>
      <c r="H19" s="51">
        <v>229642</v>
      </c>
      <c r="I19" s="51" t="s">
        <v>3138</v>
      </c>
      <c r="J19" s="51" t="s">
        <v>3138</v>
      </c>
      <c r="K19" s="51" t="s">
        <v>3138</v>
      </c>
      <c r="L19" s="51" t="s">
        <v>3138</v>
      </c>
      <c r="M19" s="51" t="s">
        <v>3138</v>
      </c>
      <c r="N19" s="51" t="s">
        <v>3138</v>
      </c>
      <c r="O19" s="51" t="s">
        <v>3138</v>
      </c>
      <c r="P19" s="121" t="s">
        <v>3138</v>
      </c>
      <c r="Q19" s="12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row>
    <row r="20" spans="2:36" x14ac:dyDescent="0.25">
      <c r="B20" s="51" t="s">
        <v>3119</v>
      </c>
      <c r="C20" s="51">
        <v>18</v>
      </c>
      <c r="D20" s="51" t="s">
        <v>3284</v>
      </c>
      <c r="E20" s="119">
        <v>45457</v>
      </c>
      <c r="F20" s="51">
        <v>1</v>
      </c>
      <c r="G20" s="51" t="s">
        <v>3286</v>
      </c>
      <c r="H20" s="51">
        <v>1188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row>
    <row r="21" spans="2:36" x14ac:dyDescent="0.25">
      <c r="B21" s="51" t="s">
        <v>3121</v>
      </c>
      <c r="C21" s="51">
        <v>19</v>
      </c>
      <c r="D21" s="51" t="s">
        <v>3287</v>
      </c>
      <c r="E21" s="119">
        <v>45457</v>
      </c>
      <c r="F21" s="51">
        <v>1</v>
      </c>
      <c r="G21" s="51" cm="1">
        <f t="array" ref="G21">SUMPRODUCT(--(ISNUMBER((SEARCH(I28:AJ28,I21:AJ21)))))/COUNTA(I21:AJ21)</f>
        <v>0.7857142857142857</v>
      </c>
      <c r="H21" s="51" t="s">
        <v>3223</v>
      </c>
      <c r="I21" s="51" t="s">
        <v>3172</v>
      </c>
      <c r="J21" s="51" t="s">
        <v>3172</v>
      </c>
      <c r="K21" s="51" t="s">
        <v>3172</v>
      </c>
      <c r="L21" s="51" t="s">
        <v>3172</v>
      </c>
      <c r="M21" s="51" t="s">
        <v>3172</v>
      </c>
      <c r="N21" s="51" t="s">
        <v>3172</v>
      </c>
      <c r="O21" s="51" t="s">
        <v>3172</v>
      </c>
      <c r="P21" s="51" t="s">
        <v>3172</v>
      </c>
      <c r="Q21" s="51" t="s">
        <v>3172</v>
      </c>
      <c r="R21" s="51" t="s">
        <v>3172</v>
      </c>
      <c r="S21" s="51" t="s">
        <v>3173</v>
      </c>
      <c r="T21" s="51" t="s">
        <v>3173</v>
      </c>
      <c r="U21" s="51" t="s">
        <v>3173</v>
      </c>
      <c r="V21" s="51" t="s">
        <v>3172</v>
      </c>
      <c r="W21" s="51" t="s">
        <v>3172</v>
      </c>
      <c r="X21" s="51" t="s">
        <v>3172</v>
      </c>
      <c r="Y21" s="51" t="s">
        <v>3172</v>
      </c>
      <c r="Z21" s="51" t="s">
        <v>3172</v>
      </c>
      <c r="AA21" s="51" t="s">
        <v>3172</v>
      </c>
      <c r="AB21" s="51" t="s">
        <v>3172</v>
      </c>
      <c r="AC21" s="51" t="s">
        <v>3172</v>
      </c>
      <c r="AD21" s="51" t="s">
        <v>3172</v>
      </c>
      <c r="AE21" s="51" t="s">
        <v>3172</v>
      </c>
      <c r="AF21" s="51" t="s">
        <v>3172</v>
      </c>
      <c r="AG21" s="51" t="s">
        <v>3172</v>
      </c>
      <c r="AH21" s="51" t="s">
        <v>3172</v>
      </c>
      <c r="AI21" s="51" t="s">
        <v>3172</v>
      </c>
      <c r="AJ21" s="51" t="s">
        <v>3174</v>
      </c>
    </row>
    <row r="22" spans="2:36" x14ac:dyDescent="0.25">
      <c r="B22" s="121" t="s">
        <v>3124</v>
      </c>
      <c r="C22" s="51">
        <v>20</v>
      </c>
      <c r="D22" s="51" t="s">
        <v>3284</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x14ac:dyDescent="0.25">
      <c r="B23" s="51" t="s">
        <v>3127</v>
      </c>
      <c r="C23" s="51">
        <v>21</v>
      </c>
      <c r="D23" s="51" t="s">
        <v>3287</v>
      </c>
      <c r="E23" s="119">
        <v>45457</v>
      </c>
      <c r="F23" s="51">
        <v>1</v>
      </c>
      <c r="G23" s="51" cm="1">
        <f t="array" ref="G23">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x14ac:dyDescent="0.25">
      <c r="B26" s="151" t="s">
        <v>3244</v>
      </c>
    </row>
    <row r="27" spans="2:36" x14ac:dyDescent="0.25">
      <c r="B27" s="157" t="s">
        <v>3130</v>
      </c>
      <c r="C27" s="153" t="s">
        <v>3131</v>
      </c>
      <c r="D27" s="153" t="s">
        <v>3132</v>
      </c>
      <c r="E27" s="153" t="s">
        <v>3133</v>
      </c>
      <c r="F27" s="153" t="s">
        <v>3134</v>
      </c>
      <c r="G27" s="153" t="s">
        <v>3135</v>
      </c>
      <c r="H27" s="153" t="s">
        <v>3136</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x14ac:dyDescent="0.25">
      <c r="B28" s="131" t="s">
        <v>3175</v>
      </c>
      <c r="C28" s="134">
        <v>21</v>
      </c>
      <c r="D28" s="128" t="s">
        <v>3176</v>
      </c>
      <c r="E28" s="127" t="s">
        <v>3177</v>
      </c>
      <c r="F28" s="127" t="s">
        <v>366</v>
      </c>
      <c r="G28" s="127" t="s">
        <v>366</v>
      </c>
      <c r="H28" s="127" t="s">
        <v>366</v>
      </c>
      <c r="I28" s="127"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7" t="str">
        <v>STRING</v>
      </c>
      <c r="K28" s="127" t="str">
        <v>STRING</v>
      </c>
      <c r="L28" s="127" t="str">
        <v>STRING</v>
      </c>
      <c r="M28" s="127" t="str">
        <v>STRING</v>
      </c>
      <c r="N28" s="127" t="str">
        <v>STRING</v>
      </c>
      <c r="O28" s="127" t="str">
        <v>STRING</v>
      </c>
      <c r="P28" s="127" t="str">
        <v>STRING</v>
      </c>
      <c r="Q28" s="127" t="str">
        <v>STRING</v>
      </c>
      <c r="R28" s="127" t="str">
        <v>STRING</v>
      </c>
      <c r="S28" s="127" t="str">
        <v>DECIMAL</v>
      </c>
      <c r="T28" s="127" t="str">
        <v>DECIMAL</v>
      </c>
      <c r="U28" s="127" t="str">
        <v>DECIMAL</v>
      </c>
      <c r="V28" s="127" t="str">
        <v>STRING</v>
      </c>
      <c r="W28" s="127" t="str">
        <v>STRING</v>
      </c>
      <c r="X28" s="127" t="str">
        <v>DECIMAL</v>
      </c>
      <c r="Y28" s="127" t="str">
        <v>DECIMAL</v>
      </c>
      <c r="Z28" s="127" t="str">
        <v>DECIMAL</v>
      </c>
      <c r="AA28" s="127" t="str">
        <v>STRING</v>
      </c>
      <c r="AB28" s="127" t="str">
        <v>STRING</v>
      </c>
      <c r="AC28" s="127" t="str">
        <v>DECIMAL</v>
      </c>
      <c r="AD28" s="133" t="str">
        <v>DECIMAL</v>
      </c>
      <c r="AE28" s="133" t="str">
        <v>DECIMAL</v>
      </c>
      <c r="AF28" s="133" t="str">
        <v>STRING</v>
      </c>
      <c r="AG28" s="133" t="str">
        <v>STRING</v>
      </c>
      <c r="AH28" s="133" t="str">
        <v>STRING</v>
      </c>
      <c r="AI28" s="127" t="str">
        <v>STRING</v>
      </c>
      <c r="AJ28" s="132" t="str">
        <v>TIMESTAMP</v>
      </c>
    </row>
    <row r="29" spans="2:36" x14ac:dyDescent="0.25">
      <c r="B29" s="131" t="s">
        <v>3178</v>
      </c>
      <c r="C29" s="134">
        <v>7</v>
      </c>
      <c r="D29" s="128" t="s">
        <v>3176</v>
      </c>
      <c r="E29" s="127" t="s">
        <v>3177</v>
      </c>
      <c r="F29" s="129" t="s">
        <v>366</v>
      </c>
      <c r="G29" s="129" t="s">
        <v>366</v>
      </c>
      <c r="H29" s="129" t="s">
        <v>366</v>
      </c>
      <c r="I29" s="175">
        <v>4</v>
      </c>
      <c r="J29" s="175">
        <v>30</v>
      </c>
      <c r="K29" s="175">
        <v>4</v>
      </c>
      <c r="L29" s="175">
        <v>4</v>
      </c>
      <c r="M29" s="175">
        <v>4</v>
      </c>
      <c r="N29" s="175">
        <v>4</v>
      </c>
      <c r="O29" s="175">
        <v>30</v>
      </c>
      <c r="P29" s="175">
        <v>10</v>
      </c>
      <c r="Q29" s="175">
        <v>10</v>
      </c>
      <c r="R29" s="175">
        <v>4</v>
      </c>
      <c r="S29" s="175">
        <v>23</v>
      </c>
      <c r="T29" s="175">
        <v>23</v>
      </c>
      <c r="U29" s="175">
        <v>23</v>
      </c>
      <c r="V29" s="175">
        <v>4</v>
      </c>
      <c r="W29" s="175">
        <v>3</v>
      </c>
      <c r="X29" s="175">
        <v>23</v>
      </c>
      <c r="Y29" s="175">
        <v>23</v>
      </c>
      <c r="Z29" s="175">
        <v>23</v>
      </c>
      <c r="AA29" s="175">
        <v>4</v>
      </c>
      <c r="AB29" s="175">
        <v>3</v>
      </c>
      <c r="AC29" s="175">
        <v>23</v>
      </c>
      <c r="AD29" s="176">
        <v>23</v>
      </c>
      <c r="AE29" s="176">
        <v>23</v>
      </c>
      <c r="AF29" s="176">
        <v>4</v>
      </c>
      <c r="AG29" s="176">
        <v>4</v>
      </c>
      <c r="AH29" s="176">
        <v>2</v>
      </c>
      <c r="AI29" s="175">
        <v>10</v>
      </c>
      <c r="AJ29" s="132">
        <v>23</v>
      </c>
    </row>
    <row r="31" spans="2:36" x14ac:dyDescent="0.25">
      <c r="B31" s="164" t="s">
        <v>3179</v>
      </c>
    </row>
    <row r="32" spans="2:36" x14ac:dyDescent="0.25">
      <c r="B32" s="158" t="s">
        <v>3180</v>
      </c>
      <c r="C32" s="158" t="s">
        <v>3181</v>
      </c>
      <c r="D32" s="159" t="s">
        <v>3182</v>
      </c>
      <c r="E32" s="158" t="s">
        <v>3183</v>
      </c>
      <c r="F32" s="158" t="s">
        <v>3184</v>
      </c>
    </row>
    <row r="33" spans="2:16" ht="30" x14ac:dyDescent="0.25">
      <c r="B33" s="142" t="s">
        <v>3288</v>
      </c>
      <c r="C33" s="145" t="s">
        <v>1906</v>
      </c>
      <c r="D33" s="54" t="s">
        <v>3289</v>
      </c>
      <c r="E33" s="177" t="s">
        <v>3290</v>
      </c>
      <c r="F33" s="160" t="s">
        <v>3191</v>
      </c>
    </row>
    <row r="34" spans="2:16" ht="30" x14ac:dyDescent="0.25">
      <c r="B34" s="142" t="s">
        <v>3288</v>
      </c>
      <c r="C34" s="145" t="s">
        <v>1909</v>
      </c>
      <c r="D34" s="54" t="s">
        <v>3289</v>
      </c>
      <c r="E34" s="177" t="s">
        <v>3290</v>
      </c>
      <c r="F34" s="160" t="s">
        <v>3191</v>
      </c>
    </row>
    <row r="35" spans="2:16" ht="30" x14ac:dyDescent="0.25">
      <c r="B35" s="142" t="s">
        <v>3288</v>
      </c>
      <c r="C35" s="145" t="s">
        <v>1911</v>
      </c>
      <c r="D35" s="54" t="s">
        <v>3289</v>
      </c>
      <c r="E35" s="177" t="s">
        <v>3290</v>
      </c>
      <c r="F35" s="160" t="s">
        <v>3191</v>
      </c>
    </row>
    <row r="36" spans="2:16" ht="30" x14ac:dyDescent="0.25">
      <c r="B36" s="142" t="s">
        <v>3288</v>
      </c>
      <c r="C36" s="145" t="s">
        <v>1916</v>
      </c>
      <c r="D36" s="54" t="s">
        <v>3289</v>
      </c>
      <c r="E36" s="177" t="s">
        <v>3290</v>
      </c>
      <c r="F36" s="160" t="s">
        <v>3191</v>
      </c>
    </row>
    <row r="37" spans="2:16" ht="30" x14ac:dyDescent="0.25">
      <c r="B37" s="142" t="s">
        <v>3288</v>
      </c>
      <c r="C37" s="145" t="s">
        <v>1919</v>
      </c>
      <c r="D37" s="54" t="s">
        <v>3289</v>
      </c>
      <c r="E37" s="177" t="s">
        <v>3290</v>
      </c>
      <c r="F37" s="160" t="s">
        <v>3191</v>
      </c>
    </row>
    <row r="38" spans="2:16" ht="30" x14ac:dyDescent="0.25">
      <c r="B38" s="142" t="s">
        <v>3288</v>
      </c>
      <c r="C38" s="145" t="s">
        <v>1922</v>
      </c>
      <c r="D38" s="54" t="s">
        <v>3289</v>
      </c>
      <c r="E38" s="177" t="s">
        <v>3290</v>
      </c>
      <c r="F38" s="160" t="s">
        <v>3191</v>
      </c>
    </row>
    <row r="39" spans="2:16" ht="30" x14ac:dyDescent="0.25">
      <c r="B39" s="142" t="s">
        <v>3288</v>
      </c>
      <c r="C39" s="145" t="s">
        <v>1924</v>
      </c>
      <c r="D39" s="54" t="s">
        <v>3289</v>
      </c>
      <c r="E39" s="177" t="s">
        <v>3290</v>
      </c>
      <c r="F39" s="160" t="s">
        <v>3191</v>
      </c>
    </row>
    <row r="40" spans="2:16" ht="30" x14ac:dyDescent="0.25">
      <c r="B40" s="142" t="s">
        <v>3288</v>
      </c>
      <c r="C40" s="145" t="s">
        <v>1929</v>
      </c>
      <c r="D40" s="54" t="s">
        <v>3289</v>
      </c>
      <c r="E40" s="177" t="s">
        <v>3290</v>
      </c>
      <c r="F40" s="160" t="s">
        <v>3191</v>
      </c>
    </row>
    <row r="41" spans="2:16" ht="30" x14ac:dyDescent="0.25">
      <c r="B41" s="142" t="s">
        <v>3288</v>
      </c>
      <c r="C41" s="139" t="s">
        <v>324</v>
      </c>
      <c r="D41" s="54" t="s">
        <v>3291</v>
      </c>
      <c r="E41" s="177" t="s">
        <v>3290</v>
      </c>
      <c r="F41" s="160" t="s">
        <v>3191</v>
      </c>
      <c r="I41" s="182"/>
      <c r="J41" s="182"/>
      <c r="K41" s="182"/>
      <c r="L41" s="182"/>
      <c r="M41" s="182"/>
      <c r="N41" s="182"/>
      <c r="O41" s="182"/>
      <c r="P41" s="182"/>
    </row>
    <row r="42" spans="2:16" ht="30" x14ac:dyDescent="0.25">
      <c r="B42" s="197" t="s">
        <v>3245</v>
      </c>
      <c r="C42" s="198" t="s">
        <v>213</v>
      </c>
      <c r="D42" s="199" t="s">
        <v>3292</v>
      </c>
      <c r="E42" s="200" t="s">
        <v>3293</v>
      </c>
      <c r="F42" s="201" t="s">
        <v>3194</v>
      </c>
      <c r="L42" s="182"/>
    </row>
    <row r="43" spans="2:16" ht="30" x14ac:dyDescent="0.25">
      <c r="B43" s="135" t="s">
        <v>3195</v>
      </c>
      <c r="C43" s="139" t="s">
        <v>3196</v>
      </c>
      <c r="D43" s="54" t="s">
        <v>3294</v>
      </c>
      <c r="E43" s="179" t="s">
        <v>3295</v>
      </c>
      <c r="F43" s="160" t="s">
        <v>3191</v>
      </c>
      <c r="L43" s="182"/>
    </row>
    <row r="44" spans="2:16" ht="30" x14ac:dyDescent="0.25">
      <c r="B44" s="135" t="s">
        <v>3253</v>
      </c>
      <c r="C44" s="145" t="s">
        <v>3196</v>
      </c>
      <c r="D44" s="54" t="s">
        <v>3296</v>
      </c>
      <c r="E44" s="179" t="s">
        <v>3297</v>
      </c>
      <c r="F44" s="160" t="s">
        <v>3194</v>
      </c>
      <c r="I44" s="182"/>
      <c r="J44" s="182"/>
      <c r="K44" s="182"/>
      <c r="L44" s="182"/>
    </row>
    <row r="45" spans="2:16" ht="30" x14ac:dyDescent="0.25">
      <c r="B45" s="135" t="s">
        <v>3298</v>
      </c>
      <c r="C45" s="141" t="s">
        <v>1911</v>
      </c>
      <c r="D45" s="54" t="s">
        <v>3299</v>
      </c>
      <c r="E45" s="177" t="s">
        <v>3290</v>
      </c>
      <c r="F45" s="160" t="s">
        <v>3191</v>
      </c>
      <c r="I45" s="182"/>
      <c r="J45" s="182"/>
      <c r="K45" s="182"/>
      <c r="L45" s="182"/>
    </row>
    <row r="46" spans="2:16" ht="30" x14ac:dyDescent="0.25">
      <c r="B46" s="135" t="s">
        <v>3298</v>
      </c>
      <c r="C46" s="145" t="s">
        <v>1914</v>
      </c>
      <c r="D46" s="54" t="s">
        <v>3299</v>
      </c>
      <c r="E46" s="177" t="s">
        <v>3290</v>
      </c>
      <c r="F46" s="160" t="s">
        <v>3191</v>
      </c>
      <c r="I46" s="182"/>
      <c r="J46" s="182"/>
      <c r="K46" s="182"/>
      <c r="L46" s="182"/>
    </row>
    <row r="47" spans="2:16" ht="30" x14ac:dyDescent="0.25">
      <c r="B47" s="135" t="s">
        <v>3298</v>
      </c>
      <c r="C47" s="141" t="s">
        <v>1916</v>
      </c>
      <c r="D47" s="54" t="s">
        <v>3299</v>
      </c>
      <c r="E47" s="177" t="s">
        <v>3290</v>
      </c>
      <c r="F47" s="160" t="s">
        <v>3191</v>
      </c>
      <c r="I47" s="182"/>
      <c r="J47" s="182"/>
      <c r="K47" s="182"/>
      <c r="L47" s="182"/>
    </row>
    <row r="48" spans="2:16" ht="30" x14ac:dyDescent="0.25">
      <c r="B48" s="135" t="s">
        <v>3298</v>
      </c>
      <c r="C48" s="141" t="s">
        <v>1924</v>
      </c>
      <c r="D48" s="54" t="s">
        <v>3299</v>
      </c>
      <c r="E48" s="177" t="s">
        <v>3290</v>
      </c>
      <c r="F48" s="160" t="s">
        <v>3191</v>
      </c>
      <c r="I48" s="182"/>
      <c r="J48" s="182"/>
      <c r="K48" s="182"/>
      <c r="L48" s="182"/>
    </row>
    <row r="49" spans="2:6" ht="30" x14ac:dyDescent="0.25">
      <c r="B49" s="135" t="s">
        <v>3298</v>
      </c>
      <c r="C49" s="145" t="s">
        <v>1927</v>
      </c>
      <c r="D49" s="54" t="s">
        <v>3299</v>
      </c>
      <c r="E49" s="177" t="s">
        <v>3290</v>
      </c>
      <c r="F49" s="160" t="s">
        <v>3191</v>
      </c>
    </row>
    <row r="50" spans="2:6" ht="30" x14ac:dyDescent="0.25">
      <c r="B50" s="135" t="s">
        <v>3298</v>
      </c>
      <c r="C50" s="196" t="s">
        <v>1929</v>
      </c>
      <c r="D50" s="54" t="s">
        <v>3299</v>
      </c>
      <c r="E50" s="177" t="s">
        <v>3290</v>
      </c>
      <c r="F50" s="160" t="s">
        <v>3191</v>
      </c>
    </row>
    <row r="51" spans="2:6" x14ac:dyDescent="0.25">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3300</v>
      </c>
      <c r="V2" s="98" t="s">
        <v>3301</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x14ac:dyDescent="0.25">
      <c r="B3" s="51" t="s">
        <v>3084</v>
      </c>
      <c r="C3" s="51">
        <v>1</v>
      </c>
      <c r="D3" s="119" t="s">
        <v>3302</v>
      </c>
      <c r="E3" s="119">
        <v>45448</v>
      </c>
      <c r="F3" s="51">
        <v>2</v>
      </c>
      <c r="G3" s="122">
        <v>1</v>
      </c>
      <c r="H3" s="206" t="s">
        <v>3303</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row>
    <row r="4" spans="2:40" x14ac:dyDescent="0.25">
      <c r="B4" s="51" t="s">
        <v>3086</v>
      </c>
      <c r="C4" s="51">
        <v>2</v>
      </c>
      <c r="D4" s="119" t="s">
        <v>3304</v>
      </c>
      <c r="E4" s="119">
        <v>45448</v>
      </c>
      <c r="F4" s="51">
        <v>2</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row>
    <row r="5" spans="2:40" x14ac:dyDescent="0.25">
      <c r="B5" s="51" t="s">
        <v>3088</v>
      </c>
      <c r="C5" s="51">
        <v>3</v>
      </c>
      <c r="D5" s="119" t="s">
        <v>3305</v>
      </c>
      <c r="E5" s="119">
        <v>45448</v>
      </c>
      <c r="F5" s="51">
        <v>2</v>
      </c>
      <c r="G5" s="122">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v>0</v>
      </c>
      <c r="AN5" s="51" t="s">
        <v>3138</v>
      </c>
    </row>
    <row r="6" spans="2:40" x14ac:dyDescent="0.25">
      <c r="B6" s="121" t="s">
        <v>3090</v>
      </c>
      <c r="C6" s="51">
        <v>4</v>
      </c>
      <c r="D6" s="51" t="s">
        <v>3141</v>
      </c>
      <c r="E6" s="119" t="s">
        <v>3138</v>
      </c>
      <c r="F6" s="51">
        <v>2</v>
      </c>
      <c r="G6" s="119" t="s">
        <v>3138</v>
      </c>
      <c r="H6" s="51"/>
      <c r="I6" s="51" t="s">
        <v>3138</v>
      </c>
      <c r="J6" s="51" t="s">
        <v>3138</v>
      </c>
      <c r="K6" s="51" t="s">
        <v>3138</v>
      </c>
      <c r="L6" s="51" t="s">
        <v>3138</v>
      </c>
      <c r="M6" s="51" t="s">
        <v>3138</v>
      </c>
      <c r="N6" s="51" t="s">
        <v>3138</v>
      </c>
      <c r="O6" s="51" t="s">
        <v>3138</v>
      </c>
      <c r="P6" s="51" t="s">
        <v>3138</v>
      </c>
      <c r="Q6" s="51" t="s">
        <v>3138</v>
      </c>
      <c r="R6" s="51" t="s">
        <v>3138</v>
      </c>
      <c r="S6" s="122" t="s">
        <v>3138</v>
      </c>
      <c r="T6" s="122"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row>
    <row r="7" spans="2:40" x14ac:dyDescent="0.25">
      <c r="B7" s="121" t="s">
        <v>3092</v>
      </c>
      <c r="C7" s="51">
        <v>5</v>
      </c>
      <c r="D7" s="51" t="s">
        <v>3141</v>
      </c>
      <c r="E7" s="119" t="s">
        <v>3138</v>
      </c>
      <c r="F7" s="51">
        <v>2</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row>
    <row r="8" spans="2:40" x14ac:dyDescent="0.25">
      <c r="B8" s="121" t="s">
        <v>3093</v>
      </c>
      <c r="C8" s="51">
        <v>6</v>
      </c>
      <c r="D8" s="119" t="s">
        <v>3306</v>
      </c>
      <c r="E8" s="119">
        <v>45448</v>
      </c>
      <c r="F8" s="51">
        <v>2</v>
      </c>
      <c r="G8" s="51" cm="1">
        <f t="array" ref="G8">SUMPRODUCT(--(I8:AN8&gt;0))/COUNTA(I8:AN8)</f>
        <v>1</v>
      </c>
      <c r="H8" s="51" t="s">
        <v>3223</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x14ac:dyDescent="0.25">
      <c r="B9" s="51" t="s">
        <v>3096</v>
      </c>
      <c r="C9" s="51">
        <v>7</v>
      </c>
      <c r="D9" s="119" t="s">
        <v>3307</v>
      </c>
      <c r="E9" s="119">
        <v>45448</v>
      </c>
      <c r="F9" s="51">
        <v>2</v>
      </c>
      <c r="G9" s="51" cm="1">
        <f t="array" ref="G9">SUMPRODUCT(--(I9:AN9 &lt;= I28:AN28))/COUNTA(I28:AN28)</f>
        <v>0.6875</v>
      </c>
      <c r="H9" s="51" t="s">
        <v>3223</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x14ac:dyDescent="0.25">
      <c r="B10" s="51" t="s">
        <v>3099</v>
      </c>
      <c r="C10" s="51">
        <v>8</v>
      </c>
      <c r="D10" s="119" t="s">
        <v>3308</v>
      </c>
      <c r="E10" s="119">
        <v>45448</v>
      </c>
      <c r="F10" s="51">
        <v>2</v>
      </c>
      <c r="G10" s="119" t="s">
        <v>3138</v>
      </c>
      <c r="H10" s="51" t="s">
        <v>3223</v>
      </c>
      <c r="I10" s="51">
        <v>31</v>
      </c>
      <c r="J10" s="51">
        <v>8.9040009999999996E+21</v>
      </c>
      <c r="K10" s="51" t="s">
        <v>3309</v>
      </c>
      <c r="L10" s="51">
        <v>20</v>
      </c>
      <c r="M10" s="119">
        <v>0</v>
      </c>
      <c r="N10" s="119">
        <v>25601</v>
      </c>
      <c r="O10" s="119">
        <v>2958465</v>
      </c>
      <c r="P10" s="51">
        <v>0</v>
      </c>
      <c r="Q10" s="122">
        <v>0</v>
      </c>
      <c r="R10" s="217">
        <v>-1208895086580000</v>
      </c>
      <c r="S10" s="217" t="s">
        <v>3310</v>
      </c>
      <c r="T10" s="122">
        <v>-1.0000000001641E+17</v>
      </c>
      <c r="U10" s="122" t="s">
        <v>3147</v>
      </c>
      <c r="V10" s="122" t="s">
        <v>3147</v>
      </c>
      <c r="W10" s="122" t="s">
        <v>3147</v>
      </c>
      <c r="X10" s="122" t="s">
        <v>3147</v>
      </c>
      <c r="Y10" s="122" t="s">
        <v>3147</v>
      </c>
      <c r="Z10" s="122" t="s">
        <v>1530</v>
      </c>
      <c r="AA10" s="51" t="s">
        <v>1535</v>
      </c>
      <c r="AB10" s="51" t="s">
        <v>1539</v>
      </c>
      <c r="AC10" s="119" t="s">
        <v>1542</v>
      </c>
      <c r="AD10" s="51" t="s">
        <v>1545</v>
      </c>
      <c r="AE10" s="51" t="s">
        <v>1548</v>
      </c>
      <c r="AF10" s="51" t="s">
        <v>1550</v>
      </c>
      <c r="AG10" s="51" t="s">
        <v>1554</v>
      </c>
      <c r="AH10" s="119" t="s">
        <v>1557</v>
      </c>
      <c r="AI10" s="51" t="s">
        <v>1559</v>
      </c>
      <c r="AJ10" s="51" t="s">
        <v>3148</v>
      </c>
      <c r="AK10" s="51" t="s">
        <v>3149</v>
      </c>
      <c r="AL10" s="119" t="s">
        <v>3266</v>
      </c>
      <c r="AM10" s="119">
        <v>45448</v>
      </c>
      <c r="AN10" s="119" t="s">
        <v>3311</v>
      </c>
    </row>
    <row r="11" spans="2:40" x14ac:dyDescent="0.25">
      <c r="B11" s="51" t="s">
        <v>3101</v>
      </c>
      <c r="C11" s="51">
        <v>9</v>
      </c>
      <c r="D11" s="119" t="s">
        <v>3312</v>
      </c>
      <c r="E11" s="119">
        <v>45448</v>
      </c>
      <c r="F11" s="51">
        <v>2</v>
      </c>
      <c r="G11" s="119" t="s">
        <v>3138</v>
      </c>
      <c r="H11" s="51" t="s">
        <v>3223</v>
      </c>
      <c r="I11" s="51">
        <v>31</v>
      </c>
      <c r="J11" s="51">
        <v>8.9040009999999996E+21</v>
      </c>
      <c r="K11" s="51" t="s">
        <v>3313</v>
      </c>
      <c r="L11" s="51">
        <v>20</v>
      </c>
      <c r="M11" s="119">
        <v>0</v>
      </c>
      <c r="N11" s="119">
        <v>25601</v>
      </c>
      <c r="O11" s="119">
        <v>2958465</v>
      </c>
      <c r="P11" s="51">
        <v>36</v>
      </c>
      <c r="Q11" s="51">
        <v>0</v>
      </c>
      <c r="R11" s="119" t="s">
        <v>3314</v>
      </c>
      <c r="S11" s="119" t="s">
        <v>3315</v>
      </c>
      <c r="T11" s="119" t="s">
        <v>3316</v>
      </c>
      <c r="U11" s="51" t="s">
        <v>3223</v>
      </c>
      <c r="V11" s="51" t="s">
        <v>3223</v>
      </c>
      <c r="W11" s="51" t="s">
        <v>3223</v>
      </c>
      <c r="X11" s="122" t="s">
        <v>3223</v>
      </c>
      <c r="Y11" s="122" t="s">
        <v>3223</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3317</v>
      </c>
      <c r="AL11" s="119" t="s">
        <v>3266</v>
      </c>
      <c r="AM11" s="119">
        <v>45448</v>
      </c>
      <c r="AN11" s="119" t="s">
        <v>3318</v>
      </c>
    </row>
    <row r="12" spans="2:40" x14ac:dyDescent="0.25">
      <c r="B12" s="121" t="s">
        <v>3103</v>
      </c>
      <c r="C12" s="51">
        <v>10</v>
      </c>
      <c r="D12" s="119" t="s">
        <v>3319</v>
      </c>
      <c r="E12" s="119">
        <v>45448</v>
      </c>
      <c r="F12" s="51">
        <v>2</v>
      </c>
      <c r="G12" s="119" t="s">
        <v>3138</v>
      </c>
      <c r="H12" s="51" t="s">
        <v>3223</v>
      </c>
      <c r="I12" s="51">
        <v>31</v>
      </c>
      <c r="J12" s="51">
        <v>7.0060000328101998E+29</v>
      </c>
      <c r="K12" s="51" t="s">
        <v>3320</v>
      </c>
      <c r="L12" s="51">
        <v>931</v>
      </c>
      <c r="M12" s="119" t="s">
        <v>3321</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3322</v>
      </c>
      <c r="AK12" s="51" t="s">
        <v>3323</v>
      </c>
      <c r="AL12" s="119" t="s">
        <v>3158</v>
      </c>
      <c r="AM12" s="119">
        <v>45448</v>
      </c>
      <c r="AN12" s="51" t="s">
        <v>3311</v>
      </c>
    </row>
    <row r="13" spans="2:40" x14ac:dyDescent="0.25">
      <c r="B13" s="51" t="s">
        <v>3105</v>
      </c>
      <c r="C13" s="51">
        <v>11</v>
      </c>
      <c r="D13" s="119" t="s">
        <v>3324</v>
      </c>
      <c r="E13" s="119">
        <v>45448</v>
      </c>
      <c r="F13" s="51">
        <v>2</v>
      </c>
      <c r="G13" s="119" t="s">
        <v>3138</v>
      </c>
      <c r="H13" s="51" t="s">
        <v>3223</v>
      </c>
      <c r="I13" s="51">
        <v>31</v>
      </c>
      <c r="J13" s="51">
        <v>7.0060000328101998E+29</v>
      </c>
      <c r="K13" s="51" t="s">
        <v>3325</v>
      </c>
      <c r="L13" s="51">
        <v>931</v>
      </c>
      <c r="M13" s="119" t="s">
        <v>3321</v>
      </c>
      <c r="N13" s="119">
        <v>45448</v>
      </c>
      <c r="O13" s="119">
        <v>2958465</v>
      </c>
      <c r="P13" s="119">
        <v>985</v>
      </c>
      <c r="Q13" s="51">
        <v>1</v>
      </c>
      <c r="R13" s="51" t="s">
        <v>3326</v>
      </c>
      <c r="S13" s="119" t="s">
        <v>3327</v>
      </c>
      <c r="T13" s="119" t="s">
        <v>3328</v>
      </c>
      <c r="U13" s="51" t="s">
        <v>3329</v>
      </c>
      <c r="V13" s="51" t="s">
        <v>3329</v>
      </c>
      <c r="W13" s="51" t="s">
        <v>3330</v>
      </c>
      <c r="X13" s="51" t="s">
        <v>3331</v>
      </c>
      <c r="Y13" s="51" t="s">
        <v>3332</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3333</v>
      </c>
      <c r="AL13" s="119" t="s">
        <v>3266</v>
      </c>
      <c r="AM13" s="119">
        <v>45448</v>
      </c>
      <c r="AN13" s="119" t="s">
        <v>3334</v>
      </c>
    </row>
    <row r="14" spans="2:40" x14ac:dyDescent="0.25">
      <c r="B14" s="51" t="s">
        <v>3107</v>
      </c>
      <c r="C14" s="51">
        <v>12</v>
      </c>
      <c r="D14" s="119" t="s">
        <v>3335</v>
      </c>
      <c r="E14" s="119">
        <v>45448</v>
      </c>
      <c r="F14" s="51">
        <v>2</v>
      </c>
      <c r="G14" s="122" t="s">
        <v>3336</v>
      </c>
      <c r="H14" s="51" t="s">
        <v>3223</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x14ac:dyDescent="0.25">
      <c r="B15" s="51" t="s">
        <v>3109</v>
      </c>
      <c r="C15" s="51">
        <v>13</v>
      </c>
      <c r="D15" s="119" t="s">
        <v>3337</v>
      </c>
      <c r="E15" s="119">
        <v>45448</v>
      </c>
      <c r="F15" s="51">
        <v>2</v>
      </c>
      <c r="G15" s="122">
        <v>1</v>
      </c>
      <c r="H15" s="122" t="s">
        <v>3223</v>
      </c>
      <c r="I15" s="51" t="s">
        <v>3138</v>
      </c>
      <c r="J15" s="51" t="s">
        <v>3138</v>
      </c>
      <c r="K15" s="51" t="s">
        <v>3138</v>
      </c>
      <c r="L15" s="51" t="s">
        <v>3138</v>
      </c>
      <c r="M15" s="51" t="s">
        <v>3138</v>
      </c>
      <c r="N15" s="121">
        <v>0</v>
      </c>
      <c r="O15" s="121">
        <v>0</v>
      </c>
      <c r="P15" s="121" t="s">
        <v>3138</v>
      </c>
      <c r="Q15" s="121" t="s">
        <v>3138</v>
      </c>
      <c r="R15" s="121" t="s">
        <v>3138</v>
      </c>
      <c r="S15" s="51" t="s">
        <v>3138</v>
      </c>
      <c r="T15" s="12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row>
    <row r="16" spans="2:40" x14ac:dyDescent="0.25">
      <c r="B16" s="51" t="s">
        <v>3111</v>
      </c>
      <c r="C16" s="51">
        <v>14</v>
      </c>
      <c r="D16" s="119" t="s">
        <v>3338</v>
      </c>
      <c r="E16" s="119">
        <v>45448</v>
      </c>
      <c r="F16" s="51">
        <v>2</v>
      </c>
      <c r="G16" s="122">
        <v>1</v>
      </c>
      <c r="H16" s="122" t="s">
        <v>3223</v>
      </c>
      <c r="I16" s="51">
        <v>0</v>
      </c>
      <c r="J16" s="51">
        <v>0</v>
      </c>
      <c r="K16" s="51">
        <v>0</v>
      </c>
      <c r="L16" s="51">
        <v>0</v>
      </c>
      <c r="M16" s="51">
        <v>0</v>
      </c>
      <c r="N16" s="121" t="s">
        <v>3138</v>
      </c>
      <c r="O16" s="121" t="s">
        <v>3138</v>
      </c>
      <c r="P16" s="51">
        <v>0</v>
      </c>
      <c r="Q16" s="51">
        <v>0</v>
      </c>
      <c r="R16" s="121" t="s">
        <v>3138</v>
      </c>
      <c r="S16" s="121" t="s">
        <v>3138</v>
      </c>
      <c r="T16" s="51" t="s">
        <v>3138</v>
      </c>
      <c r="U16" s="51" t="s">
        <v>3138</v>
      </c>
      <c r="V16" s="51" t="s">
        <v>3138</v>
      </c>
      <c r="W16" s="51" t="s">
        <v>3138</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v>0</v>
      </c>
      <c r="AK16" s="51">
        <v>0</v>
      </c>
      <c r="AL16" s="51">
        <v>0</v>
      </c>
      <c r="AM16" s="51" t="s">
        <v>3138</v>
      </c>
      <c r="AN16" s="51" t="s">
        <v>3138</v>
      </c>
    </row>
    <row r="17" spans="2:41" x14ac:dyDescent="0.25">
      <c r="B17" s="51" t="s">
        <v>3113</v>
      </c>
      <c r="C17" s="51">
        <v>15</v>
      </c>
      <c r="D17" s="119" t="s">
        <v>3339</v>
      </c>
      <c r="E17" s="119">
        <v>45448</v>
      </c>
      <c r="F17" s="51">
        <v>2</v>
      </c>
      <c r="G17" s="122">
        <v>1</v>
      </c>
      <c r="H17" s="306" t="s">
        <v>3340</v>
      </c>
      <c r="I17" s="51" t="s">
        <v>3138</v>
      </c>
      <c r="J17" s="51" t="s">
        <v>3138</v>
      </c>
      <c r="K17" s="51" t="s">
        <v>3138</v>
      </c>
      <c r="L17" s="51" t="s">
        <v>3138</v>
      </c>
      <c r="M17" s="51" t="s">
        <v>3138</v>
      </c>
      <c r="N17" s="51" t="s">
        <v>3138</v>
      </c>
      <c r="O17" s="51" t="s">
        <v>3138</v>
      </c>
      <c r="P17" s="51" t="s">
        <v>3138</v>
      </c>
      <c r="Q17" s="12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row>
    <row r="18" spans="2:41" x14ac:dyDescent="0.25">
      <c r="B18" s="51" t="s">
        <v>3115</v>
      </c>
      <c r="C18" s="51">
        <v>16</v>
      </c>
      <c r="D18" s="119" t="s">
        <v>3339</v>
      </c>
      <c r="E18" s="119">
        <v>45448</v>
      </c>
      <c r="F18" s="51">
        <v>2</v>
      </c>
      <c r="G18" s="122">
        <v>1</v>
      </c>
      <c r="H18" s="217"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row>
    <row r="19" spans="2:41" x14ac:dyDescent="0.25">
      <c r="B19" s="51" t="s">
        <v>3117</v>
      </c>
      <c r="C19" s="51">
        <v>17</v>
      </c>
      <c r="D19" s="119" t="s">
        <v>3341</v>
      </c>
      <c r="E19" s="119">
        <v>45448</v>
      </c>
      <c r="F19" s="51">
        <v>2</v>
      </c>
      <c r="G19" s="51" t="s">
        <v>3342</v>
      </c>
      <c r="H19" s="215" t="s">
        <v>3343</v>
      </c>
      <c r="I19" s="51" t="s">
        <v>3138</v>
      </c>
      <c r="J19" s="51" t="s">
        <v>3138</v>
      </c>
      <c r="K19" s="51" t="s">
        <v>3138</v>
      </c>
      <c r="L19" s="51" t="s">
        <v>3138</v>
      </c>
      <c r="M19" s="51" t="s">
        <v>3138</v>
      </c>
      <c r="N19" s="51" t="s">
        <v>3138</v>
      </c>
      <c r="O19" s="51" t="s">
        <v>3138</v>
      </c>
      <c r="P19" s="121" t="s">
        <v>3138</v>
      </c>
      <c r="Q19" s="12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row>
    <row r="20" spans="2:41" x14ac:dyDescent="0.25">
      <c r="B20" s="51" t="s">
        <v>3119</v>
      </c>
      <c r="C20" s="51">
        <v>18</v>
      </c>
      <c r="D20" s="119" t="s">
        <v>3341</v>
      </c>
      <c r="E20" s="119">
        <v>45448</v>
      </c>
      <c r="F20" s="51">
        <v>2</v>
      </c>
      <c r="G20" s="51" t="s">
        <v>3344</v>
      </c>
      <c r="H20" s="215" t="s">
        <v>3345</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row>
    <row r="21" spans="2:41" x14ac:dyDescent="0.25">
      <c r="B21" s="51" t="s">
        <v>3121</v>
      </c>
      <c r="C21" s="51">
        <v>19</v>
      </c>
      <c r="D21" s="119" t="s">
        <v>3346</v>
      </c>
      <c r="E21" s="119">
        <v>45448</v>
      </c>
      <c r="F21" s="51">
        <v>2</v>
      </c>
      <c r="G21" s="220" cm="1">
        <f t="array" ref="G21">SUMPRODUCT(--(ISNUMBER((SEARCH(I27:AN27,I21:AN21)))))/COUNTA(I21:AN21)</f>
        <v>0.8125</v>
      </c>
      <c r="H21" s="51" t="s">
        <v>3223</v>
      </c>
      <c r="I21" s="51" t="s">
        <v>3172</v>
      </c>
      <c r="J21" s="51" t="s">
        <v>3172</v>
      </c>
      <c r="K21" s="51" t="s">
        <v>3172</v>
      </c>
      <c r="L21" s="51" t="s">
        <v>3172</v>
      </c>
      <c r="M21" s="51" t="s">
        <v>3172</v>
      </c>
      <c r="N21" s="51" t="s">
        <v>3172</v>
      </c>
      <c r="O21" s="51" t="s">
        <v>3172</v>
      </c>
      <c r="P21" s="51" t="s">
        <v>3172</v>
      </c>
      <c r="Q21" s="51" t="s">
        <v>3172</v>
      </c>
      <c r="R21" s="51" t="s">
        <v>3173</v>
      </c>
      <c r="S21" s="51" t="s">
        <v>3173</v>
      </c>
      <c r="T21" s="51" t="s">
        <v>3173</v>
      </c>
      <c r="U21" s="51" t="s">
        <v>3173</v>
      </c>
      <c r="V21" s="51" t="s">
        <v>3173</v>
      </c>
      <c r="W21" s="51" t="s">
        <v>3173</v>
      </c>
      <c r="X21" s="51" t="s">
        <v>3173</v>
      </c>
      <c r="Y21" s="51" t="s">
        <v>3173</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3174</v>
      </c>
    </row>
    <row r="22" spans="2:41" x14ac:dyDescent="0.25">
      <c r="B22" s="51" t="s">
        <v>3124</v>
      </c>
      <c r="C22" s="51">
        <v>20</v>
      </c>
      <c r="D22" s="119" t="s">
        <v>3346</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x14ac:dyDescent="0.25">
      <c r="B23" s="51" t="s">
        <v>3127</v>
      </c>
      <c r="C23" s="51">
        <v>21</v>
      </c>
      <c r="D23" s="119" t="s">
        <v>3346</v>
      </c>
      <c r="E23" s="119">
        <v>45448</v>
      </c>
      <c r="F23" s="51">
        <v>2</v>
      </c>
      <c r="G23" s="51" cm="1">
        <f t="array" ref="G23">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25">
      <c r="AO24" s="231"/>
    </row>
    <row r="25" spans="2:41" x14ac:dyDescent="0.25">
      <c r="B25" s="151" t="s">
        <v>3244</v>
      </c>
      <c r="AO25" s="232"/>
    </row>
    <row r="26" spans="2:41" x14ac:dyDescent="0.25">
      <c r="B26" s="157" t="s">
        <v>3130</v>
      </c>
      <c r="C26" s="153" t="s">
        <v>3131</v>
      </c>
      <c r="D26" s="153" t="s">
        <v>3132</v>
      </c>
      <c r="E26" s="153" t="s">
        <v>3133</v>
      </c>
      <c r="F26" s="153" t="s">
        <v>3134</v>
      </c>
      <c r="G26" s="153" t="s">
        <v>3135</v>
      </c>
      <c r="H26" s="153" t="s">
        <v>3136</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3300</v>
      </c>
      <c r="V26" s="230" t="s">
        <v>3301</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x14ac:dyDescent="0.25">
      <c r="B27" s="131" t="s">
        <v>3175</v>
      </c>
      <c r="C27" s="134">
        <v>21</v>
      </c>
      <c r="D27" s="128" t="s">
        <v>3176</v>
      </c>
      <c r="E27" s="127" t="s">
        <v>3177</v>
      </c>
      <c r="F27" s="127" t="s">
        <v>366</v>
      </c>
      <c r="G27" s="127" t="s">
        <v>366</v>
      </c>
      <c r="H27" s="127" t="s">
        <v>366</v>
      </c>
      <c r="I27" s="127" t="str" cm="1">
        <f t="array" ref="I27:AN28">TRANSPOSE(_xlfn.SORTBY(_xlfn._xlws.FILTER(IF(Table3[FORMATO]:Table3[COMP_ CAMPO]&lt;&gt;"",Table3[FORMATO]:Table3[COMP_ CAMPO],9999999),Table3[NOME FÍSICO TABELA]="current_account"), _xlfn._xlws.FILTER(Table3[ORDEM], Table3[NOME FÍSICO TABELA]="current_account"), 1))</f>
        <v>STRING</v>
      </c>
      <c r="J27" s="127" t="str">
        <v>STRING</v>
      </c>
      <c r="K27" s="127" t="str">
        <v>STRING</v>
      </c>
      <c r="L27" s="127" t="str">
        <v>STRING</v>
      </c>
      <c r="M27" s="127" t="str">
        <v>STRING</v>
      </c>
      <c r="N27" s="127" t="str">
        <v>STRING</v>
      </c>
      <c r="O27" s="127" t="str">
        <v>STRING</v>
      </c>
      <c r="P27" s="127" t="str">
        <v>STRING</v>
      </c>
      <c r="Q27" s="127" t="str">
        <v>STRING</v>
      </c>
      <c r="R27" s="127" t="str">
        <v>DECIMAL</v>
      </c>
      <c r="S27" s="127" t="str">
        <v>DECIMAL</v>
      </c>
      <c r="T27" s="127" t="str">
        <v>DECIMAL</v>
      </c>
      <c r="U27" s="127" t="str">
        <v>DECIMAL</v>
      </c>
      <c r="V27" s="127" t="str">
        <v>DECIMAL</v>
      </c>
      <c r="W27" s="127" t="str">
        <v>DECIMAL</v>
      </c>
      <c r="X27" s="127" t="str">
        <v>DECIMAL</v>
      </c>
      <c r="Y27" s="127" t="str">
        <v>DECIMAL</v>
      </c>
      <c r="Z27" s="127" t="str">
        <v>STRING</v>
      </c>
      <c r="AA27" s="127" t="str">
        <v>STRING</v>
      </c>
      <c r="AB27" s="127" t="str">
        <v>DECIMAL</v>
      </c>
      <c r="AC27" s="127" t="str">
        <v>DECIMAL</v>
      </c>
      <c r="AD27" s="127" t="str">
        <v>DECIMAL</v>
      </c>
      <c r="AE27" s="127" t="str">
        <v>STRING</v>
      </c>
      <c r="AF27" s="127" t="str">
        <v>STRING</v>
      </c>
      <c r="AG27" s="127" t="str">
        <v>DECIMAL</v>
      </c>
      <c r="AH27" s="127" t="str">
        <v>DECIMAL</v>
      </c>
      <c r="AI27" s="127" t="str">
        <v>DECIMAL</v>
      </c>
      <c r="AJ27" s="127" t="str">
        <v>STRING</v>
      </c>
      <c r="AK27" s="127" t="str">
        <v>STRING</v>
      </c>
      <c r="AL27" s="127" t="str">
        <v>STRING</v>
      </c>
      <c r="AM27" s="127" t="str">
        <v>STRING</v>
      </c>
      <c r="AN27" s="127" t="str">
        <v>TIMESTAMP</v>
      </c>
    </row>
    <row r="28" spans="2:41" x14ac:dyDescent="0.25">
      <c r="B28" s="131" t="s">
        <v>3178</v>
      </c>
      <c r="C28" s="134">
        <v>7</v>
      </c>
      <c r="D28" s="128" t="s">
        <v>3176</v>
      </c>
      <c r="E28" s="127" t="s">
        <v>3177</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23</v>
      </c>
      <c r="W28" s="175">
        <v>23</v>
      </c>
      <c r="X28" s="175">
        <v>23</v>
      </c>
      <c r="Y28" s="175">
        <v>23</v>
      </c>
      <c r="Z28" s="175">
        <v>4</v>
      </c>
      <c r="AA28" s="175">
        <v>4</v>
      </c>
      <c r="AB28" s="175">
        <v>23</v>
      </c>
      <c r="AC28" s="175">
        <v>23</v>
      </c>
      <c r="AD28" s="175">
        <v>23</v>
      </c>
      <c r="AE28" s="134">
        <v>4</v>
      </c>
      <c r="AF28" s="134">
        <v>4</v>
      </c>
      <c r="AG28" s="134">
        <v>23</v>
      </c>
      <c r="AH28" s="134">
        <v>23</v>
      </c>
      <c r="AI28" s="134">
        <v>23</v>
      </c>
      <c r="AJ28" s="134">
        <v>4</v>
      </c>
      <c r="AK28" s="134">
        <v>4</v>
      </c>
      <c r="AL28" s="134">
        <v>2</v>
      </c>
      <c r="AM28" s="134">
        <v>10</v>
      </c>
      <c r="AN28" s="134">
        <v>23</v>
      </c>
    </row>
    <row r="30" spans="2:41" x14ac:dyDescent="0.25">
      <c r="B30" s="164" t="s">
        <v>3179</v>
      </c>
    </row>
    <row r="31" spans="2:41" x14ac:dyDescent="0.25">
      <c r="B31" s="158" t="s">
        <v>3180</v>
      </c>
      <c r="C31" s="158" t="s">
        <v>3181</v>
      </c>
      <c r="D31" s="159" t="s">
        <v>3182</v>
      </c>
      <c r="E31" s="158" t="s">
        <v>3183</v>
      </c>
      <c r="F31" s="158" t="s">
        <v>3184</v>
      </c>
    </row>
    <row r="32" spans="2:41" ht="45" x14ac:dyDescent="0.25">
      <c r="B32" s="135" t="s">
        <v>3185</v>
      </c>
      <c r="C32" s="139" t="s">
        <v>302</v>
      </c>
      <c r="D32" s="54" t="s">
        <v>3347</v>
      </c>
      <c r="E32" s="177" t="s">
        <v>3348</v>
      </c>
      <c r="F32" s="160" t="s">
        <v>3191</v>
      </c>
    </row>
    <row r="33" spans="2:16" ht="30" x14ac:dyDescent="0.25">
      <c r="B33" s="135" t="s">
        <v>3349</v>
      </c>
      <c r="C33" s="139" t="s">
        <v>3350</v>
      </c>
      <c r="D33" s="54" t="s">
        <v>3351</v>
      </c>
      <c r="E33" s="177" t="s">
        <v>3352</v>
      </c>
      <c r="F33" s="160" t="s">
        <v>3194</v>
      </c>
    </row>
    <row r="34" spans="2:16" ht="90" x14ac:dyDescent="0.25">
      <c r="B34" s="135" t="s">
        <v>3195</v>
      </c>
      <c r="C34" s="139" t="s">
        <v>3196</v>
      </c>
      <c r="D34" s="54" t="s">
        <v>3353</v>
      </c>
      <c r="E34" s="177" t="s">
        <v>3354</v>
      </c>
      <c r="F34" s="160" t="s">
        <v>3355</v>
      </c>
    </row>
    <row r="35" spans="2:16" ht="60" x14ac:dyDescent="0.25">
      <c r="B35" s="135" t="s">
        <v>3253</v>
      </c>
      <c r="C35" s="139" t="s">
        <v>3196</v>
      </c>
      <c r="D35" s="54" t="s">
        <v>3356</v>
      </c>
      <c r="E35" s="177" t="s">
        <v>3357</v>
      </c>
      <c r="F35" s="160" t="s">
        <v>3358</v>
      </c>
    </row>
    <row r="36" spans="2:16" ht="30" x14ac:dyDescent="0.25">
      <c r="B36" s="135" t="s">
        <v>3288</v>
      </c>
      <c r="C36" s="139" t="s">
        <v>1539</v>
      </c>
      <c r="D36" s="54" t="s">
        <v>3359</v>
      </c>
      <c r="E36" s="177" t="s">
        <v>3360</v>
      </c>
      <c r="F36" s="160" t="s">
        <v>3191</v>
      </c>
    </row>
    <row r="37" spans="2:16" ht="30" x14ac:dyDescent="0.25">
      <c r="B37" s="135" t="s">
        <v>3288</v>
      </c>
      <c r="C37" s="139" t="s">
        <v>1542</v>
      </c>
      <c r="D37" s="54" t="s">
        <v>3359</v>
      </c>
      <c r="E37" s="177" t="s">
        <v>3360</v>
      </c>
      <c r="F37" s="160" t="s">
        <v>3191</v>
      </c>
    </row>
    <row r="38" spans="2:16" ht="30" x14ac:dyDescent="0.25">
      <c r="B38" s="135" t="s">
        <v>3288</v>
      </c>
      <c r="C38" s="139" t="s">
        <v>1545</v>
      </c>
      <c r="D38" s="54" t="s">
        <v>3359</v>
      </c>
      <c r="E38" s="177" t="s">
        <v>3360</v>
      </c>
      <c r="F38" s="160" t="s">
        <v>3191</v>
      </c>
      <c r="I38" s="182"/>
      <c r="J38" s="182"/>
      <c r="K38" s="182"/>
      <c r="L38" s="182"/>
      <c r="M38" s="182"/>
      <c r="N38" s="182"/>
      <c r="O38" s="182"/>
      <c r="P38" s="182"/>
    </row>
    <row r="39" spans="2:16" ht="30" x14ac:dyDescent="0.25">
      <c r="B39" s="135" t="s">
        <v>3288</v>
      </c>
      <c r="C39" s="139" t="s">
        <v>1554</v>
      </c>
      <c r="D39" s="54" t="s">
        <v>3359</v>
      </c>
      <c r="E39" s="177" t="s">
        <v>3360</v>
      </c>
      <c r="F39" s="160" t="s">
        <v>3191</v>
      </c>
      <c r="I39" s="182"/>
      <c r="J39" s="182"/>
      <c r="K39" s="182"/>
      <c r="L39" s="182"/>
      <c r="M39" s="182"/>
      <c r="N39" s="182"/>
      <c r="O39" s="182"/>
      <c r="P39" s="182"/>
    </row>
    <row r="40" spans="2:16" ht="30" x14ac:dyDescent="0.25">
      <c r="B40" s="135" t="s">
        <v>3288</v>
      </c>
      <c r="C40" s="139" t="s">
        <v>1557</v>
      </c>
      <c r="D40" s="54" t="s">
        <v>3359</v>
      </c>
      <c r="E40" s="177" t="s">
        <v>3360</v>
      </c>
      <c r="F40" s="160" t="s">
        <v>3191</v>
      </c>
    </row>
    <row r="41" spans="2:16" ht="30" x14ac:dyDescent="0.25">
      <c r="B41" s="135" t="s">
        <v>3288</v>
      </c>
      <c r="C41" s="139" t="s">
        <v>1559</v>
      </c>
      <c r="D41" s="54" t="s">
        <v>3359</v>
      </c>
      <c r="E41" s="177" t="s">
        <v>3360</v>
      </c>
      <c r="F41" s="160" t="s">
        <v>3191</v>
      </c>
    </row>
    <row r="52" spans="7:7" x14ac:dyDescent="0.25">
      <c r="G52" s="219"/>
    </row>
    <row r="53" spans="7:7" x14ac:dyDescent="0.25">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x14ac:dyDescent="0.25"/>
    <row r="2" spans="2:45" x14ac:dyDescent="0.25">
      <c r="B2" s="98" t="s">
        <v>3130</v>
      </c>
      <c r="C2" s="98" t="s">
        <v>3131</v>
      </c>
      <c r="D2" s="98" t="s">
        <v>3132</v>
      </c>
      <c r="E2" s="98" t="s">
        <v>3133</v>
      </c>
      <c r="F2" s="98" t="s">
        <v>3134</v>
      </c>
      <c r="G2" s="98" t="s">
        <v>3135</v>
      </c>
      <c r="H2" s="98" t="s">
        <v>3136</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x14ac:dyDescent="0.25">
      <c r="B3" s="51" t="s">
        <v>3084</v>
      </c>
      <c r="C3" s="51">
        <v>1</v>
      </c>
      <c r="D3" s="51" t="s">
        <v>3361</v>
      </c>
      <c r="E3" s="119">
        <v>45433</v>
      </c>
      <c r="F3" s="51">
        <v>1</v>
      </c>
      <c r="G3" s="51">
        <v>1</v>
      </c>
      <c r="H3" s="215" t="s">
        <v>3362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211" t="s">
        <v>3138</v>
      </c>
      <c r="AE3" s="21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row>
    <row r="4" spans="2:45" x14ac:dyDescent="0.25">
      <c r="B4" s="51" t="s">
        <v>3086</v>
      </c>
      <c r="C4" s="51">
        <v>2</v>
      </c>
      <c r="D4" s="51" t="s">
        <v>3363</v>
      </c>
      <c r="E4" s="119">
        <v>45433</v>
      </c>
      <c r="F4" s="51">
        <v>1</v>
      </c>
      <c r="G4" s="51">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211" t="s">
        <v>3138</v>
      </c>
      <c r="AE4" s="21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row>
    <row r="5" spans="2:45" x14ac:dyDescent="0.25">
      <c r="B5" s="51" t="s">
        <v>3088</v>
      </c>
      <c r="C5" s="51">
        <v>3</v>
      </c>
      <c r="D5" s="51" t="s">
        <v>3364</v>
      </c>
      <c r="E5" s="119">
        <v>45433</v>
      </c>
      <c r="F5" s="51">
        <v>1</v>
      </c>
      <c r="G5" s="51">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211" t="s">
        <v>3138</v>
      </c>
      <c r="AE5" s="21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v>0</v>
      </c>
      <c r="AS5" s="51" t="s">
        <v>3138</v>
      </c>
    </row>
    <row r="6" spans="2:45" x14ac:dyDescent="0.25">
      <c r="B6" s="121" t="s">
        <v>3090</v>
      </c>
      <c r="C6" s="51">
        <v>4</v>
      </c>
      <c r="D6" s="51" t="s">
        <v>3141</v>
      </c>
      <c r="E6" s="119" t="s">
        <v>3138</v>
      </c>
      <c r="F6" s="51">
        <v>1</v>
      </c>
      <c r="G6" s="119"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211" t="s">
        <v>3138</v>
      </c>
      <c r="AE6" s="21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row>
    <row r="7" spans="2:45" x14ac:dyDescent="0.25">
      <c r="B7" s="51" t="s">
        <v>3092</v>
      </c>
      <c r="C7" s="51">
        <v>5</v>
      </c>
      <c r="D7" s="51" t="s">
        <v>3141</v>
      </c>
      <c r="E7" s="119" t="s">
        <v>3138</v>
      </c>
      <c r="F7" s="51">
        <v>1</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211" t="s">
        <v>3138</v>
      </c>
      <c r="AE7" s="21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row>
    <row r="8" spans="2:45" x14ac:dyDescent="0.25">
      <c r="B8" s="51" t="s">
        <v>3093</v>
      </c>
      <c r="C8" s="51">
        <v>6</v>
      </c>
      <c r="D8" s="51" t="s">
        <v>3365</v>
      </c>
      <c r="E8" s="119">
        <v>45433</v>
      </c>
      <c r="F8" s="51">
        <v>1</v>
      </c>
      <c r="G8" s="51" cm="1">
        <f t="array" ref="G8">SUMPRODUCT(--(I8:AS8&gt;0))/COUNTA(I8:AS8)</f>
        <v>0.97297297297297303</v>
      </c>
      <c r="H8" s="51" t="s">
        <v>3223</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x14ac:dyDescent="0.25">
      <c r="B9" s="51" t="s">
        <v>3096</v>
      </c>
      <c r="C9" s="51">
        <v>7</v>
      </c>
      <c r="D9" s="51" t="s">
        <v>3366</v>
      </c>
      <c r="E9" s="119">
        <v>45433</v>
      </c>
      <c r="F9" s="51">
        <v>1</v>
      </c>
      <c r="G9" s="51" cm="1">
        <f t="array" ref="G9">SUMPRODUCT(--(H9:AS9 &lt;= H27:AS27))/COUNTA(H27:AS27)</f>
        <v>1</v>
      </c>
      <c r="H9" s="51" t="s">
        <v>3223</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x14ac:dyDescent="0.25">
      <c r="B10" s="121" t="s">
        <v>3099</v>
      </c>
      <c r="C10" s="51">
        <v>8</v>
      </c>
      <c r="D10" s="51" t="s">
        <v>3367</v>
      </c>
      <c r="E10" s="119">
        <v>45433</v>
      </c>
      <c r="F10" s="51">
        <v>1</v>
      </c>
      <c r="G10" s="119" t="s">
        <v>3138</v>
      </c>
      <c r="H10" s="51" t="s">
        <v>3223</v>
      </c>
      <c r="I10" s="51">
        <v>31</v>
      </c>
      <c r="J10" s="51">
        <v>5.0000028006999999E+25</v>
      </c>
      <c r="K10" s="51" t="s">
        <v>3368</v>
      </c>
      <c r="L10" s="51">
        <v>7</v>
      </c>
      <c r="M10" s="51">
        <v>101</v>
      </c>
      <c r="N10" s="51">
        <v>31</v>
      </c>
      <c r="O10" s="51">
        <v>2.2822000999999998E+22</v>
      </c>
      <c r="P10" s="51">
        <v>31</v>
      </c>
      <c r="Q10" s="51">
        <v>50000028007</v>
      </c>
      <c r="R10" s="119">
        <v>35300</v>
      </c>
      <c r="S10" s="119">
        <v>42025</v>
      </c>
      <c r="T10" s="51">
        <v>124</v>
      </c>
      <c r="U10" s="119">
        <v>0</v>
      </c>
      <c r="V10" s="119" t="s">
        <v>3147</v>
      </c>
      <c r="W10" s="122" t="s">
        <v>3147</v>
      </c>
      <c r="X10" s="51" t="s">
        <v>3147</v>
      </c>
      <c r="Y10" s="119" t="s">
        <v>3147</v>
      </c>
      <c r="Z10" s="119" t="s">
        <v>3147</v>
      </c>
      <c r="AA10" s="51" t="e">
        <v>#N/A</v>
      </c>
      <c r="AB10" s="122" t="e">
        <v>#N/A</v>
      </c>
      <c r="AC10" s="51" t="s">
        <v>3147</v>
      </c>
      <c r="AD10" s="225" t="s">
        <v>3147</v>
      </c>
      <c r="AE10" s="211" t="e">
        <v>#N/A</v>
      </c>
      <c r="AF10" s="122" t="e">
        <v>#N/A</v>
      </c>
      <c r="AG10" s="122" t="e">
        <v>#N/A</v>
      </c>
      <c r="AH10" s="122"/>
      <c r="AI10" s="51" t="s">
        <v>3147</v>
      </c>
      <c r="AJ10" s="122" t="e">
        <v>#N/A</v>
      </c>
      <c r="AK10" s="51" t="e">
        <v>#N/A</v>
      </c>
      <c r="AL10" s="122">
        <v>-2250000</v>
      </c>
      <c r="AM10" s="122" t="s">
        <v>3147</v>
      </c>
      <c r="AN10" s="122" t="s">
        <v>3147</v>
      </c>
      <c r="AO10" s="51" t="s">
        <v>3148</v>
      </c>
      <c r="AP10" s="51" t="s">
        <v>3149</v>
      </c>
      <c r="AQ10" s="119" t="s">
        <v>3266</v>
      </c>
      <c r="AR10" s="119">
        <v>45433</v>
      </c>
      <c r="AS10" s="119" t="s">
        <v>3369</v>
      </c>
    </row>
    <row r="11" spans="2:45" x14ac:dyDescent="0.25">
      <c r="B11" s="51" t="s">
        <v>3101</v>
      </c>
      <c r="C11" s="51">
        <v>9</v>
      </c>
      <c r="D11" s="51" t="s">
        <v>3370</v>
      </c>
      <c r="E11" s="119">
        <v>45433</v>
      </c>
      <c r="F11" s="51">
        <v>1</v>
      </c>
      <c r="G11" s="119" t="s">
        <v>3138</v>
      </c>
      <c r="H11" s="51" t="s">
        <v>3223</v>
      </c>
      <c r="I11" s="51">
        <v>31</v>
      </c>
      <c r="J11" s="51">
        <v>5.0000028006999999E+25</v>
      </c>
      <c r="K11" s="51"/>
      <c r="L11" s="51">
        <v>7</v>
      </c>
      <c r="M11" s="51">
        <v>101</v>
      </c>
      <c r="N11" s="51"/>
      <c r="O11" s="51" t="e">
        <v>#N/A</v>
      </c>
      <c r="P11" s="51"/>
      <c r="Q11" s="51" t="e">
        <v>#N/A</v>
      </c>
      <c r="R11" s="119">
        <v>35300</v>
      </c>
      <c r="S11" s="119">
        <v>42025</v>
      </c>
      <c r="T11" s="51">
        <v>124</v>
      </c>
      <c r="U11" s="119">
        <v>0</v>
      </c>
      <c r="V11" s="119" t="s">
        <v>3223</v>
      </c>
      <c r="W11" s="51" t="s">
        <v>3223</v>
      </c>
      <c r="X11" s="51" t="s">
        <v>3223</v>
      </c>
      <c r="Y11" s="119" t="s">
        <v>3223</v>
      </c>
      <c r="Z11" s="119" t="s">
        <v>3223</v>
      </c>
      <c r="AA11" s="51" t="e">
        <v>#N/A</v>
      </c>
      <c r="AB11" s="51" t="e">
        <v>#N/A</v>
      </c>
      <c r="AC11" s="51" t="s">
        <v>3223</v>
      </c>
      <c r="AD11" s="211" t="s">
        <v>3223</v>
      </c>
      <c r="AE11" s="211" t="e">
        <v>#N/A</v>
      </c>
      <c r="AF11" s="51" t="e">
        <v>#N/A</v>
      </c>
      <c r="AG11" s="51" t="e">
        <v>#N/A</v>
      </c>
      <c r="AH11" s="51"/>
      <c r="AI11" s="51" t="s">
        <v>3223</v>
      </c>
      <c r="AJ11" s="51" t="e">
        <v>#N/A</v>
      </c>
      <c r="AK11" s="51" t="e">
        <v>#N/A</v>
      </c>
      <c r="AL11" s="122">
        <v>-22500000</v>
      </c>
      <c r="AM11" s="122">
        <v>0</v>
      </c>
      <c r="AN11" s="122">
        <v>0</v>
      </c>
      <c r="AO11" s="51">
        <v>0</v>
      </c>
      <c r="AP11" s="51" t="s">
        <v>3371</v>
      </c>
      <c r="AQ11" s="119" t="s">
        <v>3266</v>
      </c>
      <c r="AR11" s="119">
        <v>45433</v>
      </c>
      <c r="AS11" s="119" t="s">
        <v>3372</v>
      </c>
    </row>
    <row r="12" spans="2:45" x14ac:dyDescent="0.25">
      <c r="B12" s="51" t="s">
        <v>3103</v>
      </c>
      <c r="C12" s="51">
        <v>10</v>
      </c>
      <c r="D12" s="51" t="s">
        <v>3373</v>
      </c>
      <c r="E12" s="119">
        <v>45433</v>
      </c>
      <c r="F12" s="51">
        <v>1</v>
      </c>
      <c r="G12" s="119" t="s">
        <v>3138</v>
      </c>
      <c r="H12" s="51" t="s">
        <v>3223</v>
      </c>
      <c r="I12" s="51">
        <v>31</v>
      </c>
      <c r="J12" s="51">
        <v>6.0750007000001898E+29</v>
      </c>
      <c r="K12" s="51" t="s">
        <v>3368</v>
      </c>
      <c r="L12" s="51">
        <v>29</v>
      </c>
      <c r="M12" s="51" t="s">
        <v>3374</v>
      </c>
      <c r="N12" s="51">
        <v>31</v>
      </c>
      <c r="O12" s="51">
        <v>2.3930258433501999E+29</v>
      </c>
      <c r="P12" s="51">
        <v>31</v>
      </c>
      <c r="Q12" s="51">
        <v>607500070000019</v>
      </c>
      <c r="R12" s="119">
        <v>45441</v>
      </c>
      <c r="S12" s="119">
        <v>2958465</v>
      </c>
      <c r="T12" s="51" t="s">
        <v>3156</v>
      </c>
      <c r="U12" s="119">
        <v>1</v>
      </c>
      <c r="V12" s="119">
        <v>70000000000000</v>
      </c>
      <c r="W12" s="122">
        <v>9500000000000</v>
      </c>
      <c r="X12" s="51" t="s">
        <v>3147</v>
      </c>
      <c r="Y12" s="119">
        <v>94818240000</v>
      </c>
      <c r="Z12" s="119">
        <v>328950890000</v>
      </c>
      <c r="AA12" s="119">
        <v>45787</v>
      </c>
      <c r="AB12" s="122">
        <v>2958465</v>
      </c>
      <c r="AC12" s="122">
        <v>403478750000</v>
      </c>
      <c r="AD12" s="226">
        <v>691581370000</v>
      </c>
      <c r="AE12" s="211">
        <v>0</v>
      </c>
      <c r="AF12" s="122">
        <v>2958465</v>
      </c>
      <c r="AG12" s="217">
        <v>2958465</v>
      </c>
      <c r="AH12" s="122" t="s">
        <v>3375</v>
      </c>
      <c r="AI12" s="122">
        <v>19152000000000</v>
      </c>
      <c r="AJ12" s="122" t="s">
        <v>3217</v>
      </c>
      <c r="AK12" s="51" t="s">
        <v>3376</v>
      </c>
      <c r="AL12" s="122">
        <v>5294660</v>
      </c>
      <c r="AM12" s="122">
        <v>9500000</v>
      </c>
      <c r="AN12" s="122">
        <v>10522000</v>
      </c>
      <c r="AO12" s="51" t="s">
        <v>3377</v>
      </c>
      <c r="AP12" s="51" t="s">
        <v>3149</v>
      </c>
      <c r="AQ12" s="119" t="s">
        <v>3158</v>
      </c>
      <c r="AR12" s="119">
        <v>45448</v>
      </c>
      <c r="AS12" s="119" t="s">
        <v>3369</v>
      </c>
    </row>
    <row r="13" spans="2:45" x14ac:dyDescent="0.25">
      <c r="B13" s="51" t="s">
        <v>3105</v>
      </c>
      <c r="C13" s="51">
        <v>11</v>
      </c>
      <c r="D13" s="51" t="s">
        <v>3378</v>
      </c>
      <c r="E13" s="119">
        <v>45433</v>
      </c>
      <c r="F13" s="51">
        <v>1</v>
      </c>
      <c r="G13" s="119" t="s">
        <v>3138</v>
      </c>
      <c r="H13" s="51" t="s">
        <v>3223</v>
      </c>
      <c r="I13" s="51">
        <v>31</v>
      </c>
      <c r="J13" s="51">
        <v>6.0750007000001898E+29</v>
      </c>
      <c r="K13" s="51">
        <v>31</v>
      </c>
      <c r="L13" s="51">
        <v>29</v>
      </c>
      <c r="M13" s="51" t="s">
        <v>3374</v>
      </c>
      <c r="N13" s="51" t="e">
        <v>#N/A</v>
      </c>
      <c r="O13" s="51">
        <v>2.3930258433501999E+29</v>
      </c>
      <c r="P13" s="51" t="e">
        <v>#N/A</v>
      </c>
      <c r="Q13" s="51">
        <v>607500070000019</v>
      </c>
      <c r="R13" s="119">
        <v>45441</v>
      </c>
      <c r="S13" s="119">
        <v>2958465</v>
      </c>
      <c r="T13" s="51" t="s">
        <v>3156</v>
      </c>
      <c r="U13" s="119">
        <v>1</v>
      </c>
      <c r="V13" s="119" t="s">
        <v>3379</v>
      </c>
      <c r="W13" s="51" t="s">
        <v>3380</v>
      </c>
      <c r="X13" s="51" t="s">
        <v>597</v>
      </c>
      <c r="Y13" s="119" t="s">
        <v>3381</v>
      </c>
      <c r="Z13" s="119" t="s">
        <v>3382</v>
      </c>
      <c r="AA13" s="119">
        <v>45787</v>
      </c>
      <c r="AB13" s="119">
        <v>2958465</v>
      </c>
      <c r="AC13" s="51" t="s">
        <v>3383</v>
      </c>
      <c r="AD13" s="211" t="s">
        <v>3384</v>
      </c>
      <c r="AE13" s="211">
        <v>0</v>
      </c>
      <c r="AF13" s="119">
        <v>2958465</v>
      </c>
      <c r="AG13" s="119">
        <v>2958465</v>
      </c>
      <c r="AH13" s="51" t="s">
        <v>3375</v>
      </c>
      <c r="AI13" s="51" t="s">
        <v>3385</v>
      </c>
      <c r="AJ13" s="51" t="s">
        <v>3217</v>
      </c>
      <c r="AK13" s="51" t="s">
        <v>3376</v>
      </c>
      <c r="AL13" s="122">
        <v>52946600</v>
      </c>
      <c r="AM13" s="122">
        <v>95000000</v>
      </c>
      <c r="AN13" s="122">
        <v>105220000</v>
      </c>
      <c r="AO13" s="51" t="s">
        <v>3386</v>
      </c>
      <c r="AP13" s="51" t="s">
        <v>3333</v>
      </c>
      <c r="AQ13" s="119" t="s">
        <v>3158</v>
      </c>
      <c r="AR13" s="119">
        <v>45448</v>
      </c>
      <c r="AS13" s="119" t="s">
        <v>3387</v>
      </c>
    </row>
    <row r="14" spans="2:45" x14ac:dyDescent="0.25">
      <c r="B14" s="51" t="s">
        <v>3107</v>
      </c>
      <c r="C14" s="51">
        <v>12</v>
      </c>
      <c r="D14" s="51" t="s">
        <v>3388</v>
      </c>
      <c r="E14" s="119">
        <v>45433</v>
      </c>
      <c r="F14" s="51">
        <v>1</v>
      </c>
      <c r="G14" s="51">
        <v>0.46</v>
      </c>
      <c r="H14" s="51" t="s">
        <v>3223</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x14ac:dyDescent="0.25">
      <c r="B15" s="51" t="s">
        <v>3109</v>
      </c>
      <c r="C15" s="51">
        <v>13</v>
      </c>
      <c r="D15" s="51" t="s">
        <v>3389</v>
      </c>
      <c r="E15" s="119">
        <v>45433</v>
      </c>
      <c r="F15" s="51">
        <v>1</v>
      </c>
      <c r="G15" s="51">
        <v>1</v>
      </c>
      <c r="H15" s="51" t="s">
        <v>3223</v>
      </c>
      <c r="I15" s="51" t="s">
        <v>3138</v>
      </c>
      <c r="J15" s="51" t="s">
        <v>3138</v>
      </c>
      <c r="K15" s="51" t="s">
        <v>3138</v>
      </c>
      <c r="L15" s="51" t="s">
        <v>3138</v>
      </c>
      <c r="M15" s="51" t="s">
        <v>3138</v>
      </c>
      <c r="N15" s="51" t="s">
        <v>3138</v>
      </c>
      <c r="O15" s="51" t="s">
        <v>3138</v>
      </c>
      <c r="P15" s="51" t="s">
        <v>3138</v>
      </c>
      <c r="Q15" s="51" t="s">
        <v>3138</v>
      </c>
      <c r="R15" s="121">
        <v>0</v>
      </c>
      <c r="S15" s="121">
        <v>0</v>
      </c>
      <c r="T15" s="51" t="s">
        <v>3138</v>
      </c>
      <c r="U15" s="121" t="s">
        <v>3138</v>
      </c>
      <c r="V15" s="121" t="s">
        <v>3138</v>
      </c>
      <c r="W15" s="51" t="s">
        <v>3138</v>
      </c>
      <c r="X15" s="51" t="s">
        <v>3138</v>
      </c>
      <c r="Y15" s="121" t="s">
        <v>3138</v>
      </c>
      <c r="Z15" s="121" t="s">
        <v>3138</v>
      </c>
      <c r="AA15" s="51">
        <v>0</v>
      </c>
      <c r="AB15" s="51">
        <v>0</v>
      </c>
      <c r="AC15" s="51" t="s">
        <v>3138</v>
      </c>
      <c r="AD15" s="227" t="s">
        <v>3138</v>
      </c>
      <c r="AE15" s="211" t="s">
        <v>3138</v>
      </c>
      <c r="AF15" s="51">
        <v>0</v>
      </c>
      <c r="AG15" s="51">
        <v>0</v>
      </c>
      <c r="AH15" s="51" t="s">
        <v>3138</v>
      </c>
      <c r="AI15" s="51" t="s">
        <v>3138</v>
      </c>
      <c r="AJ15" s="51" t="s">
        <v>3138</v>
      </c>
      <c r="AK15" s="51" t="s">
        <v>3138</v>
      </c>
      <c r="AL15" s="51" t="s">
        <v>3138</v>
      </c>
      <c r="AM15" s="51" t="s">
        <v>3138</v>
      </c>
      <c r="AN15" s="51" t="s">
        <v>3138</v>
      </c>
      <c r="AO15" s="51" t="s">
        <v>3138</v>
      </c>
      <c r="AP15" s="51" t="s">
        <v>3138</v>
      </c>
      <c r="AQ15" s="51" t="s">
        <v>3138</v>
      </c>
      <c r="AR15" s="51" t="s">
        <v>3138</v>
      </c>
      <c r="AS15" s="51" t="s">
        <v>3138</v>
      </c>
    </row>
    <row r="16" spans="2:45" x14ac:dyDescent="0.25">
      <c r="B16" s="51" t="s">
        <v>3111</v>
      </c>
      <c r="C16" s="51">
        <v>14</v>
      </c>
      <c r="D16" s="51" t="s">
        <v>3390</v>
      </c>
      <c r="E16" s="119">
        <v>45433</v>
      </c>
      <c r="F16" s="51">
        <v>1</v>
      </c>
      <c r="G16" s="51">
        <v>1</v>
      </c>
      <c r="H16" s="51" t="s">
        <v>3223</v>
      </c>
      <c r="I16" s="51">
        <v>0</v>
      </c>
      <c r="J16" s="51">
        <v>0</v>
      </c>
      <c r="K16" s="51">
        <v>0</v>
      </c>
      <c r="L16" s="51">
        <v>0</v>
      </c>
      <c r="M16" s="51">
        <v>0</v>
      </c>
      <c r="N16" s="51">
        <v>0</v>
      </c>
      <c r="O16" s="51">
        <v>0</v>
      </c>
      <c r="P16" s="51">
        <v>0</v>
      </c>
      <c r="Q16" s="51">
        <v>0</v>
      </c>
      <c r="R16" s="51" t="s">
        <v>3138</v>
      </c>
      <c r="S16" s="51" t="s">
        <v>3138</v>
      </c>
      <c r="T16" s="51">
        <v>0</v>
      </c>
      <c r="U16" s="51" t="s">
        <v>3138</v>
      </c>
      <c r="V16" s="51" t="s">
        <v>3138</v>
      </c>
      <c r="W16" s="51" t="s">
        <v>3138</v>
      </c>
      <c r="X16" s="121" t="s">
        <v>3138</v>
      </c>
      <c r="Y16" s="51" t="s">
        <v>3138</v>
      </c>
      <c r="Z16" s="51" t="s">
        <v>3138</v>
      </c>
      <c r="AA16" s="51" t="s">
        <v>3138</v>
      </c>
      <c r="AB16" s="51" t="s">
        <v>3138</v>
      </c>
      <c r="AC16" s="121" t="s">
        <v>3138</v>
      </c>
      <c r="AD16" s="211" t="s">
        <v>3138</v>
      </c>
      <c r="AE16" s="211" t="s">
        <v>3138</v>
      </c>
      <c r="AF16" s="51" t="s">
        <v>3138</v>
      </c>
      <c r="AG16" s="51" t="s">
        <v>3138</v>
      </c>
      <c r="AH16" s="51" t="s">
        <v>3138</v>
      </c>
      <c r="AI16" s="51" t="s">
        <v>3138</v>
      </c>
      <c r="AJ16" s="51">
        <v>0</v>
      </c>
      <c r="AK16" s="51" t="s">
        <v>3138</v>
      </c>
      <c r="AL16" s="51" t="s">
        <v>3138</v>
      </c>
      <c r="AM16" s="51" t="s">
        <v>3138</v>
      </c>
      <c r="AN16" s="51" t="s">
        <v>3138</v>
      </c>
      <c r="AO16" s="121">
        <v>0</v>
      </c>
      <c r="AP16" s="51">
        <v>0</v>
      </c>
      <c r="AQ16" s="51">
        <v>0</v>
      </c>
      <c r="AR16" s="51" t="s">
        <v>3138</v>
      </c>
      <c r="AS16" s="51" t="s">
        <v>3138</v>
      </c>
    </row>
    <row r="17" spans="2:45" x14ac:dyDescent="0.25">
      <c r="B17" s="51" t="s">
        <v>3113</v>
      </c>
      <c r="C17" s="51">
        <v>15</v>
      </c>
      <c r="D17" s="51" t="s">
        <v>3391</v>
      </c>
      <c r="E17" s="119">
        <v>45433</v>
      </c>
      <c r="F17" s="51">
        <v>1</v>
      </c>
      <c r="G17" s="51">
        <v>1</v>
      </c>
      <c r="H17" s="215" t="s">
        <v>3223</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121" t="s">
        <v>3138</v>
      </c>
      <c r="Y17" s="51" t="s">
        <v>3138</v>
      </c>
      <c r="Z17" s="51" t="s">
        <v>3138</v>
      </c>
      <c r="AA17" s="51" t="s">
        <v>3138</v>
      </c>
      <c r="AB17" s="51" t="s">
        <v>3138</v>
      </c>
      <c r="AC17" s="121" t="s">
        <v>3138</v>
      </c>
      <c r="AD17" s="211" t="s">
        <v>3138</v>
      </c>
      <c r="AE17" s="211" t="s">
        <v>3138</v>
      </c>
      <c r="AF17" s="51" t="s">
        <v>3138</v>
      </c>
      <c r="AG17" s="51" t="s">
        <v>3138</v>
      </c>
      <c r="AH17" s="51" t="s">
        <v>3138</v>
      </c>
      <c r="AI17" s="51" t="s">
        <v>3138</v>
      </c>
      <c r="AJ17" s="51" t="s">
        <v>3138</v>
      </c>
      <c r="AK17" s="51" t="s">
        <v>3138</v>
      </c>
      <c r="AL17" s="51" t="s">
        <v>3138</v>
      </c>
      <c r="AM17" s="51" t="s">
        <v>3138</v>
      </c>
      <c r="AN17" s="51" t="s">
        <v>3138</v>
      </c>
      <c r="AO17" s="121" t="s">
        <v>3138</v>
      </c>
      <c r="AP17" s="51" t="s">
        <v>3138</v>
      </c>
      <c r="AQ17" s="51" t="s">
        <v>3138</v>
      </c>
      <c r="AR17" s="51" t="s">
        <v>3138</v>
      </c>
      <c r="AS17" s="51" t="s">
        <v>3138</v>
      </c>
    </row>
    <row r="18" spans="2:45" x14ac:dyDescent="0.25">
      <c r="B18" s="51" t="s">
        <v>3115</v>
      </c>
      <c r="C18" s="51">
        <v>16</v>
      </c>
      <c r="D18" s="51" t="s">
        <v>3391</v>
      </c>
      <c r="E18" s="119">
        <v>45433</v>
      </c>
      <c r="F18" s="51">
        <v>1</v>
      </c>
      <c r="G18" s="51">
        <v>1</v>
      </c>
      <c r="H18" s="51"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211" t="s">
        <v>3138</v>
      </c>
      <c r="AE18" s="21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row>
    <row r="19" spans="2:45" x14ac:dyDescent="0.25">
      <c r="B19" s="51" t="s">
        <v>3117</v>
      </c>
      <c r="C19" s="51">
        <v>17</v>
      </c>
      <c r="D19" s="51" t="s">
        <v>3392</v>
      </c>
      <c r="E19" s="119">
        <v>45433</v>
      </c>
      <c r="F19" s="51">
        <v>1</v>
      </c>
      <c r="G19" s="51">
        <v>0.98</v>
      </c>
      <c r="H19" s="215" t="s">
        <v>3393</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211" t="s">
        <v>3138</v>
      </c>
      <c r="AE19" s="21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row>
    <row r="20" spans="2:45" x14ac:dyDescent="0.25">
      <c r="B20" s="51" t="s">
        <v>3119</v>
      </c>
      <c r="C20" s="51">
        <v>18</v>
      </c>
      <c r="D20" s="51" t="s">
        <v>3392</v>
      </c>
      <c r="E20" s="119">
        <v>45433</v>
      </c>
      <c r="F20" s="51">
        <v>1</v>
      </c>
      <c r="G20" s="51">
        <v>1</v>
      </c>
      <c r="H20" s="51" t="s">
        <v>3223</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211" t="s">
        <v>3138</v>
      </c>
      <c r="AE20" s="21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row>
    <row r="21" spans="2:45" x14ac:dyDescent="0.25">
      <c r="B21" s="51" t="s">
        <v>3121</v>
      </c>
      <c r="C21" s="51">
        <v>19</v>
      </c>
      <c r="D21" s="51" t="s">
        <v>3394</v>
      </c>
      <c r="E21" s="119">
        <v>45433</v>
      </c>
      <c r="F21" s="51">
        <v>1</v>
      </c>
      <c r="G21" s="51" cm="1">
        <f t="array" ref="G21">SUMPRODUCT(--(ISNUMBER((SEARCH(I27:AS27,I21:AS21)))))/COUNTA(I21:AS21)</f>
        <v>1</v>
      </c>
      <c r="H21" s="51" t="s">
        <v>3223</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3173</v>
      </c>
      <c r="W21" s="51" t="s">
        <v>3173</v>
      </c>
      <c r="X21" s="51" t="s">
        <v>3173</v>
      </c>
      <c r="Y21" s="51" t="s">
        <v>3173</v>
      </c>
      <c r="Z21" s="51" t="s">
        <v>3173</v>
      </c>
      <c r="AA21" s="51" t="s">
        <v>3172</v>
      </c>
      <c r="AB21" s="51" t="s">
        <v>3172</v>
      </c>
      <c r="AC21" s="51" t="s">
        <v>3173</v>
      </c>
      <c r="AD21" s="211" t="s">
        <v>3173</v>
      </c>
      <c r="AE21" s="211" t="s">
        <v>3172</v>
      </c>
      <c r="AF21" s="51" t="s">
        <v>3172</v>
      </c>
      <c r="AG21" s="51" t="s">
        <v>3172</v>
      </c>
      <c r="AH21" s="51" t="s">
        <v>3172</v>
      </c>
      <c r="AI21" s="51" t="s">
        <v>3173</v>
      </c>
      <c r="AJ21" s="51" t="s">
        <v>3172</v>
      </c>
      <c r="AK21" s="51" t="s">
        <v>3172</v>
      </c>
      <c r="AL21" s="51" t="s">
        <v>3173</v>
      </c>
      <c r="AM21" s="51" t="s">
        <v>3173</v>
      </c>
      <c r="AN21" s="51" t="s">
        <v>3173</v>
      </c>
      <c r="AO21" s="51" t="s">
        <v>3172</v>
      </c>
      <c r="AP21" s="51" t="s">
        <v>3172</v>
      </c>
      <c r="AQ21" s="51" t="s">
        <v>3172</v>
      </c>
      <c r="AR21" s="51" t="s">
        <v>3172</v>
      </c>
      <c r="AS21" s="51" t="s">
        <v>3174</v>
      </c>
    </row>
    <row r="22" spans="2:45" x14ac:dyDescent="0.25">
      <c r="B22" s="121" t="s">
        <v>3124</v>
      </c>
      <c r="C22" s="51">
        <v>20</v>
      </c>
      <c r="D22" s="51" t="s">
        <v>3395</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x14ac:dyDescent="0.25">
      <c r="B23" s="51" t="s">
        <v>3127</v>
      </c>
      <c r="C23" s="51">
        <v>21</v>
      </c>
      <c r="D23" s="51" t="s">
        <v>3395</v>
      </c>
      <c r="E23" s="119">
        <v>45433</v>
      </c>
      <c r="F23" s="51">
        <v>1</v>
      </c>
      <c r="G23" s="51" cm="1">
        <f t="array" ref="G23">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x14ac:dyDescent="0.25">
      <c r="B25" s="164" t="s">
        <v>3244</v>
      </c>
    </row>
    <row r="26" spans="2:45" x14ac:dyDescent="0.25">
      <c r="B26" s="157" t="s">
        <v>3130</v>
      </c>
      <c r="C26" s="153" t="s">
        <v>3131</v>
      </c>
      <c r="D26" s="153" t="s">
        <v>3132</v>
      </c>
      <c r="E26" s="153" t="s">
        <v>3133</v>
      </c>
      <c r="F26" s="153" t="s">
        <v>3134</v>
      </c>
      <c r="G26" s="153" t="s">
        <v>3135</v>
      </c>
      <c r="H26" s="153" t="s">
        <v>3136</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x14ac:dyDescent="0.25">
      <c r="B27" s="126" t="s">
        <v>3175</v>
      </c>
      <c r="C27" s="175">
        <v>21</v>
      </c>
      <c r="D27" s="130" t="s">
        <v>3176</v>
      </c>
      <c r="E27" s="129" t="s">
        <v>3177</v>
      </c>
      <c r="F27" s="129" t="s">
        <v>366</v>
      </c>
      <c r="G27" s="129" t="s">
        <v>366</v>
      </c>
      <c r="H27" s="129" t="s">
        <v>366</v>
      </c>
      <c r="I27" s="127"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9" t="str">
        <v>STRING</v>
      </c>
      <c r="K27" s="129" t="str">
        <v>STRING</v>
      </c>
      <c r="L27" s="129" t="str">
        <v>STRING</v>
      </c>
      <c r="M27" s="129" t="str">
        <v>STRING</v>
      </c>
      <c r="N27" s="129" t="str">
        <v>STRING</v>
      </c>
      <c r="O27" s="129" t="str">
        <v>STRING</v>
      </c>
      <c r="P27" s="129" t="str">
        <v>STRING</v>
      </c>
      <c r="Q27" s="129" t="str">
        <v>STRING</v>
      </c>
      <c r="R27" s="129" t="str">
        <v>STRING</v>
      </c>
      <c r="S27" s="129" t="str">
        <v>STRING</v>
      </c>
      <c r="T27" s="129" t="str">
        <v>STRING</v>
      </c>
      <c r="U27" s="129" t="str">
        <v>STRING</v>
      </c>
      <c r="V27" s="129" t="str">
        <v>DECIMAL</v>
      </c>
      <c r="W27" s="129" t="str">
        <v>DECIMAL</v>
      </c>
      <c r="X27" s="129" t="str">
        <v>DECIMAL</v>
      </c>
      <c r="Y27" s="129" t="str">
        <v>DECIMAL</v>
      </c>
      <c r="Z27" s="129" t="str">
        <v>DECIMAL</v>
      </c>
      <c r="AA27" s="129" t="str">
        <v>STRING</v>
      </c>
      <c r="AB27" s="129" t="str">
        <v>STRING</v>
      </c>
      <c r="AC27" s="129" t="str">
        <v>DECIMAL</v>
      </c>
      <c r="AD27" s="129" t="str">
        <v>DECIMAL</v>
      </c>
      <c r="AE27" s="129" t="str">
        <v>STRING</v>
      </c>
      <c r="AF27" s="129" t="str">
        <v>STRING</v>
      </c>
      <c r="AG27" s="129" t="str">
        <v>STRING</v>
      </c>
      <c r="AH27" s="129" t="str">
        <v>STRING</v>
      </c>
      <c r="AI27" s="129" t="str">
        <v>DECIMAL</v>
      </c>
      <c r="AJ27" s="129" t="str">
        <v>STRING</v>
      </c>
      <c r="AK27" s="129" t="str">
        <v>STRING</v>
      </c>
      <c r="AL27" s="129" t="str">
        <v>DECIMAL</v>
      </c>
      <c r="AM27" s="129" t="str">
        <v>DECIMAL</v>
      </c>
      <c r="AN27" s="129" t="str">
        <v>DECIMAL</v>
      </c>
      <c r="AO27" s="129" t="str">
        <v>STRING</v>
      </c>
      <c r="AP27" s="129" t="str">
        <v>STRING</v>
      </c>
      <c r="AQ27" s="129" t="str">
        <v>STRING</v>
      </c>
      <c r="AR27" s="129" t="str">
        <v>STRING</v>
      </c>
      <c r="AS27" s="129" t="str">
        <v>TIMESTAMP</v>
      </c>
    </row>
    <row r="28" spans="2:45" x14ac:dyDescent="0.25">
      <c r="B28" s="126" t="s">
        <v>3178</v>
      </c>
      <c r="C28" s="175">
        <v>7</v>
      </c>
      <c r="D28" s="130" t="s">
        <v>3176</v>
      </c>
      <c r="E28" s="129" t="s">
        <v>3177</v>
      </c>
      <c r="F28" s="129" t="s">
        <v>366</v>
      </c>
      <c r="G28" s="129" t="s">
        <v>366</v>
      </c>
      <c r="H28" s="129" t="s">
        <v>366</v>
      </c>
      <c r="I28" s="175">
        <v>4</v>
      </c>
      <c r="J28" s="175">
        <v>30</v>
      </c>
      <c r="K28" s="175">
        <v>4</v>
      </c>
      <c r="L28" s="175">
        <v>4</v>
      </c>
      <c r="M28" s="175">
        <v>4</v>
      </c>
      <c r="N28" s="175">
        <v>4</v>
      </c>
      <c r="O28" s="175">
        <v>30</v>
      </c>
      <c r="P28" s="175">
        <v>4</v>
      </c>
      <c r="Q28" s="175">
        <v>15</v>
      </c>
      <c r="R28" s="175">
        <v>10</v>
      </c>
      <c r="S28" s="175">
        <v>10</v>
      </c>
      <c r="T28" s="175">
        <v>4</v>
      </c>
      <c r="U28" s="175">
        <v>4</v>
      </c>
      <c r="V28" s="175">
        <v>23</v>
      </c>
      <c r="W28" s="175">
        <v>23</v>
      </c>
      <c r="X28" s="175">
        <v>23</v>
      </c>
      <c r="Y28" s="175">
        <v>23</v>
      </c>
      <c r="Z28" s="175">
        <v>23</v>
      </c>
      <c r="AA28" s="175">
        <v>10</v>
      </c>
      <c r="AB28" s="175">
        <v>10</v>
      </c>
      <c r="AC28" s="175">
        <v>23</v>
      </c>
      <c r="AD28" s="175">
        <v>23</v>
      </c>
      <c r="AE28" s="175">
        <v>4</v>
      </c>
      <c r="AF28" s="175">
        <v>10</v>
      </c>
      <c r="AG28" s="175">
        <v>10</v>
      </c>
      <c r="AH28" s="175">
        <v>18</v>
      </c>
      <c r="AI28" s="175">
        <v>23</v>
      </c>
      <c r="AJ28" s="175">
        <v>4</v>
      </c>
      <c r="AK28" s="175">
        <v>4</v>
      </c>
      <c r="AL28" s="175">
        <v>23</v>
      </c>
      <c r="AM28" s="175">
        <v>23</v>
      </c>
      <c r="AN28" s="175">
        <v>23</v>
      </c>
      <c r="AO28" s="175">
        <v>4</v>
      </c>
      <c r="AP28" s="175">
        <v>4</v>
      </c>
      <c r="AQ28" s="175">
        <v>2</v>
      </c>
      <c r="AR28" s="175">
        <v>10</v>
      </c>
      <c r="AS28" s="175">
        <v>23</v>
      </c>
    </row>
    <row r="30" spans="2:45" x14ac:dyDescent="0.25">
      <c r="B30" s="164" t="s">
        <v>3179</v>
      </c>
    </row>
    <row r="31" spans="2:45" x14ac:dyDescent="0.25">
      <c r="B31" s="158" t="s">
        <v>3180</v>
      </c>
      <c r="C31" s="158" t="s">
        <v>3181</v>
      </c>
      <c r="D31" s="159" t="s">
        <v>3182</v>
      </c>
      <c r="E31" s="158" t="s">
        <v>3183</v>
      </c>
      <c r="F31" s="158" t="s">
        <v>3184</v>
      </c>
    </row>
    <row r="32" spans="2:45" ht="30" x14ac:dyDescent="0.25">
      <c r="B32" s="321" t="s">
        <v>3245</v>
      </c>
      <c r="C32" s="322" t="s">
        <v>203</v>
      </c>
      <c r="D32" s="323" t="s">
        <v>3396</v>
      </c>
      <c r="E32" s="324" t="s">
        <v>3397</v>
      </c>
      <c r="F32" s="178" t="s">
        <v>3191</v>
      </c>
    </row>
    <row r="33" spans="2:6" ht="30" x14ac:dyDescent="0.25">
      <c r="B33" s="321" t="s">
        <v>3245</v>
      </c>
      <c r="C33" s="322" t="s">
        <v>213</v>
      </c>
      <c r="D33" s="323" t="s">
        <v>3396</v>
      </c>
      <c r="E33" s="324" t="s">
        <v>3397</v>
      </c>
      <c r="F33" s="178" t="s">
        <v>3191</v>
      </c>
    </row>
    <row r="34" spans="2:6" ht="105" x14ac:dyDescent="0.25">
      <c r="B34" s="321" t="s">
        <v>3245</v>
      </c>
      <c r="C34" s="322" t="s">
        <v>563</v>
      </c>
      <c r="D34" s="323" t="s">
        <v>3398</v>
      </c>
      <c r="E34" s="324" t="s">
        <v>3399</v>
      </c>
      <c r="F34" s="178" t="s">
        <v>3191</v>
      </c>
    </row>
    <row r="35" spans="2:6" ht="105" x14ac:dyDescent="0.25">
      <c r="B35" s="321" t="s">
        <v>3245</v>
      </c>
      <c r="C35" s="322" t="s">
        <v>567</v>
      </c>
      <c r="D35" s="323" t="s">
        <v>3398</v>
      </c>
      <c r="E35" s="324" t="s">
        <v>3399</v>
      </c>
      <c r="F35" s="178" t="s">
        <v>3191</v>
      </c>
    </row>
    <row r="36" spans="2:6" ht="105" x14ac:dyDescent="0.25">
      <c r="B36" s="321" t="s">
        <v>3245</v>
      </c>
      <c r="C36" s="322" t="s">
        <v>283</v>
      </c>
      <c r="D36" s="323" t="s">
        <v>3398</v>
      </c>
      <c r="E36" s="324" t="s">
        <v>3399</v>
      </c>
      <c r="F36" s="178" t="s">
        <v>3191</v>
      </c>
    </row>
    <row r="37" spans="2:6" ht="105" x14ac:dyDescent="0.25">
      <c r="B37" s="321" t="s">
        <v>3245</v>
      </c>
      <c r="C37" s="322" t="s">
        <v>618</v>
      </c>
      <c r="D37" s="323" t="s">
        <v>3398</v>
      </c>
      <c r="E37" s="324" t="s">
        <v>3399</v>
      </c>
      <c r="F37" s="178" t="s">
        <v>3191</v>
      </c>
    </row>
    <row r="38" spans="2:6" ht="105" x14ac:dyDescent="0.25">
      <c r="B38" s="321" t="s">
        <v>3245</v>
      </c>
      <c r="C38" s="322" t="s">
        <v>423</v>
      </c>
      <c r="D38" s="323" t="s">
        <v>3398</v>
      </c>
      <c r="E38" s="324" t="s">
        <v>3399</v>
      </c>
      <c r="F38" s="178" t="s">
        <v>3191</v>
      </c>
    </row>
    <row r="39" spans="2:6" ht="105" x14ac:dyDescent="0.25">
      <c r="B39" s="321" t="s">
        <v>3245</v>
      </c>
      <c r="C39" s="322" t="s">
        <v>630</v>
      </c>
      <c r="D39" s="323" t="s">
        <v>3398</v>
      </c>
      <c r="E39" s="324" t="s">
        <v>3399</v>
      </c>
      <c r="F39" s="178" t="s">
        <v>3191</v>
      </c>
    </row>
    <row r="40" spans="2:6" ht="105" x14ac:dyDescent="0.25">
      <c r="B40" s="321" t="s">
        <v>3245</v>
      </c>
      <c r="C40" s="322" t="s">
        <v>3400</v>
      </c>
      <c r="D40" s="323" t="s">
        <v>3398</v>
      </c>
      <c r="E40" s="324" t="s">
        <v>3399</v>
      </c>
      <c r="F40" s="178" t="s">
        <v>3191</v>
      </c>
    </row>
    <row r="41" spans="2:6" ht="105" x14ac:dyDescent="0.25">
      <c r="B41" s="321" t="s">
        <v>3245</v>
      </c>
      <c r="C41" s="322" t="s">
        <v>3401</v>
      </c>
      <c r="D41" s="323" t="s">
        <v>3398</v>
      </c>
      <c r="E41" s="324" t="s">
        <v>3399</v>
      </c>
      <c r="F41" s="178" t="s">
        <v>3191</v>
      </c>
    </row>
    <row r="42" spans="2:6" ht="105" x14ac:dyDescent="0.25">
      <c r="B42" s="321" t="s">
        <v>3245</v>
      </c>
      <c r="C42" s="322" t="s">
        <v>3402</v>
      </c>
      <c r="D42" s="323" t="s">
        <v>3398</v>
      </c>
      <c r="E42" s="324" t="s">
        <v>3399</v>
      </c>
      <c r="F42" s="178" t="s">
        <v>3191</v>
      </c>
    </row>
    <row r="43" spans="2:6" ht="105" x14ac:dyDescent="0.25">
      <c r="B43" s="321" t="s">
        <v>3245</v>
      </c>
      <c r="C43" s="322" t="s">
        <v>3403</v>
      </c>
      <c r="D43" s="323" t="s">
        <v>3398</v>
      </c>
      <c r="E43" s="324" t="s">
        <v>3399</v>
      </c>
      <c r="F43" s="178" t="s">
        <v>3191</v>
      </c>
    </row>
    <row r="44" spans="2:6" ht="105" x14ac:dyDescent="0.25">
      <c r="B44" s="321" t="s">
        <v>3245</v>
      </c>
      <c r="C44" s="322" t="s">
        <v>3404</v>
      </c>
      <c r="D44" s="323" t="s">
        <v>3398</v>
      </c>
      <c r="E44" s="324" t="s">
        <v>3399</v>
      </c>
      <c r="F44" s="178" t="s">
        <v>3191</v>
      </c>
    </row>
    <row r="45" spans="2:6" ht="105" x14ac:dyDescent="0.25">
      <c r="B45" s="321" t="s">
        <v>3245</v>
      </c>
      <c r="C45" s="322" t="s">
        <v>3405</v>
      </c>
      <c r="D45" s="323" t="s">
        <v>3398</v>
      </c>
      <c r="E45" s="324" t="s">
        <v>3399</v>
      </c>
      <c r="F45" s="178" t="s">
        <v>3191</v>
      </c>
    </row>
    <row r="46" spans="2:6" ht="105" x14ac:dyDescent="0.25">
      <c r="B46" s="321" t="s">
        <v>3245</v>
      </c>
      <c r="C46" s="322" t="s">
        <v>655</v>
      </c>
      <c r="D46" s="323" t="s">
        <v>3398</v>
      </c>
      <c r="E46" s="324" t="s">
        <v>3399</v>
      </c>
      <c r="F46" s="178" t="s">
        <v>3191</v>
      </c>
    </row>
    <row r="47" spans="2:6" ht="105" x14ac:dyDescent="0.25">
      <c r="B47" s="321" t="s">
        <v>3245</v>
      </c>
      <c r="C47" s="322" t="s">
        <v>673</v>
      </c>
      <c r="D47" s="323" t="s">
        <v>3398</v>
      </c>
      <c r="E47" s="324" t="s">
        <v>3399</v>
      </c>
      <c r="F47" s="178" t="s">
        <v>3191</v>
      </c>
    </row>
    <row r="48" spans="2:6" ht="30" x14ac:dyDescent="0.25">
      <c r="B48" s="321" t="s">
        <v>3245</v>
      </c>
      <c r="C48" s="322" t="s">
        <v>821</v>
      </c>
      <c r="D48" s="323" t="s">
        <v>3406</v>
      </c>
      <c r="E48" s="324" t="s">
        <v>3407</v>
      </c>
      <c r="F48" s="178" t="s">
        <v>3191</v>
      </c>
    </row>
    <row r="49" spans="2:6" ht="45" x14ac:dyDescent="0.25">
      <c r="B49" s="321" t="s">
        <v>3245</v>
      </c>
      <c r="C49" s="322" t="s">
        <v>597</v>
      </c>
      <c r="D49" s="325" t="s">
        <v>3408</v>
      </c>
      <c r="E49" s="326" t="s">
        <v>3409</v>
      </c>
      <c r="F49" s="178" t="s">
        <v>3191</v>
      </c>
    </row>
    <row r="50" spans="2:6" ht="150" x14ac:dyDescent="0.25">
      <c r="B50" s="321" t="s">
        <v>3245</v>
      </c>
      <c r="C50" s="327" t="s">
        <v>664</v>
      </c>
      <c r="D50" s="328" t="s">
        <v>3410</v>
      </c>
      <c r="E50" s="329" t="s">
        <v>3411</v>
      </c>
      <c r="F50" s="178" t="s">
        <v>3191</v>
      </c>
    </row>
    <row r="51" spans="2:6" ht="150" x14ac:dyDescent="0.25">
      <c r="B51" s="202" t="s">
        <v>3185</v>
      </c>
      <c r="C51" s="224" t="s">
        <v>681</v>
      </c>
      <c r="D51" s="58" t="s">
        <v>3410</v>
      </c>
      <c r="E51" s="223" t="s">
        <v>3411</v>
      </c>
      <c r="F51" s="222" t="s">
        <v>3191</v>
      </c>
    </row>
    <row r="52" spans="2:6" ht="60" x14ac:dyDescent="0.25">
      <c r="B52" s="202" t="s">
        <v>3195</v>
      </c>
      <c r="C52" s="203" t="s">
        <v>3412</v>
      </c>
      <c r="D52" s="58" t="s">
        <v>3413</v>
      </c>
      <c r="E52" s="221" t="s">
        <v>3414</v>
      </c>
      <c r="F52" s="222" t="s">
        <v>3194</v>
      </c>
    </row>
    <row r="53" spans="2:6" ht="60" x14ac:dyDescent="0.25">
      <c r="B53" s="202" t="s">
        <v>3415</v>
      </c>
      <c r="C53" s="203" t="s">
        <v>896</v>
      </c>
      <c r="D53" s="58" t="s">
        <v>3416</v>
      </c>
      <c r="E53" s="221" t="s">
        <v>3417</v>
      </c>
      <c r="F53" s="222"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8" t="s">
        <v>3130</v>
      </c>
      <c r="C2" s="98" t="s">
        <v>3131</v>
      </c>
      <c r="D2" s="98" t="s">
        <v>3132</v>
      </c>
      <c r="E2" s="98" t="s">
        <v>3133</v>
      </c>
      <c r="F2" s="98" t="s">
        <v>3134</v>
      </c>
      <c r="G2" s="98" t="s">
        <v>3135</v>
      </c>
      <c r="H2" s="98" t="s">
        <v>3136</v>
      </c>
      <c r="I2" s="98" t="s">
        <v>148</v>
      </c>
      <c r="J2" s="98" t="s">
        <v>163</v>
      </c>
      <c r="K2" s="98" t="s">
        <v>376</v>
      </c>
      <c r="L2" s="98" t="s">
        <v>175</v>
      </c>
      <c r="M2" s="98" t="s">
        <v>182</v>
      </c>
      <c r="N2" s="98" t="s">
        <v>194</v>
      </c>
      <c r="O2" s="98" t="s">
        <v>391</v>
      </c>
      <c r="P2" s="98" t="s">
        <v>203</v>
      </c>
      <c r="Q2" s="98" t="s">
        <v>213</v>
      </c>
      <c r="R2" s="98" t="s">
        <v>224</v>
      </c>
      <c r="S2" s="98" t="s">
        <v>236</v>
      </c>
      <c r="T2" s="98" t="s">
        <v>248</v>
      </c>
      <c r="U2" s="98" t="s">
        <v>3418</v>
      </c>
      <c r="V2" s="98" t="s">
        <v>3419</v>
      </c>
      <c r="W2" s="98" t="s">
        <v>438</v>
      </c>
      <c r="X2" s="98" t="s">
        <v>443</v>
      </c>
      <c r="Y2" s="98" t="s">
        <v>312</v>
      </c>
      <c r="Z2" s="98" t="s">
        <v>324</v>
      </c>
      <c r="AA2" s="98" t="s">
        <v>337</v>
      </c>
      <c r="AB2" s="98" t="s">
        <v>344</v>
      </c>
      <c r="AC2" s="98" t="s">
        <v>351</v>
      </c>
    </row>
    <row r="3" spans="2:29" x14ac:dyDescent="0.25">
      <c r="B3" s="51" t="s">
        <v>3084</v>
      </c>
      <c r="C3" s="51">
        <v>1</v>
      </c>
      <c r="D3" s="51" t="s">
        <v>3420</v>
      </c>
      <c r="E3" s="119">
        <v>45441</v>
      </c>
      <c r="F3" s="51">
        <v>1</v>
      </c>
      <c r="G3" s="122">
        <v>1</v>
      </c>
      <c r="H3" s="122">
        <v>5903000000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row>
    <row r="4" spans="2:29" x14ac:dyDescent="0.25">
      <c r="B4" s="51" t="s">
        <v>3086</v>
      </c>
      <c r="C4" s="51">
        <v>2</v>
      </c>
      <c r="D4" s="51" t="s">
        <v>3421</v>
      </c>
      <c r="E4" s="119">
        <v>45441</v>
      </c>
      <c r="F4" s="51">
        <v>1</v>
      </c>
      <c r="G4" s="122">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row>
    <row r="5" spans="2:29" x14ac:dyDescent="0.25">
      <c r="B5" s="51" t="s">
        <v>3088</v>
      </c>
      <c r="C5" s="51">
        <v>3</v>
      </c>
      <c r="D5" s="51" t="s">
        <v>3422</v>
      </c>
      <c r="E5" s="119">
        <v>45441</v>
      </c>
      <c r="F5" s="51">
        <v>1</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v>0</v>
      </c>
      <c r="AC5" s="51" t="s">
        <v>3138</v>
      </c>
    </row>
    <row r="6" spans="2:29" x14ac:dyDescent="0.25">
      <c r="B6" s="121" t="s">
        <v>3093</v>
      </c>
      <c r="C6" s="51">
        <v>6</v>
      </c>
      <c r="D6" s="51" t="s">
        <v>3423</v>
      </c>
      <c r="E6" s="119">
        <v>45441</v>
      </c>
      <c r="F6" s="51">
        <v>1</v>
      </c>
      <c r="G6" s="51" cm="1">
        <f t="array" ref="G6">SUMPRODUCT(--(I6:AC6&gt;0))/COUNTA(I6:AC6)</f>
        <v>1</v>
      </c>
      <c r="H6" s="51" t="s">
        <v>3147</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x14ac:dyDescent="0.25">
      <c r="B7" s="51" t="s">
        <v>3096</v>
      </c>
      <c r="C7" s="51">
        <v>7</v>
      </c>
      <c r="D7" s="51" t="s">
        <v>3424</v>
      </c>
      <c r="E7" s="119">
        <v>45441</v>
      </c>
      <c r="F7" s="51">
        <v>1</v>
      </c>
      <c r="G7" s="51" cm="1">
        <f t="array" ref="G7">SUMPRODUCT(--(I7:AC7&lt;=I25:AC25))/COUNTA(I25:AC25)</f>
        <v>1</v>
      </c>
      <c r="H7" s="51" t="s">
        <v>3147</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x14ac:dyDescent="0.25">
      <c r="B8" s="51" t="s">
        <v>3099</v>
      </c>
      <c r="C8" s="51">
        <v>8</v>
      </c>
      <c r="D8" s="51" t="s">
        <v>3425</v>
      </c>
      <c r="E8" s="119">
        <v>45441</v>
      </c>
      <c r="F8" s="51">
        <v>1</v>
      </c>
      <c r="G8" s="51" t="s">
        <v>3138</v>
      </c>
      <c r="H8" s="51" t="s">
        <v>3147</v>
      </c>
      <c r="I8" s="51">
        <v>31</v>
      </c>
      <c r="J8" s="51">
        <v>7.0000079999999997E+21</v>
      </c>
      <c r="K8" s="51">
        <v>1</v>
      </c>
      <c r="L8" s="51" t="s">
        <v>3216</v>
      </c>
      <c r="M8" s="51">
        <v>0</v>
      </c>
      <c r="N8" s="51">
        <v>20</v>
      </c>
      <c r="O8" s="51">
        <v>1329</v>
      </c>
      <c r="P8" s="51">
        <v>31</v>
      </c>
      <c r="Q8" s="51">
        <v>3.2487001E+22</v>
      </c>
      <c r="R8" s="119">
        <v>21205</v>
      </c>
      <c r="S8" s="119">
        <v>1</v>
      </c>
      <c r="T8" s="51">
        <v>0</v>
      </c>
      <c r="U8" s="119">
        <v>1</v>
      </c>
      <c r="V8" s="122">
        <v>25</v>
      </c>
      <c r="W8" s="51">
        <v>40967</v>
      </c>
      <c r="X8" s="51">
        <v>0</v>
      </c>
      <c r="Y8" s="51" t="s">
        <v>3216</v>
      </c>
      <c r="Z8" s="51" t="s">
        <v>3149</v>
      </c>
      <c r="AA8" s="51" t="s">
        <v>3426</v>
      </c>
      <c r="AB8" s="119">
        <v>45441</v>
      </c>
      <c r="AC8" s="51" t="s">
        <v>3427</v>
      </c>
    </row>
    <row r="9" spans="2:29" x14ac:dyDescent="0.25">
      <c r="B9" s="51" t="s">
        <v>3101</v>
      </c>
      <c r="C9" s="51">
        <v>9</v>
      </c>
      <c r="D9" s="51" t="s">
        <v>3428</v>
      </c>
      <c r="E9" s="119">
        <v>45441</v>
      </c>
      <c r="F9" s="51">
        <v>1</v>
      </c>
      <c r="G9" s="51" t="s">
        <v>3138</v>
      </c>
      <c r="H9" s="51" t="s">
        <v>3147</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3147</v>
      </c>
      <c r="Y9" s="51">
        <v>5</v>
      </c>
      <c r="Z9" s="51" t="s">
        <v>3153</v>
      </c>
      <c r="AA9" s="51" t="s">
        <v>3426</v>
      </c>
      <c r="AB9" s="119">
        <v>45441</v>
      </c>
      <c r="AC9" s="51" t="s">
        <v>3429</v>
      </c>
    </row>
    <row r="10" spans="2:29" x14ac:dyDescent="0.25">
      <c r="B10" s="121" t="s">
        <v>3103</v>
      </c>
      <c r="C10" s="51">
        <v>10</v>
      </c>
      <c r="D10" s="51" t="s">
        <v>3430</v>
      </c>
      <c r="E10" s="119">
        <v>45441</v>
      </c>
      <c r="F10" s="51">
        <v>1</v>
      </c>
      <c r="G10" s="51" t="s">
        <v>3138</v>
      </c>
      <c r="H10" s="51" t="s">
        <v>3147</v>
      </c>
      <c r="I10" s="51">
        <v>31</v>
      </c>
      <c r="J10" s="51">
        <v>8.0013669999999995E+24</v>
      </c>
      <c r="K10" s="51" t="s">
        <v>3431</v>
      </c>
      <c r="L10" s="51" t="s">
        <v>3216</v>
      </c>
      <c r="M10" s="51">
        <v>0</v>
      </c>
      <c r="N10" s="51">
        <v>20</v>
      </c>
      <c r="O10" s="51">
        <v>814</v>
      </c>
      <c r="P10" s="51">
        <v>31</v>
      </c>
      <c r="Q10" s="51">
        <v>2.3950315126102001E+29</v>
      </c>
      <c r="R10" s="119">
        <v>45441</v>
      </c>
      <c r="S10" s="119">
        <v>1</v>
      </c>
      <c r="T10" s="119">
        <v>978</v>
      </c>
      <c r="U10" s="119">
        <v>45441</v>
      </c>
      <c r="V10" s="122">
        <v>260</v>
      </c>
      <c r="W10" s="119">
        <v>45441</v>
      </c>
      <c r="X10" s="122">
        <v>250</v>
      </c>
      <c r="Y10" s="51" t="s">
        <v>3216</v>
      </c>
      <c r="Z10" s="51" t="s">
        <v>3149</v>
      </c>
      <c r="AA10" s="51" t="s">
        <v>3426</v>
      </c>
      <c r="AB10" s="119">
        <v>45441</v>
      </c>
      <c r="AC10" s="119" t="s">
        <v>3427</v>
      </c>
    </row>
    <row r="11" spans="2:29" x14ac:dyDescent="0.25">
      <c r="B11" s="51" t="s">
        <v>3105</v>
      </c>
      <c r="C11" s="51">
        <v>11</v>
      </c>
      <c r="D11" s="51" t="s">
        <v>3432</v>
      </c>
      <c r="E11" s="119">
        <v>45441</v>
      </c>
      <c r="F11" s="51">
        <v>1</v>
      </c>
      <c r="G11" s="51" t="s">
        <v>3138</v>
      </c>
      <c r="H11" s="51" t="s">
        <v>3147</v>
      </c>
      <c r="I11" s="51">
        <v>31</v>
      </c>
      <c r="J11" s="51">
        <v>8.0013669999999995E+24</v>
      </c>
      <c r="K11" s="51" t="s">
        <v>3431</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3153</v>
      </c>
      <c r="AA11" s="51" t="s">
        <v>3426</v>
      </c>
      <c r="AB11" s="119">
        <v>45441</v>
      </c>
      <c r="AC11" s="119" t="s">
        <v>3433</v>
      </c>
    </row>
    <row r="12" spans="2:29" x14ac:dyDescent="0.25">
      <c r="B12" s="51" t="s">
        <v>3107</v>
      </c>
      <c r="C12" s="51">
        <v>12</v>
      </c>
      <c r="D12" s="51" t="s">
        <v>3434</v>
      </c>
      <c r="E12" s="119">
        <v>45441</v>
      </c>
      <c r="F12" s="51">
        <v>1</v>
      </c>
      <c r="G12" s="51">
        <v>0.71428599999999998</v>
      </c>
      <c r="H12" s="51" t="s">
        <v>3147</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x14ac:dyDescent="0.25">
      <c r="B13" s="51" t="s">
        <v>3109</v>
      </c>
      <c r="C13" s="51">
        <v>13</v>
      </c>
      <c r="D13" s="51" t="s">
        <v>3435</v>
      </c>
      <c r="E13" s="119">
        <v>45441</v>
      </c>
      <c r="F13" s="51">
        <v>1</v>
      </c>
      <c r="G13" s="122">
        <v>1</v>
      </c>
      <c r="H13" s="51" t="s">
        <v>3147</v>
      </c>
      <c r="I13" s="51" t="s">
        <v>3138</v>
      </c>
      <c r="J13" s="51" t="s">
        <v>3138</v>
      </c>
      <c r="K13" s="51" t="s">
        <v>3138</v>
      </c>
      <c r="L13" s="51" t="s">
        <v>3138</v>
      </c>
      <c r="M13" s="51" t="s">
        <v>3138</v>
      </c>
      <c r="N13" s="51" t="s">
        <v>3138</v>
      </c>
      <c r="O13" s="51" t="s">
        <v>3138</v>
      </c>
      <c r="P13" s="51" t="s">
        <v>3138</v>
      </c>
      <c r="Q13" s="51" t="s">
        <v>3138</v>
      </c>
      <c r="R13" s="120">
        <v>0</v>
      </c>
      <c r="S13" s="120">
        <v>0</v>
      </c>
      <c r="T13" s="120" t="s">
        <v>3138</v>
      </c>
      <c r="U13" s="120">
        <v>0</v>
      </c>
      <c r="V13" s="120" t="s">
        <v>3138</v>
      </c>
      <c r="W13" s="122">
        <v>0</v>
      </c>
      <c r="X13" s="120" t="s">
        <v>3138</v>
      </c>
      <c r="Y13" s="122" t="s">
        <v>3138</v>
      </c>
      <c r="Z13" s="51" t="s">
        <v>3138</v>
      </c>
      <c r="AA13" s="51" t="s">
        <v>3138</v>
      </c>
      <c r="AB13" s="119" t="s">
        <v>3138</v>
      </c>
      <c r="AC13" s="119" t="s">
        <v>3138</v>
      </c>
    </row>
    <row r="14" spans="2:29" x14ac:dyDescent="0.25">
      <c r="B14" s="51" t="s">
        <v>3111</v>
      </c>
      <c r="C14" s="51">
        <v>14</v>
      </c>
      <c r="D14" s="51" t="s">
        <v>3436</v>
      </c>
      <c r="E14" s="119">
        <v>45441</v>
      </c>
      <c r="F14" s="51">
        <v>1</v>
      </c>
      <c r="G14" s="122">
        <v>1</v>
      </c>
      <c r="H14" s="51" t="s">
        <v>3147</v>
      </c>
      <c r="I14" s="51">
        <v>0</v>
      </c>
      <c r="J14" s="51">
        <v>0</v>
      </c>
      <c r="K14" s="51">
        <v>0</v>
      </c>
      <c r="L14" s="51">
        <v>0</v>
      </c>
      <c r="M14" s="51">
        <v>0</v>
      </c>
      <c r="N14" s="51">
        <v>0</v>
      </c>
      <c r="O14" s="51">
        <v>0</v>
      </c>
      <c r="P14" s="51">
        <v>0</v>
      </c>
      <c r="Q14" s="51">
        <v>0</v>
      </c>
      <c r="R14" s="51" t="s">
        <v>3138</v>
      </c>
      <c r="S14" s="51" t="s">
        <v>3138</v>
      </c>
      <c r="T14" s="51">
        <v>0</v>
      </c>
      <c r="U14" s="51" t="s">
        <v>3138</v>
      </c>
      <c r="V14" s="51" t="s">
        <v>3138</v>
      </c>
      <c r="W14" s="51" t="s">
        <v>3138</v>
      </c>
      <c r="X14" s="51" t="s">
        <v>3138</v>
      </c>
      <c r="Y14" s="51">
        <v>0</v>
      </c>
      <c r="Z14" s="51">
        <v>0</v>
      </c>
      <c r="AA14" s="51">
        <v>0</v>
      </c>
      <c r="AB14" s="51" t="s">
        <v>3138</v>
      </c>
      <c r="AC14" s="51" t="s">
        <v>3138</v>
      </c>
    </row>
    <row r="15" spans="2:29" x14ac:dyDescent="0.25">
      <c r="B15" s="51" t="s">
        <v>3113</v>
      </c>
      <c r="C15" s="51">
        <v>15</v>
      </c>
      <c r="D15" s="51" t="s">
        <v>3437</v>
      </c>
      <c r="E15" s="119">
        <v>45441</v>
      </c>
      <c r="F15" s="51">
        <v>1</v>
      </c>
      <c r="G15" s="122">
        <v>1</v>
      </c>
      <c r="H15" s="214" t="s">
        <v>3147</v>
      </c>
      <c r="I15" s="51" t="s">
        <v>3138</v>
      </c>
      <c r="J15" s="51" t="s">
        <v>3138</v>
      </c>
      <c r="K15" s="51" t="s">
        <v>3138</v>
      </c>
      <c r="L15" s="51" t="s">
        <v>3138</v>
      </c>
      <c r="M15" s="51" t="s">
        <v>3138</v>
      </c>
      <c r="N15" s="51" t="s">
        <v>3138</v>
      </c>
      <c r="O15" s="51" t="s">
        <v>3138</v>
      </c>
      <c r="P15" s="51" t="s">
        <v>3138</v>
      </c>
      <c r="Q15" s="51" t="s">
        <v>3138</v>
      </c>
      <c r="R15" s="121" t="s">
        <v>3138</v>
      </c>
      <c r="S15" s="121" t="s">
        <v>3138</v>
      </c>
      <c r="T15" s="121" t="s">
        <v>3138</v>
      </c>
      <c r="U15" s="121" t="s">
        <v>3138</v>
      </c>
      <c r="V15" s="121" t="s">
        <v>3138</v>
      </c>
      <c r="W15" s="121" t="s">
        <v>3138</v>
      </c>
      <c r="X15" s="121" t="s">
        <v>3138</v>
      </c>
      <c r="Y15" s="51" t="s">
        <v>3138</v>
      </c>
      <c r="Z15" s="51" t="s">
        <v>3138</v>
      </c>
      <c r="AA15" s="51" t="s">
        <v>3138</v>
      </c>
      <c r="AB15" s="51" t="s">
        <v>3138</v>
      </c>
      <c r="AC15" s="51" t="s">
        <v>3138</v>
      </c>
    </row>
    <row r="16" spans="2:29" x14ac:dyDescent="0.25">
      <c r="B16" s="51" t="s">
        <v>3115</v>
      </c>
      <c r="C16" s="51">
        <v>16</v>
      </c>
      <c r="D16" s="51" t="s">
        <v>3437</v>
      </c>
      <c r="E16" s="119">
        <v>45441</v>
      </c>
      <c r="F16" s="51">
        <v>1</v>
      </c>
      <c r="G16" s="122">
        <v>1</v>
      </c>
      <c r="H16" s="214" t="s">
        <v>3147</v>
      </c>
      <c r="I16" s="51" t="s">
        <v>3138</v>
      </c>
      <c r="J16" s="51" t="s">
        <v>3138</v>
      </c>
      <c r="K16" s="51" t="s">
        <v>3138</v>
      </c>
      <c r="L16" s="51" t="s">
        <v>3138</v>
      </c>
      <c r="M16" s="51" t="s">
        <v>3138</v>
      </c>
      <c r="N16" s="51" t="s">
        <v>3138</v>
      </c>
      <c r="O16" s="51" t="s">
        <v>3138</v>
      </c>
      <c r="P16" s="51" t="s">
        <v>3138</v>
      </c>
      <c r="Q16" s="51" t="s">
        <v>3138</v>
      </c>
      <c r="R16" s="51" t="s">
        <v>3138</v>
      </c>
      <c r="S16" s="51" t="s">
        <v>3138</v>
      </c>
      <c r="T16" s="51" t="s">
        <v>3138</v>
      </c>
      <c r="U16" s="51" t="s">
        <v>3138</v>
      </c>
      <c r="V16" s="51" t="s">
        <v>3138</v>
      </c>
      <c r="W16" s="51" t="s">
        <v>3138</v>
      </c>
      <c r="X16" s="51" t="s">
        <v>3138</v>
      </c>
      <c r="Y16" s="51" t="s">
        <v>3138</v>
      </c>
      <c r="Z16" s="51" t="s">
        <v>3138</v>
      </c>
      <c r="AA16" s="51" t="s">
        <v>3138</v>
      </c>
      <c r="AB16" s="51" t="s">
        <v>3138</v>
      </c>
      <c r="AC16" s="51" t="s">
        <v>3138</v>
      </c>
    </row>
    <row r="17" spans="2:31" x14ac:dyDescent="0.25">
      <c r="B17" s="51" t="s">
        <v>3121</v>
      </c>
      <c r="C17" s="51">
        <v>19</v>
      </c>
      <c r="D17" s="51" t="s">
        <v>3438</v>
      </c>
      <c r="E17" s="119">
        <v>45441</v>
      </c>
      <c r="F17" s="51">
        <v>1</v>
      </c>
      <c r="G17" s="51" cm="1">
        <f t="array" ref="G17">SUMPRODUCT(--(ISNUMBER((SEARCH(I23:AC23,I17:AC17)))))/COUNTA(I17:AC17)</f>
        <v>0</v>
      </c>
      <c r="H17" s="122" t="s">
        <v>3147</v>
      </c>
      <c r="I17" s="51" t="s">
        <v>3172</v>
      </c>
      <c r="J17" s="51" t="s">
        <v>3172</v>
      </c>
      <c r="K17" s="51" t="s">
        <v>3172</v>
      </c>
      <c r="L17" s="51" t="s">
        <v>3172</v>
      </c>
      <c r="M17" s="51" t="s">
        <v>3172</v>
      </c>
      <c r="N17" s="51" t="s">
        <v>3172</v>
      </c>
      <c r="O17" s="51" t="s">
        <v>3172</v>
      </c>
      <c r="P17" s="51" t="s">
        <v>3172</v>
      </c>
      <c r="Q17" s="51" t="s">
        <v>3172</v>
      </c>
      <c r="R17" s="51" t="s">
        <v>3172</v>
      </c>
      <c r="S17" s="51" t="s">
        <v>3172</v>
      </c>
      <c r="T17" s="51" t="s">
        <v>3172</v>
      </c>
      <c r="U17" s="51" t="s">
        <v>3172</v>
      </c>
      <c r="V17" s="51" t="s">
        <v>3439</v>
      </c>
      <c r="W17" s="51" t="s">
        <v>3172</v>
      </c>
      <c r="X17" s="51" t="s">
        <v>3439</v>
      </c>
      <c r="Y17" s="51" t="s">
        <v>3172</v>
      </c>
      <c r="Z17" s="51" t="s">
        <v>3172</v>
      </c>
      <c r="AA17" s="51" t="s">
        <v>3172</v>
      </c>
      <c r="AB17" s="51" t="s">
        <v>3172</v>
      </c>
      <c r="AC17" s="51" t="s">
        <v>3174</v>
      </c>
    </row>
    <row r="18" spans="2:31" x14ac:dyDescent="0.25">
      <c r="B18" s="51" t="s">
        <v>3124</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x14ac:dyDescent="0.25">
      <c r="B19" s="51" t="s">
        <v>3127</v>
      </c>
      <c r="C19" s="51">
        <v>21</v>
      </c>
      <c r="D19" s="51"/>
      <c r="E19" s="119"/>
      <c r="F19" s="51"/>
      <c r="G19" s="51" cm="1">
        <f t="array" ref="G19">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x14ac:dyDescent="0.25">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x14ac:dyDescent="0.25">
      <c r="B22" s="164" t="s">
        <v>3244</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x14ac:dyDescent="0.25">
      <c r="B23" s="173" t="s">
        <v>3130</v>
      </c>
      <c r="C23" s="155" t="s">
        <v>3131</v>
      </c>
      <c r="D23" s="155" t="s">
        <v>3132</v>
      </c>
      <c r="E23" s="155" t="s">
        <v>3133</v>
      </c>
      <c r="F23" s="155" t="s">
        <v>3134</v>
      </c>
      <c r="G23" s="155" t="s">
        <v>3135</v>
      </c>
      <c r="H23" s="155" t="s">
        <v>3136</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x14ac:dyDescent="0.25">
      <c r="B24" s="139" t="s">
        <v>3175</v>
      </c>
      <c r="C24" s="167">
        <v>21</v>
      </c>
      <c r="D24" s="136" t="s">
        <v>3176</v>
      </c>
      <c r="E24" s="135" t="s">
        <v>3177</v>
      </c>
      <c r="F24" s="135" t="s">
        <v>366</v>
      </c>
      <c r="G24" s="135" t="s">
        <v>366</v>
      </c>
      <c r="H24" s="135" t="s">
        <v>366</v>
      </c>
      <c r="I24" s="135" t="str" cm="1">
        <f t="array" ref="I24:AC25">TRANSPOSE(_xlfn.SORTBY(_xlfn._xlws.FILTER(IF(Table3[FORMATO]:Table3[COMP_ CAMPO]&lt;&gt;"",Table3[FORMATO]:Table3[COMP_ CAMPO],9999999),Table3[NOME FÍSICO TABELA]="bank_vault"), _xlfn._xlws.FILTER(Table3[ORDEM], Table3[NOME FÍSICO TABELA]="bank_vault"), 1))</f>
        <v>STRING</v>
      </c>
      <c r="J24" s="135" t="str">
        <v>STRING</v>
      </c>
      <c r="K24" s="135" t="str">
        <v>STRING</v>
      </c>
      <c r="L24" s="135" t="str">
        <v>STRING</v>
      </c>
      <c r="M24" s="135" t="str">
        <v>STRING</v>
      </c>
      <c r="N24" s="135" t="str">
        <v>STRING</v>
      </c>
      <c r="O24" s="135" t="str">
        <v>STRING</v>
      </c>
      <c r="P24" s="135" t="str">
        <v>STRING</v>
      </c>
      <c r="Q24" s="135" t="str">
        <v>STRING</v>
      </c>
      <c r="R24" s="135" t="str">
        <v>STRING</v>
      </c>
      <c r="S24" s="135" t="str">
        <v>STRING</v>
      </c>
      <c r="T24" s="135" t="str">
        <v>STRING</v>
      </c>
      <c r="U24" s="135" t="str">
        <v>STRING</v>
      </c>
      <c r="V24" s="135" t="str">
        <v>DECIMAL</v>
      </c>
      <c r="W24" s="135" t="str">
        <v>STRING</v>
      </c>
      <c r="X24" s="135" t="str">
        <v>DECIMAL</v>
      </c>
      <c r="Y24" s="135" t="str">
        <v>STRING</v>
      </c>
      <c r="Z24" s="135" t="str">
        <v>STRING</v>
      </c>
      <c r="AA24" s="135" t="str">
        <v>STRING</v>
      </c>
      <c r="AB24" s="135" t="str">
        <v>STRING</v>
      </c>
      <c r="AC24" s="135" t="str">
        <v>TIMESTAMP</v>
      </c>
      <c r="AD24" s="196"/>
      <c r="AE24" s="243"/>
    </row>
    <row r="25" spans="2:31" x14ac:dyDescent="0.25">
      <c r="B25" s="141" t="s">
        <v>3178</v>
      </c>
      <c r="C25" s="137">
        <v>7</v>
      </c>
      <c r="D25" s="143" t="s">
        <v>3176</v>
      </c>
      <c r="E25" s="142" t="s">
        <v>3177</v>
      </c>
      <c r="F25" s="142" t="s">
        <v>366</v>
      </c>
      <c r="G25" s="142" t="s">
        <v>366</v>
      </c>
      <c r="H25" s="142" t="s">
        <v>366</v>
      </c>
      <c r="I25" s="137">
        <v>4</v>
      </c>
      <c r="J25" s="137">
        <v>30</v>
      </c>
      <c r="K25" s="137">
        <v>15</v>
      </c>
      <c r="L25" s="137">
        <v>4</v>
      </c>
      <c r="M25" s="137">
        <v>4</v>
      </c>
      <c r="N25" s="137">
        <v>4</v>
      </c>
      <c r="O25" s="137">
        <v>4</v>
      </c>
      <c r="P25" s="137">
        <v>4</v>
      </c>
      <c r="Q25" s="137">
        <v>30</v>
      </c>
      <c r="R25" s="137">
        <v>10</v>
      </c>
      <c r="S25" s="137">
        <v>10</v>
      </c>
      <c r="T25" s="137">
        <v>4</v>
      </c>
      <c r="U25" s="137">
        <v>10</v>
      </c>
      <c r="V25" s="137">
        <v>23</v>
      </c>
      <c r="W25" s="137">
        <v>10</v>
      </c>
      <c r="X25" s="137">
        <v>23</v>
      </c>
      <c r="Y25" s="137">
        <v>4</v>
      </c>
      <c r="Z25" s="137">
        <v>4</v>
      </c>
      <c r="AA25" s="137">
        <v>2</v>
      </c>
      <c r="AB25" s="137">
        <v>10</v>
      </c>
      <c r="AC25" s="137">
        <v>23</v>
      </c>
      <c r="AD25" s="244"/>
      <c r="AE25" s="51"/>
    </row>
    <row r="27" spans="2:31" x14ac:dyDescent="0.25">
      <c r="B27" s="164" t="s">
        <v>3179</v>
      </c>
    </row>
    <row r="28" spans="2:31" x14ac:dyDescent="0.25">
      <c r="B28" s="158" t="s">
        <v>3180</v>
      </c>
      <c r="C28" s="158" t="s">
        <v>3181</v>
      </c>
      <c r="D28" s="159" t="s">
        <v>3182</v>
      </c>
      <c r="E28" s="158" t="s">
        <v>3183</v>
      </c>
      <c r="F28" s="158" t="s">
        <v>3184</v>
      </c>
    </row>
    <row r="29" spans="2:31" ht="45" x14ac:dyDescent="0.25">
      <c r="B29" s="135" t="s">
        <v>3245</v>
      </c>
      <c r="C29" s="139" t="s">
        <v>443</v>
      </c>
      <c r="D29" s="54" t="s">
        <v>3440</v>
      </c>
      <c r="E29" s="160" t="s">
        <v>3441</v>
      </c>
      <c r="F29" s="160" t="s">
        <v>3191</v>
      </c>
    </row>
    <row r="30" spans="2:31" ht="45" x14ac:dyDescent="0.25">
      <c r="B30" s="135" t="s">
        <v>3245</v>
      </c>
      <c r="C30" s="139" t="s">
        <v>438</v>
      </c>
      <c r="D30" s="54" t="s">
        <v>3440</v>
      </c>
      <c r="E30" s="160" t="s">
        <v>3441</v>
      </c>
      <c r="F30" s="160"/>
    </row>
    <row r="31" spans="2:31" ht="45" x14ac:dyDescent="0.25">
      <c r="B31" s="135" t="s">
        <v>3245</v>
      </c>
      <c r="C31" s="139" t="s">
        <v>3418</v>
      </c>
      <c r="D31" s="54" t="s">
        <v>3442</v>
      </c>
      <c r="E31" s="160" t="s">
        <v>3443</v>
      </c>
      <c r="F31" s="160"/>
    </row>
    <row r="32" spans="2:31" ht="45" x14ac:dyDescent="0.25">
      <c r="B32" s="135" t="s">
        <v>3245</v>
      </c>
      <c r="C32" s="139" t="s">
        <v>3444</v>
      </c>
      <c r="D32" s="54" t="s">
        <v>3442</v>
      </c>
      <c r="E32" s="160" t="s">
        <v>3443</v>
      </c>
      <c r="F32" s="160" t="s">
        <v>3191</v>
      </c>
    </row>
    <row r="33" spans="2:6" ht="30" x14ac:dyDescent="0.25">
      <c r="B33" s="161" t="s">
        <v>3245</v>
      </c>
      <c r="C33" s="162" t="s">
        <v>182</v>
      </c>
      <c r="D33" s="163" t="s">
        <v>3445</v>
      </c>
      <c r="E33" s="213" t="s">
        <v>3446</v>
      </c>
      <c r="F33" s="160" t="s">
        <v>3191</v>
      </c>
    </row>
    <row r="34" spans="2:6" ht="30" x14ac:dyDescent="0.25">
      <c r="B34" s="161" t="s">
        <v>3245</v>
      </c>
      <c r="C34" s="162" t="s">
        <v>194</v>
      </c>
      <c r="D34" s="163" t="s">
        <v>3445</v>
      </c>
      <c r="E34" s="213" t="s">
        <v>3446</v>
      </c>
      <c r="F34"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8" t="s">
        <v>3130</v>
      </c>
      <c r="C2" s="98" t="s">
        <v>3131</v>
      </c>
      <c r="D2" s="98" t="s">
        <v>3132</v>
      </c>
      <c r="E2" s="98" t="s">
        <v>3133</v>
      </c>
      <c r="F2" s="98" t="s">
        <v>3134</v>
      </c>
      <c r="G2" s="98" t="s">
        <v>3135</v>
      </c>
      <c r="H2" s="98" t="s">
        <v>3136</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x14ac:dyDescent="0.25">
      <c r="B3" s="51" t="s">
        <v>3084</v>
      </c>
      <c r="C3" s="51">
        <v>1</v>
      </c>
      <c r="D3" s="51" t="s">
        <v>3447</v>
      </c>
      <c r="E3" s="119">
        <v>45439</v>
      </c>
      <c r="F3" s="51">
        <v>1</v>
      </c>
      <c r="G3" s="217">
        <v>1</v>
      </c>
      <c r="H3" s="215" t="s">
        <v>3448</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x14ac:dyDescent="0.25">
      <c r="B4" s="51" t="s">
        <v>3086</v>
      </c>
      <c r="C4" s="51">
        <v>2</v>
      </c>
      <c r="D4" s="51" t="s">
        <v>3449</v>
      </c>
      <c r="E4" s="119">
        <v>45439</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x14ac:dyDescent="0.25">
      <c r="B5" s="51" t="s">
        <v>3088</v>
      </c>
      <c r="C5" s="51">
        <v>3</v>
      </c>
      <c r="D5" s="51" t="s">
        <v>3450</v>
      </c>
      <c r="E5" s="119">
        <v>45439</v>
      </c>
      <c r="F5" s="51">
        <v>1</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x14ac:dyDescent="0.25">
      <c r="B6" s="121" t="s">
        <v>3090</v>
      </c>
      <c r="C6" s="51">
        <v>4</v>
      </c>
      <c r="D6" s="51" t="s">
        <v>3450</v>
      </c>
      <c r="E6" s="119" t="s">
        <v>3138</v>
      </c>
      <c r="F6" s="51">
        <v>1</v>
      </c>
      <c r="G6" s="217" t="s">
        <v>3138</v>
      </c>
      <c r="H6" s="51">
        <v>0</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x14ac:dyDescent="0.25">
      <c r="B7" s="51" t="s">
        <v>3092</v>
      </c>
      <c r="C7" s="51">
        <v>5</v>
      </c>
      <c r="D7" s="51" t="s">
        <v>3450</v>
      </c>
      <c r="E7" s="119" t="s">
        <v>3138</v>
      </c>
      <c r="F7" s="51">
        <v>1</v>
      </c>
      <c r="G7" s="217" t="s">
        <v>3138</v>
      </c>
      <c r="H7" s="51">
        <v>0</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x14ac:dyDescent="0.25">
      <c r="B8" s="121" t="s">
        <v>3093</v>
      </c>
      <c r="C8" s="51">
        <v>6</v>
      </c>
      <c r="D8" s="51" t="s">
        <v>3451</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3096</v>
      </c>
      <c r="C9" s="51">
        <v>7</v>
      </c>
      <c r="D9" s="51" t="s">
        <v>3452</v>
      </c>
      <c r="E9" s="119">
        <v>45439</v>
      </c>
      <c r="F9" s="51">
        <v>1</v>
      </c>
      <c r="G9" s="217" cm="1">
        <f t="array" ref="G9">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x14ac:dyDescent="0.25">
      <c r="B10" s="51" t="s">
        <v>3099</v>
      </c>
      <c r="C10" s="51">
        <v>8</v>
      </c>
      <c r="D10" s="51" t="s">
        <v>3453</v>
      </c>
      <c r="E10" s="119">
        <v>45439</v>
      </c>
      <c r="F10" s="51">
        <v>1</v>
      </c>
      <c r="G10" s="217" t="s">
        <v>3138</v>
      </c>
      <c r="H10" s="51">
        <v>0</v>
      </c>
      <c r="I10" s="51">
        <v>31</v>
      </c>
      <c r="J10" s="209">
        <v>300001496092</v>
      </c>
      <c r="K10" s="51" t="s">
        <v>3216</v>
      </c>
      <c r="L10" s="51">
        <v>90</v>
      </c>
      <c r="M10" s="51">
        <v>1</v>
      </c>
      <c r="N10" s="51">
        <v>31</v>
      </c>
      <c r="O10" s="51">
        <v>2.0461000999999998E+22</v>
      </c>
      <c r="P10" s="119" t="s">
        <v>3146</v>
      </c>
      <c r="Q10" s="119">
        <v>2958465</v>
      </c>
      <c r="R10" s="51">
        <v>978</v>
      </c>
      <c r="S10" s="122">
        <v>-25991130000</v>
      </c>
      <c r="T10" s="51" t="s">
        <v>3216</v>
      </c>
      <c r="U10" s="51" t="s">
        <v>3149</v>
      </c>
      <c r="V10" s="119">
        <v>45439</v>
      </c>
      <c r="W10" s="51" t="s">
        <v>3454</v>
      </c>
    </row>
    <row r="11" spans="2:23" x14ac:dyDescent="0.25">
      <c r="B11" s="51" t="s">
        <v>3101</v>
      </c>
      <c r="C11" s="51">
        <v>9</v>
      </c>
      <c r="D11" s="51" t="s">
        <v>3455</v>
      </c>
      <c r="E11" s="119">
        <v>45439</v>
      </c>
      <c r="F11" s="51">
        <v>1</v>
      </c>
      <c r="G11" s="217" t="s">
        <v>3138</v>
      </c>
      <c r="H11" s="51">
        <v>0</v>
      </c>
      <c r="I11" s="51">
        <v>31</v>
      </c>
      <c r="J11" s="209">
        <v>300001496092</v>
      </c>
      <c r="K11" s="51"/>
      <c r="L11" s="51">
        <v>90</v>
      </c>
      <c r="M11" s="51">
        <v>1</v>
      </c>
      <c r="N11" s="51"/>
      <c r="O11" s="51">
        <v>2.0461000999999998E+22</v>
      </c>
      <c r="P11" s="51" t="s">
        <v>3146</v>
      </c>
      <c r="Q11" s="119">
        <v>2958465</v>
      </c>
      <c r="R11" s="51">
        <v>978</v>
      </c>
      <c r="S11" s="122" t="s">
        <v>3456</v>
      </c>
      <c r="T11" s="51">
        <v>0</v>
      </c>
      <c r="U11" s="51" t="s">
        <v>3153</v>
      </c>
      <c r="V11" s="119">
        <v>45439</v>
      </c>
      <c r="W11" s="51" t="s">
        <v>3457</v>
      </c>
    </row>
    <row r="12" spans="2:23" x14ac:dyDescent="0.25">
      <c r="B12" s="121" t="s">
        <v>3103</v>
      </c>
      <c r="C12" s="51">
        <v>10</v>
      </c>
      <c r="D12" s="51" t="s">
        <v>3458</v>
      </c>
      <c r="E12" s="119">
        <v>45439</v>
      </c>
      <c r="F12" s="51">
        <v>1</v>
      </c>
      <c r="G12" s="217" t="s">
        <v>3138</v>
      </c>
      <c r="H12" s="51">
        <v>0</v>
      </c>
      <c r="I12" s="51">
        <v>31</v>
      </c>
      <c r="J12" s="209">
        <v>689000000023092</v>
      </c>
      <c r="K12" s="51" t="s">
        <v>3216</v>
      </c>
      <c r="L12" s="51">
        <v>92</v>
      </c>
      <c r="M12" s="51" t="s">
        <v>3228</v>
      </c>
      <c r="N12" s="51">
        <v>31</v>
      </c>
      <c r="O12" s="51">
        <v>2.3970029463101999E+29</v>
      </c>
      <c r="P12" s="119">
        <v>45439</v>
      </c>
      <c r="Q12" s="119">
        <v>2958465</v>
      </c>
      <c r="R12" s="51">
        <v>978</v>
      </c>
      <c r="S12" s="122">
        <v>5423613370000</v>
      </c>
      <c r="T12" s="51" t="s">
        <v>3216</v>
      </c>
      <c r="U12" s="51" t="s">
        <v>3149</v>
      </c>
      <c r="V12" s="119">
        <v>45439</v>
      </c>
      <c r="W12" s="51" t="s">
        <v>3454</v>
      </c>
    </row>
    <row r="13" spans="2:23" x14ac:dyDescent="0.25">
      <c r="B13" s="51" t="s">
        <v>3105</v>
      </c>
      <c r="C13" s="51">
        <v>11</v>
      </c>
      <c r="D13" s="51" t="s">
        <v>3459</v>
      </c>
      <c r="E13" s="119">
        <v>45439</v>
      </c>
      <c r="F13" s="51">
        <v>1</v>
      </c>
      <c r="G13" s="217" t="s">
        <v>3138</v>
      </c>
      <c r="H13" s="51">
        <v>0</v>
      </c>
      <c r="I13" s="51">
        <v>31</v>
      </c>
      <c r="J13" s="209">
        <v>689000000023092</v>
      </c>
      <c r="K13" s="51"/>
      <c r="L13" s="51">
        <v>92</v>
      </c>
      <c r="M13" s="51" t="s">
        <v>3228</v>
      </c>
      <c r="N13" s="51"/>
      <c r="O13" s="51">
        <v>2.3970029463101999E+29</v>
      </c>
      <c r="P13" s="119">
        <v>45439</v>
      </c>
      <c r="Q13" s="119">
        <v>2958465</v>
      </c>
      <c r="R13" s="51">
        <v>978</v>
      </c>
      <c r="S13" s="122" t="s">
        <v>3460</v>
      </c>
      <c r="T13" s="51">
        <v>0</v>
      </c>
      <c r="U13" s="51" t="s">
        <v>3153</v>
      </c>
      <c r="V13" s="119">
        <v>45439</v>
      </c>
      <c r="W13" s="51" t="s">
        <v>3461</v>
      </c>
    </row>
    <row r="14" spans="2:23" x14ac:dyDescent="0.25">
      <c r="B14" s="51" t="s">
        <v>3107</v>
      </c>
      <c r="C14" s="51">
        <v>12</v>
      </c>
      <c r="D14" s="51" t="s">
        <v>3462</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3109</v>
      </c>
      <c r="C15" s="51">
        <v>13</v>
      </c>
      <c r="D15" s="51" t="s">
        <v>3463</v>
      </c>
      <c r="E15" s="119">
        <v>45439</v>
      </c>
      <c r="F15" s="51">
        <v>1</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x14ac:dyDescent="0.25">
      <c r="B16" s="51" t="s">
        <v>3111</v>
      </c>
      <c r="C16" s="51">
        <v>14</v>
      </c>
      <c r="D16" s="51" t="s">
        <v>3464</v>
      </c>
      <c r="E16" s="119">
        <v>45439</v>
      </c>
      <c r="F16" s="51">
        <v>1</v>
      </c>
      <c r="G16" s="217">
        <v>1</v>
      </c>
      <c r="H16" s="51">
        <v>0</v>
      </c>
      <c r="I16" s="51">
        <v>0</v>
      </c>
      <c r="J16" s="51">
        <v>0</v>
      </c>
      <c r="K16" s="51">
        <v>0</v>
      </c>
      <c r="L16" s="51">
        <v>0</v>
      </c>
      <c r="M16" s="51">
        <v>0</v>
      </c>
      <c r="N16" s="51">
        <v>0</v>
      </c>
      <c r="O16" s="51">
        <v>0</v>
      </c>
      <c r="P16" s="51" t="s">
        <v>3138</v>
      </c>
      <c r="Q16" s="51" t="s">
        <v>3138</v>
      </c>
      <c r="R16" s="51">
        <v>0</v>
      </c>
      <c r="S16" s="51" t="s">
        <v>3138</v>
      </c>
      <c r="T16" s="51">
        <v>0</v>
      </c>
      <c r="U16" s="51">
        <v>0</v>
      </c>
      <c r="V16" s="51" t="s">
        <v>3138</v>
      </c>
      <c r="W16" s="51" t="s">
        <v>3138</v>
      </c>
    </row>
    <row r="17" spans="2:23" x14ac:dyDescent="0.25">
      <c r="B17" s="51" t="s">
        <v>3113</v>
      </c>
      <c r="C17" s="51">
        <v>15</v>
      </c>
      <c r="D17" s="51" t="s">
        <v>3465</v>
      </c>
      <c r="E17" s="119">
        <v>45439</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3" x14ac:dyDescent="0.25">
      <c r="B18" s="51" t="s">
        <v>3115</v>
      </c>
      <c r="C18" s="51">
        <v>16</v>
      </c>
      <c r="D18" s="51" t="s">
        <v>3465</v>
      </c>
      <c r="E18" s="119">
        <v>45439</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3" x14ac:dyDescent="0.25">
      <c r="B19" s="51" t="s">
        <v>3121</v>
      </c>
      <c r="C19" s="51">
        <v>19</v>
      </c>
      <c r="D19" s="51" t="s">
        <v>3466</v>
      </c>
      <c r="E19" s="119">
        <v>45439</v>
      </c>
      <c r="F19" s="51">
        <v>1</v>
      </c>
      <c r="G19" s="217" cm="1">
        <f t="array" ref="G19">SUMPRODUCT(--(ISNUMBER((SEARCH(I25:W25,I19:W19)))))/COUNTA(I19:W19)</f>
        <v>1</v>
      </c>
      <c r="H19" s="51">
        <v>0</v>
      </c>
      <c r="I19" s="51" t="s">
        <v>3172</v>
      </c>
      <c r="J19" s="51" t="s">
        <v>3172</v>
      </c>
      <c r="K19" s="51" t="s">
        <v>3172</v>
      </c>
      <c r="L19" s="51" t="s">
        <v>3172</v>
      </c>
      <c r="M19" s="51" t="s">
        <v>3172</v>
      </c>
      <c r="N19" s="51" t="s">
        <v>3172</v>
      </c>
      <c r="O19" s="51" t="s">
        <v>3172</v>
      </c>
      <c r="P19" s="51" t="s">
        <v>3172</v>
      </c>
      <c r="Q19" s="51" t="s">
        <v>3172</v>
      </c>
      <c r="R19" s="51" t="s">
        <v>3172</v>
      </c>
      <c r="S19" s="51" t="s">
        <v>3173</v>
      </c>
      <c r="T19" s="51" t="s">
        <v>3172</v>
      </c>
      <c r="U19" s="51" t="s">
        <v>3172</v>
      </c>
      <c r="V19" s="51" t="s">
        <v>3172</v>
      </c>
      <c r="W19" s="51" t="s">
        <v>3174</v>
      </c>
    </row>
    <row r="20" spans="2:23" x14ac:dyDescent="0.25">
      <c r="B20" s="51" t="s">
        <v>3124</v>
      </c>
      <c r="C20" s="51">
        <v>20</v>
      </c>
      <c r="D20" s="51" t="s">
        <v>3467</v>
      </c>
      <c r="E20" s="119">
        <v>45439</v>
      </c>
      <c r="F20" s="51">
        <v>1</v>
      </c>
      <c r="G20" s="217" cm="1">
        <f t="array" ref="G20">SUM(IF(I2:S2 = I24:S24, 1, 0))/ COUNTA(I2:S2)</f>
        <v>1</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row>
    <row r="21" spans="2:23" x14ac:dyDescent="0.25">
      <c r="B21" s="51" t="s">
        <v>3127</v>
      </c>
      <c r="C21" s="51">
        <v>21</v>
      </c>
      <c r="D21" s="51" t="s">
        <v>3467</v>
      </c>
      <c r="E21" s="119">
        <v>45439</v>
      </c>
      <c r="F21" s="51">
        <v>1</v>
      </c>
      <c r="G21" s="217" cm="1">
        <f t="array" ref="G21">SUM(IF(IF(G3:G20="null",1,G3:G20)=1,1,0))/COUNT(IF(G3:G20="null",1,1))</f>
        <v>1</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row>
    <row r="22" spans="2:23" x14ac:dyDescent="0.2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25">
      <c r="B23" s="165" t="s">
        <v>3244</v>
      </c>
      <c r="C23" s="166"/>
      <c r="D23" s="166"/>
      <c r="E23" s="166"/>
      <c r="F23" s="166"/>
      <c r="G23" s="166"/>
      <c r="H23" s="166"/>
    </row>
    <row r="24" spans="2:23" x14ac:dyDescent="0.25">
      <c r="B24" s="152" t="s">
        <v>3130</v>
      </c>
      <c r="C24" s="153" t="s">
        <v>3131</v>
      </c>
      <c r="D24" s="153" t="s">
        <v>3132</v>
      </c>
      <c r="E24" s="153" t="s">
        <v>3133</v>
      </c>
      <c r="F24" s="153" t="s">
        <v>3134</v>
      </c>
      <c r="G24" s="153" t="s">
        <v>3135</v>
      </c>
      <c r="H24" s="153" t="s">
        <v>3136</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x14ac:dyDescent="0.25">
      <c r="B25" s="131" t="s">
        <v>3175</v>
      </c>
      <c r="C25" s="134">
        <v>21</v>
      </c>
      <c r="D25" s="128" t="s">
        <v>3176</v>
      </c>
      <c r="E25" s="127" t="s">
        <v>3177</v>
      </c>
      <c r="F25" s="127" t="s">
        <v>366</v>
      </c>
      <c r="G25" s="127" t="s">
        <v>366</v>
      </c>
      <c r="H25" s="127" t="s">
        <v>366</v>
      </c>
      <c r="I25" s="127"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DECIMAL</v>
      </c>
      <c r="T25" s="127" t="str">
        <v>STRING</v>
      </c>
      <c r="U25" s="127" t="str">
        <v>STRING</v>
      </c>
      <c r="V25" s="127" t="str">
        <v>STRING</v>
      </c>
      <c r="W25" s="133" t="str">
        <v>TIMESTAMP</v>
      </c>
    </row>
    <row r="26" spans="2:23" x14ac:dyDescent="0.25">
      <c r="B26" s="131" t="s">
        <v>3178</v>
      </c>
      <c r="C26" s="134">
        <v>7</v>
      </c>
      <c r="D26" s="128" t="s">
        <v>3176</v>
      </c>
      <c r="E26" s="127" t="s">
        <v>3177</v>
      </c>
      <c r="F26" s="129" t="s">
        <v>366</v>
      </c>
      <c r="G26" s="129" t="s">
        <v>366</v>
      </c>
      <c r="H26" s="129" t="s">
        <v>366</v>
      </c>
      <c r="I26" s="175">
        <v>4</v>
      </c>
      <c r="J26" s="175">
        <v>15</v>
      </c>
      <c r="K26" s="175">
        <v>4</v>
      </c>
      <c r="L26" s="175">
        <v>4</v>
      </c>
      <c r="M26" s="175">
        <v>4</v>
      </c>
      <c r="N26" s="175">
        <v>4</v>
      </c>
      <c r="O26" s="175">
        <v>30</v>
      </c>
      <c r="P26" s="175">
        <v>10</v>
      </c>
      <c r="Q26" s="175">
        <v>10</v>
      </c>
      <c r="R26" s="175">
        <v>4</v>
      </c>
      <c r="S26" s="175">
        <v>23</v>
      </c>
      <c r="T26" s="175">
        <v>4</v>
      </c>
      <c r="U26" s="175">
        <v>4</v>
      </c>
      <c r="V26" s="175">
        <v>10</v>
      </c>
      <c r="W26" s="176">
        <v>23</v>
      </c>
    </row>
    <row r="28" spans="2:23" x14ac:dyDescent="0.25">
      <c r="B28" s="164" t="s">
        <v>3179</v>
      </c>
    </row>
    <row r="29" spans="2:23" x14ac:dyDescent="0.25">
      <c r="B29" s="158" t="s">
        <v>3180</v>
      </c>
      <c r="C29" s="158" t="s">
        <v>3181</v>
      </c>
      <c r="D29" s="159" t="s">
        <v>3182</v>
      </c>
      <c r="E29" s="158" t="s">
        <v>3183</v>
      </c>
      <c r="F29" s="158" t="s">
        <v>3184</v>
      </c>
    </row>
    <row r="30" spans="2:23"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8" t="s">
        <v>3130</v>
      </c>
      <c r="C2" s="98" t="s">
        <v>3131</v>
      </c>
      <c r="D2" s="98" t="s">
        <v>3132</v>
      </c>
      <c r="E2" s="98" t="s">
        <v>3133</v>
      </c>
      <c r="F2" s="98" t="s">
        <v>3134</v>
      </c>
      <c r="G2" s="98" t="s">
        <v>3135</v>
      </c>
      <c r="H2" s="98" t="s">
        <v>3136</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x14ac:dyDescent="0.25">
      <c r="B3" s="51" t="s">
        <v>3084</v>
      </c>
      <c r="C3" s="51">
        <v>1</v>
      </c>
      <c r="D3" s="51" t="s">
        <v>3468</v>
      </c>
      <c r="E3" s="119">
        <v>45433</v>
      </c>
      <c r="F3" s="51">
        <v>2</v>
      </c>
      <c r="G3" s="217">
        <v>1</v>
      </c>
      <c r="H3" s="51">
        <v>15076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x14ac:dyDescent="0.25">
      <c r="B4" s="51" t="s">
        <v>3086</v>
      </c>
      <c r="C4" s="51">
        <v>2</v>
      </c>
      <c r="D4" s="51" t="s">
        <v>3469</v>
      </c>
      <c r="E4" s="119">
        <v>45433</v>
      </c>
      <c r="F4" s="51">
        <v>2</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x14ac:dyDescent="0.25">
      <c r="B5" s="51" t="s">
        <v>3088</v>
      </c>
      <c r="C5" s="51">
        <v>3</v>
      </c>
      <c r="D5" s="51" t="s">
        <v>3470</v>
      </c>
      <c r="E5" s="119">
        <v>45433</v>
      </c>
      <c r="F5" s="51">
        <v>2</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x14ac:dyDescent="0.25">
      <c r="B6" s="121" t="s">
        <v>3090</v>
      </c>
      <c r="C6" s="51">
        <v>4</v>
      </c>
      <c r="D6" s="51" t="s">
        <v>3141</v>
      </c>
      <c r="E6" s="119" t="s">
        <v>3138</v>
      </c>
      <c r="F6" s="51">
        <v>2</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x14ac:dyDescent="0.25">
      <c r="B7" s="51" t="s">
        <v>3092</v>
      </c>
      <c r="C7" s="51">
        <v>5</v>
      </c>
      <c r="D7" s="51" t="s">
        <v>3141</v>
      </c>
      <c r="E7" s="119" t="s">
        <v>3138</v>
      </c>
      <c r="F7" s="51">
        <v>2</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x14ac:dyDescent="0.25">
      <c r="B8" s="121" t="s">
        <v>3093</v>
      </c>
      <c r="C8" s="51">
        <v>6</v>
      </c>
      <c r="D8" s="51" t="s">
        <v>3471</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3096</v>
      </c>
      <c r="C9" s="51">
        <v>7</v>
      </c>
      <c r="D9" s="51" t="s">
        <v>3472</v>
      </c>
      <c r="E9" s="119">
        <v>45433</v>
      </c>
      <c r="F9" s="51">
        <v>2</v>
      </c>
      <c r="G9" s="217" cm="1">
        <f t="array" ref="G9">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x14ac:dyDescent="0.25">
      <c r="B10" s="51" t="s">
        <v>3099</v>
      </c>
      <c r="C10" s="51">
        <v>8</v>
      </c>
      <c r="D10" s="51" t="s">
        <v>3473</v>
      </c>
      <c r="E10" s="119">
        <v>45433</v>
      </c>
      <c r="F10" s="51">
        <v>2</v>
      </c>
      <c r="G10" s="51" t="s">
        <v>3138</v>
      </c>
      <c r="H10" s="51">
        <v>0</v>
      </c>
      <c r="I10" s="51">
        <v>31</v>
      </c>
      <c r="J10" s="51">
        <v>50000028007</v>
      </c>
      <c r="K10" s="51" t="s">
        <v>3368</v>
      </c>
      <c r="L10" s="51">
        <v>7</v>
      </c>
      <c r="M10" s="51">
        <v>101</v>
      </c>
      <c r="N10" s="51">
        <v>31</v>
      </c>
      <c r="O10" s="51">
        <v>2.2822000999999998E+22</v>
      </c>
      <c r="P10" s="119">
        <v>35300</v>
      </c>
      <c r="Q10" s="119">
        <v>2958465</v>
      </c>
      <c r="R10" s="51">
        <v>124</v>
      </c>
      <c r="S10" s="122" t="s">
        <v>3147</v>
      </c>
      <c r="T10" s="51" t="s">
        <v>3148</v>
      </c>
      <c r="U10" s="51" t="s">
        <v>3149</v>
      </c>
      <c r="V10" s="119">
        <v>45433</v>
      </c>
      <c r="W10" s="51" t="s">
        <v>3474</v>
      </c>
    </row>
    <row r="11" spans="2:23" x14ac:dyDescent="0.25">
      <c r="B11" s="51" t="s">
        <v>3101</v>
      </c>
      <c r="C11" s="51">
        <v>9</v>
      </c>
      <c r="D11" s="51" t="s">
        <v>3475</v>
      </c>
      <c r="E11" s="119">
        <v>45433</v>
      </c>
      <c r="F11" s="51">
        <v>2</v>
      </c>
      <c r="G11" s="51" t="s">
        <v>3138</v>
      </c>
      <c r="H11" s="51">
        <v>0</v>
      </c>
      <c r="I11" s="51">
        <v>31</v>
      </c>
      <c r="J11" s="51">
        <v>50000028007</v>
      </c>
      <c r="K11" s="51"/>
      <c r="L11" s="51">
        <v>7</v>
      </c>
      <c r="M11" s="51">
        <v>101</v>
      </c>
      <c r="N11" s="51"/>
      <c r="O11" s="51">
        <v>2.2822000999999998E+22</v>
      </c>
      <c r="P11" s="119">
        <v>35300</v>
      </c>
      <c r="Q11" s="119">
        <v>2958465</v>
      </c>
      <c r="R11" s="51">
        <v>124</v>
      </c>
      <c r="S11" s="51" t="s">
        <v>3223</v>
      </c>
      <c r="T11" s="51">
        <v>0</v>
      </c>
      <c r="U11" s="51" t="s">
        <v>3371</v>
      </c>
      <c r="V11" s="119">
        <v>45433</v>
      </c>
      <c r="W11" s="51" t="s">
        <v>3476</v>
      </c>
    </row>
    <row r="12" spans="2:23" x14ac:dyDescent="0.25">
      <c r="B12" s="121" t="s">
        <v>3103</v>
      </c>
      <c r="C12" s="51">
        <v>10</v>
      </c>
      <c r="D12" s="51" t="s">
        <v>3477</v>
      </c>
      <c r="E12" s="119">
        <v>45433</v>
      </c>
      <c r="F12" s="51">
        <v>2</v>
      </c>
      <c r="G12" s="51" t="s">
        <v>3138</v>
      </c>
      <c r="H12" s="51">
        <v>0</v>
      </c>
      <c r="I12" s="51">
        <v>31</v>
      </c>
      <c r="J12" s="209">
        <v>607500070000019</v>
      </c>
      <c r="K12" s="51" t="s">
        <v>3368</v>
      </c>
      <c r="L12" s="51">
        <v>7</v>
      </c>
      <c r="M12" s="51" t="s">
        <v>3374</v>
      </c>
      <c r="N12" s="51">
        <v>31</v>
      </c>
      <c r="O12" s="51">
        <v>2.3930258433501999E+29</v>
      </c>
      <c r="P12" s="119">
        <v>45429</v>
      </c>
      <c r="Q12" s="119">
        <v>2958465</v>
      </c>
      <c r="R12" s="51">
        <v>978</v>
      </c>
      <c r="S12" s="181" t="s">
        <v>3478</v>
      </c>
      <c r="T12" s="51" t="s">
        <v>3148</v>
      </c>
      <c r="U12" s="51" t="s">
        <v>3479</v>
      </c>
      <c r="V12" s="119">
        <v>45433</v>
      </c>
      <c r="W12" s="51" t="s">
        <v>3474</v>
      </c>
    </row>
    <row r="13" spans="2:23" x14ac:dyDescent="0.25">
      <c r="B13" s="51" t="s">
        <v>3105</v>
      </c>
      <c r="C13" s="51">
        <v>11</v>
      </c>
      <c r="D13" s="51" t="s">
        <v>3480</v>
      </c>
      <c r="E13" s="119">
        <v>45433</v>
      </c>
      <c r="F13" s="51">
        <v>2</v>
      </c>
      <c r="G13" s="51" t="s">
        <v>3138</v>
      </c>
      <c r="H13" s="51">
        <v>0</v>
      </c>
      <c r="I13" s="51">
        <v>31</v>
      </c>
      <c r="J13" s="209">
        <v>607500070000019</v>
      </c>
      <c r="K13" s="51"/>
      <c r="L13" s="51">
        <v>7</v>
      </c>
      <c r="M13" s="51" t="s">
        <v>3374</v>
      </c>
      <c r="N13" s="51"/>
      <c r="O13" s="51">
        <v>2.3930258433501999E+29</v>
      </c>
      <c r="P13" s="119">
        <v>45429</v>
      </c>
      <c r="Q13" s="119">
        <v>2958465</v>
      </c>
      <c r="R13" s="51">
        <v>978</v>
      </c>
      <c r="S13" s="51" t="s">
        <v>3379</v>
      </c>
      <c r="T13" s="51">
        <v>0</v>
      </c>
      <c r="U13" s="51" t="s">
        <v>3153</v>
      </c>
      <c r="V13" s="119">
        <v>45433</v>
      </c>
      <c r="W13" s="51" t="s">
        <v>3481</v>
      </c>
    </row>
    <row r="14" spans="2:23" x14ac:dyDescent="0.25">
      <c r="B14" s="51" t="s">
        <v>3107</v>
      </c>
      <c r="C14" s="51">
        <v>12</v>
      </c>
      <c r="D14" s="51" t="s">
        <v>3482</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3109</v>
      </c>
      <c r="C15" s="51">
        <v>13</v>
      </c>
      <c r="D15" s="51" t="s">
        <v>3483</v>
      </c>
      <c r="E15" s="119">
        <v>45433</v>
      </c>
      <c r="F15" s="51">
        <v>2</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x14ac:dyDescent="0.25">
      <c r="B16" s="51" t="s">
        <v>3111</v>
      </c>
      <c r="C16" s="51">
        <v>14</v>
      </c>
      <c r="D16" s="51" t="s">
        <v>3484</v>
      </c>
      <c r="E16" s="119">
        <v>45433</v>
      </c>
      <c r="F16" s="51">
        <v>2</v>
      </c>
      <c r="G16" s="217">
        <v>1</v>
      </c>
      <c r="H16" s="51">
        <v>0</v>
      </c>
      <c r="I16" s="51">
        <v>0</v>
      </c>
      <c r="J16" s="51">
        <v>0</v>
      </c>
      <c r="K16" s="51">
        <v>0</v>
      </c>
      <c r="L16" s="51">
        <v>0</v>
      </c>
      <c r="M16" s="51">
        <v>0</v>
      </c>
      <c r="N16" s="51">
        <v>0</v>
      </c>
      <c r="O16" s="51">
        <v>0</v>
      </c>
      <c r="P16" s="51" t="s">
        <v>3138</v>
      </c>
      <c r="Q16" s="51" t="s">
        <v>3138</v>
      </c>
      <c r="R16" s="51">
        <v>0</v>
      </c>
      <c r="S16" s="51" t="s">
        <v>3138</v>
      </c>
      <c r="T16" s="51">
        <v>0</v>
      </c>
      <c r="U16" s="51">
        <v>0</v>
      </c>
      <c r="V16" s="51" t="s">
        <v>3138</v>
      </c>
      <c r="W16" s="51" t="s">
        <v>3138</v>
      </c>
    </row>
    <row r="17" spans="2:23" x14ac:dyDescent="0.25">
      <c r="B17" s="51" t="s">
        <v>3113</v>
      </c>
      <c r="C17" s="51">
        <v>15</v>
      </c>
      <c r="D17" s="51" t="s">
        <v>3485</v>
      </c>
      <c r="E17" s="119">
        <v>45433</v>
      </c>
      <c r="F17" s="51">
        <v>2</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3" x14ac:dyDescent="0.25">
      <c r="B18" s="51" t="s">
        <v>3115</v>
      </c>
      <c r="C18" s="51">
        <v>16</v>
      </c>
      <c r="D18" s="51" t="s">
        <v>3485</v>
      </c>
      <c r="E18" s="119">
        <v>45433</v>
      </c>
      <c r="F18" s="51">
        <v>2</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3" x14ac:dyDescent="0.25">
      <c r="B19" s="51" t="s">
        <v>3121</v>
      </c>
      <c r="C19" s="51">
        <v>19</v>
      </c>
      <c r="D19" s="51" t="s">
        <v>3486</v>
      </c>
      <c r="E19" s="119">
        <v>45433</v>
      </c>
      <c r="F19" s="51">
        <v>2</v>
      </c>
      <c r="G19" s="234" cm="1">
        <f t="array" ref="G19">SUMPRODUCT(--(ISNUMBER((SEARCH(I25:W25,I19:W19)))))/COUNTA(I19:W19)</f>
        <v>0.8666666666666667</v>
      </c>
      <c r="H19" s="51">
        <v>0</v>
      </c>
      <c r="I19" s="51" t="s">
        <v>3172</v>
      </c>
      <c r="J19" s="51" t="s">
        <v>3172</v>
      </c>
      <c r="K19" s="51" t="s">
        <v>3172</v>
      </c>
      <c r="L19" s="51" t="s">
        <v>3172</v>
      </c>
      <c r="M19" s="51" t="s">
        <v>3172</v>
      </c>
      <c r="N19" s="51" t="s">
        <v>3172</v>
      </c>
      <c r="O19" s="51" t="s">
        <v>3172</v>
      </c>
      <c r="P19" s="51" t="s">
        <v>3487</v>
      </c>
      <c r="Q19" s="51" t="s">
        <v>3487</v>
      </c>
      <c r="R19" s="51" t="s">
        <v>3172</v>
      </c>
      <c r="S19" s="51" t="s">
        <v>3173</v>
      </c>
      <c r="T19" s="51" t="s">
        <v>3172</v>
      </c>
      <c r="U19" s="51" t="s">
        <v>3172</v>
      </c>
      <c r="V19" s="51" t="s">
        <v>3172</v>
      </c>
      <c r="W19" s="51" t="s">
        <v>3174</v>
      </c>
    </row>
    <row r="20" spans="2:23" x14ac:dyDescent="0.25">
      <c r="B20" s="51" t="s">
        <v>3124</v>
      </c>
      <c r="C20" s="51">
        <v>20</v>
      </c>
      <c r="D20" s="51" t="s">
        <v>3488</v>
      </c>
      <c r="E20" s="119">
        <v>45433</v>
      </c>
      <c r="F20" s="51">
        <v>1</v>
      </c>
      <c r="G20" s="217" cm="1">
        <f t="array" ref="G20">SUM(IF(I2:W2 = I24:W24, 1, 0))/ COUNTA(I2:W2)</f>
        <v>1</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row>
    <row r="21" spans="2:23" x14ac:dyDescent="0.25">
      <c r="B21" s="51" t="s">
        <v>3127</v>
      </c>
      <c r="C21" s="51">
        <v>21</v>
      </c>
      <c r="D21" s="51" t="s">
        <v>3488</v>
      </c>
      <c r="E21" s="119">
        <v>45433</v>
      </c>
      <c r="F21" s="51">
        <v>1</v>
      </c>
      <c r="G21" s="217" cm="1">
        <f t="array" ref="G21">SUM(IF(IF(G3:G20="null",1,G3:G20)=1,1,0))/COUNT(IF(G3:G20="null",1,1))</f>
        <v>0.94444444444444442</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row>
    <row r="22" spans="2:23" x14ac:dyDescent="0.25">
      <c r="B22" s="51"/>
      <c r="C22" s="51"/>
      <c r="D22" s="51"/>
      <c r="E22" s="119"/>
      <c r="F22" s="51"/>
      <c r="G22" s="51"/>
      <c r="H22" s="51"/>
      <c r="I22" s="51"/>
      <c r="J22" s="51"/>
      <c r="K22" s="51"/>
      <c r="L22" s="51"/>
      <c r="M22" s="51"/>
      <c r="N22" s="51"/>
      <c r="O22" s="51"/>
      <c r="P22" s="51"/>
      <c r="Q22" s="51"/>
      <c r="R22" s="51"/>
      <c r="S22" s="51"/>
      <c r="T22" s="51"/>
      <c r="U22" s="51"/>
      <c r="V22" s="51"/>
      <c r="W22" s="51"/>
    </row>
    <row r="23" spans="2:23" x14ac:dyDescent="0.25">
      <c r="B23" s="154" t="s">
        <v>3244</v>
      </c>
    </row>
    <row r="24" spans="2:23" x14ac:dyDescent="0.25">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x14ac:dyDescent="0.25">
      <c r="B25" s="131" t="s">
        <v>3175</v>
      </c>
      <c r="C25" s="134">
        <v>21</v>
      </c>
      <c r="D25" s="128" t="s">
        <v>3176</v>
      </c>
      <c r="E25" s="127" t="s">
        <v>3177</v>
      </c>
      <c r="F25" s="127" t="s">
        <v>366</v>
      </c>
      <c r="G25" s="127" t="s">
        <v>366</v>
      </c>
      <c r="H25" s="127" t="s">
        <v>366</v>
      </c>
      <c r="I25" s="127" t="str" cm="1">
        <f t="array" ref="I25:W26">TRANSPOSE(_xlfn.SORTBY(_xlfn._xlws.FILTER(IF(Table3[FORMATO]:Table3[COMP_ CAMPO]&lt;&gt;"",Table3[FORMATO]:Table3[COMP_ CAMPO],9999999),Table3[NOME FÍSICO TABELA]="confirming_process"), _xlfn._xlws.FILTER(Table3[ORDEM], Table3[NOME FÍSICO TABELA]="confirming_process"),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DECIMAL</v>
      </c>
      <c r="T25" s="127" t="str">
        <v>STRING</v>
      </c>
      <c r="U25" s="127" t="str">
        <v>STRING</v>
      </c>
      <c r="V25" s="127" t="str">
        <v>STRING</v>
      </c>
      <c r="W25" s="133" t="str">
        <v>TIMESTAMP</v>
      </c>
    </row>
    <row r="26" spans="2:23" x14ac:dyDescent="0.25">
      <c r="B26" s="131" t="s">
        <v>3178</v>
      </c>
      <c r="C26" s="134">
        <v>7</v>
      </c>
      <c r="D26" s="128" t="s">
        <v>3176</v>
      </c>
      <c r="E26" s="127" t="s">
        <v>3177</v>
      </c>
      <c r="F26" s="129" t="s">
        <v>366</v>
      </c>
      <c r="G26" s="129" t="s">
        <v>366</v>
      </c>
      <c r="H26" s="129" t="s">
        <v>366</v>
      </c>
      <c r="I26" s="175">
        <v>4</v>
      </c>
      <c r="J26" s="175">
        <v>15</v>
      </c>
      <c r="K26" s="175">
        <v>4</v>
      </c>
      <c r="L26" s="175">
        <v>4</v>
      </c>
      <c r="M26" s="175">
        <v>4</v>
      </c>
      <c r="N26" s="175">
        <v>4</v>
      </c>
      <c r="O26" s="175">
        <v>30</v>
      </c>
      <c r="P26" s="175">
        <v>10</v>
      </c>
      <c r="Q26" s="175">
        <v>10</v>
      </c>
      <c r="R26" s="175">
        <v>4</v>
      </c>
      <c r="S26" s="175">
        <v>23</v>
      </c>
      <c r="T26" s="175">
        <v>4</v>
      </c>
      <c r="U26" s="175">
        <v>4</v>
      </c>
      <c r="V26" s="175">
        <v>10</v>
      </c>
      <c r="W26" s="176">
        <v>23</v>
      </c>
    </row>
    <row r="28" spans="2:23" x14ac:dyDescent="0.25">
      <c r="B28" s="164" t="s">
        <v>3179</v>
      </c>
    </row>
    <row r="29" spans="2:23" x14ac:dyDescent="0.25">
      <c r="B29" s="158" t="s">
        <v>3180</v>
      </c>
      <c r="C29" s="158" t="s">
        <v>3181</v>
      </c>
      <c r="D29" s="159" t="s">
        <v>3182</v>
      </c>
      <c r="E29" s="158" t="s">
        <v>3183</v>
      </c>
      <c r="F29" s="158" t="s">
        <v>3184</v>
      </c>
    </row>
    <row r="30" spans="2:23"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8" t="s">
        <v>3255</v>
      </c>
      <c r="C2" s="98" t="s">
        <v>3131</v>
      </c>
      <c r="D2" s="98" t="s">
        <v>3132</v>
      </c>
      <c r="E2" s="98" t="s">
        <v>3133</v>
      </c>
      <c r="F2" s="98" t="s">
        <v>3134</v>
      </c>
      <c r="G2" s="98" t="s">
        <v>3135</v>
      </c>
      <c r="H2" s="98" t="s">
        <v>3136</v>
      </c>
      <c r="I2" s="98" t="s">
        <v>148</v>
      </c>
      <c r="J2" s="98" t="s">
        <v>567</v>
      </c>
      <c r="K2" s="153" t="s">
        <v>203</v>
      </c>
      <c r="L2" s="153" t="s">
        <v>213</v>
      </c>
      <c r="M2" s="153" t="s">
        <v>1670</v>
      </c>
      <c r="N2" s="98" t="s">
        <v>1677</v>
      </c>
      <c r="O2" s="98" t="s">
        <v>1683</v>
      </c>
      <c r="P2" s="98" t="s">
        <v>1690</v>
      </c>
      <c r="Q2" s="98" t="s">
        <v>224</v>
      </c>
      <c r="R2" s="98" t="s">
        <v>236</v>
      </c>
      <c r="S2" s="98" t="s">
        <v>248</v>
      </c>
      <c r="T2" s="98" t="s">
        <v>3489</v>
      </c>
      <c r="U2" s="98" t="s">
        <v>3490</v>
      </c>
      <c r="V2" s="98" t="s">
        <v>735</v>
      </c>
      <c r="W2" s="98" t="s">
        <v>741</v>
      </c>
      <c r="X2" s="98" t="s">
        <v>344</v>
      </c>
      <c r="Y2" s="98" t="s">
        <v>351</v>
      </c>
    </row>
    <row r="3" spans="2:25" x14ac:dyDescent="0.25">
      <c r="B3" s="51" t="s">
        <v>3084</v>
      </c>
      <c r="C3" s="51">
        <v>1</v>
      </c>
      <c r="D3" s="51" t="s">
        <v>3491</v>
      </c>
      <c r="E3" s="119">
        <v>45390</v>
      </c>
      <c r="F3" s="51">
        <v>1</v>
      </c>
      <c r="G3" s="122">
        <v>1</v>
      </c>
      <c r="H3" s="122" t="s">
        <v>3492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row>
    <row r="4" spans="2:25" x14ac:dyDescent="0.25">
      <c r="B4" s="51" t="s">
        <v>3086</v>
      </c>
      <c r="C4" s="51">
        <v>2</v>
      </c>
      <c r="D4" s="51" t="s">
        <v>3493</v>
      </c>
      <c r="E4" s="119">
        <v>45390</v>
      </c>
      <c r="F4" s="51">
        <v>1</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row>
    <row r="5" spans="2:25" x14ac:dyDescent="0.25">
      <c r="B5" s="51" t="s">
        <v>3088</v>
      </c>
      <c r="C5" s="51">
        <v>3</v>
      </c>
      <c r="D5" s="51" t="s">
        <v>3494</v>
      </c>
      <c r="E5" s="119">
        <v>45390</v>
      </c>
      <c r="F5" s="51">
        <v>1</v>
      </c>
      <c r="G5" s="122">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v>0</v>
      </c>
      <c r="Y5" s="51" t="s">
        <v>3138</v>
      </c>
    </row>
    <row r="6" spans="2:25" x14ac:dyDescent="0.25">
      <c r="B6" s="51" t="s">
        <v>3090</v>
      </c>
      <c r="C6" s="51">
        <v>4</v>
      </c>
      <c r="D6" s="51" t="s">
        <v>3141</v>
      </c>
      <c r="E6" s="119" t="s">
        <v>3138</v>
      </c>
      <c r="F6" s="51">
        <v>1</v>
      </c>
      <c r="G6" s="119" t="s">
        <v>3138</v>
      </c>
      <c r="H6" s="51" t="s">
        <v>3223</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row>
    <row r="7" spans="2:25" x14ac:dyDescent="0.25">
      <c r="B7" s="51" t="s">
        <v>3092</v>
      </c>
      <c r="C7" s="51">
        <v>5</v>
      </c>
      <c r="D7" s="51" t="s">
        <v>3141</v>
      </c>
      <c r="E7" s="119" t="s">
        <v>3138</v>
      </c>
      <c r="F7" s="51">
        <v>1</v>
      </c>
      <c r="G7" s="119" t="s">
        <v>3138</v>
      </c>
      <c r="H7" s="51" t="s">
        <v>3223</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row>
    <row r="8" spans="2:25" x14ac:dyDescent="0.25">
      <c r="B8" s="51" t="s">
        <v>3093</v>
      </c>
      <c r="C8" s="51">
        <v>6</v>
      </c>
      <c r="D8" s="51" t="s">
        <v>3495</v>
      </c>
      <c r="E8" s="119">
        <v>45390</v>
      </c>
      <c r="F8" s="51">
        <v>1</v>
      </c>
      <c r="G8" s="51" cm="1">
        <f t="array" ref="G8">SUMPRODUCT(--(I8:Y8&gt;0))/COUNTA(I8:Y8)</f>
        <v>1</v>
      </c>
      <c r="H8" s="51" t="s">
        <v>3223</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x14ac:dyDescent="0.25">
      <c r="B9" s="51" t="s">
        <v>3096</v>
      </c>
      <c r="C9" s="51">
        <v>7</v>
      </c>
      <c r="D9" s="51" t="s">
        <v>3496</v>
      </c>
      <c r="E9" s="119">
        <v>45390</v>
      </c>
      <c r="F9" s="51">
        <v>1</v>
      </c>
      <c r="G9" s="51" cm="1">
        <f t="array" ref="G9">SUMPRODUCT(--(I9:Y9&lt;=I26:Y26))/COUNTA(I26:Y26)</f>
        <v>1</v>
      </c>
      <c r="H9" s="51" t="s">
        <v>3223</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x14ac:dyDescent="0.25">
      <c r="B10" s="51" t="s">
        <v>3099</v>
      </c>
      <c r="C10" s="51">
        <v>8</v>
      </c>
      <c r="D10" s="51" t="s">
        <v>3497</v>
      </c>
      <c r="E10" s="119">
        <v>45390</v>
      </c>
      <c r="F10" s="51">
        <v>1</v>
      </c>
      <c r="G10" s="119" t="s">
        <v>3138</v>
      </c>
      <c r="H10" s="51" t="s">
        <v>3223</v>
      </c>
      <c r="I10" s="51">
        <v>89</v>
      </c>
      <c r="J10" s="51">
        <v>19950000013</v>
      </c>
      <c r="K10" s="51" t="e">
        <v>#N/A</v>
      </c>
      <c r="L10" s="51" t="e">
        <v>#N/A</v>
      </c>
      <c r="M10" s="51">
        <v>7.7800000002008096E+21</v>
      </c>
      <c r="N10" s="51" t="e">
        <v>#N/A</v>
      </c>
      <c r="O10" s="51" t="e">
        <v>#N/A</v>
      </c>
      <c r="P10" s="51">
        <v>7.7800000002008096E+21</v>
      </c>
      <c r="Q10" s="119">
        <v>32265</v>
      </c>
      <c r="R10" s="119">
        <v>36556</v>
      </c>
      <c r="S10" s="51" t="s">
        <v>3498</v>
      </c>
      <c r="T10" s="119" t="s">
        <v>3147</v>
      </c>
      <c r="U10" s="119" t="s">
        <v>3147</v>
      </c>
      <c r="V10" s="51" t="s">
        <v>3148</v>
      </c>
      <c r="W10" s="119" t="s">
        <v>3149</v>
      </c>
      <c r="X10" s="119">
        <v>45390</v>
      </c>
      <c r="Y10" s="51" t="s">
        <v>3499</v>
      </c>
    </row>
    <row r="11" spans="2:25" x14ac:dyDescent="0.25">
      <c r="B11" s="51" t="s">
        <v>3101</v>
      </c>
      <c r="C11" s="51">
        <v>9</v>
      </c>
      <c r="D11" s="51" t="s">
        <v>3500</v>
      </c>
      <c r="E11" s="119">
        <v>45390</v>
      </c>
      <c r="F11" s="51">
        <v>1</v>
      </c>
      <c r="G11" s="119" t="s">
        <v>3138</v>
      </c>
      <c r="H11" s="51" t="s">
        <v>3223</v>
      </c>
      <c r="I11" s="51">
        <v>31</v>
      </c>
      <c r="J11" s="51">
        <v>19950000013</v>
      </c>
      <c r="K11" s="51"/>
      <c r="L11" s="51" t="e">
        <v>#N/A</v>
      </c>
      <c r="M11" s="51">
        <v>7.7800000002008096E+21</v>
      </c>
      <c r="N11" s="51"/>
      <c r="O11" s="51" t="e">
        <v>#N/A</v>
      </c>
      <c r="P11" s="51" t="s">
        <v>3501</v>
      </c>
      <c r="Q11" s="119">
        <v>32265</v>
      </c>
      <c r="R11" s="119">
        <v>36556</v>
      </c>
      <c r="S11" s="51" t="s">
        <v>3498</v>
      </c>
      <c r="T11" s="119" t="s">
        <v>3223</v>
      </c>
      <c r="U11" s="119" t="s">
        <v>3223</v>
      </c>
      <c r="V11" s="51">
        <v>5</v>
      </c>
      <c r="W11" s="119" t="s">
        <v>3153</v>
      </c>
      <c r="X11" s="119">
        <v>45390</v>
      </c>
      <c r="Y11" s="51" t="s">
        <v>3502</v>
      </c>
    </row>
    <row r="12" spans="2:25" s="205" customFormat="1" x14ac:dyDescent="0.25">
      <c r="B12" s="204" t="s">
        <v>3103</v>
      </c>
      <c r="C12" s="204" t="s">
        <v>3503</v>
      </c>
      <c r="D12" s="204" t="s">
        <v>3504</v>
      </c>
      <c r="E12" s="119">
        <v>45390</v>
      </c>
      <c r="F12" s="51">
        <v>1</v>
      </c>
      <c r="G12" s="119" t="s">
        <v>3138</v>
      </c>
      <c r="H12" s="204" t="s">
        <v>3223</v>
      </c>
      <c r="I12" s="204" t="s">
        <v>3505</v>
      </c>
      <c r="J12" s="204" t="s">
        <v>3506</v>
      </c>
      <c r="K12" s="204" t="s">
        <v>3507</v>
      </c>
      <c r="L12" s="204" t="s">
        <v>3508</v>
      </c>
      <c r="M12" s="204" t="s">
        <v>3509</v>
      </c>
      <c r="N12" s="204" t="s">
        <v>3507</v>
      </c>
      <c r="O12" s="204" t="s">
        <v>3508</v>
      </c>
      <c r="P12" s="204" t="s">
        <v>3509</v>
      </c>
      <c r="Q12" s="204" t="s">
        <v>3510</v>
      </c>
      <c r="R12" s="204" t="s">
        <v>3511</v>
      </c>
      <c r="S12" s="204" t="s">
        <v>3512</v>
      </c>
      <c r="T12" s="204" t="s">
        <v>3513</v>
      </c>
      <c r="U12" s="204" t="s">
        <v>3514</v>
      </c>
      <c r="V12" s="204" t="s">
        <v>3148</v>
      </c>
      <c r="W12" s="204" t="s">
        <v>3149</v>
      </c>
      <c r="X12" s="204" t="s">
        <v>3515</v>
      </c>
      <c r="Y12" s="204" t="s">
        <v>3499</v>
      </c>
    </row>
    <row r="13" spans="2:25" s="205" customFormat="1" x14ac:dyDescent="0.25">
      <c r="B13" s="204" t="s">
        <v>3105</v>
      </c>
      <c r="C13" s="204" t="s">
        <v>3516</v>
      </c>
      <c r="D13" s="204" t="s">
        <v>3517</v>
      </c>
      <c r="E13" s="119">
        <v>45390</v>
      </c>
      <c r="F13" s="51">
        <v>1</v>
      </c>
      <c r="G13" s="119" t="s">
        <v>3138</v>
      </c>
      <c r="H13" s="204" t="s">
        <v>3223</v>
      </c>
      <c r="I13" s="204" t="s">
        <v>3507</v>
      </c>
      <c r="J13" s="204" t="s">
        <v>3506</v>
      </c>
      <c r="K13" s="204" t="s">
        <v>3518</v>
      </c>
      <c r="L13" s="204" t="s">
        <v>3508</v>
      </c>
      <c r="M13" s="204" t="s">
        <v>3509</v>
      </c>
      <c r="N13" s="204" t="s">
        <v>3518</v>
      </c>
      <c r="O13" s="204" t="s">
        <v>3508</v>
      </c>
      <c r="P13" s="204" t="s">
        <v>3509</v>
      </c>
      <c r="Q13" s="204" t="s">
        <v>3510</v>
      </c>
      <c r="R13" s="204" t="s">
        <v>3511</v>
      </c>
      <c r="S13" s="204" t="s">
        <v>3512</v>
      </c>
      <c r="T13" s="204" t="s">
        <v>3519</v>
      </c>
      <c r="U13" s="204" t="s">
        <v>3520</v>
      </c>
      <c r="V13" s="204" t="s">
        <v>3521</v>
      </c>
      <c r="W13" s="204" t="s">
        <v>3153</v>
      </c>
      <c r="X13" s="204" t="s">
        <v>3515</v>
      </c>
      <c r="Y13" s="204" t="s">
        <v>3522</v>
      </c>
    </row>
    <row r="14" spans="2:25" x14ac:dyDescent="0.25">
      <c r="B14" s="51" t="s">
        <v>3107</v>
      </c>
      <c r="C14" s="51">
        <v>12</v>
      </c>
      <c r="D14" s="51" t="s">
        <v>3523</v>
      </c>
      <c r="E14" s="119">
        <v>45390</v>
      </c>
      <c r="F14" s="51">
        <v>1</v>
      </c>
      <c r="G14" s="51">
        <v>0.65</v>
      </c>
      <c r="H14" s="51" t="s">
        <v>3223</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x14ac:dyDescent="0.25">
      <c r="B15" s="51" t="s">
        <v>3109</v>
      </c>
      <c r="C15" s="51">
        <v>13</v>
      </c>
      <c r="D15" s="51" t="s">
        <v>3524</v>
      </c>
      <c r="E15" s="119">
        <v>45390</v>
      </c>
      <c r="F15" s="51">
        <v>1</v>
      </c>
      <c r="G15" s="122">
        <v>1</v>
      </c>
      <c r="H15" s="51" t="s">
        <v>3223</v>
      </c>
      <c r="I15" s="51" t="s">
        <v>3138</v>
      </c>
      <c r="J15" s="51" t="s">
        <v>3138</v>
      </c>
      <c r="K15" s="51" t="s">
        <v>3138</v>
      </c>
      <c r="L15" s="51" t="s">
        <v>3138</v>
      </c>
      <c r="M15" s="51" t="s">
        <v>3138</v>
      </c>
      <c r="N15" s="51" t="s">
        <v>3138</v>
      </c>
      <c r="O15" s="51" t="s">
        <v>3138</v>
      </c>
      <c r="P15" s="51" t="s">
        <v>3138</v>
      </c>
      <c r="Q15" s="51">
        <v>0</v>
      </c>
      <c r="R15" s="51">
        <v>0</v>
      </c>
      <c r="S15" s="51" t="s">
        <v>3138</v>
      </c>
      <c r="T15" s="51" t="s">
        <v>3138</v>
      </c>
      <c r="U15" s="51" t="s">
        <v>3138</v>
      </c>
      <c r="V15" s="51" t="s">
        <v>3138</v>
      </c>
      <c r="W15" s="51" t="s">
        <v>3138</v>
      </c>
      <c r="X15" s="51" t="s">
        <v>3138</v>
      </c>
      <c r="Y15" s="51" t="s">
        <v>3138</v>
      </c>
    </row>
    <row r="16" spans="2:25" x14ac:dyDescent="0.25">
      <c r="B16" s="51" t="s">
        <v>3111</v>
      </c>
      <c r="C16" s="51">
        <v>14</v>
      </c>
      <c r="D16" s="51" t="s">
        <v>3525</v>
      </c>
      <c r="E16" s="119">
        <v>45390</v>
      </c>
      <c r="F16" s="51">
        <v>1</v>
      </c>
      <c r="G16" s="122">
        <v>1</v>
      </c>
      <c r="H16" s="51" t="s">
        <v>3223</v>
      </c>
      <c r="I16" s="51">
        <v>0</v>
      </c>
      <c r="J16" s="51">
        <v>0</v>
      </c>
      <c r="K16" s="51">
        <v>0</v>
      </c>
      <c r="L16" s="51">
        <v>0</v>
      </c>
      <c r="M16" s="51" t="s">
        <v>3138</v>
      </c>
      <c r="N16" s="51">
        <v>0</v>
      </c>
      <c r="O16" s="51">
        <v>0</v>
      </c>
      <c r="P16" s="51" t="s">
        <v>3138</v>
      </c>
      <c r="Q16" s="51" t="s">
        <v>3138</v>
      </c>
      <c r="R16" s="51" t="s">
        <v>3138</v>
      </c>
      <c r="S16" s="51">
        <v>0</v>
      </c>
      <c r="T16" s="51" t="s">
        <v>3138</v>
      </c>
      <c r="U16" s="51" t="s">
        <v>3138</v>
      </c>
      <c r="V16" s="51">
        <v>0</v>
      </c>
      <c r="W16" s="51">
        <v>0</v>
      </c>
      <c r="X16" s="51" t="s">
        <v>3138</v>
      </c>
      <c r="Y16" s="51" t="s">
        <v>3138</v>
      </c>
    </row>
    <row r="17" spans="2:25" x14ac:dyDescent="0.25">
      <c r="B17" s="51" t="s">
        <v>3526</v>
      </c>
      <c r="C17" s="51">
        <v>15</v>
      </c>
      <c r="D17" s="51" t="s">
        <v>3527</v>
      </c>
      <c r="E17" s="119">
        <v>45390</v>
      </c>
      <c r="F17" s="51">
        <v>1</v>
      </c>
      <c r="G17" s="122">
        <v>1</v>
      </c>
      <c r="H17" s="122" t="s">
        <v>3492</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row>
    <row r="18" spans="2:25" x14ac:dyDescent="0.25">
      <c r="B18" s="51" t="s">
        <v>3528</v>
      </c>
      <c r="C18" s="51">
        <v>16</v>
      </c>
      <c r="D18" s="51" t="s">
        <v>3527</v>
      </c>
      <c r="E18" s="119">
        <v>45390</v>
      </c>
      <c r="F18" s="51">
        <v>1</v>
      </c>
      <c r="G18" s="122">
        <v>1</v>
      </c>
      <c r="H18" s="122" t="s">
        <v>3492</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row>
    <row r="19" spans="2:25" x14ac:dyDescent="0.25">
      <c r="B19" s="51" t="s">
        <v>3121</v>
      </c>
      <c r="C19" s="51">
        <v>19</v>
      </c>
      <c r="D19" s="51" t="s">
        <v>3529</v>
      </c>
      <c r="E19" s="119">
        <v>45390</v>
      </c>
      <c r="F19" s="51">
        <v>1</v>
      </c>
      <c r="G19" s="122" cm="1">
        <f t="array" ref="G19">SUMPRODUCT(--(ISNUMBER((SEARCH(I25:W25,I19:W19)))))/COUNTA(I19:W19)</f>
        <v>0.8666666666666667</v>
      </c>
      <c r="H19" s="51" t="s">
        <v>3223</v>
      </c>
      <c r="I19" s="51" t="s">
        <v>3172</v>
      </c>
      <c r="J19" s="51" t="s">
        <v>3172</v>
      </c>
      <c r="K19" s="51" t="s">
        <v>3172</v>
      </c>
      <c r="L19" s="51" t="s">
        <v>3172</v>
      </c>
      <c r="M19" s="51" t="s">
        <v>3172</v>
      </c>
      <c r="N19" s="51" t="s">
        <v>3172</v>
      </c>
      <c r="O19" s="51" t="s">
        <v>3172</v>
      </c>
      <c r="P19" s="51" t="s">
        <v>3172</v>
      </c>
      <c r="Q19" s="51" t="s">
        <v>3487</v>
      </c>
      <c r="R19" s="51" t="s">
        <v>3487</v>
      </c>
      <c r="S19" s="51" t="s">
        <v>3172</v>
      </c>
      <c r="T19" s="51" t="s">
        <v>3173</v>
      </c>
      <c r="U19" s="51" t="s">
        <v>3173</v>
      </c>
      <c r="V19" s="51" t="s">
        <v>3172</v>
      </c>
      <c r="W19" s="51" t="s">
        <v>3172</v>
      </c>
      <c r="X19" s="51" t="s">
        <v>3172</v>
      </c>
      <c r="Y19" s="51" t="s">
        <v>3174</v>
      </c>
    </row>
    <row r="20" spans="2:25" x14ac:dyDescent="0.25">
      <c r="B20" s="51" t="s">
        <v>3124</v>
      </c>
      <c r="C20" s="51">
        <v>20</v>
      </c>
      <c r="D20" s="51" t="s">
        <v>3529</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x14ac:dyDescent="0.25">
      <c r="B21" s="51" t="s">
        <v>3127</v>
      </c>
      <c r="C21" s="51">
        <v>21</v>
      </c>
      <c r="D21" s="51" t="s">
        <v>3529</v>
      </c>
      <c r="E21" s="119">
        <v>45390</v>
      </c>
      <c r="F21" s="51">
        <v>1</v>
      </c>
      <c r="G21" s="51" cm="1">
        <f t="array" ref="G2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x14ac:dyDescent="0.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x14ac:dyDescent="0.25">
      <c r="B23" s="151" t="s">
        <v>3244</v>
      </c>
    </row>
    <row r="24" spans="2:25" x14ac:dyDescent="0.25">
      <c r="B24" s="157" t="s">
        <v>3130</v>
      </c>
      <c r="C24" s="153" t="s">
        <v>3131</v>
      </c>
      <c r="D24" s="153" t="s">
        <v>3132</v>
      </c>
      <c r="E24" s="153" t="s">
        <v>3133</v>
      </c>
      <c r="F24" s="153" t="s">
        <v>3134</v>
      </c>
      <c r="G24" s="153" t="s">
        <v>3135</v>
      </c>
      <c r="H24" s="153" t="s">
        <v>3136</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x14ac:dyDescent="0.25">
      <c r="B25" s="131" t="s">
        <v>3175</v>
      </c>
      <c r="C25" s="134">
        <v>16</v>
      </c>
      <c r="D25" s="128" t="s">
        <v>3176</v>
      </c>
      <c r="E25" s="127" t="s">
        <v>3177</v>
      </c>
      <c r="F25" s="127" t="s">
        <v>366</v>
      </c>
      <c r="G25" s="127" t="s">
        <v>366</v>
      </c>
      <c r="H25" s="127" t="s">
        <v>366</v>
      </c>
      <c r="I25" s="127" t="str" cm="1">
        <f t="array" ref="I25:Y26">TRANSPOSE(_xlfn.SORTBY(_xlfn._xlws.FILTER(IF(Table3[FORMATO]:Table3[COMP_ CAMPO]&lt;&gt;"",Table3[FORMATO]:Table3[COMP_ CAMPO],9999999),Table3[NOME FÍSICO TABELA]="factoring_process"), _xlfn._xlws.FILTER(Table3[ORDEM], Table3[NOME FÍSICO TABELA]="factoring_process"),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DECIMAL</v>
      </c>
      <c r="U25" s="127" t="str">
        <v>DECIMAL</v>
      </c>
      <c r="V25" s="127" t="str">
        <v>STRING</v>
      </c>
      <c r="W25" s="127" t="str">
        <v>STRING</v>
      </c>
      <c r="X25" s="127" t="str">
        <v>STRING</v>
      </c>
      <c r="Y25" s="127" t="str">
        <v>TIMESTAMP</v>
      </c>
    </row>
    <row r="26" spans="2:25" x14ac:dyDescent="0.25">
      <c r="B26" s="131" t="s">
        <v>3178</v>
      </c>
      <c r="C26" s="134">
        <v>7</v>
      </c>
      <c r="D26" s="128" t="s">
        <v>3176</v>
      </c>
      <c r="E26" s="127" t="s">
        <v>3177</v>
      </c>
      <c r="F26" s="129" t="s">
        <v>366</v>
      </c>
      <c r="G26" s="129" t="s">
        <v>366</v>
      </c>
      <c r="H26" s="129" t="s">
        <v>366</v>
      </c>
      <c r="I26" s="175">
        <v>4</v>
      </c>
      <c r="J26" s="175">
        <v>15</v>
      </c>
      <c r="K26" s="175">
        <v>4</v>
      </c>
      <c r="L26" s="175">
        <v>30</v>
      </c>
      <c r="M26" s="175">
        <v>34</v>
      </c>
      <c r="N26" s="175">
        <v>4</v>
      </c>
      <c r="O26" s="175">
        <v>30</v>
      </c>
      <c r="P26" s="175">
        <v>34</v>
      </c>
      <c r="Q26" s="175">
        <v>10</v>
      </c>
      <c r="R26" s="175">
        <v>10</v>
      </c>
      <c r="S26" s="175">
        <v>4</v>
      </c>
      <c r="T26" s="175">
        <v>23</v>
      </c>
      <c r="U26" s="175">
        <v>23</v>
      </c>
      <c r="V26" s="175">
        <v>4</v>
      </c>
      <c r="W26" s="175">
        <v>4</v>
      </c>
      <c r="X26" s="175">
        <v>10</v>
      </c>
      <c r="Y26" s="175">
        <v>23</v>
      </c>
    </row>
    <row r="28" spans="2:25" x14ac:dyDescent="0.25">
      <c r="B28" s="164" t="s">
        <v>3179</v>
      </c>
    </row>
    <row r="29" spans="2:25" x14ac:dyDescent="0.25">
      <c r="B29" s="158" t="s">
        <v>3180</v>
      </c>
      <c r="C29" s="158" t="s">
        <v>3181</v>
      </c>
      <c r="D29" s="159" t="s">
        <v>3182</v>
      </c>
      <c r="E29" s="158" t="s">
        <v>3183</v>
      </c>
      <c r="F29" s="158" t="s">
        <v>3184</v>
      </c>
    </row>
    <row r="30" spans="2:25" ht="45" x14ac:dyDescent="0.25">
      <c r="B30" s="202" t="s">
        <v>3185</v>
      </c>
      <c r="C30" s="203" t="s">
        <v>203</v>
      </c>
      <c r="D30" s="58" t="s">
        <v>3530</v>
      </c>
      <c r="E30" s="121" t="s">
        <v>3531</v>
      </c>
      <c r="F30" s="160" t="s">
        <v>3191</v>
      </c>
      <c r="I30" t="s">
        <v>3532</v>
      </c>
    </row>
    <row r="31" spans="2:25" ht="45" x14ac:dyDescent="0.25">
      <c r="B31" s="202" t="s">
        <v>3185</v>
      </c>
      <c r="C31" s="203" t="s">
        <v>213</v>
      </c>
      <c r="D31" s="58" t="s">
        <v>3530</v>
      </c>
      <c r="E31" s="121" t="s">
        <v>3531</v>
      </c>
      <c r="F31" s="160" t="s">
        <v>3191</v>
      </c>
    </row>
    <row r="32" spans="2:25" ht="45" x14ac:dyDescent="0.25">
      <c r="B32" s="202" t="s">
        <v>3185</v>
      </c>
      <c r="C32" s="146" t="s">
        <v>1670</v>
      </c>
      <c r="D32" s="58" t="s">
        <v>3530</v>
      </c>
      <c r="E32" s="121" t="s">
        <v>3531</v>
      </c>
      <c r="F32" s="160" t="s">
        <v>3191</v>
      </c>
    </row>
    <row r="33" spans="2:16" ht="45" x14ac:dyDescent="0.25">
      <c r="B33" s="202" t="s">
        <v>3185</v>
      </c>
      <c r="C33" s="146" t="s">
        <v>1677</v>
      </c>
      <c r="D33" s="58" t="s">
        <v>3530</v>
      </c>
      <c r="E33" s="121" t="s">
        <v>3531</v>
      </c>
      <c r="F33" s="160" t="s">
        <v>3191</v>
      </c>
    </row>
    <row r="34" spans="2:16" ht="45" x14ac:dyDescent="0.25">
      <c r="B34" s="202" t="s">
        <v>3185</v>
      </c>
      <c r="C34" s="146" t="s">
        <v>1683</v>
      </c>
      <c r="D34" s="58" t="s">
        <v>3530</v>
      </c>
      <c r="E34" s="121" t="s">
        <v>3531</v>
      </c>
      <c r="F34" s="160" t="s">
        <v>3191</v>
      </c>
    </row>
    <row r="35" spans="2:16" ht="45" x14ac:dyDescent="0.25">
      <c r="B35" s="202" t="s">
        <v>3185</v>
      </c>
      <c r="C35" s="146" t="s">
        <v>1690</v>
      </c>
      <c r="D35" s="58" t="s">
        <v>3530</v>
      </c>
      <c r="E35" s="121" t="s">
        <v>3531</v>
      </c>
      <c r="F35" s="160" t="s">
        <v>3191</v>
      </c>
    </row>
    <row r="38" spans="2:16" x14ac:dyDescent="0.25">
      <c r="I38" s="182"/>
      <c r="J38" s="182"/>
      <c r="K38" s="182"/>
      <c r="L38" s="182"/>
      <c r="M38" s="182"/>
      <c r="N38" s="182"/>
      <c r="O38" s="182"/>
      <c r="P38" s="182"/>
    </row>
    <row r="39" spans="2:16" x14ac:dyDescent="0.25">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8" t="s">
        <v>3130</v>
      </c>
      <c r="C2" s="98" t="s">
        <v>3131</v>
      </c>
      <c r="D2" s="98" t="s">
        <v>3132</v>
      </c>
      <c r="E2" s="98" t="s">
        <v>3133</v>
      </c>
      <c r="F2" s="98" t="s">
        <v>3134</v>
      </c>
      <c r="G2" s="98" t="s">
        <v>3135</v>
      </c>
      <c r="H2" s="98" t="s">
        <v>3136</v>
      </c>
      <c r="I2" s="98" t="s">
        <v>461</v>
      </c>
      <c r="J2" s="98" t="s">
        <v>148</v>
      </c>
      <c r="K2" s="98" t="s">
        <v>163</v>
      </c>
      <c r="L2" s="98" t="s">
        <v>479</v>
      </c>
      <c r="M2" s="98" t="s">
        <v>492</v>
      </c>
      <c r="N2" s="98" t="s">
        <v>497</v>
      </c>
      <c r="O2" s="98" t="s">
        <v>504</v>
      </c>
      <c r="P2" s="98" t="s">
        <v>510</v>
      </c>
      <c r="Q2" s="98" t="s">
        <v>519</v>
      </c>
      <c r="R2" s="98" t="s">
        <v>344</v>
      </c>
      <c r="S2" s="98" t="s">
        <v>351</v>
      </c>
    </row>
    <row r="3" spans="2:30" x14ac:dyDescent="0.25">
      <c r="B3" s="51" t="s">
        <v>3084</v>
      </c>
      <c r="C3" s="51">
        <v>1</v>
      </c>
      <c r="D3" s="51" t="s">
        <v>3533</v>
      </c>
      <c r="E3" s="119">
        <v>45471</v>
      </c>
      <c r="F3" s="51">
        <v>1</v>
      </c>
      <c r="G3" s="122">
        <v>1</v>
      </c>
      <c r="H3" s="206" t="s">
        <v>3534</v>
      </c>
      <c r="I3" s="51" t="s">
        <v>3138</v>
      </c>
      <c r="J3" s="51" t="s">
        <v>3138</v>
      </c>
      <c r="K3" s="51" t="s">
        <v>3138</v>
      </c>
      <c r="L3" s="51" t="s">
        <v>3138</v>
      </c>
      <c r="M3" s="51" t="s">
        <v>3138</v>
      </c>
      <c r="N3" s="51" t="s">
        <v>3138</v>
      </c>
      <c r="O3" s="51" t="s">
        <v>3138</v>
      </c>
      <c r="P3" s="51" t="s">
        <v>3138</v>
      </c>
      <c r="Q3" s="51" t="s">
        <v>3138</v>
      </c>
      <c r="R3" s="51" t="s">
        <v>3138</v>
      </c>
      <c r="S3" s="51" t="s">
        <v>3138</v>
      </c>
    </row>
    <row r="4" spans="2:30" x14ac:dyDescent="0.25">
      <c r="B4" s="51" t="s">
        <v>3086</v>
      </c>
      <c r="C4" s="51">
        <v>2</v>
      </c>
      <c r="D4" s="51" t="s">
        <v>3535</v>
      </c>
      <c r="E4" s="119">
        <v>45471</v>
      </c>
      <c r="F4" s="51">
        <v>1</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row>
    <row r="5" spans="2:30" x14ac:dyDescent="0.25">
      <c r="B5" s="51" t="s">
        <v>3088</v>
      </c>
      <c r="C5" s="51">
        <v>3</v>
      </c>
      <c r="D5" s="51" t="s">
        <v>3536</v>
      </c>
      <c r="E5" s="119">
        <v>45471</v>
      </c>
      <c r="F5" s="51">
        <v>1</v>
      </c>
      <c r="G5" s="122">
        <v>1</v>
      </c>
      <c r="H5" s="51" t="s">
        <v>3223</v>
      </c>
      <c r="I5" s="51">
        <v>0</v>
      </c>
      <c r="J5" s="51" t="s">
        <v>3138</v>
      </c>
      <c r="K5" s="51" t="s">
        <v>3138</v>
      </c>
      <c r="L5" s="51" t="s">
        <v>3138</v>
      </c>
      <c r="M5" s="51" t="s">
        <v>3138</v>
      </c>
      <c r="N5" s="51" t="s">
        <v>3138</v>
      </c>
      <c r="O5" s="51" t="s">
        <v>3138</v>
      </c>
      <c r="P5" s="51" t="s">
        <v>3138</v>
      </c>
      <c r="Q5" s="51" t="s">
        <v>3138</v>
      </c>
      <c r="R5" s="51">
        <v>0</v>
      </c>
      <c r="S5" s="51" t="s">
        <v>3138</v>
      </c>
    </row>
    <row r="6" spans="2:30" x14ac:dyDescent="0.25">
      <c r="B6" s="51" t="s">
        <v>3090</v>
      </c>
      <c r="C6" s="51">
        <v>4</v>
      </c>
      <c r="D6" s="51" t="s">
        <v>3536</v>
      </c>
      <c r="E6" s="119" t="s">
        <v>3138</v>
      </c>
      <c r="F6" s="51">
        <v>1</v>
      </c>
      <c r="G6" s="119" t="s">
        <v>3138</v>
      </c>
      <c r="H6" s="51"/>
      <c r="I6" s="51" t="s">
        <v>3138</v>
      </c>
      <c r="J6" s="51" t="s">
        <v>3138</v>
      </c>
      <c r="K6" s="51" t="s">
        <v>3138</v>
      </c>
      <c r="L6" s="51" t="s">
        <v>3138</v>
      </c>
      <c r="M6" s="51" t="s">
        <v>3138</v>
      </c>
      <c r="N6" s="51" t="s">
        <v>3138</v>
      </c>
      <c r="O6" s="51" t="s">
        <v>3138</v>
      </c>
      <c r="P6" s="51" t="s">
        <v>3138</v>
      </c>
      <c r="Q6" s="51" t="s">
        <v>3138</v>
      </c>
      <c r="R6" s="51" t="s">
        <v>3138</v>
      </c>
      <c r="S6" s="51" t="s">
        <v>3138</v>
      </c>
    </row>
    <row r="7" spans="2:30" x14ac:dyDescent="0.25">
      <c r="B7" s="51" t="s">
        <v>3092</v>
      </c>
      <c r="C7" s="51">
        <v>5</v>
      </c>
      <c r="D7" s="51" t="s">
        <v>3536</v>
      </c>
      <c r="E7" s="119" t="s">
        <v>3138</v>
      </c>
      <c r="F7" s="51">
        <v>1</v>
      </c>
      <c r="G7" s="119" t="s">
        <v>3138</v>
      </c>
      <c r="H7" s="51"/>
      <c r="I7" s="51" t="s">
        <v>3138</v>
      </c>
      <c r="J7" s="51" t="s">
        <v>3138</v>
      </c>
      <c r="K7" s="51" t="s">
        <v>3138</v>
      </c>
      <c r="L7" s="51" t="s">
        <v>3138</v>
      </c>
      <c r="M7" s="51" t="s">
        <v>3138</v>
      </c>
      <c r="N7" s="51" t="s">
        <v>3138</v>
      </c>
      <c r="O7" s="51" t="s">
        <v>3138</v>
      </c>
      <c r="P7" s="51" t="s">
        <v>3138</v>
      </c>
      <c r="Q7" s="51" t="s">
        <v>3138</v>
      </c>
      <c r="R7" s="51" t="s">
        <v>3138</v>
      </c>
      <c r="S7" s="51" t="s">
        <v>3138</v>
      </c>
    </row>
    <row r="8" spans="2:30" x14ac:dyDescent="0.25">
      <c r="B8" s="121" t="s">
        <v>3093</v>
      </c>
      <c r="C8" s="51">
        <v>6</v>
      </c>
      <c r="D8" s="51" t="s">
        <v>3537</v>
      </c>
      <c r="E8" s="119">
        <v>45471</v>
      </c>
      <c r="F8" s="51">
        <v>1</v>
      </c>
      <c r="G8" s="51" cm="1">
        <f t="array" ref="G8">SUMPRODUCT(--(I8:S8&gt;0))/COUNTA(I8:S8)</f>
        <v>1</v>
      </c>
      <c r="H8" s="51" t="s">
        <v>3223</v>
      </c>
      <c r="I8" s="51">
        <v>3</v>
      </c>
      <c r="J8" s="51">
        <v>2</v>
      </c>
      <c r="K8" s="51">
        <v>30</v>
      </c>
      <c r="L8" s="51">
        <v>7</v>
      </c>
      <c r="M8" s="51">
        <v>7</v>
      </c>
      <c r="N8" s="51">
        <v>10</v>
      </c>
      <c r="O8" s="51">
        <v>10</v>
      </c>
      <c r="P8" s="51">
        <v>3</v>
      </c>
      <c r="Q8" s="51">
        <v>1</v>
      </c>
      <c r="R8" s="51">
        <v>10</v>
      </c>
      <c r="S8" s="51">
        <v>23</v>
      </c>
    </row>
    <row r="9" spans="2:30" x14ac:dyDescent="0.25">
      <c r="B9" s="51" t="s">
        <v>3096</v>
      </c>
      <c r="C9" s="51">
        <v>7</v>
      </c>
      <c r="D9" s="51" t="s">
        <v>3538</v>
      </c>
      <c r="E9" s="119">
        <v>45471</v>
      </c>
      <c r="F9" s="51">
        <v>1</v>
      </c>
      <c r="G9" s="51" cm="1">
        <f t="array" ref="G9">SUMPRODUCT(--(I9:S9&lt;=I28:S28))/COUNTA(I28:S28)</f>
        <v>1</v>
      </c>
      <c r="H9" s="51" t="s">
        <v>3223</v>
      </c>
      <c r="I9" s="51">
        <v>5</v>
      </c>
      <c r="J9" s="51">
        <v>2</v>
      </c>
      <c r="K9" s="51">
        <v>30</v>
      </c>
      <c r="L9" s="51">
        <v>7</v>
      </c>
      <c r="M9" s="51">
        <v>7</v>
      </c>
      <c r="N9" s="51">
        <v>10</v>
      </c>
      <c r="O9" s="51">
        <v>10</v>
      </c>
      <c r="P9" s="51">
        <v>3</v>
      </c>
      <c r="Q9" s="51">
        <v>238</v>
      </c>
      <c r="R9" s="51">
        <v>10</v>
      </c>
      <c r="S9" s="51">
        <v>23</v>
      </c>
    </row>
    <row r="10" spans="2:30" ht="30" x14ac:dyDescent="0.25">
      <c r="B10" s="51" t="s">
        <v>3099</v>
      </c>
      <c r="C10" s="51">
        <v>8</v>
      </c>
      <c r="D10" s="51" t="s">
        <v>3539</v>
      </c>
      <c r="E10" s="119">
        <v>45471</v>
      </c>
      <c r="F10" s="51">
        <v>1</v>
      </c>
      <c r="G10" s="119" t="s">
        <v>3138</v>
      </c>
      <c r="H10" s="51" t="s">
        <v>3223</v>
      </c>
      <c r="I10" s="51">
        <v>201</v>
      </c>
      <c r="J10" s="51">
        <v>31</v>
      </c>
      <c r="K10" s="51">
        <v>7.0000079999999997E+21</v>
      </c>
      <c r="L10" s="51" t="s">
        <v>3540</v>
      </c>
      <c r="M10" s="51" t="s">
        <v>3540</v>
      </c>
      <c r="N10" s="120">
        <v>43047</v>
      </c>
      <c r="O10" s="120">
        <v>1</v>
      </c>
      <c r="P10" s="51">
        <v>201</v>
      </c>
      <c r="Q10" s="121" t="s">
        <v>3541</v>
      </c>
      <c r="R10" s="119">
        <v>45471</v>
      </c>
      <c r="S10" s="51" t="s">
        <v>3542</v>
      </c>
    </row>
    <row r="11" spans="2:30" ht="30" x14ac:dyDescent="0.25">
      <c r="B11" s="51" t="s">
        <v>3101</v>
      </c>
      <c r="C11" s="51">
        <v>9</v>
      </c>
      <c r="D11" s="51" t="s">
        <v>3543</v>
      </c>
      <c r="E11" s="119">
        <v>45471</v>
      </c>
      <c r="F11" s="51">
        <v>1</v>
      </c>
      <c r="G11" s="119" t="s">
        <v>3138</v>
      </c>
      <c r="H11" s="51" t="s">
        <v>3223</v>
      </c>
      <c r="I11" s="51">
        <v>201</v>
      </c>
      <c r="J11" s="51"/>
      <c r="K11" s="51">
        <v>7.0000079999999997E+21</v>
      </c>
      <c r="L11" s="51" t="s">
        <v>3540</v>
      </c>
      <c r="M11" s="51" t="s">
        <v>3540</v>
      </c>
      <c r="N11" s="120">
        <v>43047</v>
      </c>
      <c r="O11" s="120">
        <v>1</v>
      </c>
      <c r="P11" s="51">
        <v>201</v>
      </c>
      <c r="Q11" s="121" t="s">
        <v>3541</v>
      </c>
      <c r="R11" s="119">
        <v>45471</v>
      </c>
      <c r="S11" s="51" t="s">
        <v>3544</v>
      </c>
    </row>
    <row r="12" spans="2:30" x14ac:dyDescent="0.25">
      <c r="B12" s="121" t="s">
        <v>3103</v>
      </c>
      <c r="C12" s="51">
        <v>10</v>
      </c>
      <c r="D12" s="51" t="s">
        <v>3545</v>
      </c>
      <c r="E12" s="119">
        <v>45471</v>
      </c>
      <c r="F12" s="51">
        <v>1</v>
      </c>
      <c r="G12" s="119" t="s">
        <v>3138</v>
      </c>
      <c r="H12" s="51" t="s">
        <v>3223</v>
      </c>
      <c r="I12" s="51">
        <v>35585</v>
      </c>
      <c r="J12" s="51">
        <v>31</v>
      </c>
      <c r="K12" s="51">
        <v>8.0014189999999995E+24</v>
      </c>
      <c r="L12" s="51" t="s">
        <v>3546</v>
      </c>
      <c r="M12" s="51" t="s">
        <v>3546</v>
      </c>
      <c r="N12" s="120">
        <v>45471</v>
      </c>
      <c r="O12" s="120">
        <v>45471</v>
      </c>
      <c r="P12" s="51">
        <v>204</v>
      </c>
      <c r="Q12" s="121" t="s">
        <v>3547</v>
      </c>
      <c r="R12" s="119">
        <v>45471</v>
      </c>
      <c r="S12" s="119" t="s">
        <v>3542</v>
      </c>
      <c r="U12" s="111"/>
      <c r="V12" s="112"/>
      <c r="X12" s="111"/>
      <c r="AD12" s="111"/>
    </row>
    <row r="13" spans="2:30" x14ac:dyDescent="0.25">
      <c r="B13" s="51" t="s">
        <v>3105</v>
      </c>
      <c r="C13" s="51">
        <v>11</v>
      </c>
      <c r="D13" s="51" t="s">
        <v>3548</v>
      </c>
      <c r="E13" s="119">
        <v>45471</v>
      </c>
      <c r="F13" s="51">
        <v>1</v>
      </c>
      <c r="G13" s="119" t="s">
        <v>3138</v>
      </c>
      <c r="H13" s="51" t="s">
        <v>3223</v>
      </c>
      <c r="I13" s="51">
        <v>35585</v>
      </c>
      <c r="J13" s="51"/>
      <c r="K13" s="51">
        <v>8.0014189999999995E+24</v>
      </c>
      <c r="L13" s="51" t="s">
        <v>3546</v>
      </c>
      <c r="M13" s="51" t="s">
        <v>3546</v>
      </c>
      <c r="N13" s="120">
        <v>45471</v>
      </c>
      <c r="O13" s="120">
        <v>45471</v>
      </c>
      <c r="P13" s="51">
        <v>204</v>
      </c>
      <c r="Q13" s="121" t="s">
        <v>3547</v>
      </c>
      <c r="R13" s="120">
        <v>45471</v>
      </c>
      <c r="S13" s="120" t="s">
        <v>3549</v>
      </c>
      <c r="U13" s="115"/>
      <c r="V13" s="112"/>
      <c r="W13" s="113"/>
      <c r="X13" s="115"/>
      <c r="Y13" s="113"/>
      <c r="Z13" s="113"/>
      <c r="AD13" s="111"/>
    </row>
    <row r="14" spans="2:30" x14ac:dyDescent="0.25">
      <c r="B14" s="51" t="s">
        <v>3107</v>
      </c>
      <c r="C14" s="51">
        <v>12</v>
      </c>
      <c r="D14" s="51" t="s">
        <v>3550</v>
      </c>
      <c r="E14" s="119">
        <v>45471</v>
      </c>
      <c r="F14" s="51">
        <v>1</v>
      </c>
      <c r="G14" s="51" t="s">
        <v>3551</v>
      </c>
      <c r="H14" s="51" t="s">
        <v>3223</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x14ac:dyDescent="0.25">
      <c r="B15" s="51" t="s">
        <v>3109</v>
      </c>
      <c r="C15" s="51">
        <v>13</v>
      </c>
      <c r="D15" s="51" t="s">
        <v>3552</v>
      </c>
      <c r="E15" s="119">
        <v>45471</v>
      </c>
      <c r="F15" s="51">
        <v>1</v>
      </c>
      <c r="G15" s="122">
        <v>1</v>
      </c>
      <c r="H15" s="51" t="s">
        <v>3223</v>
      </c>
      <c r="I15" s="51" t="s">
        <v>3138</v>
      </c>
      <c r="J15" s="51" t="s">
        <v>3138</v>
      </c>
      <c r="K15" s="51" t="s">
        <v>3138</v>
      </c>
      <c r="L15" s="51" t="s">
        <v>3138</v>
      </c>
      <c r="M15" s="51" t="s">
        <v>3138</v>
      </c>
      <c r="N15" s="210">
        <v>0</v>
      </c>
      <c r="O15" s="210">
        <v>0</v>
      </c>
      <c r="P15" s="51" t="s">
        <v>3138</v>
      </c>
      <c r="Q15" s="51" t="s">
        <v>3138</v>
      </c>
      <c r="R15" s="120" t="s">
        <v>3138</v>
      </c>
      <c r="S15" s="120" t="s">
        <v>3138</v>
      </c>
      <c r="U15" s="115"/>
      <c r="V15" s="112"/>
      <c r="W15" s="112"/>
      <c r="X15" s="115"/>
      <c r="Y15" s="112"/>
      <c r="Z15" s="112"/>
      <c r="AD15" s="111"/>
    </row>
    <row r="16" spans="2:30" x14ac:dyDescent="0.25">
      <c r="B16" s="51" t="s">
        <v>3111</v>
      </c>
      <c r="C16" s="51">
        <v>14</v>
      </c>
      <c r="D16" s="51" t="s">
        <v>3553</v>
      </c>
      <c r="E16" s="119">
        <v>45471</v>
      </c>
      <c r="F16" s="51">
        <v>1</v>
      </c>
      <c r="G16" s="122">
        <v>1</v>
      </c>
      <c r="H16" s="51" t="s">
        <v>3223</v>
      </c>
      <c r="I16" s="51">
        <v>0</v>
      </c>
      <c r="J16" s="51">
        <v>0</v>
      </c>
      <c r="K16" s="51">
        <v>0</v>
      </c>
      <c r="L16" s="51">
        <v>0</v>
      </c>
      <c r="M16" s="51">
        <v>0</v>
      </c>
      <c r="N16" s="51" t="s">
        <v>3138</v>
      </c>
      <c r="O16" s="51" t="s">
        <v>3138</v>
      </c>
      <c r="P16" s="51">
        <v>0</v>
      </c>
      <c r="Q16" s="51" t="s">
        <v>3138</v>
      </c>
      <c r="R16" s="51" t="s">
        <v>3138</v>
      </c>
      <c r="S16" s="51" t="s">
        <v>3138</v>
      </c>
    </row>
    <row r="17" spans="2:24" x14ac:dyDescent="0.25">
      <c r="B17" s="51" t="s">
        <v>3113</v>
      </c>
      <c r="C17" s="51">
        <v>15</v>
      </c>
      <c r="D17" s="51" t="s">
        <v>3554</v>
      </c>
      <c r="E17" s="119">
        <v>45471</v>
      </c>
      <c r="F17" s="51">
        <v>1</v>
      </c>
      <c r="G17" s="122">
        <v>1</v>
      </c>
      <c r="H17" s="51" t="s">
        <v>3223</v>
      </c>
      <c r="I17" s="51" t="s">
        <v>3138</v>
      </c>
      <c r="J17" s="51" t="s">
        <v>3138</v>
      </c>
      <c r="K17" s="51" t="s">
        <v>3138</v>
      </c>
      <c r="L17" s="51" t="s">
        <v>3138</v>
      </c>
      <c r="M17" s="51" t="s">
        <v>3138</v>
      </c>
      <c r="N17" s="121" t="s">
        <v>3138</v>
      </c>
      <c r="O17" s="121" t="s">
        <v>3138</v>
      </c>
      <c r="P17" s="51" t="s">
        <v>3138</v>
      </c>
      <c r="Q17" s="51" t="s">
        <v>3138</v>
      </c>
      <c r="R17" s="121" t="s">
        <v>3138</v>
      </c>
      <c r="S17" s="121" t="s">
        <v>3138</v>
      </c>
      <c r="U17" s="50"/>
      <c r="X17" s="50"/>
    </row>
    <row r="18" spans="2:24" x14ac:dyDescent="0.25">
      <c r="B18" s="51" t="s">
        <v>3115</v>
      </c>
      <c r="C18" s="51">
        <v>16</v>
      </c>
      <c r="D18" s="51" t="s">
        <v>3554</v>
      </c>
      <c r="E18" s="119">
        <v>45471</v>
      </c>
      <c r="F18" s="51">
        <v>1</v>
      </c>
      <c r="G18" s="122">
        <v>1</v>
      </c>
      <c r="H18" s="51" t="s">
        <v>3223</v>
      </c>
      <c r="I18" s="51" t="s">
        <v>3138</v>
      </c>
      <c r="J18" s="51" t="s">
        <v>3138</v>
      </c>
      <c r="K18" s="51" t="s">
        <v>3138</v>
      </c>
      <c r="L18" s="51" t="s">
        <v>3138</v>
      </c>
      <c r="M18" s="51" t="s">
        <v>3138</v>
      </c>
      <c r="N18" s="51" t="s">
        <v>3138</v>
      </c>
      <c r="O18" s="51" t="s">
        <v>3138</v>
      </c>
      <c r="P18" s="51" t="s">
        <v>3138</v>
      </c>
      <c r="Q18" s="51" t="s">
        <v>3138</v>
      </c>
      <c r="R18" s="51" t="s">
        <v>3138</v>
      </c>
      <c r="S18" s="51" t="s">
        <v>3138</v>
      </c>
    </row>
    <row r="19" spans="2:24" x14ac:dyDescent="0.25">
      <c r="B19" s="51" t="s">
        <v>3121</v>
      </c>
      <c r="C19" s="51">
        <v>19</v>
      </c>
      <c r="D19" s="51" t="s">
        <v>3555</v>
      </c>
      <c r="E19" s="119">
        <v>45471</v>
      </c>
      <c r="F19" s="51">
        <v>1</v>
      </c>
      <c r="G19" s="122" cm="1">
        <f t="array" ref="G19">SUMPRODUCT(--(ISNUMBER((SEARCH(I27:S27,I19:S19)))))/COUNTA(I19:S19)</f>
        <v>1</v>
      </c>
      <c r="H19" s="51" t="s">
        <v>3223</v>
      </c>
      <c r="I19" s="51" t="s">
        <v>3556</v>
      </c>
      <c r="J19" s="51" t="s">
        <v>3172</v>
      </c>
      <c r="K19" s="51" t="s">
        <v>3172</v>
      </c>
      <c r="L19" s="51" t="s">
        <v>3172</v>
      </c>
      <c r="M19" s="51" t="s">
        <v>3172</v>
      </c>
      <c r="N19" s="51" t="s">
        <v>3172</v>
      </c>
      <c r="O19" s="51" t="s">
        <v>3172</v>
      </c>
      <c r="P19" s="51" t="s">
        <v>3172</v>
      </c>
      <c r="Q19" s="51" t="s">
        <v>3172</v>
      </c>
      <c r="R19" s="51" t="s">
        <v>3172</v>
      </c>
      <c r="S19" s="51" t="s">
        <v>3174</v>
      </c>
    </row>
    <row r="20" spans="2:24" x14ac:dyDescent="0.25">
      <c r="B20" s="51" t="s">
        <v>3124</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x14ac:dyDescent="0.25">
      <c r="B21" s="51" t="s">
        <v>3127</v>
      </c>
      <c r="C21" s="51">
        <v>21</v>
      </c>
      <c r="D21" s="51"/>
      <c r="E21" s="119">
        <v>45471</v>
      </c>
      <c r="F21" s="51">
        <v>1</v>
      </c>
      <c r="G21" s="51" cm="1">
        <f t="array" ref="G21">SUM(IF(IF(G3:G20="null",1,G3:G20)=1,1,0))/COUNT(IF(G3:G20="null",1,1))</f>
        <v>0.94444444444444442</v>
      </c>
      <c r="H21" s="51"/>
      <c r="I21" s="51"/>
      <c r="J21" s="51"/>
      <c r="K21" s="51"/>
      <c r="L21" s="51"/>
      <c r="M21" s="51"/>
      <c r="N21" s="51"/>
      <c r="O21" s="51"/>
      <c r="P21" s="51"/>
      <c r="Q21" s="51"/>
      <c r="R21" s="51"/>
      <c r="S21" s="51"/>
    </row>
    <row r="25" spans="2:24" x14ac:dyDescent="0.25">
      <c r="B25" s="164" t="s">
        <v>3244</v>
      </c>
      <c r="C25" s="166"/>
      <c r="D25" s="166"/>
      <c r="E25" s="166"/>
      <c r="F25" s="166"/>
      <c r="G25" s="166"/>
      <c r="H25" s="166"/>
    </row>
    <row r="26" spans="2:24" x14ac:dyDescent="0.25">
      <c r="B26" s="157" t="s">
        <v>3130</v>
      </c>
      <c r="C26" s="153" t="s">
        <v>3131</v>
      </c>
      <c r="D26" s="153" t="s">
        <v>3132</v>
      </c>
      <c r="E26" s="153" t="s">
        <v>3133</v>
      </c>
      <c r="F26" s="153" t="s">
        <v>3134</v>
      </c>
      <c r="G26" s="153" t="s">
        <v>3135</v>
      </c>
      <c r="H26" s="153" t="s">
        <v>3136</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x14ac:dyDescent="0.25">
      <c r="B27" s="139" t="s">
        <v>3175</v>
      </c>
      <c r="C27" s="167">
        <v>21</v>
      </c>
      <c r="D27" s="136" t="s">
        <v>3176</v>
      </c>
      <c r="E27" s="135" t="s">
        <v>3177</v>
      </c>
      <c r="F27" s="135" t="s">
        <v>366</v>
      </c>
      <c r="G27" s="135" t="s">
        <v>366</v>
      </c>
      <c r="H27" s="135" t="s">
        <v>366</v>
      </c>
      <c r="I27" s="135" t="str" cm="1">
        <f t="array" ref="I27:S28">TRANSPOSE(_xlfn.SORTBY(_xlfn._xlws.FILTER(IF(Table3[FORMATO]:Table3[COMP_ CAMPO]&lt;&gt;"",Table3[FORMATO]:Table3[COMP_ CAMPO],9999999),Table3[NOME FÍSICO TABELA]="bank_vault_visit"), _xlfn._xlws.FILTER(Table3[ORDEM], Table3[NOME FÍSICO TABELA]="bank_vault_visit"), 1))</f>
        <v>INT</v>
      </c>
      <c r="J27" s="135" t="str">
        <v>STRING</v>
      </c>
      <c r="K27" s="135" t="str">
        <v>STRING</v>
      </c>
      <c r="L27" s="135" t="str">
        <v>STRING</v>
      </c>
      <c r="M27" s="135" t="str">
        <v>STRING</v>
      </c>
      <c r="N27" s="135" t="str">
        <v>STRING</v>
      </c>
      <c r="O27" s="135" t="str">
        <v>STRING</v>
      </c>
      <c r="P27" s="135" t="str">
        <v>STRING</v>
      </c>
      <c r="Q27" s="135" t="str">
        <v>STRING</v>
      </c>
      <c r="R27" s="135" t="str">
        <v>STRING</v>
      </c>
      <c r="S27" s="140" t="str">
        <v>TIMESTAMP</v>
      </c>
    </row>
    <row r="28" spans="2:24" x14ac:dyDescent="0.25">
      <c r="B28" s="146" t="s">
        <v>3178</v>
      </c>
      <c r="C28" s="167">
        <v>7</v>
      </c>
      <c r="D28" s="169" t="s">
        <v>3176</v>
      </c>
      <c r="E28" s="167" t="s">
        <v>3177</v>
      </c>
      <c r="F28" s="167" t="s">
        <v>366</v>
      </c>
      <c r="G28" s="167" t="s">
        <v>366</v>
      </c>
      <c r="H28" s="167" t="s">
        <v>366</v>
      </c>
      <c r="I28" s="167">
        <v>5</v>
      </c>
      <c r="J28" s="167">
        <v>4</v>
      </c>
      <c r="K28" s="167">
        <v>30</v>
      </c>
      <c r="L28" s="167">
        <v>7</v>
      </c>
      <c r="M28" s="167">
        <v>7</v>
      </c>
      <c r="N28" s="167">
        <v>23</v>
      </c>
      <c r="O28" s="167">
        <v>23</v>
      </c>
      <c r="P28" s="167">
        <v>4</v>
      </c>
      <c r="Q28" s="167">
        <v>9999999</v>
      </c>
      <c r="R28" s="167">
        <v>10</v>
      </c>
      <c r="S28" s="168">
        <v>23</v>
      </c>
    </row>
    <row r="30" spans="2:24" x14ac:dyDescent="0.25">
      <c r="B30" s="164" t="s">
        <v>3179</v>
      </c>
    </row>
    <row r="31" spans="2:24" x14ac:dyDescent="0.25">
      <c r="B31" s="173" t="s">
        <v>3180</v>
      </c>
      <c r="C31" s="155" t="s">
        <v>3181</v>
      </c>
      <c r="D31" s="174" t="s">
        <v>3182</v>
      </c>
      <c r="E31" s="155" t="s">
        <v>3183</v>
      </c>
      <c r="F31" s="174" t="s">
        <v>3184</v>
      </c>
    </row>
    <row r="32" spans="2:24" ht="30" x14ac:dyDescent="0.25">
      <c r="B32" s="208" t="s">
        <v>3185</v>
      </c>
      <c r="C32" s="208" t="s">
        <v>479</v>
      </c>
      <c r="D32" s="163" t="s">
        <v>3557</v>
      </c>
      <c r="E32" s="163" t="s">
        <v>3558</v>
      </c>
      <c r="F32" s="208" t="s">
        <v>3191</v>
      </c>
    </row>
    <row r="33" spans="2:24" ht="120" x14ac:dyDescent="0.25">
      <c r="B33" s="208" t="s">
        <v>3185</v>
      </c>
      <c r="C33" s="208" t="s">
        <v>492</v>
      </c>
      <c r="D33" s="163" t="s">
        <v>3559</v>
      </c>
      <c r="E33" s="163" t="s">
        <v>3560</v>
      </c>
      <c r="F33" s="163" t="s">
        <v>3561</v>
      </c>
    </row>
    <row r="36" spans="2:24" x14ac:dyDescent="0.25">
      <c r="K36" s="111"/>
      <c r="M36" s="112"/>
      <c r="N36" s="112"/>
    </row>
    <row r="37" spans="2:24" x14ac:dyDescent="0.25">
      <c r="K37" s="111"/>
      <c r="M37" s="112"/>
    </row>
    <row r="38" spans="2:24" x14ac:dyDescent="0.25">
      <c r="K38" s="111"/>
      <c r="M38" s="207"/>
    </row>
    <row r="39" spans="2:24" x14ac:dyDescent="0.25">
      <c r="K39" s="111"/>
      <c r="M39" s="51"/>
    </row>
    <row r="40" spans="2:24" x14ac:dyDescent="0.25">
      <c r="K40" s="111"/>
      <c r="M40" s="51"/>
    </row>
    <row r="41" spans="2:24" x14ac:dyDescent="0.25">
      <c r="K41" s="111"/>
      <c r="M41" s="207"/>
    </row>
    <row r="42" spans="2:24" x14ac:dyDescent="0.25">
      <c r="K42" s="111"/>
      <c r="M42" s="207"/>
    </row>
    <row r="43" spans="2:24" x14ac:dyDescent="0.25">
      <c r="K43" s="111"/>
      <c r="M43" s="207"/>
    </row>
    <row r="44" spans="2:24" x14ac:dyDescent="0.25">
      <c r="K44" s="111"/>
      <c r="M44" s="207"/>
    </row>
    <row r="45" spans="2:24" x14ac:dyDescent="0.25">
      <c r="K45" s="111"/>
    </row>
    <row r="46" spans="2:24" x14ac:dyDescent="0.25">
      <c r="K46" s="111"/>
    </row>
    <row r="47" spans="2:24" x14ac:dyDescent="0.25">
      <c r="K47" s="111"/>
    </row>
    <row r="48" spans="2:24" x14ac:dyDescent="0.25">
      <c r="K48" s="111"/>
      <c r="M48" s="112"/>
      <c r="T48" s="115"/>
      <c r="U48" s="115"/>
      <c r="W48" s="50"/>
      <c r="X48" s="111"/>
    </row>
    <row r="49" spans="11:24" x14ac:dyDescent="0.25">
      <c r="K49" s="111"/>
      <c r="M49" s="112"/>
      <c r="T49" s="115"/>
      <c r="U49" s="115"/>
      <c r="W49" s="50"/>
      <c r="X49" s="111"/>
    </row>
    <row r="50" spans="11:24" x14ac:dyDescent="0.25">
      <c r="K50" s="111"/>
      <c r="M50" s="112"/>
      <c r="T50" s="115"/>
      <c r="U50" s="115"/>
      <c r="X50" s="111"/>
    </row>
    <row r="51" spans="11:24" x14ac:dyDescent="0.25">
      <c r="K51" s="111"/>
      <c r="T51" s="115"/>
      <c r="U51" s="115"/>
      <c r="X51" s="111"/>
    </row>
    <row r="52" spans="11:24" x14ac:dyDescent="0.25">
      <c r="K52" s="111"/>
      <c r="M52" s="112"/>
    </row>
    <row r="53" spans="11:24" x14ac:dyDescent="0.25">
      <c r="K53" s="111"/>
      <c r="M53" s="112"/>
      <c r="T53" s="50"/>
      <c r="U53" s="50"/>
    </row>
    <row r="54" spans="11:24" x14ac:dyDescent="0.25">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8" t="s">
        <v>3130</v>
      </c>
      <c r="C2" s="98" t="s">
        <v>3131</v>
      </c>
      <c r="D2" s="98" t="s">
        <v>3132</v>
      </c>
      <c r="E2" s="98" t="s">
        <v>3133</v>
      </c>
      <c r="F2" s="98" t="s">
        <v>3134</v>
      </c>
      <c r="G2" s="98" t="s">
        <v>3135</v>
      </c>
      <c r="H2" s="98" t="s">
        <v>3136</v>
      </c>
      <c r="I2" s="98" t="s">
        <v>148</v>
      </c>
      <c r="J2" s="98" t="s">
        <v>163</v>
      </c>
      <c r="K2" s="98" t="s">
        <v>1020</v>
      </c>
      <c r="L2" s="98" t="s">
        <v>1028</v>
      </c>
      <c r="M2" s="98" t="s">
        <v>3562</v>
      </c>
      <c r="N2" s="98" t="s">
        <v>1048</v>
      </c>
      <c r="O2" s="98" t="s">
        <v>344</v>
      </c>
      <c r="P2" s="98" t="s">
        <v>351</v>
      </c>
    </row>
    <row r="3" spans="2:16" x14ac:dyDescent="0.25">
      <c r="B3" s="51" t="s">
        <v>3084</v>
      </c>
      <c r="C3" s="51">
        <v>1</v>
      </c>
      <c r="D3" s="51" t="s">
        <v>3563</v>
      </c>
      <c r="E3" s="119">
        <v>45471</v>
      </c>
      <c r="F3" s="51">
        <v>1</v>
      </c>
      <c r="G3" s="122">
        <v>1</v>
      </c>
      <c r="H3" s="206" t="s">
        <v>3564</v>
      </c>
      <c r="I3" s="51" t="s">
        <v>3138</v>
      </c>
      <c r="J3" s="51" t="s">
        <v>3138</v>
      </c>
      <c r="K3" s="51" t="s">
        <v>3138</v>
      </c>
      <c r="L3" s="51" t="s">
        <v>3138</v>
      </c>
      <c r="M3" s="51" t="s">
        <v>3138</v>
      </c>
      <c r="N3" s="51" t="s">
        <v>3138</v>
      </c>
      <c r="O3" s="51" t="s">
        <v>3138</v>
      </c>
      <c r="P3" s="51" t="s">
        <v>3138</v>
      </c>
    </row>
    <row r="4" spans="2:16" x14ac:dyDescent="0.25">
      <c r="B4" s="51" t="s">
        <v>3086</v>
      </c>
      <c r="C4" s="51">
        <v>2</v>
      </c>
      <c r="D4" s="51" t="s">
        <v>3565</v>
      </c>
      <c r="E4" s="119">
        <v>45471</v>
      </c>
      <c r="F4" s="51">
        <v>1</v>
      </c>
      <c r="G4" s="122">
        <v>1</v>
      </c>
      <c r="H4" s="51" t="s">
        <v>3147</v>
      </c>
      <c r="I4" s="51" t="s">
        <v>3138</v>
      </c>
      <c r="J4" s="51" t="s">
        <v>3138</v>
      </c>
      <c r="K4" s="51" t="s">
        <v>3138</v>
      </c>
      <c r="L4" s="51" t="s">
        <v>3138</v>
      </c>
      <c r="M4" s="51" t="s">
        <v>3138</v>
      </c>
      <c r="N4" s="51" t="s">
        <v>3138</v>
      </c>
      <c r="O4" s="51" t="s">
        <v>3138</v>
      </c>
      <c r="P4" s="51" t="s">
        <v>3138</v>
      </c>
    </row>
    <row r="5" spans="2:16" x14ac:dyDescent="0.25">
      <c r="B5" s="51" t="s">
        <v>3088</v>
      </c>
      <c r="C5" s="51">
        <v>3</v>
      </c>
      <c r="D5" s="51" t="s">
        <v>3566</v>
      </c>
      <c r="E5" s="119">
        <v>45471</v>
      </c>
      <c r="F5" s="51">
        <v>1</v>
      </c>
      <c r="G5" s="122">
        <v>1</v>
      </c>
      <c r="H5" s="51" t="s">
        <v>3147</v>
      </c>
      <c r="I5" s="51">
        <v>0</v>
      </c>
      <c r="J5" s="51">
        <v>0</v>
      </c>
      <c r="K5" s="51">
        <v>0</v>
      </c>
      <c r="L5" s="51">
        <v>0</v>
      </c>
      <c r="M5" s="51">
        <v>0</v>
      </c>
      <c r="N5" s="51" t="s">
        <v>3138</v>
      </c>
      <c r="O5" s="51">
        <v>0</v>
      </c>
      <c r="P5" s="51" t="s">
        <v>3138</v>
      </c>
    </row>
    <row r="6" spans="2:16" x14ac:dyDescent="0.25">
      <c r="B6" s="121" t="s">
        <v>3093</v>
      </c>
      <c r="C6" s="51">
        <v>6</v>
      </c>
      <c r="D6" s="51" t="s">
        <v>3567</v>
      </c>
      <c r="E6" s="119">
        <v>45471</v>
      </c>
      <c r="F6" s="51">
        <v>1</v>
      </c>
      <c r="G6" s="51" cm="1">
        <f t="array" ref="G6">SUMPRODUCT(--(I6:P6&gt;0))/COUNTA(I6:P6)</f>
        <v>1</v>
      </c>
      <c r="H6" s="51" t="s">
        <v>3147</v>
      </c>
      <c r="I6" s="51">
        <v>2</v>
      </c>
      <c r="J6" s="51">
        <v>30</v>
      </c>
      <c r="K6" s="51">
        <v>10</v>
      </c>
      <c r="L6" s="51">
        <v>1</v>
      </c>
      <c r="M6" s="51">
        <v>1</v>
      </c>
      <c r="N6" s="51">
        <v>10</v>
      </c>
      <c r="O6" s="51">
        <v>10</v>
      </c>
      <c r="P6" s="51">
        <v>21</v>
      </c>
    </row>
    <row r="7" spans="2:16" x14ac:dyDescent="0.25">
      <c r="B7" s="51" t="s">
        <v>3096</v>
      </c>
      <c r="C7" s="51">
        <v>7</v>
      </c>
      <c r="D7" s="51" t="s">
        <v>3568</v>
      </c>
      <c r="E7" s="119">
        <v>45471</v>
      </c>
      <c r="F7" s="51">
        <v>1</v>
      </c>
      <c r="G7" s="51" cm="1">
        <f t="array" ref="G7">SUMPRODUCT(--(I7:P7&lt;=I24:P24))/COUNTA(I24:P24)</f>
        <v>1</v>
      </c>
      <c r="H7" s="51" t="s">
        <v>3147</v>
      </c>
      <c r="I7" s="51">
        <v>2</v>
      </c>
      <c r="J7" s="51">
        <v>30</v>
      </c>
      <c r="K7" s="51">
        <v>10</v>
      </c>
      <c r="L7" s="51">
        <v>1</v>
      </c>
      <c r="M7" s="51">
        <v>4</v>
      </c>
      <c r="N7" s="51">
        <v>10</v>
      </c>
      <c r="O7" s="51">
        <v>10</v>
      </c>
      <c r="P7" s="51">
        <v>21</v>
      </c>
    </row>
    <row r="8" spans="2:16" x14ac:dyDescent="0.25">
      <c r="B8" s="51" t="s">
        <v>3099</v>
      </c>
      <c r="C8" s="51">
        <v>8</v>
      </c>
      <c r="D8" s="51" t="s">
        <v>3569</v>
      </c>
      <c r="E8" s="119">
        <v>45471</v>
      </c>
      <c r="F8" s="51">
        <v>1</v>
      </c>
      <c r="G8" s="51" t="s">
        <v>3138</v>
      </c>
      <c r="H8" s="51" t="s">
        <v>3147</v>
      </c>
      <c r="I8" s="51">
        <v>31</v>
      </c>
      <c r="J8" s="51">
        <v>162304820002470</v>
      </c>
      <c r="K8" s="51">
        <v>0</v>
      </c>
      <c r="L8" s="51">
        <v>0</v>
      </c>
      <c r="M8" s="51">
        <v>0</v>
      </c>
      <c r="N8" s="51" t="s">
        <v>3146</v>
      </c>
      <c r="O8" s="119">
        <v>45471</v>
      </c>
      <c r="P8" s="51" t="s">
        <v>3570</v>
      </c>
    </row>
    <row r="9" spans="2:16" x14ac:dyDescent="0.25">
      <c r="B9" s="51" t="s">
        <v>3101</v>
      </c>
      <c r="C9" s="51">
        <v>9</v>
      </c>
      <c r="D9" s="51" t="s">
        <v>3571</v>
      </c>
      <c r="E9" s="119">
        <v>45471</v>
      </c>
      <c r="F9" s="51">
        <v>1</v>
      </c>
      <c r="G9" s="51" t="s">
        <v>3138</v>
      </c>
      <c r="H9" s="51" t="s">
        <v>3147</v>
      </c>
      <c r="I9" s="51">
        <v>31</v>
      </c>
      <c r="J9" s="51">
        <v>162304820002470</v>
      </c>
      <c r="K9" s="51">
        <v>0</v>
      </c>
      <c r="L9" s="51">
        <v>0</v>
      </c>
      <c r="M9" s="51">
        <v>0</v>
      </c>
      <c r="N9" s="51" t="s">
        <v>3146</v>
      </c>
      <c r="O9" s="119">
        <v>45471</v>
      </c>
      <c r="P9" s="51" t="s">
        <v>3572</v>
      </c>
    </row>
    <row r="10" spans="2:16" x14ac:dyDescent="0.25">
      <c r="B10" s="121" t="s">
        <v>3103</v>
      </c>
      <c r="C10" s="51">
        <v>10</v>
      </c>
      <c r="D10" s="51" t="s">
        <v>3573</v>
      </c>
      <c r="E10" s="119">
        <v>45471</v>
      </c>
      <c r="F10" s="51">
        <v>1</v>
      </c>
      <c r="G10" s="51" t="s">
        <v>3138</v>
      </c>
      <c r="H10" s="51" t="s">
        <v>3147</v>
      </c>
      <c r="I10" s="51">
        <v>89</v>
      </c>
      <c r="J10" s="51">
        <v>8.8780038000002303E+29</v>
      </c>
      <c r="K10" s="51">
        <v>9961000426</v>
      </c>
      <c r="L10" s="51" t="s">
        <v>3574</v>
      </c>
      <c r="M10" s="51">
        <v>1057</v>
      </c>
      <c r="N10" s="119">
        <v>2958465</v>
      </c>
      <c r="O10" s="119">
        <v>45471</v>
      </c>
      <c r="P10" s="51" t="s">
        <v>3570</v>
      </c>
    </row>
    <row r="11" spans="2:16" x14ac:dyDescent="0.25">
      <c r="B11" s="51" t="s">
        <v>3105</v>
      </c>
      <c r="C11" s="51">
        <v>11</v>
      </c>
      <c r="D11" s="51" t="s">
        <v>3575</v>
      </c>
      <c r="E11" s="119">
        <v>45471</v>
      </c>
      <c r="F11" s="51">
        <v>1</v>
      </c>
      <c r="G11" s="51" t="s">
        <v>3138</v>
      </c>
      <c r="H11" s="51" t="s">
        <v>3147</v>
      </c>
      <c r="I11" s="51">
        <v>89</v>
      </c>
      <c r="J11" s="51">
        <v>8.8780038000002303E+29</v>
      </c>
      <c r="K11" s="51">
        <v>9961000426</v>
      </c>
      <c r="L11" s="51" t="s">
        <v>3574</v>
      </c>
      <c r="M11" s="51">
        <v>1057</v>
      </c>
      <c r="N11" s="119">
        <v>2958465</v>
      </c>
      <c r="O11" s="119">
        <v>45471</v>
      </c>
      <c r="P11" s="51" t="s">
        <v>3576</v>
      </c>
    </row>
    <row r="12" spans="2:16" x14ac:dyDescent="0.25">
      <c r="B12" s="51" t="s">
        <v>3107</v>
      </c>
      <c r="C12" s="51">
        <v>12</v>
      </c>
      <c r="D12" s="51" t="s">
        <v>3577</v>
      </c>
      <c r="E12" s="119">
        <v>45471</v>
      </c>
      <c r="F12" s="51">
        <v>1</v>
      </c>
      <c r="G12" s="51">
        <v>1</v>
      </c>
      <c r="H12" s="51" t="s">
        <v>3147</v>
      </c>
      <c r="I12" s="51">
        <v>0</v>
      </c>
      <c r="J12" s="51">
        <v>0</v>
      </c>
      <c r="K12" s="51">
        <v>0</v>
      </c>
      <c r="L12" s="51">
        <v>0</v>
      </c>
      <c r="M12" s="51">
        <v>0</v>
      </c>
      <c r="N12" s="119">
        <v>0</v>
      </c>
      <c r="O12" s="119">
        <v>0</v>
      </c>
      <c r="P12" s="51">
        <v>0</v>
      </c>
    </row>
    <row r="13" spans="2:16" x14ac:dyDescent="0.25">
      <c r="B13" s="51" t="s">
        <v>3109</v>
      </c>
      <c r="C13" s="51">
        <v>13</v>
      </c>
      <c r="D13" s="51" t="s">
        <v>3578</v>
      </c>
      <c r="E13" s="119">
        <v>45471</v>
      </c>
      <c r="F13" s="51">
        <v>1</v>
      </c>
      <c r="G13" s="51">
        <v>1</v>
      </c>
      <c r="H13" s="51" t="s">
        <v>3147</v>
      </c>
      <c r="I13" s="51" t="s">
        <v>3138</v>
      </c>
      <c r="J13" s="51" t="s">
        <v>3138</v>
      </c>
      <c r="K13" s="51" t="s">
        <v>3138</v>
      </c>
      <c r="L13" s="51" t="s">
        <v>3138</v>
      </c>
      <c r="M13" s="51" t="s">
        <v>3138</v>
      </c>
      <c r="N13" s="119">
        <v>0</v>
      </c>
      <c r="O13" s="119" t="s">
        <v>3138</v>
      </c>
      <c r="P13" s="51" t="s">
        <v>3138</v>
      </c>
    </row>
    <row r="14" spans="2:16" x14ac:dyDescent="0.25">
      <c r="B14" s="51" t="s">
        <v>3111</v>
      </c>
      <c r="C14" s="51">
        <v>14</v>
      </c>
      <c r="D14" s="51" t="s">
        <v>3579</v>
      </c>
      <c r="E14" s="119">
        <v>45471</v>
      </c>
      <c r="F14" s="51">
        <v>1</v>
      </c>
      <c r="G14" s="51">
        <v>1</v>
      </c>
      <c r="H14" s="51" t="s">
        <v>3147</v>
      </c>
      <c r="I14" s="51" t="s">
        <v>3138</v>
      </c>
      <c r="J14" s="51" t="s">
        <v>3138</v>
      </c>
      <c r="K14" s="51" t="s">
        <v>3138</v>
      </c>
      <c r="L14" s="51">
        <v>0</v>
      </c>
      <c r="M14" s="51" t="s">
        <v>3138</v>
      </c>
      <c r="N14" s="51" t="s">
        <v>3138</v>
      </c>
      <c r="O14" s="51" t="s">
        <v>3138</v>
      </c>
      <c r="P14" s="51" t="s">
        <v>3138</v>
      </c>
    </row>
    <row r="15" spans="2:16" x14ac:dyDescent="0.25">
      <c r="B15" s="51" t="s">
        <v>3113</v>
      </c>
      <c r="C15" s="51">
        <v>15</v>
      </c>
      <c r="D15" s="51" t="s">
        <v>3580</v>
      </c>
      <c r="E15" s="119">
        <v>45471</v>
      </c>
      <c r="F15" s="51">
        <v>1</v>
      </c>
      <c r="G15" s="51">
        <v>1</v>
      </c>
      <c r="H15" s="51" t="s">
        <v>3147</v>
      </c>
      <c r="I15" s="51" t="s">
        <v>3138</v>
      </c>
      <c r="J15" s="51" t="s">
        <v>3138</v>
      </c>
      <c r="K15" s="51" t="s">
        <v>3138</v>
      </c>
      <c r="L15" s="51" t="s">
        <v>3138</v>
      </c>
      <c r="M15" s="51" t="s">
        <v>3138</v>
      </c>
      <c r="N15" s="121" t="s">
        <v>3138</v>
      </c>
      <c r="O15" s="51" t="s">
        <v>3138</v>
      </c>
      <c r="P15" s="51" t="s">
        <v>3138</v>
      </c>
    </row>
    <row r="16" spans="2:16" x14ac:dyDescent="0.25">
      <c r="B16" s="51" t="s">
        <v>3115</v>
      </c>
      <c r="C16" s="51">
        <v>16</v>
      </c>
      <c r="D16" s="51" t="s">
        <v>3580</v>
      </c>
      <c r="E16" s="119">
        <v>45471</v>
      </c>
      <c r="F16" s="51">
        <v>1</v>
      </c>
      <c r="G16" s="51">
        <v>1</v>
      </c>
      <c r="H16" s="51" t="s">
        <v>3147</v>
      </c>
      <c r="I16" s="51" t="s">
        <v>3138</v>
      </c>
      <c r="J16" s="51" t="s">
        <v>3138</v>
      </c>
      <c r="K16" s="51" t="s">
        <v>3138</v>
      </c>
      <c r="L16" s="51" t="s">
        <v>3138</v>
      </c>
      <c r="M16" s="51" t="s">
        <v>3138</v>
      </c>
      <c r="N16" s="51" t="s">
        <v>3138</v>
      </c>
      <c r="O16" s="51" t="s">
        <v>3138</v>
      </c>
      <c r="P16" s="51" t="s">
        <v>3138</v>
      </c>
    </row>
    <row r="17" spans="2:16" x14ac:dyDescent="0.25">
      <c r="B17" s="51" t="s">
        <v>3121</v>
      </c>
      <c r="C17" s="51">
        <v>19</v>
      </c>
      <c r="D17" s="51" t="s">
        <v>3581</v>
      </c>
      <c r="E17" s="119">
        <v>45471</v>
      </c>
      <c r="F17" s="51">
        <v>1</v>
      </c>
      <c r="G17" s="51" cm="1">
        <f t="array" ref="G17">SUMPRODUCT(--(ISNUMBER((SEARCH(I24:P24,I17:P17)))))/COUNTA(I17:P17)</f>
        <v>0.75</v>
      </c>
      <c r="H17" s="51" t="s">
        <v>3147</v>
      </c>
      <c r="I17" s="51" t="s">
        <v>3172</v>
      </c>
      <c r="J17" s="51" t="s">
        <v>3172</v>
      </c>
      <c r="K17" s="51" t="s">
        <v>3172</v>
      </c>
      <c r="L17" s="51" t="s">
        <v>3172</v>
      </c>
      <c r="M17" s="51" t="s">
        <v>3556</v>
      </c>
      <c r="N17" s="51" t="s">
        <v>3487</v>
      </c>
      <c r="O17" s="51" t="s">
        <v>3172</v>
      </c>
      <c r="P17" s="51" t="s">
        <v>3174</v>
      </c>
    </row>
    <row r="18" spans="2:16" x14ac:dyDescent="0.25">
      <c r="B18" s="51" t="s">
        <v>3124</v>
      </c>
      <c r="C18" s="51">
        <v>20</v>
      </c>
      <c r="D18" s="51"/>
      <c r="E18" s="119">
        <v>45471</v>
      </c>
      <c r="F18" s="51">
        <v>1</v>
      </c>
      <c r="G18" s="51" cm="1">
        <f t="array" ref="G18">SUM(IF(I2:P2 = I23:P23, 1, 0))/ COUNTA(I2:P2)</f>
        <v>0.875</v>
      </c>
      <c r="H18" s="51" t="s">
        <v>3147</v>
      </c>
      <c r="I18" s="51" t="s">
        <v>3138</v>
      </c>
      <c r="J18" s="51" t="s">
        <v>3138</v>
      </c>
      <c r="K18" s="51" t="s">
        <v>3138</v>
      </c>
      <c r="L18" s="51" t="s">
        <v>3138</v>
      </c>
      <c r="M18" s="51" t="s">
        <v>3138</v>
      </c>
      <c r="N18" s="51" t="s">
        <v>3138</v>
      </c>
      <c r="O18" s="51" t="s">
        <v>3138</v>
      </c>
      <c r="P18" s="51" t="s">
        <v>3138</v>
      </c>
    </row>
    <row r="19" spans="2:16" x14ac:dyDescent="0.25">
      <c r="B19" s="51" t="s">
        <v>3127</v>
      </c>
      <c r="C19" s="51">
        <v>21</v>
      </c>
      <c r="D19" s="51"/>
      <c r="E19" s="119">
        <v>45471</v>
      </c>
      <c r="F19" s="51">
        <v>1</v>
      </c>
      <c r="G19" s="51" cm="1">
        <f t="array" ref="G19">SUM(IF(IF(G3:G18="null",1,G3:G18)=1,1,0))/COUNT(IF(G3:G18="null",1,1))</f>
        <v>0.875</v>
      </c>
      <c r="H19" s="51" t="s">
        <v>3147</v>
      </c>
      <c r="I19" s="51" t="s">
        <v>3138</v>
      </c>
      <c r="J19" s="51" t="s">
        <v>3138</v>
      </c>
      <c r="K19" s="51" t="s">
        <v>3138</v>
      </c>
      <c r="L19" s="51" t="s">
        <v>3138</v>
      </c>
      <c r="M19" s="51" t="s">
        <v>3138</v>
      </c>
      <c r="N19" s="51">
        <v>0</v>
      </c>
      <c r="O19" s="51" t="s">
        <v>3138</v>
      </c>
      <c r="P19" s="51" t="s">
        <v>3138</v>
      </c>
    </row>
    <row r="22" spans="2:16" x14ac:dyDescent="0.25">
      <c r="B22" s="154" t="s">
        <v>3582</v>
      </c>
    </row>
    <row r="23" spans="2:16" x14ac:dyDescent="0.25">
      <c r="B23" s="152" t="s">
        <v>3130</v>
      </c>
      <c r="C23" s="153" t="s">
        <v>3131</v>
      </c>
      <c r="D23" s="153" t="s">
        <v>3132</v>
      </c>
      <c r="E23" s="153" t="s">
        <v>3133</v>
      </c>
      <c r="F23" s="153" t="s">
        <v>3134</v>
      </c>
      <c r="G23" s="153" t="s">
        <v>3135</v>
      </c>
      <c r="H23" s="153" t="s">
        <v>3136</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x14ac:dyDescent="0.25">
      <c r="B24" s="145" t="s">
        <v>366</v>
      </c>
      <c r="C24" s="137">
        <v>21</v>
      </c>
      <c r="D24" s="138" t="s">
        <v>3176</v>
      </c>
      <c r="E24" s="137" t="s">
        <v>3177</v>
      </c>
      <c r="F24" s="137" t="s">
        <v>366</v>
      </c>
      <c r="G24" s="137" t="s">
        <v>366</v>
      </c>
      <c r="H24" s="137" t="s">
        <v>366</v>
      </c>
      <c r="I24" s="137"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7" t="str">
        <v>STRING</v>
      </c>
      <c r="K24" s="137" t="str">
        <v>STRING</v>
      </c>
      <c r="L24" s="137" t="str">
        <v>STRING</v>
      </c>
      <c r="M24" s="137" t="str">
        <v>BIGINT</v>
      </c>
      <c r="N24" s="137" t="str">
        <v>STRING</v>
      </c>
      <c r="O24" s="137" t="str">
        <v>STRING</v>
      </c>
      <c r="P24" s="144" t="str">
        <v>TIMESTAMP</v>
      </c>
    </row>
    <row r="25" spans="2:16" x14ac:dyDescent="0.25">
      <c r="B25" s="145" t="s">
        <v>366</v>
      </c>
      <c r="C25" s="137">
        <v>7</v>
      </c>
      <c r="D25" s="138" t="s">
        <v>3176</v>
      </c>
      <c r="E25" s="137" t="s">
        <v>3177</v>
      </c>
      <c r="F25" s="137" t="s">
        <v>366</v>
      </c>
      <c r="G25" s="137" t="s">
        <v>366</v>
      </c>
      <c r="H25" s="137" t="s">
        <v>366</v>
      </c>
      <c r="I25" s="137">
        <v>4</v>
      </c>
      <c r="J25" s="137">
        <v>30</v>
      </c>
      <c r="K25" s="137">
        <v>10</v>
      </c>
      <c r="L25" s="137">
        <v>4</v>
      </c>
      <c r="M25" s="137">
        <v>9999999</v>
      </c>
      <c r="N25" s="137">
        <v>10</v>
      </c>
      <c r="O25" s="137">
        <v>10</v>
      </c>
      <c r="P25" s="144">
        <v>23</v>
      </c>
    </row>
    <row r="26" spans="2:16" x14ac:dyDescent="0.25">
      <c r="B26" s="51"/>
      <c r="C26" s="51"/>
      <c r="D26" s="120"/>
      <c r="E26" s="51"/>
      <c r="F26" s="51"/>
      <c r="G26" s="51"/>
      <c r="H26" s="51"/>
      <c r="I26" s="51"/>
      <c r="J26" s="51"/>
      <c r="K26" s="51"/>
      <c r="L26" s="51"/>
      <c r="M26" s="51"/>
      <c r="N26" s="51"/>
      <c r="O26" s="51"/>
      <c r="P26" s="51"/>
    </row>
    <row r="27" spans="2:16" x14ac:dyDescent="0.25">
      <c r="B27" s="164" t="s">
        <v>3179</v>
      </c>
    </row>
    <row r="28" spans="2:16" x14ac:dyDescent="0.25">
      <c r="B28" s="173" t="s">
        <v>3180</v>
      </c>
      <c r="C28" s="155" t="s">
        <v>3181</v>
      </c>
      <c r="D28" s="174" t="s">
        <v>3182</v>
      </c>
      <c r="E28" s="155" t="s">
        <v>3183</v>
      </c>
      <c r="F28" s="174" t="s">
        <v>3184</v>
      </c>
    </row>
    <row r="29" spans="2:16" ht="30" x14ac:dyDescent="0.25">
      <c r="B29" s="55" t="s">
        <v>3583</v>
      </c>
      <c r="C29" s="55" t="s">
        <v>1048</v>
      </c>
      <c r="D29" s="54" t="s">
        <v>3584</v>
      </c>
      <c r="E29" s="180" t="s">
        <v>3585</v>
      </c>
      <c r="F29" s="55"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98" t="s">
        <v>3255</v>
      </c>
      <c r="C2" s="98" t="s">
        <v>3131</v>
      </c>
      <c r="D2" s="98" t="s">
        <v>3132</v>
      </c>
      <c r="E2" s="98" t="s">
        <v>3133</v>
      </c>
      <c r="F2" s="98" t="s">
        <v>3134</v>
      </c>
      <c r="G2" s="98" t="s">
        <v>3135</v>
      </c>
      <c r="H2" s="98" t="s">
        <v>3136</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x14ac:dyDescent="0.25">
      <c r="B3" s="51" t="s">
        <v>3084</v>
      </c>
      <c r="C3" s="51">
        <v>1</v>
      </c>
      <c r="D3" t="s">
        <v>3586</v>
      </c>
      <c r="E3" s="332">
        <v>45390</v>
      </c>
      <c r="F3" s="116">
        <v>1</v>
      </c>
      <c r="G3" s="331">
        <v>1</v>
      </c>
      <c r="H3" s="116">
        <v>125228</v>
      </c>
      <c r="I3" s="116" t="s">
        <v>3138</v>
      </c>
      <c r="J3" s="116" t="s">
        <v>3138</v>
      </c>
      <c r="K3" s="116" t="s">
        <v>3138</v>
      </c>
      <c r="L3" s="116" t="s">
        <v>3138</v>
      </c>
      <c r="M3" s="116" t="s">
        <v>3138</v>
      </c>
      <c r="N3" s="116" t="s">
        <v>3138</v>
      </c>
      <c r="O3" s="116" t="s">
        <v>3138</v>
      </c>
      <c r="P3" s="116" t="s">
        <v>3138</v>
      </c>
      <c r="Q3" s="116" t="s">
        <v>3138</v>
      </c>
      <c r="R3" s="116" t="s">
        <v>3138</v>
      </c>
      <c r="S3" s="116" t="s">
        <v>3138</v>
      </c>
      <c r="T3" s="116" t="s">
        <v>3138</v>
      </c>
      <c r="U3" s="116" t="s">
        <v>3138</v>
      </c>
      <c r="V3" s="116" t="s">
        <v>3138</v>
      </c>
      <c r="W3" s="116" t="s">
        <v>3138</v>
      </c>
      <c r="X3" s="116" t="s">
        <v>3138</v>
      </c>
      <c r="Y3" s="116" t="s">
        <v>3138</v>
      </c>
      <c r="Z3" s="116" t="s">
        <v>3138</v>
      </c>
      <c r="AA3" s="116" t="s">
        <v>3138</v>
      </c>
      <c r="AB3" s="116" t="s">
        <v>3138</v>
      </c>
      <c r="AC3" s="116" t="s">
        <v>3138</v>
      </c>
      <c r="AD3" s="116" t="s">
        <v>3138</v>
      </c>
      <c r="AE3" s="116" t="s">
        <v>3138</v>
      </c>
      <c r="AF3" s="116" t="s">
        <v>3138</v>
      </c>
      <c r="AG3" s="116" t="s">
        <v>3138</v>
      </c>
      <c r="AH3" s="116" t="s">
        <v>3138</v>
      </c>
      <c r="AI3" s="116" t="s">
        <v>3138</v>
      </c>
      <c r="AJ3" s="116" t="s">
        <v>3138</v>
      </c>
      <c r="AK3" s="116" t="s">
        <v>3138</v>
      </c>
      <c r="AL3" s="116" t="s">
        <v>3138</v>
      </c>
      <c r="AM3" s="116" t="s">
        <v>3138</v>
      </c>
      <c r="AN3" s="116" t="s">
        <v>3138</v>
      </c>
      <c r="AO3" s="116" t="s">
        <v>3138</v>
      </c>
      <c r="AP3" s="116" t="s">
        <v>3138</v>
      </c>
      <c r="AQ3" s="116" t="s">
        <v>3138</v>
      </c>
      <c r="AR3" s="116" t="s">
        <v>3138</v>
      </c>
      <c r="AS3" s="116" t="s">
        <v>3138</v>
      </c>
      <c r="AT3" s="116" t="s">
        <v>3138</v>
      </c>
      <c r="AU3" s="116" t="s">
        <v>3138</v>
      </c>
      <c r="AV3" s="116" t="s">
        <v>3138</v>
      </c>
      <c r="AW3" s="116" t="s">
        <v>3138</v>
      </c>
      <c r="AX3" s="116" t="s">
        <v>3138</v>
      </c>
      <c r="AY3" s="116" t="s">
        <v>3138</v>
      </c>
      <c r="AZ3" s="116" t="s">
        <v>3138</v>
      </c>
      <c r="BA3" s="116" t="s">
        <v>3138</v>
      </c>
    </row>
    <row r="4" spans="2:53" x14ac:dyDescent="0.25">
      <c r="B4" s="51" t="s">
        <v>3086</v>
      </c>
      <c r="C4" s="51">
        <v>2</v>
      </c>
      <c r="D4" t="s">
        <v>3587</v>
      </c>
      <c r="E4" s="332">
        <v>45390</v>
      </c>
      <c r="F4" s="116">
        <v>1</v>
      </c>
      <c r="G4" s="331">
        <v>0.99999199999999999</v>
      </c>
      <c r="H4" s="330">
        <v>1</v>
      </c>
      <c r="I4" s="116" t="s">
        <v>3138</v>
      </c>
      <c r="J4" s="116" t="s">
        <v>3138</v>
      </c>
      <c r="K4" s="116" t="s">
        <v>3138</v>
      </c>
      <c r="L4" s="116" t="s">
        <v>3138</v>
      </c>
      <c r="M4" s="116" t="s">
        <v>3138</v>
      </c>
      <c r="N4" s="116" t="s">
        <v>3138</v>
      </c>
      <c r="O4" s="116" t="s">
        <v>3138</v>
      </c>
      <c r="P4" s="116" t="s">
        <v>3138</v>
      </c>
      <c r="Q4" s="116" t="s">
        <v>3138</v>
      </c>
      <c r="R4" s="116" t="s">
        <v>3138</v>
      </c>
      <c r="S4" s="116" t="s">
        <v>3138</v>
      </c>
      <c r="T4" s="116" t="s">
        <v>3138</v>
      </c>
      <c r="U4" s="116" t="s">
        <v>3138</v>
      </c>
      <c r="V4" s="116" t="s">
        <v>3138</v>
      </c>
      <c r="W4" s="116" t="s">
        <v>3138</v>
      </c>
      <c r="X4" s="116" t="s">
        <v>3138</v>
      </c>
      <c r="Y4" s="116" t="s">
        <v>3138</v>
      </c>
      <c r="Z4" s="116" t="s">
        <v>3138</v>
      </c>
      <c r="AA4" s="116" t="s">
        <v>3138</v>
      </c>
      <c r="AB4" s="116" t="s">
        <v>3138</v>
      </c>
      <c r="AC4" s="116" t="s">
        <v>3138</v>
      </c>
      <c r="AD4" s="116" t="s">
        <v>3138</v>
      </c>
      <c r="AE4" s="116" t="s">
        <v>3138</v>
      </c>
      <c r="AF4" s="116" t="s">
        <v>3138</v>
      </c>
      <c r="AG4" s="116" t="s">
        <v>3138</v>
      </c>
      <c r="AH4" s="116" t="s">
        <v>3138</v>
      </c>
      <c r="AI4" s="116" t="s">
        <v>3138</v>
      </c>
      <c r="AJ4" s="116" t="s">
        <v>3138</v>
      </c>
      <c r="AK4" s="116" t="s">
        <v>3138</v>
      </c>
      <c r="AL4" s="116" t="s">
        <v>3138</v>
      </c>
      <c r="AM4" s="116" t="s">
        <v>3138</v>
      </c>
      <c r="AN4" s="116" t="s">
        <v>3138</v>
      </c>
      <c r="AO4" s="116" t="s">
        <v>3138</v>
      </c>
      <c r="AP4" s="116" t="s">
        <v>3138</v>
      </c>
      <c r="AQ4" s="116" t="s">
        <v>3138</v>
      </c>
      <c r="AR4" s="116" t="s">
        <v>3138</v>
      </c>
      <c r="AS4" s="116" t="s">
        <v>3138</v>
      </c>
      <c r="AT4" s="116" t="s">
        <v>3138</v>
      </c>
      <c r="AU4" s="116" t="s">
        <v>3138</v>
      </c>
      <c r="AV4" s="116" t="s">
        <v>3138</v>
      </c>
      <c r="AW4" s="116" t="s">
        <v>3138</v>
      </c>
      <c r="AX4" s="116" t="s">
        <v>3138</v>
      </c>
      <c r="AY4" s="116" t="s">
        <v>3138</v>
      </c>
      <c r="AZ4" s="116" t="s">
        <v>3138</v>
      </c>
      <c r="BA4" s="116" t="s">
        <v>3138</v>
      </c>
    </row>
    <row r="5" spans="2:53" x14ac:dyDescent="0.25">
      <c r="B5" s="51" t="s">
        <v>3088</v>
      </c>
      <c r="C5" s="51">
        <v>3</v>
      </c>
      <c r="D5" t="s">
        <v>3588</v>
      </c>
      <c r="E5" s="332">
        <v>45390</v>
      </c>
      <c r="F5" s="116">
        <v>1</v>
      </c>
      <c r="G5" s="331">
        <v>1</v>
      </c>
      <c r="H5" s="116">
        <v>0</v>
      </c>
      <c r="I5" s="116">
        <v>0</v>
      </c>
      <c r="J5" s="116">
        <v>0</v>
      </c>
      <c r="K5" s="116" t="s">
        <v>3138</v>
      </c>
      <c r="L5" s="116" t="s">
        <v>3138</v>
      </c>
      <c r="M5" s="116" t="s">
        <v>3138</v>
      </c>
      <c r="N5" s="116" t="s">
        <v>3138</v>
      </c>
      <c r="O5" s="116" t="s">
        <v>3138</v>
      </c>
      <c r="P5" s="116" t="s">
        <v>3138</v>
      </c>
      <c r="Q5" s="116" t="s">
        <v>3138</v>
      </c>
      <c r="R5" s="116" t="s">
        <v>3138</v>
      </c>
      <c r="S5" s="116" t="s">
        <v>3138</v>
      </c>
      <c r="T5" s="116" t="s">
        <v>3138</v>
      </c>
      <c r="U5" s="116" t="s">
        <v>3138</v>
      </c>
      <c r="V5" s="116" t="s">
        <v>3138</v>
      </c>
      <c r="W5" s="116" t="s">
        <v>3138</v>
      </c>
      <c r="X5" s="116" t="s">
        <v>3138</v>
      </c>
      <c r="Y5" s="116" t="s">
        <v>3138</v>
      </c>
      <c r="Z5" s="116" t="s">
        <v>3138</v>
      </c>
      <c r="AA5" s="116" t="s">
        <v>3138</v>
      </c>
      <c r="AB5" s="116" t="s">
        <v>3138</v>
      </c>
      <c r="AC5" s="116" t="s">
        <v>3138</v>
      </c>
      <c r="AD5" s="116" t="s">
        <v>3138</v>
      </c>
      <c r="AE5" s="116" t="s">
        <v>3138</v>
      </c>
      <c r="AF5" s="116" t="s">
        <v>3138</v>
      </c>
      <c r="AG5" s="116" t="s">
        <v>3138</v>
      </c>
      <c r="AH5" s="116" t="s">
        <v>3138</v>
      </c>
      <c r="AI5" s="116" t="s">
        <v>3138</v>
      </c>
      <c r="AJ5" s="116" t="s">
        <v>3138</v>
      </c>
      <c r="AK5" s="116" t="s">
        <v>3138</v>
      </c>
      <c r="AL5" s="116" t="s">
        <v>3138</v>
      </c>
      <c r="AM5" s="116" t="s">
        <v>3138</v>
      </c>
      <c r="AN5" s="116" t="s">
        <v>3138</v>
      </c>
      <c r="AO5" s="116" t="s">
        <v>3138</v>
      </c>
      <c r="AP5" s="116" t="s">
        <v>3138</v>
      </c>
      <c r="AQ5" s="116" t="s">
        <v>3138</v>
      </c>
      <c r="AR5" s="116" t="s">
        <v>3138</v>
      </c>
      <c r="AS5" s="116" t="s">
        <v>3138</v>
      </c>
      <c r="AT5" s="116" t="s">
        <v>3138</v>
      </c>
      <c r="AU5" s="116" t="s">
        <v>3138</v>
      </c>
      <c r="AV5" s="116" t="s">
        <v>3138</v>
      </c>
      <c r="AW5" s="116" t="s">
        <v>3138</v>
      </c>
      <c r="AX5" s="116" t="s">
        <v>3138</v>
      </c>
      <c r="AY5" s="116" t="s">
        <v>3138</v>
      </c>
      <c r="AZ5" s="116">
        <v>0</v>
      </c>
      <c r="BA5" s="116" t="s">
        <v>3138</v>
      </c>
    </row>
    <row r="6" spans="2:53" x14ac:dyDescent="0.25">
      <c r="B6" s="121" t="s">
        <v>3090</v>
      </c>
      <c r="C6" s="51">
        <v>4</v>
      </c>
      <c r="D6" t="s">
        <v>3141</v>
      </c>
      <c r="E6" s="332">
        <v>45390</v>
      </c>
      <c r="F6" s="116">
        <v>1</v>
      </c>
      <c r="G6" s="331" t="s">
        <v>3138</v>
      </c>
      <c r="H6" s="116" t="s">
        <v>3138</v>
      </c>
      <c r="I6" s="116" t="s">
        <v>3138</v>
      </c>
      <c r="J6" s="116" t="s">
        <v>3138</v>
      </c>
      <c r="K6" s="116" t="s">
        <v>3138</v>
      </c>
      <c r="L6" s="116" t="s">
        <v>3138</v>
      </c>
      <c r="M6" s="116" t="s">
        <v>3138</v>
      </c>
      <c r="N6" s="116" t="s">
        <v>3138</v>
      </c>
      <c r="O6" s="116" t="s">
        <v>3138</v>
      </c>
      <c r="P6" s="116" t="s">
        <v>3138</v>
      </c>
      <c r="Q6" s="116" t="s">
        <v>3138</v>
      </c>
      <c r="R6" s="116" t="s">
        <v>3138</v>
      </c>
      <c r="S6" s="116" t="s">
        <v>3138</v>
      </c>
      <c r="T6" s="116" t="s">
        <v>3138</v>
      </c>
      <c r="U6" s="116" t="s">
        <v>3138</v>
      </c>
      <c r="V6" s="116" t="s">
        <v>3138</v>
      </c>
      <c r="W6" s="116" t="s">
        <v>3138</v>
      </c>
      <c r="X6" s="116" t="s">
        <v>3138</v>
      </c>
      <c r="Y6" s="116" t="s">
        <v>3138</v>
      </c>
      <c r="Z6" s="116" t="s">
        <v>3138</v>
      </c>
      <c r="AA6" s="116" t="s">
        <v>3138</v>
      </c>
      <c r="AB6" s="116" t="s">
        <v>3138</v>
      </c>
      <c r="AC6" s="116" t="s">
        <v>3138</v>
      </c>
      <c r="AD6" s="116" t="s">
        <v>3138</v>
      </c>
      <c r="AE6" s="116" t="s">
        <v>3138</v>
      </c>
      <c r="AF6" s="116" t="s">
        <v>3138</v>
      </c>
      <c r="AG6" s="116" t="s">
        <v>3138</v>
      </c>
      <c r="AH6" s="116" t="s">
        <v>3138</v>
      </c>
      <c r="AI6" s="116" t="s">
        <v>3138</v>
      </c>
      <c r="AJ6" s="116" t="s">
        <v>3138</v>
      </c>
      <c r="AK6" s="116" t="s">
        <v>3138</v>
      </c>
      <c r="AL6" s="116" t="s">
        <v>3138</v>
      </c>
      <c r="AM6" s="116" t="s">
        <v>3138</v>
      </c>
      <c r="AN6" s="116" t="s">
        <v>3138</v>
      </c>
      <c r="AO6" s="116" t="s">
        <v>3138</v>
      </c>
      <c r="AP6" s="116" t="s">
        <v>3138</v>
      </c>
      <c r="AQ6" s="116" t="s">
        <v>3138</v>
      </c>
      <c r="AR6" s="116" t="s">
        <v>3138</v>
      </c>
      <c r="AS6" s="116" t="s">
        <v>3138</v>
      </c>
      <c r="AT6" s="116" t="s">
        <v>3138</v>
      </c>
      <c r="AU6" s="116" t="s">
        <v>3138</v>
      </c>
      <c r="AV6" s="116" t="s">
        <v>3138</v>
      </c>
      <c r="AW6" s="116" t="s">
        <v>3138</v>
      </c>
      <c r="AX6" s="116" t="s">
        <v>3138</v>
      </c>
      <c r="AY6" s="116" t="s">
        <v>3138</v>
      </c>
      <c r="AZ6" s="116" t="s">
        <v>3138</v>
      </c>
      <c r="BA6" s="116" t="s">
        <v>3138</v>
      </c>
    </row>
    <row r="7" spans="2:53" x14ac:dyDescent="0.25">
      <c r="B7" s="121" t="s">
        <v>3092</v>
      </c>
      <c r="C7" s="51">
        <v>5</v>
      </c>
      <c r="D7" t="s">
        <v>3141</v>
      </c>
      <c r="E7" s="332">
        <v>45390</v>
      </c>
      <c r="F7" s="116">
        <v>1</v>
      </c>
      <c r="G7" s="331" t="s">
        <v>3138</v>
      </c>
      <c r="H7" s="116" t="s">
        <v>3138</v>
      </c>
      <c r="I7" s="116" t="s">
        <v>3138</v>
      </c>
      <c r="J7" s="116" t="s">
        <v>3138</v>
      </c>
      <c r="K7" s="116" t="s">
        <v>3138</v>
      </c>
      <c r="L7" s="116" t="s">
        <v>3138</v>
      </c>
      <c r="M7" s="116" t="s">
        <v>3138</v>
      </c>
      <c r="N7" s="116" t="s">
        <v>3138</v>
      </c>
      <c r="O7" s="116" t="s">
        <v>3138</v>
      </c>
      <c r="P7" s="116" t="s">
        <v>3138</v>
      </c>
      <c r="Q7" s="116" t="s">
        <v>3138</v>
      </c>
      <c r="R7" s="116" t="s">
        <v>3138</v>
      </c>
      <c r="S7" s="116" t="s">
        <v>3138</v>
      </c>
      <c r="T7" s="116" t="s">
        <v>3138</v>
      </c>
      <c r="U7" s="116" t="s">
        <v>3138</v>
      </c>
      <c r="V7" s="116" t="s">
        <v>3138</v>
      </c>
      <c r="W7" s="116" t="s">
        <v>3138</v>
      </c>
      <c r="X7" s="116" t="s">
        <v>3138</v>
      </c>
      <c r="Y7" s="116" t="s">
        <v>3138</v>
      </c>
      <c r="Z7" s="116" t="s">
        <v>3138</v>
      </c>
      <c r="AA7" s="116" t="s">
        <v>3138</v>
      </c>
      <c r="AB7" s="116" t="s">
        <v>3138</v>
      </c>
      <c r="AC7" s="116" t="s">
        <v>3138</v>
      </c>
      <c r="AD7" s="116" t="s">
        <v>3138</v>
      </c>
      <c r="AE7" s="116" t="s">
        <v>3138</v>
      </c>
      <c r="AF7" s="116" t="s">
        <v>3138</v>
      </c>
      <c r="AG7" s="116" t="s">
        <v>3138</v>
      </c>
      <c r="AH7" s="116" t="s">
        <v>3138</v>
      </c>
      <c r="AI7" s="116" t="s">
        <v>3138</v>
      </c>
      <c r="AJ7" s="116" t="s">
        <v>3138</v>
      </c>
      <c r="AK7" s="116" t="s">
        <v>3138</v>
      </c>
      <c r="AL7" s="116" t="s">
        <v>3138</v>
      </c>
      <c r="AM7" s="116" t="s">
        <v>3138</v>
      </c>
      <c r="AN7" s="116" t="s">
        <v>3138</v>
      </c>
      <c r="AO7" s="116" t="s">
        <v>3138</v>
      </c>
      <c r="AP7" s="116" t="s">
        <v>3138</v>
      </c>
      <c r="AQ7" s="116" t="s">
        <v>3138</v>
      </c>
      <c r="AR7" s="116" t="s">
        <v>3138</v>
      </c>
      <c r="AS7" s="116" t="s">
        <v>3138</v>
      </c>
      <c r="AT7" s="116" t="s">
        <v>3138</v>
      </c>
      <c r="AU7" s="116" t="s">
        <v>3138</v>
      </c>
      <c r="AV7" s="116" t="s">
        <v>3138</v>
      </c>
      <c r="AW7" s="116" t="s">
        <v>3138</v>
      </c>
      <c r="AX7" s="116" t="s">
        <v>3138</v>
      </c>
      <c r="AY7" s="116" t="s">
        <v>3138</v>
      </c>
      <c r="AZ7" s="116" t="s">
        <v>3138</v>
      </c>
      <c r="BA7" s="116" t="s">
        <v>3138</v>
      </c>
    </row>
    <row r="8" spans="2:53" x14ac:dyDescent="0.25">
      <c r="B8" s="121" t="s">
        <v>3093</v>
      </c>
      <c r="C8" s="51">
        <v>6</v>
      </c>
      <c r="D8" t="s">
        <v>3589</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x14ac:dyDescent="0.25">
      <c r="B9" s="51" t="s">
        <v>3096</v>
      </c>
      <c r="C9" s="51">
        <v>7</v>
      </c>
      <c r="D9" t="s">
        <v>3590</v>
      </c>
      <c r="E9" s="332">
        <v>45390</v>
      </c>
      <c r="F9" s="116">
        <v>1</v>
      </c>
      <c r="G9" s="331" cm="1">
        <f t="array" ref="G9">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x14ac:dyDescent="0.25">
      <c r="B10" s="51" t="s">
        <v>3099</v>
      </c>
      <c r="C10" s="51">
        <v>8</v>
      </c>
      <c r="D10" t="s">
        <v>3591</v>
      </c>
      <c r="E10" s="332">
        <v>45390</v>
      </c>
      <c r="F10" s="116">
        <v>1</v>
      </c>
      <c r="G10" s="331" t="s">
        <v>3138</v>
      </c>
      <c r="H10" s="116">
        <v>0</v>
      </c>
      <c r="I10" s="116">
        <v>31</v>
      </c>
      <c r="J10" s="116" t="s">
        <v>3592</v>
      </c>
      <c r="K10" s="116" t="s">
        <v>3593</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3147</v>
      </c>
      <c r="AC10" s="332">
        <v>-11976360000</v>
      </c>
      <c r="AD10" s="330">
        <v>-1240000000000</v>
      </c>
      <c r="AE10" s="116" t="s">
        <v>3147</v>
      </c>
      <c r="AF10" s="116" t="e">
        <v>#N/A</v>
      </c>
      <c r="AG10" s="332" t="e">
        <v>#N/A</v>
      </c>
      <c r="AH10" s="116" t="s">
        <v>3147</v>
      </c>
      <c r="AI10" s="116" t="e">
        <v>#N/A</v>
      </c>
      <c r="AJ10" s="116" t="s">
        <v>3147</v>
      </c>
      <c r="AK10" s="330" t="s">
        <v>3147</v>
      </c>
      <c r="AL10" s="116" t="e">
        <v>#N/A</v>
      </c>
      <c r="AM10" s="330" t="e">
        <v>#N/A</v>
      </c>
      <c r="AN10" s="330" t="s">
        <v>3594</v>
      </c>
      <c r="AO10" s="116" t="s">
        <v>3147</v>
      </c>
      <c r="AP10" s="116" t="s">
        <v>3147</v>
      </c>
      <c r="AQ10" s="116" t="e">
        <v>#N/A</v>
      </c>
      <c r="AR10" s="116" t="e">
        <v>#N/A</v>
      </c>
      <c r="AS10" s="116" t="s">
        <v>3595</v>
      </c>
      <c r="AT10" s="116" t="s">
        <v>3147</v>
      </c>
      <c r="AU10" s="116" t="s">
        <v>3147</v>
      </c>
      <c r="AV10" s="116" t="e">
        <v>#N/A</v>
      </c>
      <c r="AW10" s="116" t="s">
        <v>3148</v>
      </c>
      <c r="AX10" s="116" t="s">
        <v>3149</v>
      </c>
      <c r="AY10" s="116" t="s">
        <v>3266</v>
      </c>
      <c r="AZ10" s="332">
        <v>45390</v>
      </c>
      <c r="BA10" s="116" t="s">
        <v>3596</v>
      </c>
    </row>
    <row r="11" spans="2:53" x14ac:dyDescent="0.25">
      <c r="B11" s="51" t="s">
        <v>3101</v>
      </c>
      <c r="C11" s="51">
        <v>9</v>
      </c>
      <c r="D11" t="s">
        <v>3597</v>
      </c>
      <c r="E11" s="332">
        <v>45390</v>
      </c>
      <c r="F11" s="116">
        <v>1</v>
      </c>
      <c r="G11" s="331" t="s">
        <v>3138</v>
      </c>
      <c r="H11" s="116">
        <v>0</v>
      </c>
      <c r="I11" s="116">
        <v>31</v>
      </c>
      <c r="J11" s="116" t="s">
        <v>3592</v>
      </c>
      <c r="K11" s="116" t="s">
        <v>3593</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3147</v>
      </c>
      <c r="AC11" s="332">
        <v>-11976360000</v>
      </c>
      <c r="AD11" s="330">
        <v>-1240000000000</v>
      </c>
      <c r="AE11" s="116" t="s">
        <v>3147</v>
      </c>
      <c r="AF11" s="116" t="e">
        <v>#N/A</v>
      </c>
      <c r="AG11" s="332" t="e">
        <v>#N/A</v>
      </c>
      <c r="AH11" s="116" t="s">
        <v>3147</v>
      </c>
      <c r="AI11" s="116" t="e">
        <v>#N/A</v>
      </c>
      <c r="AJ11" s="116" t="s">
        <v>3147</v>
      </c>
      <c r="AK11" s="330" t="s">
        <v>3147</v>
      </c>
      <c r="AL11" s="116" t="e">
        <v>#N/A</v>
      </c>
      <c r="AM11" s="330" t="e">
        <v>#N/A</v>
      </c>
      <c r="AN11" s="330" t="s">
        <v>3594</v>
      </c>
      <c r="AO11" s="116" t="s">
        <v>3147</v>
      </c>
      <c r="AP11" s="116" t="s">
        <v>3147</v>
      </c>
      <c r="AQ11" s="116" t="e">
        <v>#N/A</v>
      </c>
      <c r="AR11" s="116" t="e">
        <v>#N/A</v>
      </c>
      <c r="AS11" s="116" t="s">
        <v>3595</v>
      </c>
      <c r="AT11" s="116" t="s">
        <v>3147</v>
      </c>
      <c r="AU11" s="116" t="s">
        <v>3147</v>
      </c>
      <c r="AV11" s="116" t="e">
        <v>#N/A</v>
      </c>
      <c r="AW11" s="116" t="s">
        <v>3148</v>
      </c>
      <c r="AX11" s="116" t="s">
        <v>3149</v>
      </c>
      <c r="AY11" s="116" t="s">
        <v>3266</v>
      </c>
      <c r="AZ11" s="332">
        <v>45390</v>
      </c>
      <c r="BA11" s="116" t="s">
        <v>3596</v>
      </c>
    </row>
    <row r="12" spans="2:53" x14ac:dyDescent="0.25">
      <c r="B12" s="121" t="s">
        <v>3103</v>
      </c>
      <c r="C12" s="51">
        <v>10</v>
      </c>
      <c r="D12" t="s">
        <v>3598</v>
      </c>
      <c r="E12" s="332">
        <v>45390</v>
      </c>
      <c r="F12" s="116">
        <v>1</v>
      </c>
      <c r="G12" s="331" t="s">
        <v>3138</v>
      </c>
      <c r="H12" s="116">
        <v>0</v>
      </c>
      <c r="I12" s="116">
        <v>89</v>
      </c>
      <c r="J12" s="116">
        <v>3.1172498702899997E+26</v>
      </c>
      <c r="K12" s="116" t="s">
        <v>3593</v>
      </c>
      <c r="L12" s="116" t="s">
        <v>3599</v>
      </c>
      <c r="M12" s="116" t="s">
        <v>3600</v>
      </c>
      <c r="N12" s="116">
        <v>31</v>
      </c>
      <c r="O12" s="116">
        <v>2.3930278393702E+29</v>
      </c>
      <c r="P12" s="116" t="s">
        <v>3509</v>
      </c>
      <c r="Q12" s="116">
        <v>31</v>
      </c>
      <c r="R12" s="116">
        <v>2.3930278393702E+29</v>
      </c>
      <c r="S12" s="116" t="s">
        <v>3509</v>
      </c>
      <c r="T12" s="116">
        <v>31</v>
      </c>
      <c r="U12" s="116">
        <v>20240000133</v>
      </c>
      <c r="V12" s="332">
        <v>45390</v>
      </c>
      <c r="W12" s="332">
        <v>2958465</v>
      </c>
      <c r="X12" s="116" t="s">
        <v>3512</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3217</v>
      </c>
      <c r="AM12" s="330" t="s">
        <v>3601</v>
      </c>
      <c r="AN12" s="330" t="s">
        <v>3602</v>
      </c>
      <c r="AO12" s="330">
        <v>5750000</v>
      </c>
      <c r="AP12" s="330">
        <v>5750000</v>
      </c>
      <c r="AQ12" s="116" t="s">
        <v>3217</v>
      </c>
      <c r="AR12" s="330" t="s">
        <v>3603</v>
      </c>
      <c r="AS12" s="330">
        <v>4160000</v>
      </c>
      <c r="AT12" s="330">
        <v>5000000</v>
      </c>
      <c r="AU12" s="330">
        <v>8923000</v>
      </c>
      <c r="AV12" s="330">
        <v>1</v>
      </c>
      <c r="AW12" s="330" t="s">
        <v>3157</v>
      </c>
      <c r="AX12" s="330" t="s">
        <v>3149</v>
      </c>
      <c r="AY12" s="116" t="s">
        <v>3158</v>
      </c>
      <c r="AZ12" s="332">
        <v>45390</v>
      </c>
      <c r="BA12" s="116" t="s">
        <v>3596</v>
      </c>
    </row>
    <row r="13" spans="2:53" x14ac:dyDescent="0.25">
      <c r="B13" s="51" t="s">
        <v>3105</v>
      </c>
      <c r="C13" s="51">
        <v>11</v>
      </c>
      <c r="D13" t="s">
        <v>3604</v>
      </c>
      <c r="E13" s="332">
        <v>45390</v>
      </c>
      <c r="F13" s="116">
        <v>1</v>
      </c>
      <c r="G13" s="331" t="s">
        <v>3138</v>
      </c>
      <c r="H13" s="116">
        <v>0</v>
      </c>
      <c r="I13" s="116">
        <v>89</v>
      </c>
      <c r="J13" s="116">
        <v>3.1172498702899997E+26</v>
      </c>
      <c r="K13" s="116" t="s">
        <v>3593</v>
      </c>
      <c r="L13" s="116" t="s">
        <v>3599</v>
      </c>
      <c r="M13" s="116" t="s">
        <v>3600</v>
      </c>
      <c r="N13" s="116">
        <v>31</v>
      </c>
      <c r="O13" s="116">
        <v>2.3930278393702E+29</v>
      </c>
      <c r="P13" s="116" t="s">
        <v>3509</v>
      </c>
      <c r="Q13" s="116">
        <v>31</v>
      </c>
      <c r="R13" s="116">
        <v>2.3930278393702E+29</v>
      </c>
      <c r="S13" s="116" t="s">
        <v>3509</v>
      </c>
      <c r="T13" s="116">
        <v>31</v>
      </c>
      <c r="U13" s="116">
        <v>20240000133</v>
      </c>
      <c r="V13" s="332">
        <v>45390</v>
      </c>
      <c r="W13" s="332">
        <v>2958465</v>
      </c>
      <c r="X13" s="116" t="s">
        <v>3512</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3217</v>
      </c>
      <c r="AM13" s="330" t="s">
        <v>3601</v>
      </c>
      <c r="AN13" s="330" t="s">
        <v>3602</v>
      </c>
      <c r="AO13" s="330">
        <v>5750000</v>
      </c>
      <c r="AP13" s="330">
        <v>5750000</v>
      </c>
      <c r="AQ13" s="116" t="s">
        <v>3217</v>
      </c>
      <c r="AR13" s="330" t="s">
        <v>3603</v>
      </c>
      <c r="AS13" s="330">
        <v>4160000</v>
      </c>
      <c r="AT13" s="330">
        <v>5000000</v>
      </c>
      <c r="AU13" s="330">
        <v>8923000</v>
      </c>
      <c r="AV13" s="330">
        <v>1</v>
      </c>
      <c r="AW13" s="330" t="s">
        <v>3157</v>
      </c>
      <c r="AX13" s="330" t="s">
        <v>3149</v>
      </c>
      <c r="AY13" s="116" t="s">
        <v>3158</v>
      </c>
      <c r="AZ13" s="332">
        <v>45390</v>
      </c>
      <c r="BA13" s="116" t="s">
        <v>3596</v>
      </c>
    </row>
    <row r="14" spans="2:53" x14ac:dyDescent="0.25">
      <c r="B14" s="51" t="s">
        <v>3107</v>
      </c>
      <c r="C14" s="51">
        <v>12</v>
      </c>
      <c r="D14" t="s">
        <v>3605</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x14ac:dyDescent="0.25">
      <c r="B15" s="51" t="s">
        <v>3109</v>
      </c>
      <c r="C15" s="51">
        <v>13</v>
      </c>
      <c r="D15" t="s">
        <v>3606</v>
      </c>
      <c r="E15" s="332">
        <v>45390</v>
      </c>
      <c r="F15" s="116">
        <v>1</v>
      </c>
      <c r="G15" s="331">
        <v>1</v>
      </c>
      <c r="H15" s="116">
        <v>0</v>
      </c>
      <c r="I15" s="116" t="s">
        <v>3138</v>
      </c>
      <c r="J15" s="116" t="s">
        <v>3138</v>
      </c>
      <c r="K15" s="116" t="s">
        <v>3138</v>
      </c>
      <c r="L15" s="116" t="s">
        <v>3138</v>
      </c>
      <c r="M15" s="116" t="s">
        <v>3138</v>
      </c>
      <c r="N15" s="116" t="s">
        <v>3138</v>
      </c>
      <c r="O15" s="116" t="s">
        <v>3138</v>
      </c>
      <c r="P15" s="116" t="s">
        <v>3138</v>
      </c>
      <c r="Q15" s="116" t="s">
        <v>3138</v>
      </c>
      <c r="R15" s="116" t="s">
        <v>3138</v>
      </c>
      <c r="S15" s="116" t="s">
        <v>3138</v>
      </c>
      <c r="T15" s="116" t="s">
        <v>3138</v>
      </c>
      <c r="U15" s="116" t="s">
        <v>3138</v>
      </c>
      <c r="V15" s="116">
        <v>0</v>
      </c>
      <c r="W15" s="116">
        <v>0</v>
      </c>
      <c r="X15" s="116" t="s">
        <v>3138</v>
      </c>
      <c r="Y15" s="116" t="s">
        <v>3138</v>
      </c>
      <c r="Z15" s="116" t="s">
        <v>3138</v>
      </c>
      <c r="AA15" s="116" t="s">
        <v>3138</v>
      </c>
      <c r="AB15" s="116" t="s">
        <v>3138</v>
      </c>
      <c r="AC15" s="116" t="s">
        <v>3138</v>
      </c>
      <c r="AD15" s="116" t="s">
        <v>3138</v>
      </c>
      <c r="AE15" s="116" t="s">
        <v>3138</v>
      </c>
      <c r="AF15" s="116">
        <v>0</v>
      </c>
      <c r="AG15" s="116">
        <v>0</v>
      </c>
      <c r="AH15" s="116" t="s">
        <v>3138</v>
      </c>
      <c r="AI15" s="116">
        <v>0</v>
      </c>
      <c r="AJ15" s="116" t="s">
        <v>3138</v>
      </c>
      <c r="AK15" s="116" t="s">
        <v>3138</v>
      </c>
      <c r="AL15" s="116" t="s">
        <v>3138</v>
      </c>
      <c r="AM15" s="116" t="s">
        <v>3138</v>
      </c>
      <c r="AN15" s="116" t="s">
        <v>3138</v>
      </c>
      <c r="AO15" s="116" t="s">
        <v>3138</v>
      </c>
      <c r="AP15" s="116" t="s">
        <v>3138</v>
      </c>
      <c r="AQ15" s="116" t="s">
        <v>3138</v>
      </c>
      <c r="AR15" s="116" t="s">
        <v>3138</v>
      </c>
      <c r="AS15" s="116" t="s">
        <v>3138</v>
      </c>
      <c r="AT15" s="116" t="s">
        <v>3138</v>
      </c>
      <c r="AU15" s="116" t="s">
        <v>3138</v>
      </c>
      <c r="AV15" s="116" t="s">
        <v>3138</v>
      </c>
      <c r="AW15" s="116" t="s">
        <v>3138</v>
      </c>
      <c r="AX15" s="116" t="s">
        <v>3138</v>
      </c>
      <c r="AY15" s="116" t="s">
        <v>3138</v>
      </c>
      <c r="AZ15" s="116" t="s">
        <v>3138</v>
      </c>
      <c r="BA15" s="116" t="s">
        <v>3138</v>
      </c>
    </row>
    <row r="16" spans="2:53" x14ac:dyDescent="0.25">
      <c r="B16" s="51" t="s">
        <v>3111</v>
      </c>
      <c r="C16" s="51">
        <v>14</v>
      </c>
      <c r="D16" t="s">
        <v>3607</v>
      </c>
      <c r="E16" s="332">
        <v>45390</v>
      </c>
      <c r="F16" s="116">
        <v>1</v>
      </c>
      <c r="G16" s="331">
        <v>1</v>
      </c>
      <c r="H16" s="116">
        <v>0</v>
      </c>
      <c r="I16" s="116" t="s">
        <v>3138</v>
      </c>
      <c r="J16" s="116" t="s">
        <v>3138</v>
      </c>
      <c r="K16" s="116">
        <v>0</v>
      </c>
      <c r="L16" s="116">
        <v>0</v>
      </c>
      <c r="M16" s="116">
        <v>0</v>
      </c>
      <c r="N16" s="116" t="s">
        <v>3138</v>
      </c>
      <c r="O16" s="116" t="s">
        <v>3138</v>
      </c>
      <c r="P16" s="116">
        <v>0</v>
      </c>
      <c r="Q16" s="116" t="s">
        <v>3138</v>
      </c>
      <c r="R16" s="116" t="s">
        <v>3138</v>
      </c>
      <c r="S16" s="116">
        <v>0</v>
      </c>
      <c r="T16" s="116" t="s">
        <v>3138</v>
      </c>
      <c r="U16" s="116" t="s">
        <v>3138</v>
      </c>
      <c r="V16" s="335" t="s">
        <v>3138</v>
      </c>
      <c r="W16" s="335" t="s">
        <v>3138</v>
      </c>
      <c r="X16" s="116">
        <v>0</v>
      </c>
      <c r="Y16" s="335">
        <v>0</v>
      </c>
      <c r="Z16" s="335" t="s">
        <v>3138</v>
      </c>
      <c r="AA16" s="116" t="s">
        <v>3138</v>
      </c>
      <c r="AB16" s="116" t="s">
        <v>3138</v>
      </c>
      <c r="AC16" s="335" t="s">
        <v>3138</v>
      </c>
      <c r="AD16" s="116" t="s">
        <v>3138</v>
      </c>
      <c r="AE16" s="116" t="s">
        <v>3138</v>
      </c>
      <c r="AF16" s="116" t="s">
        <v>3138</v>
      </c>
      <c r="AG16" s="335" t="s">
        <v>3138</v>
      </c>
      <c r="AH16" s="116" t="s">
        <v>3138</v>
      </c>
      <c r="AI16" s="116" t="s">
        <v>3138</v>
      </c>
      <c r="AJ16" s="116" t="s">
        <v>3138</v>
      </c>
      <c r="AK16" s="116" t="s">
        <v>3138</v>
      </c>
      <c r="AL16" s="116">
        <v>0</v>
      </c>
      <c r="AM16" s="116">
        <v>0</v>
      </c>
      <c r="AN16" s="116" t="s">
        <v>3138</v>
      </c>
      <c r="AO16" s="116" t="s">
        <v>3138</v>
      </c>
      <c r="AP16" s="116" t="s">
        <v>3138</v>
      </c>
      <c r="AQ16" s="116">
        <v>0</v>
      </c>
      <c r="AR16" s="116">
        <v>0</v>
      </c>
      <c r="AS16" s="116" t="s">
        <v>3138</v>
      </c>
      <c r="AT16" s="116" t="s">
        <v>3138</v>
      </c>
      <c r="AU16" s="116" t="s">
        <v>3138</v>
      </c>
      <c r="AV16" s="116">
        <v>0</v>
      </c>
      <c r="AW16" s="116">
        <v>0</v>
      </c>
      <c r="AX16" s="116">
        <v>0</v>
      </c>
      <c r="AY16" s="116">
        <v>0</v>
      </c>
      <c r="AZ16" s="116" t="s">
        <v>3138</v>
      </c>
      <c r="BA16" s="116" t="s">
        <v>3138</v>
      </c>
    </row>
    <row r="17" spans="2:53" x14ac:dyDescent="0.25">
      <c r="B17" s="51" t="s">
        <v>3113</v>
      </c>
      <c r="C17" s="51">
        <v>15</v>
      </c>
      <c r="D17" t="s">
        <v>3608</v>
      </c>
      <c r="E17" s="332">
        <v>45390</v>
      </c>
      <c r="F17" s="116">
        <v>1</v>
      </c>
      <c r="G17" s="331">
        <v>0.99992800000000004</v>
      </c>
      <c r="H17" s="116">
        <v>0</v>
      </c>
      <c r="I17" s="116" t="s">
        <v>3138</v>
      </c>
      <c r="J17" s="116" t="s">
        <v>3138</v>
      </c>
      <c r="K17" s="116" t="s">
        <v>3138</v>
      </c>
      <c r="L17" s="116" t="s">
        <v>3138</v>
      </c>
      <c r="M17" s="116" t="s">
        <v>3138</v>
      </c>
      <c r="N17" s="116" t="s">
        <v>3138</v>
      </c>
      <c r="O17" s="116" t="s">
        <v>3138</v>
      </c>
      <c r="P17" s="116" t="s">
        <v>3138</v>
      </c>
      <c r="Q17" s="116" t="s">
        <v>3138</v>
      </c>
      <c r="R17" s="116" t="s">
        <v>3138</v>
      </c>
      <c r="S17" s="116" t="s">
        <v>3138</v>
      </c>
      <c r="T17" s="116" t="s">
        <v>3138</v>
      </c>
      <c r="U17" s="116" t="s">
        <v>3138</v>
      </c>
      <c r="V17" s="116" t="s">
        <v>3138</v>
      </c>
      <c r="W17" s="116" t="s">
        <v>3138</v>
      </c>
      <c r="X17" s="116" t="s">
        <v>3138</v>
      </c>
      <c r="Y17" s="116" t="s">
        <v>3138</v>
      </c>
      <c r="Z17" s="116" t="s">
        <v>3138</v>
      </c>
      <c r="AA17" s="116" t="s">
        <v>3138</v>
      </c>
      <c r="AB17" s="116" t="s">
        <v>3138</v>
      </c>
      <c r="AC17" s="116" t="s">
        <v>3138</v>
      </c>
      <c r="AD17" s="116" t="s">
        <v>3138</v>
      </c>
      <c r="AE17" s="116" t="s">
        <v>3138</v>
      </c>
      <c r="AF17" s="116" t="s">
        <v>3138</v>
      </c>
      <c r="AG17" s="116" t="s">
        <v>3138</v>
      </c>
      <c r="AH17" s="116" t="s">
        <v>3138</v>
      </c>
      <c r="AI17" s="116" t="s">
        <v>3138</v>
      </c>
      <c r="AJ17" s="116" t="s">
        <v>3138</v>
      </c>
      <c r="AK17" s="116" t="s">
        <v>3138</v>
      </c>
      <c r="AL17" s="116" t="s">
        <v>3138</v>
      </c>
      <c r="AM17" s="116" t="s">
        <v>3138</v>
      </c>
      <c r="AN17" s="116" t="s">
        <v>3138</v>
      </c>
      <c r="AO17" s="116" t="s">
        <v>3138</v>
      </c>
      <c r="AP17" s="116" t="s">
        <v>3138</v>
      </c>
      <c r="AQ17" s="116" t="s">
        <v>3138</v>
      </c>
      <c r="AR17" s="116" t="s">
        <v>3138</v>
      </c>
      <c r="AS17" s="116" t="s">
        <v>3138</v>
      </c>
      <c r="AT17" s="116" t="s">
        <v>3138</v>
      </c>
      <c r="AU17" s="116" t="s">
        <v>3138</v>
      </c>
      <c r="AV17" s="116" t="s">
        <v>3138</v>
      </c>
      <c r="AW17" s="116" t="s">
        <v>3138</v>
      </c>
      <c r="AX17" s="116" t="s">
        <v>3138</v>
      </c>
      <c r="AY17" s="116" t="s">
        <v>3138</v>
      </c>
      <c r="AZ17" s="116" t="s">
        <v>3138</v>
      </c>
      <c r="BA17" s="116" t="s">
        <v>3138</v>
      </c>
    </row>
    <row r="18" spans="2:53" x14ac:dyDescent="0.25">
      <c r="B18" s="51" t="s">
        <v>3115</v>
      </c>
      <c r="C18" s="51">
        <v>16</v>
      </c>
      <c r="D18" t="s">
        <v>3608</v>
      </c>
      <c r="E18" s="332">
        <v>45390</v>
      </c>
      <c r="F18" s="116">
        <v>1</v>
      </c>
      <c r="G18" s="331">
        <v>0.99992800000000004</v>
      </c>
      <c r="H18" s="116">
        <v>0</v>
      </c>
      <c r="I18" s="116" t="s">
        <v>3138</v>
      </c>
      <c r="J18" s="116" t="s">
        <v>3138</v>
      </c>
      <c r="K18" s="116" t="s">
        <v>3138</v>
      </c>
      <c r="L18" s="116" t="s">
        <v>3138</v>
      </c>
      <c r="M18" s="116" t="s">
        <v>3138</v>
      </c>
      <c r="N18" s="116" t="s">
        <v>3138</v>
      </c>
      <c r="O18" s="116" t="s">
        <v>3138</v>
      </c>
      <c r="P18" s="116" t="s">
        <v>3138</v>
      </c>
      <c r="Q18" s="116" t="s">
        <v>3138</v>
      </c>
      <c r="R18" s="116" t="s">
        <v>3138</v>
      </c>
      <c r="S18" s="116" t="s">
        <v>3138</v>
      </c>
      <c r="T18" s="116" t="s">
        <v>3138</v>
      </c>
      <c r="U18" s="116" t="s">
        <v>3138</v>
      </c>
      <c r="V18" s="116" t="s">
        <v>3138</v>
      </c>
      <c r="W18" s="116" t="s">
        <v>3138</v>
      </c>
      <c r="X18" s="116" t="s">
        <v>3138</v>
      </c>
      <c r="Y18" s="116" t="s">
        <v>3138</v>
      </c>
      <c r="Z18" s="116" t="s">
        <v>3138</v>
      </c>
      <c r="AA18" s="116" t="s">
        <v>3138</v>
      </c>
      <c r="AB18" s="335" t="s">
        <v>3138</v>
      </c>
      <c r="AC18" s="116" t="s">
        <v>3138</v>
      </c>
      <c r="AD18" s="116" t="s">
        <v>3138</v>
      </c>
      <c r="AE18" s="116" t="s">
        <v>3138</v>
      </c>
      <c r="AF18" s="335" t="s">
        <v>3138</v>
      </c>
      <c r="AG18" s="116" t="s">
        <v>3138</v>
      </c>
      <c r="AH18" s="116" t="s">
        <v>3138</v>
      </c>
      <c r="AI18" s="116" t="s">
        <v>3138</v>
      </c>
      <c r="AJ18" s="116" t="s">
        <v>3138</v>
      </c>
      <c r="AK18" s="116" t="s">
        <v>3138</v>
      </c>
      <c r="AL18" s="116" t="s">
        <v>3138</v>
      </c>
      <c r="AM18" s="116" t="s">
        <v>3138</v>
      </c>
      <c r="AN18" s="116" t="s">
        <v>3138</v>
      </c>
      <c r="AO18" s="116" t="s">
        <v>3138</v>
      </c>
      <c r="AP18" s="116" t="s">
        <v>3138</v>
      </c>
      <c r="AQ18" s="116" t="s">
        <v>3138</v>
      </c>
      <c r="AR18" s="116" t="s">
        <v>3138</v>
      </c>
      <c r="AS18" s="116" t="s">
        <v>3138</v>
      </c>
      <c r="AT18" s="116" t="s">
        <v>3138</v>
      </c>
      <c r="AU18" s="116" t="s">
        <v>3138</v>
      </c>
      <c r="AV18" s="116" t="s">
        <v>3138</v>
      </c>
      <c r="AW18" s="116" t="s">
        <v>3138</v>
      </c>
      <c r="AX18" s="116" t="s">
        <v>3138</v>
      </c>
      <c r="AY18" s="116" t="s">
        <v>3138</v>
      </c>
      <c r="AZ18" s="116" t="s">
        <v>3138</v>
      </c>
      <c r="BA18" s="116" t="s">
        <v>3138</v>
      </c>
    </row>
    <row r="19" spans="2:53" x14ac:dyDescent="0.25">
      <c r="B19" s="51" t="s">
        <v>3117</v>
      </c>
      <c r="C19" s="51">
        <v>17</v>
      </c>
      <c r="D19" t="s">
        <v>3608</v>
      </c>
      <c r="E19" s="332">
        <v>45390</v>
      </c>
      <c r="F19" s="116">
        <v>1</v>
      </c>
      <c r="G19" s="234">
        <f>1-13292/H3</f>
        <v>0.89385760373079504</v>
      </c>
      <c r="H19" s="51">
        <v>13292</v>
      </c>
      <c r="I19" s="116" t="s">
        <v>3138</v>
      </c>
      <c r="J19" s="116" t="s">
        <v>3138</v>
      </c>
      <c r="K19" s="116" t="s">
        <v>3138</v>
      </c>
      <c r="L19" s="116" t="s">
        <v>3138</v>
      </c>
      <c r="M19" s="116" t="s">
        <v>3138</v>
      </c>
      <c r="N19" s="116" t="s">
        <v>3138</v>
      </c>
      <c r="O19" s="116" t="s">
        <v>3138</v>
      </c>
      <c r="P19" s="116" t="s">
        <v>3138</v>
      </c>
      <c r="Q19" s="116" t="s">
        <v>3138</v>
      </c>
      <c r="R19" s="116" t="s">
        <v>3138</v>
      </c>
      <c r="S19" s="116" t="s">
        <v>3138</v>
      </c>
      <c r="T19" s="116" t="s">
        <v>3138</v>
      </c>
      <c r="U19" s="116" t="s">
        <v>3138</v>
      </c>
      <c r="V19" s="116" t="s">
        <v>3138</v>
      </c>
      <c r="W19" s="116" t="s">
        <v>3138</v>
      </c>
      <c r="X19" s="116" t="s">
        <v>3138</v>
      </c>
      <c r="Y19" s="116" t="s">
        <v>3138</v>
      </c>
      <c r="Z19" s="116" t="s">
        <v>3138</v>
      </c>
      <c r="AA19" s="116" t="s">
        <v>3138</v>
      </c>
      <c r="AB19" s="116" t="s">
        <v>3138</v>
      </c>
      <c r="AC19" s="116" t="s">
        <v>3138</v>
      </c>
      <c r="AD19" s="116" t="s">
        <v>3138</v>
      </c>
      <c r="AE19" s="116" t="s">
        <v>3138</v>
      </c>
      <c r="AF19" s="116" t="s">
        <v>3138</v>
      </c>
      <c r="AG19" s="116" t="s">
        <v>3138</v>
      </c>
      <c r="AH19" s="116" t="s">
        <v>3138</v>
      </c>
      <c r="AI19" s="116" t="s">
        <v>3138</v>
      </c>
      <c r="AJ19" s="116" t="s">
        <v>3138</v>
      </c>
      <c r="AK19" s="116" t="s">
        <v>3138</v>
      </c>
      <c r="AL19" s="116" t="s">
        <v>3138</v>
      </c>
      <c r="AM19" s="116" t="s">
        <v>3138</v>
      </c>
      <c r="AN19" s="116" t="s">
        <v>3138</v>
      </c>
      <c r="AO19" s="116" t="s">
        <v>3138</v>
      </c>
      <c r="AP19" s="116" t="s">
        <v>3138</v>
      </c>
      <c r="AQ19" s="116" t="s">
        <v>3138</v>
      </c>
      <c r="AR19" s="116" t="s">
        <v>3138</v>
      </c>
      <c r="AS19" s="116" t="s">
        <v>3138</v>
      </c>
      <c r="AT19" s="116" t="s">
        <v>3138</v>
      </c>
      <c r="AU19" s="116" t="s">
        <v>3138</v>
      </c>
      <c r="AV19" s="116" t="s">
        <v>3138</v>
      </c>
      <c r="AW19" s="116" t="s">
        <v>3138</v>
      </c>
      <c r="AX19" s="116" t="s">
        <v>3138</v>
      </c>
      <c r="AY19" s="116" t="s">
        <v>3138</v>
      </c>
      <c r="AZ19" s="116" t="s">
        <v>3138</v>
      </c>
      <c r="BA19" s="116" t="s">
        <v>3138</v>
      </c>
    </row>
    <row r="20" spans="2:53" x14ac:dyDescent="0.25">
      <c r="B20" s="51" t="s">
        <v>3119</v>
      </c>
      <c r="C20" s="51">
        <v>18</v>
      </c>
      <c r="D20" t="s">
        <v>3608</v>
      </c>
      <c r="E20" s="332">
        <v>45390</v>
      </c>
      <c r="F20" s="116">
        <v>1</v>
      </c>
      <c r="G20" s="234">
        <f>1 - 3682/199733</f>
        <v>0.98156538979537677</v>
      </c>
      <c r="H20" s="51">
        <v>3682</v>
      </c>
      <c r="I20" s="116" t="s">
        <v>3138</v>
      </c>
      <c r="J20" s="116" t="s">
        <v>3138</v>
      </c>
      <c r="K20" s="116" t="s">
        <v>3138</v>
      </c>
      <c r="L20" s="116" t="s">
        <v>3138</v>
      </c>
      <c r="M20" s="116" t="s">
        <v>3138</v>
      </c>
      <c r="N20" s="116" t="s">
        <v>3138</v>
      </c>
      <c r="O20" s="116" t="s">
        <v>3138</v>
      </c>
      <c r="P20" s="116" t="s">
        <v>3138</v>
      </c>
      <c r="Q20" s="116" t="s">
        <v>3138</v>
      </c>
      <c r="R20" s="116" t="s">
        <v>3138</v>
      </c>
      <c r="S20" s="116" t="s">
        <v>3138</v>
      </c>
      <c r="T20" s="116" t="s">
        <v>3138</v>
      </c>
      <c r="U20" s="116" t="s">
        <v>3138</v>
      </c>
      <c r="V20" s="116" t="s">
        <v>3138</v>
      </c>
      <c r="W20" s="116" t="s">
        <v>3138</v>
      </c>
      <c r="X20" s="116" t="s">
        <v>3138</v>
      </c>
      <c r="Y20" s="116" t="s">
        <v>3138</v>
      </c>
      <c r="Z20" s="116" t="s">
        <v>3138</v>
      </c>
      <c r="AA20" s="116" t="s">
        <v>3138</v>
      </c>
      <c r="AB20" s="116" t="s">
        <v>3138</v>
      </c>
      <c r="AC20" s="116" t="s">
        <v>3138</v>
      </c>
      <c r="AD20" s="116" t="s">
        <v>3138</v>
      </c>
      <c r="AE20" s="116" t="s">
        <v>3138</v>
      </c>
      <c r="AF20" s="116" t="s">
        <v>3138</v>
      </c>
      <c r="AG20" s="116" t="s">
        <v>3138</v>
      </c>
      <c r="AH20" s="116" t="s">
        <v>3138</v>
      </c>
      <c r="AI20" s="116" t="s">
        <v>3138</v>
      </c>
      <c r="AJ20" s="116" t="s">
        <v>3138</v>
      </c>
      <c r="AK20" s="116" t="s">
        <v>3138</v>
      </c>
      <c r="AL20" s="116" t="s">
        <v>3138</v>
      </c>
      <c r="AM20" s="116" t="s">
        <v>3138</v>
      </c>
      <c r="AN20" s="116" t="s">
        <v>3138</v>
      </c>
      <c r="AO20" s="116" t="s">
        <v>3138</v>
      </c>
      <c r="AP20" s="116" t="s">
        <v>3138</v>
      </c>
      <c r="AQ20" s="116" t="s">
        <v>3138</v>
      </c>
      <c r="AR20" s="116" t="s">
        <v>3138</v>
      </c>
      <c r="AS20" s="116" t="s">
        <v>3138</v>
      </c>
      <c r="AT20" s="116" t="s">
        <v>3138</v>
      </c>
      <c r="AU20" s="116" t="s">
        <v>3138</v>
      </c>
      <c r="AV20" s="116" t="s">
        <v>3138</v>
      </c>
      <c r="AW20" s="116" t="s">
        <v>3138</v>
      </c>
      <c r="AX20" s="116" t="s">
        <v>3138</v>
      </c>
      <c r="AY20" s="116" t="s">
        <v>3138</v>
      </c>
      <c r="AZ20" s="116" t="s">
        <v>3138</v>
      </c>
      <c r="BA20" s="116" t="s">
        <v>3138</v>
      </c>
    </row>
    <row r="21" spans="2:53" x14ac:dyDescent="0.25">
      <c r="B21" s="51" t="s">
        <v>3121</v>
      </c>
      <c r="C21" s="51">
        <v>19</v>
      </c>
      <c r="D21" t="s">
        <v>3609</v>
      </c>
      <c r="E21" s="332">
        <v>45390</v>
      </c>
      <c r="F21" s="116">
        <v>1</v>
      </c>
      <c r="G21" s="234" cm="1">
        <f t="array" ref="G21">SUMPRODUCT(--(ISNUMBER((SEARCH(I27:BA27,I21:BA21)))))/COUNTA(I21:BA21)</f>
        <v>1</v>
      </c>
      <c r="H21" s="51" t="s">
        <v>3138</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3172</v>
      </c>
      <c r="W21" s="51" t="s">
        <v>3172</v>
      </c>
      <c r="X21" s="51" t="s">
        <v>3172</v>
      </c>
      <c r="Y21" s="51" t="s">
        <v>3172</v>
      </c>
      <c r="Z21" s="51" t="s">
        <v>3173</v>
      </c>
      <c r="AA21" s="51" t="s">
        <v>3173</v>
      </c>
      <c r="AB21" s="51" t="s">
        <v>3173</v>
      </c>
      <c r="AC21" s="51" t="s">
        <v>3173</v>
      </c>
      <c r="AD21" s="51" t="s">
        <v>3173</v>
      </c>
      <c r="AE21" s="51" t="s">
        <v>3173</v>
      </c>
      <c r="AF21" s="51" t="s">
        <v>3172</v>
      </c>
      <c r="AG21" s="51" t="s">
        <v>3172</v>
      </c>
      <c r="AH21" s="51" t="s">
        <v>3173</v>
      </c>
      <c r="AI21" s="51" t="s">
        <v>3172</v>
      </c>
      <c r="AJ21" s="51" t="s">
        <v>3173</v>
      </c>
      <c r="AK21" s="51" t="s">
        <v>3173</v>
      </c>
      <c r="AL21" s="51" t="s">
        <v>3172</v>
      </c>
      <c r="AM21" s="51" t="s">
        <v>3172</v>
      </c>
      <c r="AN21" s="51" t="s">
        <v>3173</v>
      </c>
      <c r="AO21" s="51" t="s">
        <v>3173</v>
      </c>
      <c r="AP21" s="51" t="s">
        <v>3173</v>
      </c>
      <c r="AQ21" s="51" t="s">
        <v>3172</v>
      </c>
      <c r="AR21" s="51" t="s">
        <v>3172</v>
      </c>
      <c r="AS21" s="51" t="s">
        <v>3173</v>
      </c>
      <c r="AT21" s="51" t="s">
        <v>3173</v>
      </c>
      <c r="AU21" s="51" t="s">
        <v>3173</v>
      </c>
      <c r="AV21" s="51" t="s">
        <v>3172</v>
      </c>
      <c r="AW21" s="51" t="s">
        <v>3172</v>
      </c>
      <c r="AX21" s="51" t="s">
        <v>3172</v>
      </c>
      <c r="AY21" s="51" t="s">
        <v>3172</v>
      </c>
      <c r="AZ21" s="51" t="s">
        <v>3172</v>
      </c>
      <c r="BA21" s="51" t="s">
        <v>3174</v>
      </c>
    </row>
    <row r="22" spans="2:53" x14ac:dyDescent="0.25">
      <c r="B22" s="51" t="s">
        <v>3124</v>
      </c>
      <c r="C22" s="51">
        <v>20</v>
      </c>
      <c r="D22" t="s">
        <v>3608</v>
      </c>
      <c r="E22" s="332">
        <v>45390</v>
      </c>
      <c r="F22" s="116">
        <v>1</v>
      </c>
      <c r="G22" s="331" cm="1">
        <f t="array" ref="G22">SUM(IF(I2:BA2 = I26:BA26, 1, 0))/ COUNTA(I2:BA2)</f>
        <v>0.93333333333333335</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c r="AC22" s="51" t="s">
        <v>3138</v>
      </c>
      <c r="AD22" s="51" t="s">
        <v>3138</v>
      </c>
      <c r="AE22" s="51" t="s">
        <v>3138</v>
      </c>
      <c r="AF22" s="51" t="s">
        <v>3138</v>
      </c>
      <c r="AG22" s="51" t="s">
        <v>3138</v>
      </c>
      <c r="AH22" s="51" t="s">
        <v>3138</v>
      </c>
      <c r="AI22" s="51" t="s">
        <v>3138</v>
      </c>
      <c r="AJ22" s="51" t="s">
        <v>3138</v>
      </c>
      <c r="AK22" s="51" t="s">
        <v>3138</v>
      </c>
      <c r="AL22" s="51" t="s">
        <v>3138</v>
      </c>
      <c r="AM22" s="51" t="s">
        <v>3138</v>
      </c>
      <c r="AN22" s="51" t="s">
        <v>3138</v>
      </c>
      <c r="AO22" s="51" t="s">
        <v>3138</v>
      </c>
      <c r="AP22" s="51" t="s">
        <v>3138</v>
      </c>
      <c r="AQ22" s="51" t="s">
        <v>3138</v>
      </c>
      <c r="AR22" s="51" t="s">
        <v>3138</v>
      </c>
      <c r="AS22" s="51" t="s">
        <v>3138</v>
      </c>
      <c r="AT22" s="51" t="s">
        <v>3138</v>
      </c>
      <c r="AU22" s="51" t="s">
        <v>3138</v>
      </c>
      <c r="AV22" s="51" t="s">
        <v>3138</v>
      </c>
      <c r="AW22" s="51" t="s">
        <v>3138</v>
      </c>
      <c r="AX22" s="51" t="s">
        <v>3138</v>
      </c>
      <c r="AY22" s="51" t="s">
        <v>3138</v>
      </c>
      <c r="AZ22" s="51" t="s">
        <v>3138</v>
      </c>
      <c r="BA22" s="51" t="s">
        <v>3138</v>
      </c>
    </row>
    <row r="23" spans="2:53" x14ac:dyDescent="0.25">
      <c r="B23" s="51" t="s">
        <v>3127</v>
      </c>
      <c r="C23" s="51">
        <v>21</v>
      </c>
      <c r="D23" t="s">
        <v>3608</v>
      </c>
      <c r="E23" s="332">
        <v>45390</v>
      </c>
      <c r="F23" s="116">
        <v>1</v>
      </c>
      <c r="G23" s="234" cm="1">
        <f t="array" ref="G23">SUM(IF(IF(G3:G22="null",1,G3:G22)=1,1,0))/COUNT(IF(G3:G22="null",1,1))</f>
        <v>0.6</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c r="AC23" s="51" t="s">
        <v>3138</v>
      </c>
      <c r="AD23" s="51" t="s">
        <v>3138</v>
      </c>
      <c r="AE23" s="51" t="s">
        <v>3138</v>
      </c>
      <c r="AF23" s="51" t="s">
        <v>3138</v>
      </c>
      <c r="AG23" s="51" t="s">
        <v>3138</v>
      </c>
      <c r="AH23" s="51" t="s">
        <v>3138</v>
      </c>
      <c r="AI23" s="51" t="s">
        <v>3138</v>
      </c>
      <c r="AJ23" s="51" t="s">
        <v>3138</v>
      </c>
      <c r="AK23" s="51" t="s">
        <v>3138</v>
      </c>
      <c r="AL23" s="51" t="s">
        <v>3138</v>
      </c>
      <c r="AM23" s="51" t="s">
        <v>3138</v>
      </c>
      <c r="AN23" s="51" t="s">
        <v>3138</v>
      </c>
      <c r="AO23" s="51" t="s">
        <v>3138</v>
      </c>
      <c r="AP23" s="51" t="s">
        <v>3138</v>
      </c>
      <c r="AQ23" s="51" t="s">
        <v>3138</v>
      </c>
      <c r="AR23" s="51" t="s">
        <v>3138</v>
      </c>
      <c r="AS23" s="51" t="s">
        <v>3138</v>
      </c>
      <c r="AT23" s="51" t="s">
        <v>3138</v>
      </c>
      <c r="AU23" s="51" t="s">
        <v>3138</v>
      </c>
      <c r="AV23" s="51" t="s">
        <v>3138</v>
      </c>
      <c r="AW23" s="51" t="s">
        <v>3138</v>
      </c>
      <c r="AX23" s="51" t="s">
        <v>3138</v>
      </c>
      <c r="AY23" s="51" t="s">
        <v>3138</v>
      </c>
      <c r="AZ23" s="51" t="s">
        <v>3138</v>
      </c>
      <c r="BA23" s="51" t="s">
        <v>3138</v>
      </c>
    </row>
    <row r="25" spans="2:53" x14ac:dyDescent="0.25">
      <c r="B25" s="154" t="s">
        <v>3244</v>
      </c>
    </row>
    <row r="26" spans="2:53" x14ac:dyDescent="0.25">
      <c r="B26" s="192" t="s">
        <v>3130</v>
      </c>
      <c r="C26" s="191" t="s">
        <v>3131</v>
      </c>
      <c r="D26" s="191" t="s">
        <v>3132</v>
      </c>
      <c r="E26" s="191" t="s">
        <v>3133</v>
      </c>
      <c r="F26" s="191" t="s">
        <v>3134</v>
      </c>
      <c r="G26" s="191" t="s">
        <v>3135</v>
      </c>
      <c r="H26" s="191" t="s">
        <v>3136</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x14ac:dyDescent="0.25">
      <c r="B27" s="131" t="s">
        <v>3175</v>
      </c>
      <c r="C27" s="134">
        <v>21</v>
      </c>
      <c r="D27" s="128" t="s">
        <v>3176</v>
      </c>
      <c r="E27" s="127" t="s">
        <v>3177</v>
      </c>
      <c r="F27" s="127" t="s">
        <v>366</v>
      </c>
      <c r="G27" s="127" t="s">
        <v>366</v>
      </c>
      <c r="H27" s="127" t="s">
        <v>366</v>
      </c>
      <c r="I27" s="127" t="str" cm="1">
        <f t="array" ref="I27:BA28">TRANSPOSE(_xlfn.SORTBY(_xlfn._xlws.FILTER(IF(Table3[FORMATO]:Table3[COMP_ CAMPO]&lt;&gt;"",Table3[FORMATO]:Table3[COMP_ CAMPO],9999999),Table3[NOME FÍSICO TABELA]="factoring_contract"), _xlfn._xlws.FILTER(Table3[ORDEM], Table3[NOME FÍSICO TABELA]="factoring_contract"), 1))</f>
        <v>STRING</v>
      </c>
      <c r="J27" s="188" t="str">
        <v>STRING</v>
      </c>
      <c r="K27" s="188" t="str">
        <v>STRING</v>
      </c>
      <c r="L27" s="188" t="str">
        <v>STRING</v>
      </c>
      <c r="M27" s="188" t="str">
        <v>STRING</v>
      </c>
      <c r="N27" s="188" t="str">
        <v>STRING</v>
      </c>
      <c r="O27" s="188" t="str">
        <v>STRING</v>
      </c>
      <c r="P27" s="188" t="str">
        <v>STRING</v>
      </c>
      <c r="Q27" s="188" t="str">
        <v>STRING</v>
      </c>
      <c r="R27" s="188" t="str">
        <v>STRING</v>
      </c>
      <c r="S27" s="188" t="str">
        <v>STRING</v>
      </c>
      <c r="T27" s="188" t="str">
        <v>STRING</v>
      </c>
      <c r="U27" s="188" t="str">
        <v>STRING</v>
      </c>
      <c r="V27" s="188" t="str">
        <v>STRING</v>
      </c>
      <c r="W27" s="188" t="str">
        <v>STRING</v>
      </c>
      <c r="X27" s="188" t="str">
        <v>STRING</v>
      </c>
      <c r="Y27" s="188" t="str">
        <v>STRING</v>
      </c>
      <c r="Z27" s="188" t="str">
        <v>DECIMAL</v>
      </c>
      <c r="AA27" s="188" t="str">
        <v>DECIMAL</v>
      </c>
      <c r="AB27" s="188" t="str">
        <v>DECIMAL</v>
      </c>
      <c r="AC27" s="188" t="str">
        <v>DECIMAL</v>
      </c>
      <c r="AD27" s="188" t="str">
        <v>DECIMAL</v>
      </c>
      <c r="AE27" s="188" t="str">
        <v>DECIMAL</v>
      </c>
      <c r="AF27" s="188" t="str">
        <v>STRING</v>
      </c>
      <c r="AG27" s="188" t="str">
        <v>STRING</v>
      </c>
      <c r="AH27" s="188" t="str">
        <v>DECIMAL</v>
      </c>
      <c r="AI27" s="188" t="str">
        <v>STRING</v>
      </c>
      <c r="AJ27" s="188" t="str">
        <v>DECIMAL</v>
      </c>
      <c r="AK27" s="188" t="str">
        <v>DECIMAL</v>
      </c>
      <c r="AL27" s="188" t="str">
        <v>STRING</v>
      </c>
      <c r="AM27" s="188" t="str">
        <v>STRING</v>
      </c>
      <c r="AN27" s="188" t="str">
        <v>DECIMAL</v>
      </c>
      <c r="AO27" s="188" t="str">
        <v>DECIMAL</v>
      </c>
      <c r="AP27" s="188" t="str">
        <v>DECIMAL</v>
      </c>
      <c r="AQ27" s="188" t="str">
        <v>STRING</v>
      </c>
      <c r="AR27" s="188" t="str">
        <v>STRING</v>
      </c>
      <c r="AS27" s="188" t="str">
        <v>DECIMAL</v>
      </c>
      <c r="AT27" s="188" t="str">
        <v>DECIMAL</v>
      </c>
      <c r="AU27" s="188" t="str">
        <v>DECIMAL</v>
      </c>
      <c r="AV27" s="188" t="str">
        <v>STRING</v>
      </c>
      <c r="AW27" s="188" t="str">
        <v>STRING</v>
      </c>
      <c r="AX27" s="188" t="str">
        <v>STRING</v>
      </c>
      <c r="AY27" s="188" t="str">
        <v>STRING</v>
      </c>
      <c r="AZ27" s="188" t="str">
        <v>STRING</v>
      </c>
      <c r="BA27" s="195" t="str">
        <v>TIMESTAMP</v>
      </c>
    </row>
    <row r="28" spans="2:53" x14ac:dyDescent="0.25">
      <c r="B28" s="131" t="s">
        <v>3178</v>
      </c>
      <c r="C28" s="134">
        <v>7</v>
      </c>
      <c r="D28" s="128" t="s">
        <v>3176</v>
      </c>
      <c r="E28" s="127" t="s">
        <v>3177</v>
      </c>
      <c r="F28" s="129" t="s">
        <v>366</v>
      </c>
      <c r="G28" s="129" t="s">
        <v>366</v>
      </c>
      <c r="H28" s="129" t="s">
        <v>366</v>
      </c>
      <c r="I28" s="175">
        <v>4</v>
      </c>
      <c r="J28" s="189">
        <v>30</v>
      </c>
      <c r="K28" s="189">
        <v>3</v>
      </c>
      <c r="L28" s="189">
        <v>3</v>
      </c>
      <c r="M28" s="189">
        <v>3</v>
      </c>
      <c r="N28" s="189">
        <v>4</v>
      </c>
      <c r="O28" s="189">
        <v>30</v>
      </c>
      <c r="P28" s="189">
        <v>21</v>
      </c>
      <c r="Q28" s="189">
        <v>4</v>
      </c>
      <c r="R28" s="189">
        <v>30</v>
      </c>
      <c r="S28" s="189">
        <v>21</v>
      </c>
      <c r="T28" s="189">
        <v>4</v>
      </c>
      <c r="U28" s="189">
        <v>15</v>
      </c>
      <c r="V28" s="189">
        <v>10</v>
      </c>
      <c r="W28" s="189">
        <v>10</v>
      </c>
      <c r="X28" s="189">
        <v>3</v>
      </c>
      <c r="Y28" s="189">
        <v>9999999</v>
      </c>
      <c r="Z28" s="189">
        <v>23</v>
      </c>
      <c r="AA28" s="189">
        <v>23</v>
      </c>
      <c r="AB28" s="189">
        <v>23</v>
      </c>
      <c r="AC28" s="189">
        <v>23</v>
      </c>
      <c r="AD28" s="189">
        <v>23</v>
      </c>
      <c r="AE28" s="189">
        <v>23</v>
      </c>
      <c r="AF28" s="189">
        <v>10</v>
      </c>
      <c r="AG28" s="189">
        <v>10</v>
      </c>
      <c r="AH28" s="189">
        <v>23</v>
      </c>
      <c r="AI28" s="189">
        <v>10</v>
      </c>
      <c r="AJ28" s="189">
        <v>23</v>
      </c>
      <c r="AK28" s="189">
        <v>23</v>
      </c>
      <c r="AL28" s="189">
        <v>9999999</v>
      </c>
      <c r="AM28" s="189">
        <v>3</v>
      </c>
      <c r="AN28" s="189">
        <v>23</v>
      </c>
      <c r="AO28" s="189">
        <v>23</v>
      </c>
      <c r="AP28" s="189">
        <v>23</v>
      </c>
      <c r="AQ28" s="189">
        <v>3</v>
      </c>
      <c r="AR28" s="189">
        <v>3</v>
      </c>
      <c r="AS28" s="189">
        <v>23</v>
      </c>
      <c r="AT28" s="189">
        <v>23</v>
      </c>
      <c r="AU28" s="189">
        <v>23</v>
      </c>
      <c r="AV28" s="189">
        <v>9999999</v>
      </c>
      <c r="AW28" s="189">
        <v>3</v>
      </c>
      <c r="AX28" s="189">
        <v>3</v>
      </c>
      <c r="AY28" s="188">
        <v>2</v>
      </c>
      <c r="AZ28" s="188">
        <v>10</v>
      </c>
      <c r="BA28" s="195">
        <v>23</v>
      </c>
    </row>
    <row r="30" spans="2:53" x14ac:dyDescent="0.25">
      <c r="B30" s="164" t="s">
        <v>3179</v>
      </c>
    </row>
    <row r="31" spans="2:53" x14ac:dyDescent="0.25">
      <c r="B31" s="158" t="s">
        <v>3180</v>
      </c>
      <c r="C31" s="158" t="s">
        <v>3181</v>
      </c>
      <c r="D31" s="159" t="s">
        <v>3182</v>
      </c>
      <c r="E31" s="158" t="s">
        <v>3183</v>
      </c>
      <c r="F31" s="158" t="s">
        <v>3184</v>
      </c>
    </row>
    <row r="32" spans="2:53" ht="30" x14ac:dyDescent="0.25">
      <c r="B32" s="336" t="s">
        <v>3288</v>
      </c>
      <c r="C32" s="337" t="s">
        <v>1670</v>
      </c>
      <c r="D32" s="75" t="s">
        <v>3610</v>
      </c>
      <c r="E32" s="338"/>
      <c r="F32" s="339"/>
    </row>
    <row r="33" spans="2:31" ht="30" x14ac:dyDescent="0.25">
      <c r="B33" s="336" t="s">
        <v>3288</v>
      </c>
      <c r="C33" s="337" t="s">
        <v>1690</v>
      </c>
      <c r="D33" s="75" t="s">
        <v>3610</v>
      </c>
      <c r="E33" s="338"/>
      <c r="F33" s="339"/>
    </row>
    <row r="34" spans="2:31" ht="30" x14ac:dyDescent="0.25">
      <c r="B34" s="142" t="s">
        <v>3185</v>
      </c>
      <c r="C34" s="145" t="s">
        <v>194</v>
      </c>
      <c r="D34" s="54" t="s">
        <v>3611</v>
      </c>
      <c r="E34" s="177" t="s">
        <v>3612</v>
      </c>
      <c r="F34" s="160" t="s">
        <v>3613</v>
      </c>
      <c r="G34" t="s">
        <v>3614</v>
      </c>
    </row>
    <row r="35" spans="2:31" ht="45" x14ac:dyDescent="0.25">
      <c r="B35" s="142" t="s">
        <v>3185</v>
      </c>
      <c r="C35" s="145" t="s">
        <v>203</v>
      </c>
      <c r="D35" s="54" t="s">
        <v>3615</v>
      </c>
      <c r="E35" s="177" t="s">
        <v>3616</v>
      </c>
      <c r="F35" s="160" t="s">
        <v>3188</v>
      </c>
    </row>
    <row r="36" spans="2:31" ht="45" x14ac:dyDescent="0.25">
      <c r="B36" s="142" t="s">
        <v>3185</v>
      </c>
      <c r="C36" s="145" t="s">
        <v>213</v>
      </c>
      <c r="D36" s="54" t="s">
        <v>3615</v>
      </c>
      <c r="E36" s="177" t="s">
        <v>3616</v>
      </c>
      <c r="F36" s="160" t="s">
        <v>3188</v>
      </c>
    </row>
    <row r="37" spans="2:31" ht="90" x14ac:dyDescent="0.25">
      <c r="B37" s="142" t="s">
        <v>3185</v>
      </c>
      <c r="C37" s="141" t="s">
        <v>1670</v>
      </c>
      <c r="D37" s="54" t="s">
        <v>3617</v>
      </c>
      <c r="E37" s="177" t="s">
        <v>3618</v>
      </c>
      <c r="F37" s="160" t="s">
        <v>3619</v>
      </c>
    </row>
    <row r="38" spans="2:31" ht="45" x14ac:dyDescent="0.25">
      <c r="B38" s="142" t="s">
        <v>3185</v>
      </c>
      <c r="C38" s="145" t="s">
        <v>1677</v>
      </c>
      <c r="D38" s="54" t="s">
        <v>3615</v>
      </c>
      <c r="E38" s="177" t="s">
        <v>3616</v>
      </c>
      <c r="F38" s="160" t="s">
        <v>3188</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5" x14ac:dyDescent="0.25">
      <c r="B39" s="142" t="s">
        <v>3185</v>
      </c>
      <c r="C39" s="145" t="s">
        <v>1683</v>
      </c>
      <c r="D39" s="54" t="s">
        <v>3615</v>
      </c>
      <c r="E39" s="177" t="s">
        <v>3616</v>
      </c>
      <c r="F39" s="160" t="s">
        <v>3188</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90" x14ac:dyDescent="0.25">
      <c r="B40" s="142" t="s">
        <v>3185</v>
      </c>
      <c r="C40" s="141" t="s">
        <v>1690</v>
      </c>
      <c r="D40" s="54" t="s">
        <v>3617</v>
      </c>
      <c r="E40" s="177" t="s">
        <v>3618</v>
      </c>
      <c r="F40" s="160" t="s">
        <v>3619</v>
      </c>
    </row>
    <row r="41" spans="2:31" ht="45" x14ac:dyDescent="0.25">
      <c r="B41" s="142" t="s">
        <v>3185</v>
      </c>
      <c r="C41" s="162" t="s">
        <v>563</v>
      </c>
      <c r="D41" s="54" t="s">
        <v>3615</v>
      </c>
      <c r="E41" s="177" t="s">
        <v>3616</v>
      </c>
      <c r="F41" s="160" t="s">
        <v>3188</v>
      </c>
    </row>
    <row r="42" spans="2:31" ht="45" x14ac:dyDescent="0.25">
      <c r="B42" s="142" t="s">
        <v>3185</v>
      </c>
      <c r="C42" s="162" t="s">
        <v>567</v>
      </c>
      <c r="D42" s="54" t="s">
        <v>3615</v>
      </c>
      <c r="E42" s="177" t="s">
        <v>3616</v>
      </c>
      <c r="F42" s="160" t="s">
        <v>3188</v>
      </c>
    </row>
    <row r="43" spans="2:31" ht="45" x14ac:dyDescent="0.25">
      <c r="B43" s="142" t="s">
        <v>3185</v>
      </c>
      <c r="C43" s="162" t="s">
        <v>283</v>
      </c>
      <c r="D43" s="54" t="s">
        <v>3615</v>
      </c>
      <c r="E43" s="177" t="s">
        <v>3616</v>
      </c>
      <c r="F43" s="160" t="s">
        <v>3188</v>
      </c>
    </row>
    <row r="44" spans="2:31" ht="75" x14ac:dyDescent="0.25">
      <c r="B44" s="161" t="s">
        <v>3185</v>
      </c>
      <c r="C44" s="162" t="s">
        <v>821</v>
      </c>
      <c r="D44" s="54" t="s">
        <v>3620</v>
      </c>
      <c r="E44" s="177" t="s">
        <v>3621</v>
      </c>
      <c r="F44" s="160" t="s">
        <v>3622</v>
      </c>
    </row>
    <row r="45" spans="2:31" ht="45" x14ac:dyDescent="0.25">
      <c r="B45" s="135" t="s">
        <v>3185</v>
      </c>
      <c r="C45" s="139" t="s">
        <v>1720</v>
      </c>
      <c r="D45" s="54" t="s">
        <v>3615</v>
      </c>
      <c r="E45" s="177" t="s">
        <v>3616</v>
      </c>
      <c r="F45" s="160" t="s">
        <v>3188</v>
      </c>
    </row>
    <row r="46" spans="2:31" ht="30" x14ac:dyDescent="0.25">
      <c r="B46" s="135" t="s">
        <v>3185</v>
      </c>
      <c r="C46" s="139" t="s">
        <v>3623</v>
      </c>
      <c r="D46" s="54" t="s">
        <v>3624</v>
      </c>
      <c r="E46" s="177" t="s">
        <v>3625</v>
      </c>
      <c r="F46" s="160" t="s">
        <v>3194</v>
      </c>
    </row>
    <row r="47" spans="2:31" ht="30" x14ac:dyDescent="0.25">
      <c r="B47" s="135" t="s">
        <v>3185</v>
      </c>
      <c r="C47" s="139" t="s">
        <v>292</v>
      </c>
      <c r="D47" s="199" t="s">
        <v>3626</v>
      </c>
      <c r="E47" s="177" t="s">
        <v>3627</v>
      </c>
      <c r="F47" s="160" t="s">
        <v>3194</v>
      </c>
    </row>
    <row r="48" spans="2:31" ht="60" x14ac:dyDescent="0.25">
      <c r="B48" s="135" t="s">
        <v>3185</v>
      </c>
      <c r="C48" s="139" t="s">
        <v>423</v>
      </c>
      <c r="D48" s="54" t="s">
        <v>3628</v>
      </c>
      <c r="E48" s="343" t="s">
        <v>3629</v>
      </c>
      <c r="F48" s="160" t="s">
        <v>3630</v>
      </c>
    </row>
    <row r="49" spans="2:6" ht="60" x14ac:dyDescent="0.25">
      <c r="B49" s="135" t="s">
        <v>3185</v>
      </c>
      <c r="C49" s="139" t="s">
        <v>618</v>
      </c>
      <c r="D49" s="54" t="s">
        <v>3628</v>
      </c>
      <c r="E49" s="343" t="s">
        <v>3629</v>
      </c>
      <c r="F49" s="160" t="s">
        <v>3630</v>
      </c>
    </row>
    <row r="50" spans="2:6" ht="45" x14ac:dyDescent="0.25">
      <c r="B50" s="135" t="s">
        <v>3185</v>
      </c>
      <c r="C50" s="139" t="s">
        <v>3631</v>
      </c>
      <c r="D50" s="54" t="s">
        <v>3615</v>
      </c>
      <c r="E50" s="177" t="s">
        <v>3616</v>
      </c>
      <c r="F50" s="160" t="s">
        <v>3188</v>
      </c>
    </row>
    <row r="51" spans="2:6" ht="60" x14ac:dyDescent="0.25">
      <c r="B51" s="135" t="s">
        <v>3185</v>
      </c>
      <c r="C51" s="139" t="s">
        <v>884</v>
      </c>
      <c r="D51" s="54" t="s">
        <v>3632</v>
      </c>
      <c r="E51" s="177" t="s">
        <v>3633</v>
      </c>
      <c r="F51" s="160" t="s">
        <v>3634</v>
      </c>
    </row>
    <row r="52" spans="2:6" ht="90" x14ac:dyDescent="0.25">
      <c r="B52" s="135" t="s">
        <v>3185</v>
      </c>
      <c r="C52" s="139" t="s">
        <v>1746</v>
      </c>
      <c r="D52" s="54" t="s">
        <v>3635</v>
      </c>
      <c r="E52" s="177" t="s">
        <v>3636</v>
      </c>
      <c r="F52" s="160" t="s">
        <v>3637</v>
      </c>
    </row>
    <row r="53" spans="2:6" ht="90" x14ac:dyDescent="0.25">
      <c r="B53" s="135" t="s">
        <v>3185</v>
      </c>
      <c r="C53" s="139" t="s">
        <v>902</v>
      </c>
      <c r="D53" s="54" t="s">
        <v>3638</v>
      </c>
      <c r="E53" s="177" t="s">
        <v>3639</v>
      </c>
      <c r="F53" s="160" t="s">
        <v>3637</v>
      </c>
    </row>
    <row r="54" spans="2:6" ht="45" x14ac:dyDescent="0.25">
      <c r="B54" s="135" t="s">
        <v>3185</v>
      </c>
      <c r="C54" s="340" t="s">
        <v>2426</v>
      </c>
      <c r="D54" s="54" t="s">
        <v>3615</v>
      </c>
      <c r="E54" s="177" t="s">
        <v>3616</v>
      </c>
      <c r="F54" s="160" t="s">
        <v>3188</v>
      </c>
    </row>
    <row r="55" spans="2:6" ht="45" x14ac:dyDescent="0.25">
      <c r="B55" s="135" t="s">
        <v>3185</v>
      </c>
      <c r="C55" s="341" t="s">
        <v>1760</v>
      </c>
      <c r="D55" s="54" t="s">
        <v>3615</v>
      </c>
      <c r="E55" s="177" t="s">
        <v>3616</v>
      </c>
      <c r="F55" s="160" t="s">
        <v>3188</v>
      </c>
    </row>
    <row r="56" spans="2:6" ht="45" x14ac:dyDescent="0.25">
      <c r="B56" s="135" t="s">
        <v>3185</v>
      </c>
      <c r="C56" s="341" t="s">
        <v>1767</v>
      </c>
      <c r="D56" s="54" t="s">
        <v>3615</v>
      </c>
      <c r="E56" s="177" t="s">
        <v>3616</v>
      </c>
      <c r="F56" s="160" t="s">
        <v>3188</v>
      </c>
    </row>
    <row r="57" spans="2:6" ht="45" x14ac:dyDescent="0.25">
      <c r="B57" s="135" t="s">
        <v>3185</v>
      </c>
      <c r="C57" s="341" t="s">
        <v>1773</v>
      </c>
      <c r="D57" s="54" t="s">
        <v>3615</v>
      </c>
      <c r="E57" s="177" t="s">
        <v>3616</v>
      </c>
      <c r="F57" s="160" t="s">
        <v>3188</v>
      </c>
    </row>
    <row r="58" spans="2:6" ht="45" x14ac:dyDescent="0.25">
      <c r="B58" s="135" t="s">
        <v>3185</v>
      </c>
      <c r="C58" s="342" t="s">
        <v>1403</v>
      </c>
      <c r="D58" s="54" t="s">
        <v>3615</v>
      </c>
      <c r="E58" s="177" t="s">
        <v>3616</v>
      </c>
      <c r="F58" s="160" t="s">
        <v>3188</v>
      </c>
    </row>
    <row r="59" spans="2:6" ht="45" x14ac:dyDescent="0.25">
      <c r="B59" s="135" t="s">
        <v>3185</v>
      </c>
      <c r="C59" s="342" t="s">
        <v>1410</v>
      </c>
      <c r="D59" s="54" t="s">
        <v>3615</v>
      </c>
      <c r="E59" s="177" t="s">
        <v>3616</v>
      </c>
      <c r="F59" s="160" t="s">
        <v>3188</v>
      </c>
    </row>
    <row r="60" spans="2:6" ht="45" x14ac:dyDescent="0.25">
      <c r="B60" s="135" t="s">
        <v>3185</v>
      </c>
      <c r="C60" s="342" t="s">
        <v>655</v>
      </c>
      <c r="D60" s="54" t="s">
        <v>3615</v>
      </c>
      <c r="E60" s="177" t="s">
        <v>3616</v>
      </c>
      <c r="F60" s="160" t="s">
        <v>3188</v>
      </c>
    </row>
    <row r="61" spans="2:6" ht="45" x14ac:dyDescent="0.25">
      <c r="B61" s="135" t="s">
        <v>3185</v>
      </c>
      <c r="C61" s="342" t="s">
        <v>664</v>
      </c>
      <c r="D61" s="54" t="s">
        <v>3615</v>
      </c>
      <c r="E61" s="177" t="s">
        <v>3616</v>
      </c>
      <c r="F61" s="160" t="s">
        <v>3188</v>
      </c>
    </row>
    <row r="62" spans="2:6" ht="45" x14ac:dyDescent="0.25">
      <c r="B62" s="135" t="s">
        <v>3185</v>
      </c>
      <c r="C62" s="342" t="s">
        <v>673</v>
      </c>
      <c r="D62" s="54" t="s">
        <v>3615</v>
      </c>
      <c r="E62" s="177" t="s">
        <v>3616</v>
      </c>
      <c r="F62" s="160" t="s">
        <v>3188</v>
      </c>
    </row>
    <row r="63" spans="2:6" ht="45" x14ac:dyDescent="0.25">
      <c r="B63" s="135" t="s">
        <v>3185</v>
      </c>
      <c r="C63" s="342" t="s">
        <v>681</v>
      </c>
      <c r="D63" s="54" t="s">
        <v>3615</v>
      </c>
      <c r="E63" s="177" t="s">
        <v>3616</v>
      </c>
      <c r="F63" s="160" t="s">
        <v>3188</v>
      </c>
    </row>
    <row r="64" spans="2:6" ht="90" x14ac:dyDescent="0.25">
      <c r="B64" s="161" t="s">
        <v>3195</v>
      </c>
      <c r="C64" s="162" t="s">
        <v>3196</v>
      </c>
      <c r="D64" s="163" t="s">
        <v>3640</v>
      </c>
      <c r="E64" s="121" t="s">
        <v>3641</v>
      </c>
      <c r="F64" s="213" t="s">
        <v>3642</v>
      </c>
    </row>
    <row r="65" spans="2:7" ht="135" x14ac:dyDescent="0.25">
      <c r="B65" s="161" t="s">
        <v>3253</v>
      </c>
      <c r="C65" s="162" t="s">
        <v>3196</v>
      </c>
      <c r="D65" s="163" t="s">
        <v>3643</v>
      </c>
      <c r="E65" s="121" t="s">
        <v>3644</v>
      </c>
      <c r="F65" s="213" t="s">
        <v>3642</v>
      </c>
      <c r="G65" t="s">
        <v>3645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3130</v>
      </c>
      <c r="C2" s="98" t="s">
        <v>3131</v>
      </c>
      <c r="D2" s="98" t="s">
        <v>3132</v>
      </c>
      <c r="E2" s="98" t="s">
        <v>3133</v>
      </c>
      <c r="F2" s="98" t="s">
        <v>3134</v>
      </c>
      <c r="G2" s="98" t="s">
        <v>3135</v>
      </c>
      <c r="H2" s="98" t="s">
        <v>3136</v>
      </c>
      <c r="I2" s="98" t="s">
        <v>1061</v>
      </c>
      <c r="J2" s="98" t="s">
        <v>3646</v>
      </c>
      <c r="K2" s="98" t="s">
        <v>3647</v>
      </c>
      <c r="L2" s="98" t="s">
        <v>3648</v>
      </c>
      <c r="M2" s="98" t="s">
        <v>1108</v>
      </c>
      <c r="N2" s="98" t="s">
        <v>1115</v>
      </c>
      <c r="O2" s="98" t="s">
        <v>1122</v>
      </c>
      <c r="P2" s="98" t="s">
        <v>1132</v>
      </c>
      <c r="Q2" s="98" t="s">
        <v>1139</v>
      </c>
      <c r="R2" s="98" t="s">
        <v>344</v>
      </c>
      <c r="S2" s="98" t="s">
        <v>351</v>
      </c>
    </row>
    <row r="3" spans="2:19" x14ac:dyDescent="0.25">
      <c r="B3" s="51" t="s">
        <v>3084</v>
      </c>
      <c r="C3" s="51">
        <v>1</v>
      </c>
      <c r="D3" s="51" t="s">
        <v>3649</v>
      </c>
      <c r="E3" s="119">
        <v>45483</v>
      </c>
      <c r="F3" s="51">
        <v>1</v>
      </c>
      <c r="G3" s="217">
        <v>1</v>
      </c>
      <c r="H3" s="209">
        <v>468593</v>
      </c>
      <c r="I3" s="51" t="s">
        <v>3138</v>
      </c>
      <c r="J3" s="51" t="s">
        <v>3138</v>
      </c>
      <c r="K3" s="51" t="s">
        <v>3138</v>
      </c>
      <c r="L3" s="51" t="s">
        <v>3138</v>
      </c>
      <c r="M3" s="51" t="s">
        <v>3138</v>
      </c>
      <c r="N3" s="51" t="s">
        <v>3138</v>
      </c>
      <c r="O3" s="51" t="s">
        <v>3138</v>
      </c>
      <c r="P3" s="51" t="s">
        <v>3138</v>
      </c>
      <c r="Q3" s="51" t="s">
        <v>3138</v>
      </c>
      <c r="R3" s="51" t="s">
        <v>3138</v>
      </c>
      <c r="S3" s="51" t="s">
        <v>3138</v>
      </c>
    </row>
    <row r="4" spans="2:19" x14ac:dyDescent="0.25">
      <c r="B4" s="51" t="s">
        <v>3086</v>
      </c>
      <c r="C4" s="51">
        <v>2</v>
      </c>
      <c r="D4" s="51" t="s">
        <v>3650</v>
      </c>
      <c r="E4" s="119">
        <v>45483</v>
      </c>
      <c r="F4" s="51">
        <v>1</v>
      </c>
      <c r="G4" s="217">
        <v>1</v>
      </c>
      <c r="H4" s="209">
        <v>0</v>
      </c>
      <c r="I4" s="51" t="s">
        <v>3138</v>
      </c>
      <c r="J4" s="51" t="s">
        <v>3138</v>
      </c>
      <c r="K4" s="51" t="s">
        <v>3138</v>
      </c>
      <c r="L4" s="51" t="s">
        <v>3138</v>
      </c>
      <c r="M4" s="51" t="s">
        <v>3138</v>
      </c>
      <c r="N4" s="51" t="s">
        <v>3138</v>
      </c>
      <c r="O4" s="51" t="s">
        <v>3138</v>
      </c>
      <c r="P4" s="51" t="s">
        <v>3138</v>
      </c>
      <c r="Q4" s="51" t="s">
        <v>3138</v>
      </c>
      <c r="R4" s="51" t="s">
        <v>3138</v>
      </c>
      <c r="S4" s="51" t="s">
        <v>3138</v>
      </c>
    </row>
    <row r="5" spans="2:19" x14ac:dyDescent="0.25">
      <c r="B5" s="51" t="s">
        <v>3088</v>
      </c>
      <c r="C5" s="51">
        <v>3</v>
      </c>
      <c r="D5" s="51" t="s">
        <v>3651</v>
      </c>
      <c r="E5" s="119">
        <v>45483</v>
      </c>
      <c r="F5" s="51">
        <v>1</v>
      </c>
      <c r="G5" s="217">
        <v>1</v>
      </c>
      <c r="H5" s="209">
        <v>0</v>
      </c>
      <c r="I5" s="51">
        <v>0</v>
      </c>
      <c r="J5" s="51" t="s">
        <v>3138</v>
      </c>
      <c r="K5" s="51" t="s">
        <v>3138</v>
      </c>
      <c r="L5" s="51" t="s">
        <v>3138</v>
      </c>
      <c r="M5" s="51" t="s">
        <v>3138</v>
      </c>
      <c r="N5" s="51" t="s">
        <v>3138</v>
      </c>
      <c r="O5" s="51" t="s">
        <v>3138</v>
      </c>
      <c r="P5" s="51" t="s">
        <v>3138</v>
      </c>
      <c r="Q5" s="51" t="s">
        <v>3138</v>
      </c>
      <c r="R5" s="51">
        <v>0</v>
      </c>
      <c r="S5" s="51" t="s">
        <v>3138</v>
      </c>
    </row>
    <row r="6" spans="2:19" x14ac:dyDescent="0.25">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x14ac:dyDescent="0.25">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x14ac:dyDescent="0.25">
      <c r="B8" s="121" t="s">
        <v>3093</v>
      </c>
      <c r="C8" s="51">
        <v>6</v>
      </c>
      <c r="D8" s="51" t="s">
        <v>3652</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x14ac:dyDescent="0.25">
      <c r="B9" s="51" t="s">
        <v>3096</v>
      </c>
      <c r="C9" s="51">
        <v>7</v>
      </c>
      <c r="D9" s="51" t="s">
        <v>3653</v>
      </c>
      <c r="E9" s="119">
        <v>45483</v>
      </c>
      <c r="F9" s="51">
        <v>1</v>
      </c>
      <c r="G9" s="247" cm="1">
        <f t="array" ref="G9">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x14ac:dyDescent="0.25">
      <c r="B10" s="51" t="s">
        <v>3099</v>
      </c>
      <c r="C10" s="51">
        <v>8</v>
      </c>
      <c r="D10" s="51" t="s">
        <v>3654</v>
      </c>
      <c r="E10" s="119">
        <v>45483</v>
      </c>
      <c r="F10" s="51">
        <v>1</v>
      </c>
      <c r="G10" s="51" t="s">
        <v>3138</v>
      </c>
      <c r="H10" s="209">
        <v>0</v>
      </c>
      <c r="I10" s="51">
        <v>4293430451808770</v>
      </c>
      <c r="J10" s="51">
        <v>31</v>
      </c>
      <c r="K10" s="51">
        <v>3163579860010</v>
      </c>
      <c r="L10" s="51">
        <v>0</v>
      </c>
      <c r="M10" s="51">
        <v>0</v>
      </c>
      <c r="N10" s="51" t="s">
        <v>3655</v>
      </c>
      <c r="O10" s="51" t="s">
        <v>3147</v>
      </c>
      <c r="P10" s="119">
        <v>750000000</v>
      </c>
      <c r="Q10" s="119" t="s">
        <v>3216</v>
      </c>
      <c r="R10" s="119">
        <v>45483</v>
      </c>
      <c r="S10" s="122" t="s">
        <v>3656</v>
      </c>
    </row>
    <row r="11" spans="2:19" x14ac:dyDescent="0.25">
      <c r="B11" s="51" t="s">
        <v>3101</v>
      </c>
      <c r="C11" s="51">
        <v>9</v>
      </c>
      <c r="D11" s="51" t="s">
        <v>3657</v>
      </c>
      <c r="E11" s="119">
        <v>45483</v>
      </c>
      <c r="F11" s="51">
        <v>1</v>
      </c>
      <c r="G11" s="51" t="s">
        <v>3138</v>
      </c>
      <c r="H11" s="209">
        <v>0</v>
      </c>
      <c r="I11" s="51">
        <v>4293430451808770</v>
      </c>
      <c r="J11" s="51">
        <v>31</v>
      </c>
      <c r="K11" s="51">
        <v>3163579860010</v>
      </c>
      <c r="L11" s="51">
        <v>0</v>
      </c>
      <c r="M11" s="51">
        <v>0</v>
      </c>
      <c r="N11" s="51">
        <v>202407</v>
      </c>
      <c r="O11" s="51" t="s">
        <v>3147</v>
      </c>
      <c r="P11" s="119">
        <v>750000000</v>
      </c>
      <c r="Q11" s="119">
        <v>15</v>
      </c>
      <c r="R11" s="119">
        <v>45483</v>
      </c>
      <c r="S11" s="51" t="s">
        <v>3658</v>
      </c>
    </row>
    <row r="12" spans="2:19" x14ac:dyDescent="0.25">
      <c r="B12" s="121" t="s">
        <v>3103</v>
      </c>
      <c r="C12" s="51">
        <v>10</v>
      </c>
      <c r="D12" s="51" t="s">
        <v>3659</v>
      </c>
      <c r="E12" s="119">
        <v>45483</v>
      </c>
      <c r="F12" s="51">
        <v>1</v>
      </c>
      <c r="G12" s="51" t="s">
        <v>3138</v>
      </c>
      <c r="H12" s="209">
        <v>0</v>
      </c>
      <c r="I12" s="51">
        <v>5166320263218330</v>
      </c>
      <c r="J12" s="209">
        <v>31</v>
      </c>
      <c r="K12" s="51">
        <v>5131570000010</v>
      </c>
      <c r="L12" s="51">
        <v>8</v>
      </c>
      <c r="M12" s="119">
        <v>45483</v>
      </c>
      <c r="N12" s="51" t="s">
        <v>3660</v>
      </c>
      <c r="O12" s="122">
        <v>999999999000000</v>
      </c>
      <c r="P12" s="119">
        <v>999999999000000</v>
      </c>
      <c r="Q12" s="119" t="s">
        <v>3216</v>
      </c>
      <c r="R12" s="119">
        <v>45483</v>
      </c>
      <c r="S12" s="181" t="s">
        <v>3656</v>
      </c>
    </row>
    <row r="13" spans="2:19" x14ac:dyDescent="0.25">
      <c r="B13" s="51" t="s">
        <v>3105</v>
      </c>
      <c r="C13" s="51">
        <v>11</v>
      </c>
      <c r="D13" s="51" t="s">
        <v>3661</v>
      </c>
      <c r="E13" s="119">
        <v>45483</v>
      </c>
      <c r="F13" s="51">
        <v>1</v>
      </c>
      <c r="G13" s="51" t="s">
        <v>3138</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3662</v>
      </c>
    </row>
    <row r="14" spans="2:19" x14ac:dyDescent="0.25">
      <c r="B14" s="51" t="s">
        <v>3107</v>
      </c>
      <c r="C14" s="51">
        <v>12</v>
      </c>
      <c r="D14" s="51" t="s">
        <v>3663</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x14ac:dyDescent="0.25">
      <c r="B15" s="51" t="s">
        <v>3109</v>
      </c>
      <c r="C15" s="51">
        <v>13</v>
      </c>
      <c r="D15" s="51" t="s">
        <v>3664</v>
      </c>
      <c r="E15" s="119">
        <v>45483</v>
      </c>
      <c r="F15" s="51">
        <v>1</v>
      </c>
      <c r="G15" s="217">
        <v>1</v>
      </c>
      <c r="H15" s="209">
        <v>0</v>
      </c>
      <c r="I15" s="51" t="s">
        <v>3138</v>
      </c>
      <c r="J15" s="51" t="s">
        <v>3138</v>
      </c>
      <c r="K15" s="51" t="s">
        <v>3138</v>
      </c>
      <c r="L15" s="51" t="s">
        <v>3138</v>
      </c>
      <c r="M15" s="51">
        <v>0</v>
      </c>
      <c r="N15" s="51">
        <v>0</v>
      </c>
      <c r="O15" s="51" t="s">
        <v>3138</v>
      </c>
      <c r="P15" s="51" t="s">
        <v>3138</v>
      </c>
      <c r="Q15" s="51" t="s">
        <v>3138</v>
      </c>
      <c r="R15" s="51" t="s">
        <v>3138</v>
      </c>
      <c r="S15" s="51" t="s">
        <v>3138</v>
      </c>
    </row>
    <row r="16" spans="2:19" x14ac:dyDescent="0.25">
      <c r="B16" s="51" t="s">
        <v>3111</v>
      </c>
      <c r="C16" s="51">
        <v>14</v>
      </c>
      <c r="D16" s="51" t="s">
        <v>3665</v>
      </c>
      <c r="E16" s="119">
        <v>45483</v>
      </c>
      <c r="F16" s="51">
        <v>1</v>
      </c>
      <c r="G16" s="217">
        <v>1</v>
      </c>
      <c r="H16" s="209">
        <v>0</v>
      </c>
      <c r="I16" s="51" t="s">
        <v>3138</v>
      </c>
      <c r="J16" s="51">
        <v>0</v>
      </c>
      <c r="K16" s="51">
        <v>0</v>
      </c>
      <c r="L16" s="51" t="s">
        <v>3138</v>
      </c>
      <c r="M16" s="51" t="s">
        <v>3138</v>
      </c>
      <c r="N16" s="51" t="s">
        <v>3138</v>
      </c>
      <c r="O16" s="51" t="s">
        <v>3138</v>
      </c>
      <c r="P16" s="51" t="s">
        <v>3138</v>
      </c>
      <c r="Q16" s="51">
        <v>0</v>
      </c>
      <c r="R16" s="51" t="s">
        <v>3138</v>
      </c>
      <c r="S16" s="51" t="s">
        <v>3138</v>
      </c>
    </row>
    <row r="17" spans="2:20" x14ac:dyDescent="0.25">
      <c r="B17" s="51" t="s">
        <v>3113</v>
      </c>
      <c r="C17" s="51">
        <v>15</v>
      </c>
      <c r="D17" s="51" t="s">
        <v>3666</v>
      </c>
      <c r="E17" s="119">
        <v>45483</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x14ac:dyDescent="0.25">
      <c r="B18" s="51" t="s">
        <v>3115</v>
      </c>
      <c r="C18" s="51">
        <v>16</v>
      </c>
      <c r="D18" s="51" t="s">
        <v>3666</v>
      </c>
      <c r="E18" s="119">
        <v>45483</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x14ac:dyDescent="0.25">
      <c r="B19" s="51" t="s">
        <v>3121</v>
      </c>
      <c r="C19" s="51">
        <v>19</v>
      </c>
      <c r="D19" s="51" t="s">
        <v>3667</v>
      </c>
      <c r="E19" s="119">
        <v>45483</v>
      </c>
      <c r="F19" s="51">
        <v>1</v>
      </c>
      <c r="G19" s="217" cm="1">
        <f t="array" ref="G19">SUMPRODUCT(--(ISNUMBER((SEARCH(I25:S25,I19:S19)))))/COUNTA(I19:S19)</f>
        <v>0.63636363636363635</v>
      </c>
      <c r="H19" s="119"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x14ac:dyDescent="0.25">
      <c r="B20" s="51" t="s">
        <v>3124</v>
      </c>
      <c r="C20" s="51">
        <v>20</v>
      </c>
      <c r="D20" s="51" t="s">
        <v>3668</v>
      </c>
      <c r="E20" s="119">
        <v>45483</v>
      </c>
      <c r="F20" s="51">
        <v>1</v>
      </c>
      <c r="G20" s="217" cm="1">
        <f t="array" ref="G20">SUM(IF(I2:S2 = I24:S24, 1, 0))/ COUNTA(I2:S2)</f>
        <v>9.0909090909090912E-2</v>
      </c>
      <c r="H20" s="217" t="s">
        <v>3138</v>
      </c>
      <c r="I20" s="217" t="s">
        <v>3138</v>
      </c>
      <c r="J20" s="217" t="s">
        <v>3138</v>
      </c>
      <c r="K20" s="217" t="s">
        <v>3138</v>
      </c>
      <c r="L20" s="217" t="s">
        <v>3138</v>
      </c>
      <c r="M20" s="217" t="s">
        <v>3138</v>
      </c>
      <c r="N20" s="217" t="s">
        <v>3138</v>
      </c>
      <c r="O20" s="217" t="s">
        <v>3138</v>
      </c>
      <c r="P20" s="217" t="s">
        <v>3138</v>
      </c>
      <c r="Q20" s="217" t="s">
        <v>3138</v>
      </c>
      <c r="R20" s="217" t="s">
        <v>3138</v>
      </c>
      <c r="S20" s="217" t="s">
        <v>3138</v>
      </c>
    </row>
    <row r="21" spans="2:20" x14ac:dyDescent="0.25">
      <c r="B21" s="51" t="s">
        <v>3127</v>
      </c>
      <c r="C21" s="51">
        <v>21</v>
      </c>
      <c r="D21" s="51" t="s">
        <v>3668</v>
      </c>
      <c r="E21" s="119">
        <v>45483</v>
      </c>
      <c r="F21" s="51">
        <v>1</v>
      </c>
      <c r="G21" s="217" cm="1">
        <f t="array" ref="G21">SUM(IF(IF(G3:G20="null",1,G3:G20)=1,1,0))/COUNT(IF(G3:G20="null",1,1))</f>
        <v>0.83333333333333337</v>
      </c>
      <c r="H21" s="217" t="s">
        <v>3138</v>
      </c>
      <c r="I21" s="217" t="s">
        <v>3138</v>
      </c>
      <c r="J21" s="217" t="s">
        <v>3138</v>
      </c>
      <c r="K21" s="217" t="s">
        <v>3138</v>
      </c>
      <c r="L21" s="217" t="s">
        <v>3138</v>
      </c>
      <c r="M21" s="217" t="s">
        <v>3138</v>
      </c>
      <c r="N21" s="217" t="s">
        <v>3138</v>
      </c>
      <c r="O21" s="217" t="s">
        <v>3138</v>
      </c>
      <c r="P21" s="217" t="s">
        <v>3138</v>
      </c>
      <c r="Q21" s="217" t="s">
        <v>3138</v>
      </c>
      <c r="R21" s="217" t="s">
        <v>3138</v>
      </c>
      <c r="S21" s="217" t="s">
        <v>3138</v>
      </c>
    </row>
    <row r="22" spans="2:20" x14ac:dyDescent="0.25">
      <c r="B22" s="51"/>
      <c r="C22" s="51"/>
      <c r="D22" s="51"/>
      <c r="E22" s="119"/>
      <c r="F22" s="51"/>
      <c r="G22" s="51"/>
      <c r="H22" s="51"/>
      <c r="I22" s="51"/>
      <c r="J22" s="51"/>
      <c r="K22" s="51"/>
      <c r="L22" s="51"/>
      <c r="M22" s="51"/>
      <c r="N22" s="51"/>
      <c r="O22" s="51"/>
      <c r="P22" s="51"/>
      <c r="Q22" s="51"/>
      <c r="R22" s="51"/>
      <c r="S22" s="51"/>
    </row>
    <row r="23" spans="2:20" x14ac:dyDescent="0.25">
      <c r="B23" s="154" t="s">
        <v>3244</v>
      </c>
    </row>
    <row r="24" spans="2:20" x14ac:dyDescent="0.25">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25">
      <c r="B25" s="131" t="s">
        <v>3175</v>
      </c>
      <c r="C25" s="134">
        <v>21</v>
      </c>
      <c r="D25" s="128" t="s">
        <v>3176</v>
      </c>
      <c r="E25" s="127" t="s">
        <v>3177</v>
      </c>
      <c r="F25" s="127" t="s">
        <v>366</v>
      </c>
      <c r="G25" s="127" t="s">
        <v>366</v>
      </c>
      <c r="H25" s="127" t="s">
        <v>366</v>
      </c>
      <c r="I25" s="127" t="str" cm="1">
        <f t="array" ref="I25:T26">TRANSPOSE(_xlfn.SORTBY(_xlfn._xlws.FILTER(IF(Table3[FORMATO]:Table3[COMP_ CAMPO]&lt;&gt;"",Table3[FORMATO]:Table3[COMP_ CAMPO],9999999),Table3[NOME FÍSICO TABELA]="prepaid_card"), _xlfn._xlws.FILTER(Table3[ORDEM], Table3[NOME FÍSICO TABELA]="prepaid_card"),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25">
      <c r="B26" s="131" t="s">
        <v>3178</v>
      </c>
      <c r="C26" s="134">
        <v>7</v>
      </c>
      <c r="D26" s="128" t="s">
        <v>3176</v>
      </c>
      <c r="E26" s="127" t="s">
        <v>3177</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25">
      <c r="B28" s="164" t="s">
        <v>3179</v>
      </c>
    </row>
    <row r="29" spans="2:20" x14ac:dyDescent="0.25">
      <c r="B29" s="158" t="s">
        <v>3180</v>
      </c>
      <c r="C29" s="158" t="s">
        <v>3181</v>
      </c>
      <c r="D29" s="159" t="s">
        <v>3182</v>
      </c>
      <c r="E29" s="158" t="s">
        <v>3183</v>
      </c>
      <c r="F29" s="158" t="s">
        <v>3184</v>
      </c>
    </row>
    <row r="30" spans="2:20"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3130</v>
      </c>
      <c r="C2" s="98" t="s">
        <v>3131</v>
      </c>
      <c r="D2" s="98" t="s">
        <v>3132</v>
      </c>
      <c r="E2" s="98" t="s">
        <v>3133</v>
      </c>
      <c r="F2" s="98" t="s">
        <v>3134</v>
      </c>
      <c r="G2" s="98" t="s">
        <v>3135</v>
      </c>
      <c r="H2" s="98" t="s">
        <v>3136</v>
      </c>
      <c r="I2" s="98" t="s">
        <v>1061</v>
      </c>
      <c r="J2" s="98" t="s">
        <v>3669</v>
      </c>
      <c r="K2" s="98" t="s">
        <v>3670</v>
      </c>
      <c r="L2" s="98" t="s">
        <v>3648</v>
      </c>
      <c r="M2" s="98" t="s">
        <v>1108</v>
      </c>
      <c r="N2" s="98" t="s">
        <v>1115</v>
      </c>
      <c r="O2" s="98" t="s">
        <v>1122</v>
      </c>
      <c r="P2" s="98" t="s">
        <v>1132</v>
      </c>
      <c r="Q2" s="98" t="s">
        <v>1139</v>
      </c>
      <c r="R2" s="98" t="s">
        <v>344</v>
      </c>
      <c r="S2" s="98" t="s">
        <v>351</v>
      </c>
    </row>
    <row r="3" spans="2:19" x14ac:dyDescent="0.25">
      <c r="B3" s="51" t="s">
        <v>3084</v>
      </c>
      <c r="C3" s="51">
        <v>1</v>
      </c>
      <c r="D3" s="51" t="s">
        <v>3671</v>
      </c>
      <c r="E3" s="119">
        <v>45485</v>
      </c>
      <c r="F3" s="51">
        <v>1</v>
      </c>
      <c r="G3" s="217">
        <v>1</v>
      </c>
      <c r="H3" s="209">
        <v>650320</v>
      </c>
      <c r="I3" s="51" t="s">
        <v>3138</v>
      </c>
      <c r="J3" s="51" t="s">
        <v>3138</v>
      </c>
      <c r="K3" s="51" t="s">
        <v>3138</v>
      </c>
      <c r="L3" s="51" t="s">
        <v>3138</v>
      </c>
      <c r="M3" s="51" t="s">
        <v>3138</v>
      </c>
      <c r="N3" s="51" t="s">
        <v>3138</v>
      </c>
      <c r="O3" s="51" t="s">
        <v>3138</v>
      </c>
      <c r="P3" s="51" t="s">
        <v>3138</v>
      </c>
      <c r="Q3" s="51" t="s">
        <v>3138</v>
      </c>
      <c r="R3" s="51" t="s">
        <v>3138</v>
      </c>
      <c r="S3" s="51" t="s">
        <v>3138</v>
      </c>
    </row>
    <row r="4" spans="2:19" x14ac:dyDescent="0.25">
      <c r="B4" s="51" t="s">
        <v>3086</v>
      </c>
      <c r="C4" s="51">
        <v>2</v>
      </c>
      <c r="D4" s="51" t="s">
        <v>3672</v>
      </c>
      <c r="E4" s="119">
        <v>45485</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row>
    <row r="5" spans="2:19" x14ac:dyDescent="0.25">
      <c r="B5" s="51" t="s">
        <v>3088</v>
      </c>
      <c r="C5" s="51">
        <v>3</v>
      </c>
      <c r="D5" s="51" t="s">
        <v>3673</v>
      </c>
      <c r="E5" s="119">
        <v>45485</v>
      </c>
      <c r="F5" s="51">
        <v>1</v>
      </c>
      <c r="G5" s="217">
        <v>1</v>
      </c>
      <c r="H5" s="51">
        <v>0</v>
      </c>
      <c r="I5" s="51">
        <v>0</v>
      </c>
      <c r="J5" s="51" t="s">
        <v>3138</v>
      </c>
      <c r="K5" s="51" t="s">
        <v>3138</v>
      </c>
      <c r="L5" s="51" t="s">
        <v>3138</v>
      </c>
      <c r="M5" s="51" t="s">
        <v>3138</v>
      </c>
      <c r="N5" s="51" t="s">
        <v>3138</v>
      </c>
      <c r="O5" s="51" t="s">
        <v>3138</v>
      </c>
      <c r="P5" s="51" t="s">
        <v>3138</v>
      </c>
      <c r="Q5" s="51" t="s">
        <v>3138</v>
      </c>
      <c r="R5" s="51">
        <v>0</v>
      </c>
      <c r="S5" s="51" t="s">
        <v>3138</v>
      </c>
    </row>
    <row r="6" spans="2:19" x14ac:dyDescent="0.25">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x14ac:dyDescent="0.25">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x14ac:dyDescent="0.25">
      <c r="B8" s="121" t="s">
        <v>3093</v>
      </c>
      <c r="C8" s="51">
        <v>6</v>
      </c>
      <c r="D8" s="51" t="s">
        <v>3674</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x14ac:dyDescent="0.25">
      <c r="B9" s="51" t="s">
        <v>3096</v>
      </c>
      <c r="C9" s="51">
        <v>7</v>
      </c>
      <c r="D9" s="51" t="s">
        <v>3675</v>
      </c>
      <c r="E9" s="119">
        <v>45485</v>
      </c>
      <c r="F9" s="51">
        <v>1</v>
      </c>
      <c r="G9" s="217" cm="1">
        <f t="array" ref="G9">SUMPRODUCT(--(I9:S9&lt;=I26:S26))/COUNTA(I26:S26)</f>
        <v>0.72727272727272729</v>
      </c>
      <c r="H9" s="51">
        <v>0</v>
      </c>
      <c r="I9" s="51">
        <v>16</v>
      </c>
      <c r="J9" s="51">
        <v>2</v>
      </c>
      <c r="K9" s="51">
        <v>15</v>
      </c>
      <c r="L9" s="51">
        <v>3</v>
      </c>
      <c r="M9" s="51">
        <v>10</v>
      </c>
      <c r="N9" s="51">
        <v>7</v>
      </c>
      <c r="O9" s="51">
        <v>13</v>
      </c>
      <c r="P9" s="51">
        <v>13</v>
      </c>
      <c r="Q9" s="51">
        <v>3</v>
      </c>
      <c r="R9" s="51">
        <v>10</v>
      </c>
      <c r="S9" s="51">
        <v>23</v>
      </c>
    </row>
    <row r="10" spans="2:19" x14ac:dyDescent="0.25">
      <c r="B10" s="51" t="s">
        <v>3099</v>
      </c>
      <c r="C10" s="51">
        <v>8</v>
      </c>
      <c r="D10" s="51" t="s">
        <v>3676</v>
      </c>
      <c r="E10" s="119">
        <v>45485</v>
      </c>
      <c r="F10" s="51">
        <v>1</v>
      </c>
      <c r="G10" s="51" t="s">
        <v>3138</v>
      </c>
      <c r="H10" s="51">
        <v>0</v>
      </c>
      <c r="I10" s="51">
        <v>4001900051800820</v>
      </c>
      <c r="J10" s="51">
        <v>31</v>
      </c>
      <c r="K10" s="51">
        <v>1100827510011</v>
      </c>
      <c r="L10" s="51">
        <v>0</v>
      </c>
      <c r="M10" s="51">
        <v>0</v>
      </c>
      <c r="N10" s="119" t="s">
        <v>3655</v>
      </c>
      <c r="O10" s="51" t="s">
        <v>3147</v>
      </c>
      <c r="P10" s="119" t="s">
        <v>3147</v>
      </c>
      <c r="Q10" s="119" t="s">
        <v>3216</v>
      </c>
      <c r="R10" s="119">
        <v>45485</v>
      </c>
      <c r="S10" s="122" t="s">
        <v>3677</v>
      </c>
    </row>
    <row r="11" spans="2:19" x14ac:dyDescent="0.25">
      <c r="B11" s="51" t="s">
        <v>3101</v>
      </c>
      <c r="C11" s="51">
        <v>9</v>
      </c>
      <c r="D11" s="51" t="s">
        <v>3678</v>
      </c>
      <c r="E11" s="119">
        <v>45485</v>
      </c>
      <c r="F11" s="51">
        <v>1</v>
      </c>
      <c r="G11" s="51" t="s">
        <v>3138</v>
      </c>
      <c r="H11" s="51">
        <v>0</v>
      </c>
      <c r="I11" s="51">
        <v>4001900051800820</v>
      </c>
      <c r="J11" s="51"/>
      <c r="K11" s="51">
        <v>1100827510011</v>
      </c>
      <c r="L11" s="51">
        <v>0</v>
      </c>
      <c r="M11" s="51">
        <v>0</v>
      </c>
      <c r="N11" s="119" t="s">
        <v>3655</v>
      </c>
      <c r="O11" s="51">
        <v>0</v>
      </c>
      <c r="P11" s="51">
        <v>0</v>
      </c>
      <c r="Q11" s="51">
        <v>15</v>
      </c>
      <c r="R11" s="119">
        <v>45485</v>
      </c>
      <c r="S11" s="51" t="s">
        <v>3679</v>
      </c>
    </row>
    <row r="12" spans="2:19" x14ac:dyDescent="0.25">
      <c r="B12" s="121" t="s">
        <v>3103</v>
      </c>
      <c r="C12" s="51">
        <v>10</v>
      </c>
      <c r="D12" s="51" t="s">
        <v>3680</v>
      </c>
      <c r="E12" s="119">
        <v>45485</v>
      </c>
      <c r="F12" s="51">
        <v>1</v>
      </c>
      <c r="G12" s="51" t="s">
        <v>3138</v>
      </c>
      <c r="H12" s="51">
        <v>0</v>
      </c>
      <c r="I12" s="51">
        <v>5492260069819360</v>
      </c>
      <c r="J12" s="209">
        <v>31</v>
      </c>
      <c r="K12" s="51">
        <v>5131606960011</v>
      </c>
      <c r="L12" s="51">
        <v>99</v>
      </c>
      <c r="M12" s="119">
        <v>45488</v>
      </c>
      <c r="N12" s="119" t="s">
        <v>3681</v>
      </c>
      <c r="O12" s="122">
        <v>150000000000</v>
      </c>
      <c r="P12" s="217">
        <v>150000000000</v>
      </c>
      <c r="Q12" s="119" t="s">
        <v>3216</v>
      </c>
      <c r="R12" s="119">
        <v>45485</v>
      </c>
      <c r="S12" s="181" t="s">
        <v>3677</v>
      </c>
    </row>
    <row r="13" spans="2:19" x14ac:dyDescent="0.25">
      <c r="B13" s="51" t="s">
        <v>3105</v>
      </c>
      <c r="C13" s="51">
        <v>11</v>
      </c>
      <c r="D13" s="51" t="s">
        <v>3682</v>
      </c>
      <c r="E13" s="119">
        <v>45485</v>
      </c>
      <c r="F13" s="51">
        <v>1</v>
      </c>
      <c r="G13" s="51" t="s">
        <v>3138</v>
      </c>
      <c r="H13" s="51">
        <v>0</v>
      </c>
      <c r="I13" s="51">
        <v>5492260069819360</v>
      </c>
      <c r="J13" s="209"/>
      <c r="K13" s="51">
        <v>5131606960011</v>
      </c>
      <c r="L13" s="51">
        <v>99</v>
      </c>
      <c r="M13" s="119">
        <v>20240715</v>
      </c>
      <c r="N13" s="119" t="s">
        <v>3681</v>
      </c>
      <c r="O13" s="51">
        <v>9000</v>
      </c>
      <c r="P13" s="51">
        <v>998</v>
      </c>
      <c r="Q13" s="51">
        <v>5</v>
      </c>
      <c r="R13" s="119">
        <v>45485</v>
      </c>
      <c r="S13" s="51" t="s">
        <v>3683</v>
      </c>
    </row>
    <row r="14" spans="2:19" x14ac:dyDescent="0.25">
      <c r="B14" s="51" t="s">
        <v>3107</v>
      </c>
      <c r="C14" s="51">
        <v>12</v>
      </c>
      <c r="D14" s="51" t="s">
        <v>3684</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x14ac:dyDescent="0.25">
      <c r="B15" s="51" t="s">
        <v>3109</v>
      </c>
      <c r="C15" s="51">
        <v>13</v>
      </c>
      <c r="D15" s="51" t="s">
        <v>3685</v>
      </c>
      <c r="E15" s="119">
        <v>45485</v>
      </c>
      <c r="F15" s="51">
        <v>1</v>
      </c>
      <c r="G15" s="217">
        <v>1</v>
      </c>
      <c r="H15" s="51">
        <v>0</v>
      </c>
      <c r="I15" s="51" t="s">
        <v>3138</v>
      </c>
      <c r="J15" s="51" t="s">
        <v>3138</v>
      </c>
      <c r="K15" s="51" t="s">
        <v>3138</v>
      </c>
      <c r="L15" s="51" t="s">
        <v>3138</v>
      </c>
      <c r="M15" s="51">
        <v>0</v>
      </c>
      <c r="N15" s="51">
        <v>0</v>
      </c>
      <c r="O15" s="51" t="s">
        <v>3138</v>
      </c>
      <c r="P15" s="51" t="s">
        <v>3138</v>
      </c>
      <c r="Q15" s="51" t="s">
        <v>3138</v>
      </c>
      <c r="R15" s="51" t="s">
        <v>3138</v>
      </c>
      <c r="S15" s="51" t="s">
        <v>3138</v>
      </c>
    </row>
    <row r="16" spans="2:19" x14ac:dyDescent="0.25">
      <c r="B16" s="51" t="s">
        <v>3111</v>
      </c>
      <c r="C16" s="51">
        <v>14</v>
      </c>
      <c r="D16" s="51" t="s">
        <v>3686</v>
      </c>
      <c r="E16" s="119">
        <v>45485</v>
      </c>
      <c r="F16" s="51">
        <v>1</v>
      </c>
      <c r="G16" s="217">
        <v>1</v>
      </c>
      <c r="H16" s="51">
        <v>0</v>
      </c>
      <c r="I16" s="51" t="s">
        <v>3138</v>
      </c>
      <c r="J16" s="51">
        <v>0</v>
      </c>
      <c r="K16" s="51">
        <v>0</v>
      </c>
      <c r="L16" s="51" t="s">
        <v>3138</v>
      </c>
      <c r="M16" s="51" t="s">
        <v>3138</v>
      </c>
      <c r="N16" s="51" t="s">
        <v>3138</v>
      </c>
      <c r="O16" s="51" t="s">
        <v>3138</v>
      </c>
      <c r="P16" s="51" t="s">
        <v>3138</v>
      </c>
      <c r="Q16" s="51">
        <v>0</v>
      </c>
      <c r="R16" s="51" t="s">
        <v>3138</v>
      </c>
      <c r="S16" s="51" t="s">
        <v>3138</v>
      </c>
    </row>
    <row r="17" spans="2:20" x14ac:dyDescent="0.25">
      <c r="B17" s="51" t="s">
        <v>3113</v>
      </c>
      <c r="C17" s="51">
        <v>15</v>
      </c>
      <c r="D17" s="51" t="s">
        <v>3687</v>
      </c>
      <c r="E17" s="119">
        <v>45485</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x14ac:dyDescent="0.25">
      <c r="B18" s="51" t="s">
        <v>3115</v>
      </c>
      <c r="C18" s="51">
        <v>16</v>
      </c>
      <c r="D18" s="51" t="s">
        <v>3687</v>
      </c>
      <c r="E18" s="119">
        <v>45485</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x14ac:dyDescent="0.25">
      <c r="B19" s="51" t="s">
        <v>3121</v>
      </c>
      <c r="C19" s="51">
        <v>19</v>
      </c>
      <c r="D19" s="51" t="s">
        <v>3688</v>
      </c>
      <c r="E19" s="119">
        <v>45485</v>
      </c>
      <c r="F19" s="51">
        <v>1</v>
      </c>
      <c r="G19" s="217" cm="1">
        <f t="array" ref="G19">SUMPRODUCT(--(ISNUMBER((SEARCH(I25:S25,I19:S19)))))/COUNTA(I19:S19)</f>
        <v>0.63636363636363635</v>
      </c>
      <c r="H19" s="51"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x14ac:dyDescent="0.25">
      <c r="B20" s="51" t="s">
        <v>3124</v>
      </c>
      <c r="C20" s="51">
        <v>20</v>
      </c>
      <c r="D20" s="51" t="s">
        <v>3689</v>
      </c>
      <c r="E20" s="119">
        <v>45485</v>
      </c>
      <c r="F20" s="51">
        <v>1</v>
      </c>
      <c r="G20" s="217" cm="1">
        <f t="array" ref="G20">SUM(IF(I2:S2 = I24:S24, 1, 0))/ COUNTA(I2:S2)</f>
        <v>9.0909090909090912E-2</v>
      </c>
      <c r="H20" s="51" t="s">
        <v>3138</v>
      </c>
      <c r="I20" s="51"/>
      <c r="J20" s="51"/>
      <c r="K20" s="51"/>
      <c r="L20" s="51"/>
      <c r="M20" s="51"/>
      <c r="N20" s="51"/>
      <c r="O20" s="51"/>
      <c r="P20" s="51"/>
      <c r="Q20" s="51"/>
      <c r="R20" s="51"/>
      <c r="S20" s="51"/>
    </row>
    <row r="21" spans="2:20" x14ac:dyDescent="0.25">
      <c r="B21" s="51" t="s">
        <v>3127</v>
      </c>
      <c r="C21" s="51">
        <v>21</v>
      </c>
      <c r="D21" s="51" t="s">
        <v>3689</v>
      </c>
      <c r="E21" s="119">
        <v>45485</v>
      </c>
      <c r="F21" s="51">
        <v>1</v>
      </c>
      <c r="G21" s="217" cm="1">
        <f t="array" ref="G21">SUM(IF(IF(G3:G20="null",1,G3:G20)=1,1,0))/COUNT(IF(G3:G20="null",1,1))</f>
        <v>0.83333333333333337</v>
      </c>
      <c r="H21" s="51" t="s">
        <v>3138</v>
      </c>
      <c r="I21" s="51"/>
      <c r="J21" s="51"/>
      <c r="K21" s="51"/>
      <c r="L21" s="51"/>
      <c r="M21" s="51"/>
      <c r="N21" s="51"/>
      <c r="O21" s="51"/>
      <c r="P21" s="51"/>
      <c r="Q21" s="51"/>
      <c r="R21" s="51"/>
      <c r="S21" s="51"/>
    </row>
    <row r="22" spans="2:20" x14ac:dyDescent="0.25">
      <c r="B22" s="51"/>
      <c r="C22" s="51"/>
      <c r="D22" s="51"/>
      <c r="E22" s="119"/>
      <c r="F22" s="51"/>
      <c r="G22" s="51"/>
      <c r="H22" s="51"/>
      <c r="I22" s="51"/>
      <c r="J22" s="51"/>
      <c r="K22" s="51"/>
      <c r="L22" s="51"/>
      <c r="M22" s="51"/>
      <c r="N22" s="51"/>
      <c r="O22" s="51"/>
      <c r="P22" s="51"/>
      <c r="Q22" s="51"/>
      <c r="R22" s="51"/>
      <c r="S22" s="51"/>
    </row>
    <row r="23" spans="2:20" x14ac:dyDescent="0.25">
      <c r="B23" s="154" t="s">
        <v>3244</v>
      </c>
    </row>
    <row r="24" spans="2:20" x14ac:dyDescent="0.25">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25">
      <c r="B25" s="131" t="s">
        <v>3175</v>
      </c>
      <c r="C25" s="134">
        <v>21</v>
      </c>
      <c r="D25" s="128" t="s">
        <v>3176</v>
      </c>
      <c r="E25" s="127" t="s">
        <v>3177</v>
      </c>
      <c r="F25" s="127" t="s">
        <v>366</v>
      </c>
      <c r="G25" s="127" t="s">
        <v>366</v>
      </c>
      <c r="H25" s="127" t="s">
        <v>366</v>
      </c>
      <c r="I25" s="127" t="str" cm="1">
        <f t="array" ref="I25:T26">TRANSPOSE(_xlfn.SORTBY(_xlfn._xlws.FILTER(IF(Table3[FORMATO]:Table3[COMP_ CAMPO]&lt;&gt;"",Table3[FORMATO]:Table3[COMP_ CAMPO],9999999),Table3[NOME FÍSICO TABELA]="credit_card"), _xlfn._xlws.FILTER(Table3[ORDEM], Table3[NOME FÍSICO TABELA]="credit_card"),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25">
      <c r="B26" s="131" t="s">
        <v>3178</v>
      </c>
      <c r="C26" s="134">
        <v>7</v>
      </c>
      <c r="D26" s="128" t="s">
        <v>3176</v>
      </c>
      <c r="E26" s="127" t="s">
        <v>3177</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25">
      <c r="B28" s="164" t="s">
        <v>3179</v>
      </c>
    </row>
    <row r="29" spans="2:20" x14ac:dyDescent="0.25">
      <c r="B29" s="158" t="s">
        <v>3180</v>
      </c>
      <c r="C29" s="158" t="s">
        <v>3181</v>
      </c>
      <c r="D29" s="159" t="s">
        <v>3182</v>
      </c>
      <c r="E29" s="158" t="s">
        <v>3183</v>
      </c>
      <c r="F29" s="158" t="s">
        <v>3184</v>
      </c>
    </row>
    <row r="30" spans="2:20"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x14ac:dyDescent="0.25">
      <c r="B3" s="51" t="s">
        <v>3084</v>
      </c>
      <c r="C3" s="51">
        <v>1</v>
      </c>
      <c r="D3" s="51" t="s">
        <v>3690</v>
      </c>
      <c r="E3" s="119">
        <v>45485</v>
      </c>
      <c r="F3" s="51">
        <v>2</v>
      </c>
      <c r="G3" s="234">
        <v>1</v>
      </c>
      <c r="H3" s="250">
        <v>2097675</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x14ac:dyDescent="0.25">
      <c r="B4" s="51" t="s">
        <v>3086</v>
      </c>
      <c r="C4" s="51">
        <v>2</v>
      </c>
      <c r="D4" s="51" t="s">
        <v>3691</v>
      </c>
      <c r="E4" s="119">
        <v>45485</v>
      </c>
      <c r="F4" s="51">
        <v>2</v>
      </c>
      <c r="G4" s="234">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x14ac:dyDescent="0.25">
      <c r="B5" s="51" t="s">
        <v>3088</v>
      </c>
      <c r="C5" s="51">
        <v>3</v>
      </c>
      <c r="D5" s="51" t="s">
        <v>3692</v>
      </c>
      <c r="E5" s="119">
        <v>45485</v>
      </c>
      <c r="F5" s="51">
        <v>2</v>
      </c>
      <c r="G5" s="234">
        <v>1</v>
      </c>
      <c r="H5" s="209">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x14ac:dyDescent="0.25">
      <c r="B6" s="121" t="s">
        <v>3090</v>
      </c>
      <c r="C6" s="51">
        <v>4</v>
      </c>
      <c r="D6" s="51" t="s">
        <v>3141</v>
      </c>
      <c r="E6" s="119" t="s">
        <v>3138</v>
      </c>
      <c r="F6" s="51">
        <v>2</v>
      </c>
      <c r="G6" s="234"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x14ac:dyDescent="0.25">
      <c r="B7" s="51" t="s">
        <v>3092</v>
      </c>
      <c r="C7" s="51">
        <v>5</v>
      </c>
      <c r="D7" s="51" t="s">
        <v>3141</v>
      </c>
      <c r="E7" s="119" t="s">
        <v>3138</v>
      </c>
      <c r="F7" s="51">
        <v>2</v>
      </c>
      <c r="G7" s="234"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x14ac:dyDescent="0.25">
      <c r="B8" s="121" t="s">
        <v>3093</v>
      </c>
      <c r="C8" s="51">
        <v>6</v>
      </c>
      <c r="D8" s="51" t="s">
        <v>3693</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3096</v>
      </c>
      <c r="C9" s="51">
        <v>7</v>
      </c>
      <c r="D9" s="51" t="s">
        <v>3694</v>
      </c>
      <c r="E9" s="119">
        <v>45485</v>
      </c>
      <c r="F9" s="51">
        <v>2</v>
      </c>
      <c r="G9" s="234" cm="1">
        <f t="array" ref="G9">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3099</v>
      </c>
      <c r="C10" s="51">
        <v>8</v>
      </c>
      <c r="D10" s="51" t="s">
        <v>3695</v>
      </c>
      <c r="E10" s="119">
        <v>45485</v>
      </c>
      <c r="F10" s="51">
        <v>2</v>
      </c>
      <c r="G10" s="234" t="s">
        <v>3138</v>
      </c>
      <c r="H10" s="209">
        <v>0</v>
      </c>
      <c r="I10" s="51">
        <v>31</v>
      </c>
      <c r="J10" s="51">
        <v>1100750280010</v>
      </c>
      <c r="K10" s="51" t="s">
        <v>3216</v>
      </c>
      <c r="L10" s="51">
        <v>10</v>
      </c>
      <c r="M10" s="51">
        <v>14</v>
      </c>
      <c r="N10" s="119">
        <v>31</v>
      </c>
      <c r="O10" s="51">
        <v>20113001</v>
      </c>
      <c r="P10" s="119">
        <v>33879</v>
      </c>
      <c r="Q10" s="119">
        <v>2958465</v>
      </c>
      <c r="R10" s="119">
        <v>978</v>
      </c>
      <c r="S10" s="51" t="s">
        <v>3216</v>
      </c>
      <c r="T10" s="51" t="s">
        <v>3216</v>
      </c>
      <c r="U10" s="119" t="s">
        <v>3269</v>
      </c>
      <c r="V10" s="119">
        <v>45485</v>
      </c>
      <c r="W10" s="51" t="s">
        <v>3696</v>
      </c>
    </row>
    <row r="11" spans="2:23" x14ac:dyDescent="0.25">
      <c r="B11" s="51" t="s">
        <v>3101</v>
      </c>
      <c r="C11" s="51">
        <v>9</v>
      </c>
      <c r="D11" s="51" t="s">
        <v>3697</v>
      </c>
      <c r="E11" s="119">
        <v>45485</v>
      </c>
      <c r="F11" s="51">
        <v>2</v>
      </c>
      <c r="G11" s="234" t="s">
        <v>3138</v>
      </c>
      <c r="H11" s="209">
        <v>0</v>
      </c>
      <c r="I11" s="51">
        <v>31</v>
      </c>
      <c r="J11" s="51">
        <v>1100750280010</v>
      </c>
      <c r="K11" s="51"/>
      <c r="L11" s="51">
        <v>10</v>
      </c>
      <c r="M11" s="51">
        <v>14</v>
      </c>
      <c r="N11" s="119">
        <v>31</v>
      </c>
      <c r="O11" s="51">
        <v>20113001</v>
      </c>
      <c r="P11" s="119">
        <v>33879</v>
      </c>
      <c r="Q11" s="119">
        <v>2958465</v>
      </c>
      <c r="R11" s="119">
        <v>978</v>
      </c>
      <c r="S11" s="51">
        <v>0</v>
      </c>
      <c r="T11" s="51" t="s">
        <v>3698</v>
      </c>
      <c r="U11" s="119" t="s">
        <v>3269</v>
      </c>
      <c r="V11" s="119">
        <v>45485</v>
      </c>
      <c r="W11" s="51" t="s">
        <v>3699</v>
      </c>
    </row>
    <row r="12" spans="2:23" x14ac:dyDescent="0.25">
      <c r="B12" s="121" t="s">
        <v>3103</v>
      </c>
      <c r="C12" s="51">
        <v>10</v>
      </c>
      <c r="D12" s="51" t="s">
        <v>3700</v>
      </c>
      <c r="E12" s="119">
        <v>45485</v>
      </c>
      <c r="F12" s="51">
        <v>2</v>
      </c>
      <c r="G12" s="234" t="s">
        <v>3138</v>
      </c>
      <c r="H12" s="209">
        <v>0</v>
      </c>
      <c r="I12" s="51">
        <v>31</v>
      </c>
      <c r="J12" s="209">
        <v>5131606970010</v>
      </c>
      <c r="K12" s="51" t="s">
        <v>3216</v>
      </c>
      <c r="L12" s="51">
        <v>10</v>
      </c>
      <c r="M12" s="119" t="s">
        <v>3701</v>
      </c>
      <c r="N12" s="119">
        <v>31</v>
      </c>
      <c r="O12" s="122">
        <v>239702322521020</v>
      </c>
      <c r="P12" s="119">
        <v>45488</v>
      </c>
      <c r="Q12" s="119">
        <v>2958465</v>
      </c>
      <c r="R12" s="119">
        <v>978</v>
      </c>
      <c r="S12" s="51" t="s">
        <v>3216</v>
      </c>
      <c r="T12" s="51" t="s">
        <v>3216</v>
      </c>
      <c r="U12" s="119" t="s">
        <v>3269</v>
      </c>
      <c r="V12" s="119">
        <v>45485</v>
      </c>
      <c r="W12" s="51" t="s">
        <v>3696</v>
      </c>
    </row>
    <row r="13" spans="2:23" x14ac:dyDescent="0.25">
      <c r="B13" s="51" t="s">
        <v>3105</v>
      </c>
      <c r="C13" s="51">
        <v>11</v>
      </c>
      <c r="D13" s="51" t="s">
        <v>3702</v>
      </c>
      <c r="E13" s="119">
        <v>45485</v>
      </c>
      <c r="F13" s="51">
        <v>2</v>
      </c>
      <c r="G13" s="234" t="s">
        <v>3138</v>
      </c>
      <c r="H13" s="209">
        <v>0</v>
      </c>
      <c r="I13" s="51">
        <v>31</v>
      </c>
      <c r="J13" s="209">
        <v>5131606970010</v>
      </c>
      <c r="K13" s="51"/>
      <c r="L13" s="51">
        <v>10</v>
      </c>
      <c r="M13" s="119" t="s">
        <v>3701</v>
      </c>
      <c r="N13" s="119">
        <v>31</v>
      </c>
      <c r="O13" s="51">
        <v>239702322521020</v>
      </c>
      <c r="P13" s="119">
        <v>45488</v>
      </c>
      <c r="Q13" s="119">
        <v>2958465</v>
      </c>
      <c r="R13" s="119">
        <v>978</v>
      </c>
      <c r="S13" s="51">
        <v>3</v>
      </c>
      <c r="T13" s="51" t="s">
        <v>3703</v>
      </c>
      <c r="U13" s="119" t="s">
        <v>3269</v>
      </c>
      <c r="V13" s="119">
        <v>45485</v>
      </c>
      <c r="W13" s="51" t="s">
        <v>3704</v>
      </c>
    </row>
    <row r="14" spans="2:23" x14ac:dyDescent="0.25">
      <c r="B14" s="51" t="s">
        <v>3107</v>
      </c>
      <c r="C14" s="51">
        <v>12</v>
      </c>
      <c r="D14" s="51" t="s">
        <v>3705</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x14ac:dyDescent="0.25">
      <c r="B15" s="51" t="s">
        <v>3109</v>
      </c>
      <c r="C15" s="51">
        <v>13</v>
      </c>
      <c r="D15" s="51" t="s">
        <v>3706</v>
      </c>
      <c r="E15" s="119">
        <v>45485</v>
      </c>
      <c r="F15" s="51">
        <v>2</v>
      </c>
      <c r="G15" s="234">
        <v>1</v>
      </c>
      <c r="H15" s="209">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x14ac:dyDescent="0.25">
      <c r="B16" s="51" t="s">
        <v>3111</v>
      </c>
      <c r="C16" s="51">
        <v>14</v>
      </c>
      <c r="D16" s="51" t="s">
        <v>3707</v>
      </c>
      <c r="E16" s="119">
        <v>45485</v>
      </c>
      <c r="F16" s="51">
        <v>2</v>
      </c>
      <c r="G16" s="234">
        <v>1</v>
      </c>
      <c r="H16" s="209">
        <v>0</v>
      </c>
      <c r="I16" s="51">
        <v>0</v>
      </c>
      <c r="J16" s="51">
        <v>0</v>
      </c>
      <c r="K16" s="51">
        <v>0</v>
      </c>
      <c r="L16" s="51">
        <v>0</v>
      </c>
      <c r="M16" s="51">
        <v>0</v>
      </c>
      <c r="N16" s="51">
        <v>0</v>
      </c>
      <c r="O16" s="51">
        <v>0</v>
      </c>
      <c r="P16" s="51" t="s">
        <v>3138</v>
      </c>
      <c r="Q16" s="51" t="s">
        <v>3138</v>
      </c>
      <c r="R16" s="51">
        <v>0</v>
      </c>
      <c r="S16" s="51">
        <v>0</v>
      </c>
      <c r="T16" s="51">
        <v>0</v>
      </c>
      <c r="U16" s="51">
        <v>0</v>
      </c>
      <c r="V16" s="51" t="s">
        <v>3138</v>
      </c>
      <c r="W16" s="51" t="s">
        <v>3138</v>
      </c>
    </row>
    <row r="17" spans="2:24" x14ac:dyDescent="0.25">
      <c r="B17" s="51" t="s">
        <v>3113</v>
      </c>
      <c r="C17" s="51">
        <v>15</v>
      </c>
      <c r="D17" s="51" t="s">
        <v>3708</v>
      </c>
      <c r="E17" s="119">
        <v>45485</v>
      </c>
      <c r="F17" s="51">
        <v>2</v>
      </c>
      <c r="G17" s="234">
        <v>1</v>
      </c>
      <c r="H17" s="209">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4" x14ac:dyDescent="0.25">
      <c r="B18" s="51" t="s">
        <v>3115</v>
      </c>
      <c r="C18" s="51">
        <v>16</v>
      </c>
      <c r="D18" s="51" t="s">
        <v>3708</v>
      </c>
      <c r="E18" s="119">
        <v>45485</v>
      </c>
      <c r="F18" s="51">
        <v>2</v>
      </c>
      <c r="G18" s="234">
        <v>1</v>
      </c>
      <c r="H18" s="209">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4" x14ac:dyDescent="0.25">
      <c r="B19" s="51" t="s">
        <v>3121</v>
      </c>
      <c r="C19" s="51">
        <v>19</v>
      </c>
      <c r="D19" s="51" t="s">
        <v>3709</v>
      </c>
      <c r="E19" s="119">
        <v>45485</v>
      </c>
      <c r="F19" s="51">
        <v>2</v>
      </c>
      <c r="G19" s="234" cm="1">
        <f t="array" ref="G19">SUMPRODUCT(--(ISNUMBER((SEARCH(I25:W25,I19:V19)))))/COUNTA(I19:V19)</f>
        <v>1</v>
      </c>
      <c r="H19" s="51" t="s">
        <v>3138</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3174</v>
      </c>
    </row>
    <row r="20" spans="2:24" x14ac:dyDescent="0.25">
      <c r="B20" s="51" t="s">
        <v>3124</v>
      </c>
      <c r="C20" s="51">
        <v>20</v>
      </c>
      <c r="D20" s="51" t="s">
        <v>3709</v>
      </c>
      <c r="E20" s="119">
        <v>45485</v>
      </c>
      <c r="F20" s="51">
        <v>2</v>
      </c>
      <c r="G20" s="234" cm="1">
        <f t="array" ref="G20">SUM(IF(I2:W2 = I24:W24, 1, 0))/ COUNTA(I2:W2)</f>
        <v>1</v>
      </c>
      <c r="H20" s="51" t="s">
        <v>3138</v>
      </c>
      <c r="I20" s="51" t="s">
        <v>3172</v>
      </c>
      <c r="J20" s="51" t="s">
        <v>3172</v>
      </c>
      <c r="K20" s="51" t="s">
        <v>3172</v>
      </c>
      <c r="L20" s="51" t="s">
        <v>3172</v>
      </c>
      <c r="M20" s="51" t="s">
        <v>3172</v>
      </c>
      <c r="N20" s="51" t="s">
        <v>3172</v>
      </c>
      <c r="O20" s="51" t="s">
        <v>3172</v>
      </c>
      <c r="P20" s="51" t="s">
        <v>3172</v>
      </c>
      <c r="Q20" s="51" t="s">
        <v>3172</v>
      </c>
      <c r="R20" s="51" t="s">
        <v>3172</v>
      </c>
      <c r="S20" s="51" t="s">
        <v>3172</v>
      </c>
      <c r="T20" s="51" t="s">
        <v>3172</v>
      </c>
      <c r="U20" s="51" t="s">
        <v>3172</v>
      </c>
      <c r="V20" s="51" t="s">
        <v>3172</v>
      </c>
      <c r="W20" s="51" t="s">
        <v>3174</v>
      </c>
    </row>
    <row r="21" spans="2:24" x14ac:dyDescent="0.25">
      <c r="B21" s="51" t="s">
        <v>3127</v>
      </c>
      <c r="C21" s="51">
        <v>21</v>
      </c>
      <c r="D21" s="51"/>
      <c r="E21" s="119"/>
      <c r="F21" s="51">
        <v>1</v>
      </c>
      <c r="G21" s="234" cm="1">
        <f t="array" ref="G21">SUM(IF(IF(G3:G20="null",1,G3:G20)=1,1,0))/COUNT(IF(G3:G20="null",1,1))</f>
        <v>0.94444444444444442</v>
      </c>
      <c r="H21" s="51" t="s">
        <v>3138</v>
      </c>
      <c r="I21" s="51"/>
      <c r="J21" s="51"/>
      <c r="K21" s="51"/>
      <c r="L21" s="51"/>
      <c r="M21" s="51"/>
      <c r="N21" s="51"/>
      <c r="O21" s="51"/>
      <c r="P21" s="51"/>
      <c r="Q21" s="51"/>
      <c r="R21" s="51"/>
      <c r="S21" s="51"/>
      <c r="T21" s="51"/>
      <c r="U21" s="51"/>
      <c r="V21" s="51"/>
      <c r="W21" s="51"/>
    </row>
    <row r="22" spans="2:24" x14ac:dyDescent="0.25">
      <c r="B22" s="51"/>
      <c r="C22" s="51"/>
      <c r="D22" s="51"/>
      <c r="E22" s="119"/>
      <c r="F22" s="51"/>
      <c r="G22" s="51"/>
      <c r="H22" s="51"/>
      <c r="I22" s="51"/>
      <c r="J22" s="51"/>
      <c r="K22" s="51"/>
      <c r="L22" s="51"/>
      <c r="M22" s="51"/>
      <c r="N22" s="51"/>
      <c r="O22" s="51"/>
      <c r="P22" s="51"/>
      <c r="Q22" s="51"/>
      <c r="R22" s="51"/>
      <c r="S22" s="51"/>
    </row>
    <row r="23" spans="2:24" x14ac:dyDescent="0.25">
      <c r="B23" s="154" t="s">
        <v>3244</v>
      </c>
    </row>
    <row r="24" spans="2:24" x14ac:dyDescent="0.25">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x14ac:dyDescent="0.25">
      <c r="B25" s="131" t="s">
        <v>3175</v>
      </c>
      <c r="C25" s="134">
        <v>21</v>
      </c>
      <c r="D25" s="128" t="s">
        <v>3176</v>
      </c>
      <c r="E25" s="127" t="s">
        <v>3177</v>
      </c>
      <c r="F25" s="127" t="s">
        <v>366</v>
      </c>
      <c r="G25" s="127" t="s">
        <v>366</v>
      </c>
      <c r="H25" s="127" t="s">
        <v>366</v>
      </c>
      <c r="I25" s="127" t="str" cm="1">
        <f t="array" ref="I25:W26">TRANSPOSE(_xlfn.SORTBY(_xlfn._xlws.FILTER(IF(Table3[FORMATO]:Table3[COMP_ CAMPO]&lt;&gt;"",Table3[FORMATO]:Table3[COMP_ CAMPO],9999999),Table3[NOME FÍSICO TABELA]="debit_card_account"), _xlfn._xlws.FILTER(Table3[ORDEM], Table3[NOME FÍSICO TABELA]="debit_card_account"),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33" t="str">
        <v>TIMESTAMP</v>
      </c>
    </row>
    <row r="26" spans="2:24" x14ac:dyDescent="0.25">
      <c r="B26" s="131" t="s">
        <v>3178</v>
      </c>
      <c r="C26" s="134">
        <v>7</v>
      </c>
      <c r="D26" s="128" t="s">
        <v>3176</v>
      </c>
      <c r="E26" s="127" t="s">
        <v>3177</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4</v>
      </c>
      <c r="U26" s="175">
        <v>2</v>
      </c>
      <c r="V26" s="175">
        <v>10</v>
      </c>
      <c r="W26" s="176">
        <v>23</v>
      </c>
      <c r="X26" s="116"/>
    </row>
    <row r="28" spans="2:24" x14ac:dyDescent="0.25">
      <c r="B28" s="164" t="s">
        <v>3179</v>
      </c>
    </row>
    <row r="29" spans="2:24" x14ac:dyDescent="0.25">
      <c r="B29" s="158" t="s">
        <v>3180</v>
      </c>
      <c r="C29" s="158" t="s">
        <v>3181</v>
      </c>
      <c r="D29" s="159" t="s">
        <v>3182</v>
      </c>
      <c r="E29" s="158" t="s">
        <v>3183</v>
      </c>
      <c r="F29" s="158" t="s">
        <v>3184</v>
      </c>
    </row>
    <row r="30" spans="2:24" ht="45" x14ac:dyDescent="0.25">
      <c r="B30" s="142" t="s">
        <v>3185</v>
      </c>
      <c r="C30" s="141" t="s">
        <v>324</v>
      </c>
      <c r="D30" s="147" t="s">
        <v>3710</v>
      </c>
      <c r="E30" s="170" t="s">
        <v>3711</v>
      </c>
      <c r="F30"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8" t="s">
        <v>3130</v>
      </c>
      <c r="C2" s="98" t="s">
        <v>3131</v>
      </c>
      <c r="D2" s="98" t="s">
        <v>3132</v>
      </c>
      <c r="E2" s="98" t="s">
        <v>3133</v>
      </c>
      <c r="F2" s="98" t="s">
        <v>3134</v>
      </c>
      <c r="G2" s="98" t="s">
        <v>3135</v>
      </c>
      <c r="H2" s="98" t="s">
        <v>3136</v>
      </c>
      <c r="I2" s="98" t="s">
        <v>1061</v>
      </c>
      <c r="J2" s="98" t="s">
        <v>3646</v>
      </c>
      <c r="K2" s="98" t="s">
        <v>3647</v>
      </c>
      <c r="L2" s="98" t="s">
        <v>3648</v>
      </c>
      <c r="M2" s="98" t="s">
        <v>1108</v>
      </c>
      <c r="N2" s="98" t="s">
        <v>1115</v>
      </c>
      <c r="O2" s="98" t="s">
        <v>1122</v>
      </c>
      <c r="P2" s="98" t="s">
        <v>1132</v>
      </c>
      <c r="Q2" s="98" t="s">
        <v>1139</v>
      </c>
      <c r="R2" s="98" t="s">
        <v>344</v>
      </c>
      <c r="S2" s="98" t="s">
        <v>351</v>
      </c>
    </row>
    <row r="3" spans="2:19" x14ac:dyDescent="0.25">
      <c r="B3" s="51" t="s">
        <v>3084</v>
      </c>
      <c r="C3" s="51">
        <v>1</v>
      </c>
      <c r="D3" s="51" t="s">
        <v>3712</v>
      </c>
      <c r="E3" s="119">
        <v>45483</v>
      </c>
      <c r="F3" s="51">
        <v>1</v>
      </c>
      <c r="G3" s="122">
        <v>1</v>
      </c>
      <c r="H3" s="209">
        <v>1722768</v>
      </c>
      <c r="I3" s="51" t="s">
        <v>3138</v>
      </c>
      <c r="J3" s="51" t="s">
        <v>3138</v>
      </c>
      <c r="K3" s="51" t="s">
        <v>3138</v>
      </c>
      <c r="L3" s="51" t="s">
        <v>3138</v>
      </c>
      <c r="M3" s="51" t="s">
        <v>3138</v>
      </c>
      <c r="N3" s="51" t="s">
        <v>3138</v>
      </c>
      <c r="O3" s="51" t="s">
        <v>3138</v>
      </c>
      <c r="P3" s="51" t="s">
        <v>3138</v>
      </c>
      <c r="Q3" s="51" t="s">
        <v>3138</v>
      </c>
      <c r="R3" s="51" t="s">
        <v>3138</v>
      </c>
      <c r="S3" s="51" t="s">
        <v>3138</v>
      </c>
    </row>
    <row r="4" spans="2:19" x14ac:dyDescent="0.25">
      <c r="B4" s="51" t="s">
        <v>3086</v>
      </c>
      <c r="C4" s="51">
        <v>2</v>
      </c>
      <c r="D4" s="51" t="s">
        <v>3713</v>
      </c>
      <c r="E4" s="119">
        <v>45483</v>
      </c>
      <c r="F4" s="51">
        <v>1</v>
      </c>
      <c r="G4" s="122">
        <v>1</v>
      </c>
      <c r="H4" s="51">
        <v>0</v>
      </c>
      <c r="I4" s="51" t="s">
        <v>3138</v>
      </c>
      <c r="J4" s="51" t="s">
        <v>3138</v>
      </c>
      <c r="K4" s="51" t="s">
        <v>3138</v>
      </c>
      <c r="L4" s="51" t="s">
        <v>3138</v>
      </c>
      <c r="M4" s="51" t="s">
        <v>3138</v>
      </c>
      <c r="N4" s="51" t="s">
        <v>3138</v>
      </c>
      <c r="O4" s="51" t="s">
        <v>3138</v>
      </c>
      <c r="P4" s="51" t="s">
        <v>3138</v>
      </c>
      <c r="Q4" s="51" t="s">
        <v>3138</v>
      </c>
      <c r="R4" s="51" t="s">
        <v>3138</v>
      </c>
      <c r="S4" s="51" t="s">
        <v>3138</v>
      </c>
    </row>
    <row r="5" spans="2:19" x14ac:dyDescent="0.25">
      <c r="B5" s="51" t="s">
        <v>3088</v>
      </c>
      <c r="C5" s="51">
        <v>3</v>
      </c>
      <c r="D5" s="51" t="s">
        <v>3714</v>
      </c>
      <c r="E5" s="119">
        <v>45483</v>
      </c>
      <c r="F5" s="51">
        <v>1</v>
      </c>
      <c r="G5" s="122">
        <v>1</v>
      </c>
      <c r="H5" s="51">
        <v>0</v>
      </c>
      <c r="I5" s="51">
        <v>0</v>
      </c>
      <c r="J5" s="51" t="s">
        <v>3138</v>
      </c>
      <c r="K5" s="51" t="s">
        <v>3138</v>
      </c>
      <c r="L5" s="51" t="s">
        <v>3138</v>
      </c>
      <c r="M5" s="51" t="s">
        <v>3138</v>
      </c>
      <c r="N5" s="51" t="s">
        <v>3138</v>
      </c>
      <c r="O5" s="51" t="s">
        <v>3138</v>
      </c>
      <c r="P5" s="51" t="s">
        <v>3138</v>
      </c>
      <c r="Q5" s="51" t="s">
        <v>3138</v>
      </c>
      <c r="R5" s="51">
        <v>0</v>
      </c>
      <c r="S5" s="51" t="s">
        <v>3138</v>
      </c>
    </row>
    <row r="6" spans="2:19" x14ac:dyDescent="0.25">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x14ac:dyDescent="0.25">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x14ac:dyDescent="0.25">
      <c r="B8" s="121" t="s">
        <v>3093</v>
      </c>
      <c r="C8" s="51">
        <v>6</v>
      </c>
      <c r="D8" s="51" t="s">
        <v>3715</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x14ac:dyDescent="0.25">
      <c r="B9" s="51" t="s">
        <v>3096</v>
      </c>
      <c r="C9" s="51">
        <v>7</v>
      </c>
      <c r="D9" s="51" t="s">
        <v>3716</v>
      </c>
      <c r="E9" s="119">
        <v>45483</v>
      </c>
      <c r="F9" s="51">
        <v>1</v>
      </c>
      <c r="G9" s="217" cm="1">
        <f t="array" ref="G9">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x14ac:dyDescent="0.25">
      <c r="B10" s="51" t="s">
        <v>3099</v>
      </c>
      <c r="C10" s="51">
        <v>8</v>
      </c>
      <c r="D10" s="51" t="s">
        <v>3717</v>
      </c>
      <c r="E10" s="119">
        <v>45483</v>
      </c>
      <c r="F10" s="51">
        <v>1</v>
      </c>
      <c r="G10" s="51" t="s">
        <v>3138</v>
      </c>
      <c r="H10" s="209">
        <v>0</v>
      </c>
      <c r="I10" s="51">
        <v>4008110051813620</v>
      </c>
      <c r="J10" s="51">
        <v>31</v>
      </c>
      <c r="K10" s="51">
        <v>1100751730010</v>
      </c>
      <c r="L10" s="51">
        <v>0</v>
      </c>
      <c r="M10" s="51">
        <v>0</v>
      </c>
      <c r="N10" s="119" t="s">
        <v>3655</v>
      </c>
      <c r="O10" s="51" t="s">
        <v>3147</v>
      </c>
      <c r="P10" s="119" t="s">
        <v>3147</v>
      </c>
      <c r="Q10" s="119" t="s">
        <v>3216</v>
      </c>
      <c r="R10" s="119">
        <v>45483</v>
      </c>
      <c r="S10" s="122" t="s">
        <v>3718</v>
      </c>
    </row>
    <row r="11" spans="2:19" x14ac:dyDescent="0.25">
      <c r="B11" s="51" t="s">
        <v>3101</v>
      </c>
      <c r="C11" s="51">
        <v>9</v>
      </c>
      <c r="D11" s="51" t="s">
        <v>3719</v>
      </c>
      <c r="E11" s="119">
        <v>45483</v>
      </c>
      <c r="F11" s="51">
        <v>1</v>
      </c>
      <c r="G11" s="51" t="s">
        <v>3138</v>
      </c>
      <c r="H11" s="209">
        <v>0</v>
      </c>
      <c r="I11" s="51">
        <v>4008110051813620</v>
      </c>
      <c r="J11" s="51">
        <v>31</v>
      </c>
      <c r="K11" s="51">
        <v>1100751730010</v>
      </c>
      <c r="L11" s="51">
        <v>0</v>
      </c>
      <c r="M11" s="51">
        <v>0</v>
      </c>
      <c r="N11" s="119" t="s">
        <v>3655</v>
      </c>
      <c r="O11" s="51" t="s">
        <v>3147</v>
      </c>
      <c r="P11" s="51" t="s">
        <v>3147</v>
      </c>
      <c r="Q11" s="51">
        <v>15</v>
      </c>
      <c r="R11" s="119">
        <v>45483</v>
      </c>
      <c r="S11" s="51" t="s">
        <v>3720</v>
      </c>
    </row>
    <row r="12" spans="2:19" x14ac:dyDescent="0.25">
      <c r="B12" s="121" t="s">
        <v>3103</v>
      </c>
      <c r="C12" s="51">
        <v>10</v>
      </c>
      <c r="D12" s="51" t="s">
        <v>3721</v>
      </c>
      <c r="E12" s="119">
        <v>45483</v>
      </c>
      <c r="F12" s="51">
        <v>1</v>
      </c>
      <c r="G12" s="51" t="s">
        <v>3138</v>
      </c>
      <c r="H12" s="209">
        <v>0</v>
      </c>
      <c r="I12" s="51">
        <v>5890770069838630</v>
      </c>
      <c r="J12" s="209">
        <v>31</v>
      </c>
      <c r="K12" s="51">
        <v>5131570010010</v>
      </c>
      <c r="L12" s="51">
        <v>97</v>
      </c>
      <c r="M12" s="119">
        <v>45484</v>
      </c>
      <c r="N12" s="119" t="s">
        <v>3722</v>
      </c>
      <c r="O12" s="122">
        <v>999999999000000</v>
      </c>
      <c r="P12" s="217">
        <v>999999999000000</v>
      </c>
      <c r="Q12" s="119" t="s">
        <v>3216</v>
      </c>
      <c r="R12" s="119">
        <v>45483</v>
      </c>
      <c r="S12" s="181" t="s">
        <v>3718</v>
      </c>
    </row>
    <row r="13" spans="2:19" x14ac:dyDescent="0.25">
      <c r="B13" s="51" t="s">
        <v>3105</v>
      </c>
      <c r="C13" s="51">
        <v>11</v>
      </c>
      <c r="D13" s="51" t="s">
        <v>3723</v>
      </c>
      <c r="E13" s="119">
        <v>45483</v>
      </c>
      <c r="F13" s="51">
        <v>1</v>
      </c>
      <c r="G13" s="51" t="s">
        <v>3138</v>
      </c>
      <c r="H13" s="209">
        <v>0</v>
      </c>
      <c r="I13" s="51">
        <v>5890770069838630</v>
      </c>
      <c r="J13" s="209">
        <v>31</v>
      </c>
      <c r="K13" s="51">
        <v>5131570010010</v>
      </c>
      <c r="L13" s="51">
        <v>97</v>
      </c>
      <c r="M13" s="119">
        <v>20240711</v>
      </c>
      <c r="N13" s="119" t="s">
        <v>3722</v>
      </c>
      <c r="O13" s="122">
        <v>999999999000000</v>
      </c>
      <c r="P13" s="119">
        <v>999999999000000</v>
      </c>
      <c r="Q13" s="51">
        <v>5</v>
      </c>
      <c r="R13" s="119">
        <v>45483</v>
      </c>
      <c r="S13" s="51" t="s">
        <v>3724</v>
      </c>
    </row>
    <row r="14" spans="2:19" x14ac:dyDescent="0.25">
      <c r="B14" s="51" t="s">
        <v>3107</v>
      </c>
      <c r="C14" s="51">
        <v>12</v>
      </c>
      <c r="D14" s="51" t="s">
        <v>3725</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x14ac:dyDescent="0.25">
      <c r="B15" s="51" t="s">
        <v>3109</v>
      </c>
      <c r="C15" s="51">
        <v>13</v>
      </c>
      <c r="D15" s="51" t="s">
        <v>3726</v>
      </c>
      <c r="E15" s="119">
        <v>45483</v>
      </c>
      <c r="F15" s="51">
        <v>1</v>
      </c>
      <c r="G15" s="217">
        <v>1</v>
      </c>
      <c r="H15" s="209">
        <v>0</v>
      </c>
      <c r="I15" s="51" t="s">
        <v>3138</v>
      </c>
      <c r="J15" s="51" t="s">
        <v>3138</v>
      </c>
      <c r="K15" s="51" t="s">
        <v>3138</v>
      </c>
      <c r="L15" s="51" t="s">
        <v>3138</v>
      </c>
      <c r="M15" s="51">
        <v>0</v>
      </c>
      <c r="N15" s="51">
        <v>0</v>
      </c>
      <c r="O15" s="51" t="s">
        <v>3138</v>
      </c>
      <c r="P15" s="51" t="s">
        <v>3138</v>
      </c>
      <c r="Q15" s="51" t="s">
        <v>3138</v>
      </c>
      <c r="R15" s="51" t="s">
        <v>3138</v>
      </c>
      <c r="S15" s="51" t="s">
        <v>3138</v>
      </c>
    </row>
    <row r="16" spans="2:19" x14ac:dyDescent="0.25">
      <c r="B16" s="51" t="s">
        <v>3111</v>
      </c>
      <c r="C16" s="51">
        <v>14</v>
      </c>
      <c r="D16" s="51" t="s">
        <v>3727</v>
      </c>
      <c r="E16" s="119">
        <v>45483</v>
      </c>
      <c r="F16" s="51">
        <v>1</v>
      </c>
      <c r="G16" s="217">
        <v>1</v>
      </c>
      <c r="H16" s="209">
        <v>0</v>
      </c>
      <c r="I16" s="51">
        <v>0</v>
      </c>
      <c r="J16" s="51">
        <v>0</v>
      </c>
      <c r="K16" s="51">
        <v>0</v>
      </c>
      <c r="L16" s="51">
        <v>0</v>
      </c>
      <c r="M16" s="51" t="s">
        <v>3138</v>
      </c>
      <c r="N16" s="51" t="s">
        <v>3138</v>
      </c>
      <c r="O16" s="51" t="s">
        <v>3138</v>
      </c>
      <c r="P16" s="51" t="s">
        <v>3138</v>
      </c>
      <c r="Q16" s="51">
        <v>0</v>
      </c>
      <c r="R16" s="51" t="s">
        <v>3138</v>
      </c>
      <c r="S16" s="51" t="s">
        <v>3138</v>
      </c>
    </row>
    <row r="17" spans="2:20" x14ac:dyDescent="0.25">
      <c r="B17" s="51" t="s">
        <v>3113</v>
      </c>
      <c r="C17" s="51">
        <v>15</v>
      </c>
      <c r="D17" s="51" t="s">
        <v>3728</v>
      </c>
      <c r="E17" s="119">
        <v>45483</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x14ac:dyDescent="0.25">
      <c r="B18" s="51" t="s">
        <v>3115</v>
      </c>
      <c r="C18" s="51">
        <v>16</v>
      </c>
      <c r="D18" s="51" t="s">
        <v>3728</v>
      </c>
      <c r="E18" s="119">
        <v>45483</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x14ac:dyDescent="0.25">
      <c r="B19" s="51" t="s">
        <v>3121</v>
      </c>
      <c r="C19" s="51">
        <v>19</v>
      </c>
      <c r="D19" s="51" t="s">
        <v>3729</v>
      </c>
      <c r="E19" s="119">
        <v>45483</v>
      </c>
      <c r="F19" s="51">
        <v>1</v>
      </c>
      <c r="G19" s="217" cm="1">
        <f t="array" ref="G19">SUMPRODUCT(--(ISNUMBER((SEARCH(I25:S25,I19:S19)))))/COUNTA(I19:S19)</f>
        <v>0.63636363636363635</v>
      </c>
      <c r="H19" s="51"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x14ac:dyDescent="0.25">
      <c r="B20" s="51" t="s">
        <v>3124</v>
      </c>
      <c r="C20" s="51">
        <v>20</v>
      </c>
      <c r="D20" s="51" t="s">
        <v>3730</v>
      </c>
      <c r="E20" s="119">
        <v>45483</v>
      </c>
      <c r="F20" s="51">
        <v>1</v>
      </c>
      <c r="G20" s="217" cm="1">
        <f t="array" ref="G20">SUM(IF(I2:S2 = I24:S24, 1, 0))/ COUNTA(I2:S2)</f>
        <v>9.0909090909090912E-2</v>
      </c>
      <c r="H20" s="51" t="s">
        <v>3138</v>
      </c>
      <c r="I20" s="51"/>
      <c r="J20" s="51"/>
      <c r="K20" s="51"/>
      <c r="L20" s="51"/>
      <c r="M20" s="51"/>
      <c r="N20" s="51"/>
      <c r="O20" s="51"/>
      <c r="P20" s="51"/>
      <c r="Q20" s="51"/>
      <c r="R20" s="51"/>
      <c r="S20" s="51"/>
    </row>
    <row r="21" spans="2:20" x14ac:dyDescent="0.25">
      <c r="B21" s="51" t="s">
        <v>3127</v>
      </c>
      <c r="C21" s="51">
        <v>21</v>
      </c>
      <c r="D21" s="51" t="s">
        <v>3730</v>
      </c>
      <c r="E21" s="119">
        <v>45483</v>
      </c>
      <c r="F21" s="51">
        <v>1</v>
      </c>
      <c r="G21" s="217" cm="1">
        <f t="array" ref="G21">SUM(IF(IF(G3:G20="null",1,G3:G20)=1,1,0))/COUNT(IF(G3:G20="null",1,1))</f>
        <v>0.83333333333333337</v>
      </c>
      <c r="H21" s="51" t="s">
        <v>3138</v>
      </c>
      <c r="I21" s="51"/>
      <c r="J21" s="51"/>
      <c r="K21" s="51"/>
      <c r="L21" s="51"/>
      <c r="M21" s="51"/>
      <c r="N21" s="51"/>
      <c r="O21" s="51"/>
      <c r="P21" s="51"/>
      <c r="Q21" s="51"/>
      <c r="R21" s="51"/>
      <c r="S21" s="51"/>
    </row>
    <row r="22" spans="2:20" x14ac:dyDescent="0.25">
      <c r="B22" s="51"/>
      <c r="C22" s="51"/>
      <c r="D22" s="51"/>
      <c r="E22" s="119"/>
      <c r="F22" s="51"/>
      <c r="G22" s="51"/>
      <c r="H22" s="51"/>
      <c r="I22" s="51"/>
      <c r="J22" s="51"/>
      <c r="K22" s="51"/>
      <c r="L22" s="51"/>
      <c r="M22" s="51"/>
      <c r="N22" s="51"/>
      <c r="O22" s="51"/>
      <c r="P22" s="51"/>
      <c r="Q22" s="51"/>
      <c r="R22" s="51"/>
      <c r="S22" s="51"/>
    </row>
    <row r="23" spans="2:20" x14ac:dyDescent="0.25">
      <c r="B23" s="154" t="s">
        <v>3244</v>
      </c>
    </row>
    <row r="24" spans="2:20" x14ac:dyDescent="0.25">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x14ac:dyDescent="0.25">
      <c r="B25" s="131" t="s">
        <v>3175</v>
      </c>
      <c r="C25" s="134">
        <v>21</v>
      </c>
      <c r="D25" s="128" t="s">
        <v>3176</v>
      </c>
      <c r="E25" s="127" t="s">
        <v>3177</v>
      </c>
      <c r="F25" s="127" t="s">
        <v>366</v>
      </c>
      <c r="G25" s="127" t="s">
        <v>366</v>
      </c>
      <c r="H25" s="127" t="s">
        <v>366</v>
      </c>
      <c r="I25" s="127" t="str" cm="1">
        <f t="array" ref="I25:T26">TRANSPOSE(_xlfn.SORTBY(_xlfn._xlws.FILTER(IF(Table3[FORMATO]:Table3[COMP_ CAMPO]&lt;&gt;"",Table3[FORMATO]:Table3[COMP_ CAMPO],9999999),Table3[NOME FÍSICO TABELA]="debit_card"), _xlfn._xlws.FILTER(Table3[ORDEM], Table3[NOME FÍSICO TABELA]="debit_card"), 1))</f>
        <v>STRING</v>
      </c>
      <c r="J25" s="127" t="str">
        <v>STRING</v>
      </c>
      <c r="K25" s="127" t="str">
        <v>STRING</v>
      </c>
      <c r="L25" s="127" t="str">
        <v>STRING</v>
      </c>
      <c r="M25" s="127" t="str">
        <v>BIGINT</v>
      </c>
      <c r="N25" s="127" t="str">
        <v>STRING</v>
      </c>
      <c r="O25" s="127" t="str">
        <v>STRING</v>
      </c>
      <c r="P25" s="127" t="str">
        <v>DECIMAL</v>
      </c>
      <c r="Q25" s="127" t="str">
        <v>DECIMAL</v>
      </c>
      <c r="R25" s="127" t="str">
        <v>STRING</v>
      </c>
      <c r="S25" s="127" t="str">
        <v>STRING</v>
      </c>
      <c r="T25" t="str">
        <v>TIMESTAMP</v>
      </c>
    </row>
    <row r="26" spans="2:20" x14ac:dyDescent="0.25">
      <c r="B26" s="131" t="s">
        <v>3178</v>
      </c>
      <c r="C26" s="134">
        <v>7</v>
      </c>
      <c r="D26" s="128" t="s">
        <v>3176</v>
      </c>
      <c r="E26" s="127" t="s">
        <v>3177</v>
      </c>
      <c r="F26" s="129" t="s">
        <v>366</v>
      </c>
      <c r="G26" s="129" t="s">
        <v>366</v>
      </c>
      <c r="H26" s="129" t="s">
        <v>366</v>
      </c>
      <c r="I26" s="175">
        <v>16</v>
      </c>
      <c r="J26" s="175">
        <v>4</v>
      </c>
      <c r="K26" s="175">
        <v>30</v>
      </c>
      <c r="L26" s="175">
        <v>4</v>
      </c>
      <c r="M26" s="175">
        <v>9999999</v>
      </c>
      <c r="N26" s="175">
        <v>10</v>
      </c>
      <c r="O26" s="175">
        <v>10</v>
      </c>
      <c r="P26" s="175">
        <v>23</v>
      </c>
      <c r="Q26" s="175">
        <v>23</v>
      </c>
      <c r="R26" s="175">
        <v>4</v>
      </c>
      <c r="S26" s="175">
        <v>10</v>
      </c>
      <c r="T26">
        <v>23</v>
      </c>
    </row>
    <row r="28" spans="2:20" x14ac:dyDescent="0.25">
      <c r="B28" s="164" t="s">
        <v>3179</v>
      </c>
    </row>
    <row r="29" spans="2:20" x14ac:dyDescent="0.25">
      <c r="B29" s="158" t="s">
        <v>3180</v>
      </c>
      <c r="C29" s="158" t="s">
        <v>3181</v>
      </c>
      <c r="D29" s="159" t="s">
        <v>3182</v>
      </c>
      <c r="E29" s="158" t="s">
        <v>3183</v>
      </c>
      <c r="F29" s="158" t="s">
        <v>3184</v>
      </c>
    </row>
    <row r="30" spans="2:20"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8" t="s">
        <v>3130</v>
      </c>
      <c r="C2" s="98" t="s">
        <v>3131</v>
      </c>
      <c r="D2" s="98" t="s">
        <v>3132</v>
      </c>
      <c r="E2" s="98" t="s">
        <v>3133</v>
      </c>
      <c r="F2" s="98" t="s">
        <v>3134</v>
      </c>
      <c r="G2" s="98" t="s">
        <v>3135</v>
      </c>
      <c r="H2" s="98" t="s">
        <v>3136</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x14ac:dyDescent="0.25">
      <c r="B3" s="51" t="s">
        <v>3084</v>
      </c>
      <c r="C3" s="51">
        <v>1</v>
      </c>
      <c r="D3" s="51" t="s">
        <v>3731</v>
      </c>
      <c r="E3" s="119">
        <v>45490</v>
      </c>
      <c r="F3" s="51">
        <v>1</v>
      </c>
      <c r="G3" s="217">
        <v>1</v>
      </c>
      <c r="H3" s="250">
        <v>759069</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row>
    <row r="4" spans="2:21" x14ac:dyDescent="0.25">
      <c r="B4" s="51" t="s">
        <v>3086</v>
      </c>
      <c r="C4" s="51">
        <v>2</v>
      </c>
      <c r="D4" s="51" t="s">
        <v>3732</v>
      </c>
      <c r="E4" s="119">
        <v>45490</v>
      </c>
      <c r="F4" s="51">
        <v>1</v>
      </c>
      <c r="G4" s="217">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row>
    <row r="5" spans="2:21" x14ac:dyDescent="0.25">
      <c r="B5" s="51" t="s">
        <v>3088</v>
      </c>
      <c r="C5" s="51">
        <v>3</v>
      </c>
      <c r="D5" s="51" t="s">
        <v>3733</v>
      </c>
      <c r="E5" s="119">
        <v>45490</v>
      </c>
      <c r="F5" s="51">
        <v>1</v>
      </c>
      <c r="G5" s="217">
        <v>1</v>
      </c>
      <c r="H5" s="209">
        <v>0</v>
      </c>
      <c r="I5" s="51">
        <v>0</v>
      </c>
      <c r="J5" s="51">
        <v>0</v>
      </c>
      <c r="K5" s="51" t="s">
        <v>3138</v>
      </c>
      <c r="L5" s="51" t="s">
        <v>3138</v>
      </c>
      <c r="M5" s="51" t="s">
        <v>3138</v>
      </c>
      <c r="N5" s="51" t="s">
        <v>3138</v>
      </c>
      <c r="O5" s="51" t="s">
        <v>3138</v>
      </c>
      <c r="P5" s="51" t="s">
        <v>3138</v>
      </c>
      <c r="Q5" s="51" t="s">
        <v>3138</v>
      </c>
      <c r="R5" s="51" t="s">
        <v>3138</v>
      </c>
      <c r="S5" s="51" t="s">
        <v>3138</v>
      </c>
      <c r="T5" s="51">
        <v>0</v>
      </c>
      <c r="U5" s="51" t="s">
        <v>3138</v>
      </c>
    </row>
    <row r="6" spans="2:21" x14ac:dyDescent="0.25">
      <c r="B6" s="121" t="s">
        <v>3090</v>
      </c>
      <c r="C6" s="51">
        <v>4</v>
      </c>
      <c r="D6" s="51" t="s">
        <v>3141</v>
      </c>
      <c r="E6" s="119" t="s">
        <v>3138</v>
      </c>
      <c r="F6" s="51">
        <v>1</v>
      </c>
      <c r="G6" s="119"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row>
    <row r="7" spans="2:21" x14ac:dyDescent="0.25">
      <c r="B7" s="51" t="s">
        <v>3092</v>
      </c>
      <c r="C7" s="51">
        <v>5</v>
      </c>
      <c r="D7" s="51" t="s">
        <v>3141</v>
      </c>
      <c r="E7" s="119" t="s">
        <v>3138</v>
      </c>
      <c r="F7" s="51">
        <v>1</v>
      </c>
      <c r="G7" s="119"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row>
    <row r="8" spans="2:21" x14ac:dyDescent="0.25">
      <c r="B8" s="121" t="s">
        <v>3093</v>
      </c>
      <c r="C8" s="51">
        <v>6</v>
      </c>
      <c r="D8" s="51" t="s">
        <v>3734</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x14ac:dyDescent="0.25">
      <c r="B9" s="51" t="s">
        <v>3096</v>
      </c>
      <c r="C9" s="51">
        <v>7</v>
      </c>
      <c r="D9" s="51" t="s">
        <v>3735</v>
      </c>
      <c r="E9" s="119">
        <v>45490</v>
      </c>
      <c r="F9" s="51">
        <v>1</v>
      </c>
      <c r="G9" s="217" cm="1">
        <f t="array" ref="G9">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x14ac:dyDescent="0.25">
      <c r="B10" s="51" t="s">
        <v>3099</v>
      </c>
      <c r="C10" s="51">
        <v>8</v>
      </c>
      <c r="D10" s="51" t="s">
        <v>3736</v>
      </c>
      <c r="E10" s="119">
        <v>45490</v>
      </c>
      <c r="F10" s="51">
        <v>1</v>
      </c>
      <c r="G10" s="119" t="s">
        <v>3138</v>
      </c>
      <c r="H10" s="209">
        <v>0</v>
      </c>
      <c r="I10" s="51">
        <v>31</v>
      </c>
      <c r="J10" s="51">
        <v>1100827510011</v>
      </c>
      <c r="K10" s="51" t="s">
        <v>3216</v>
      </c>
      <c r="L10" s="51">
        <v>11</v>
      </c>
      <c r="M10" s="51" t="s">
        <v>3737</v>
      </c>
      <c r="N10" s="51">
        <v>31</v>
      </c>
      <c r="O10" s="51">
        <v>2.079771E+21</v>
      </c>
      <c r="P10" s="119">
        <v>35711</v>
      </c>
      <c r="Q10" s="119">
        <v>2958465</v>
      </c>
      <c r="R10" s="119">
        <v>978</v>
      </c>
      <c r="S10" s="122" t="s">
        <v>3216</v>
      </c>
      <c r="T10" s="119">
        <v>45490</v>
      </c>
      <c r="U10" s="51" t="s">
        <v>3738</v>
      </c>
    </row>
    <row r="11" spans="2:21" x14ac:dyDescent="0.25">
      <c r="B11" s="51" t="s">
        <v>3101</v>
      </c>
      <c r="C11" s="51">
        <v>9</v>
      </c>
      <c r="D11" s="51" t="s">
        <v>3739</v>
      </c>
      <c r="E11" s="119">
        <v>45490</v>
      </c>
      <c r="F11" s="51">
        <v>1</v>
      </c>
      <c r="G11" s="119" t="s">
        <v>3138</v>
      </c>
      <c r="H11" s="209">
        <v>0</v>
      </c>
      <c r="I11" s="51">
        <v>31</v>
      </c>
      <c r="J11" s="51">
        <v>1100827510011</v>
      </c>
      <c r="K11" s="51">
        <v>31</v>
      </c>
      <c r="L11" s="51">
        <v>11</v>
      </c>
      <c r="M11" s="51" t="s">
        <v>3737</v>
      </c>
      <c r="N11" s="119">
        <v>31</v>
      </c>
      <c r="O11" s="51">
        <v>2.079771E+21</v>
      </c>
      <c r="P11" s="119">
        <v>35711</v>
      </c>
      <c r="Q11" s="119">
        <v>2958465</v>
      </c>
      <c r="R11" s="119">
        <v>978</v>
      </c>
      <c r="S11" s="51">
        <v>0</v>
      </c>
      <c r="T11" s="119">
        <v>45490</v>
      </c>
      <c r="U11" s="51" t="s">
        <v>3740</v>
      </c>
    </row>
    <row r="12" spans="2:21" x14ac:dyDescent="0.25">
      <c r="B12" s="121" t="s">
        <v>3103</v>
      </c>
      <c r="C12" s="51">
        <v>10</v>
      </c>
      <c r="D12" s="51" t="s">
        <v>3741</v>
      </c>
      <c r="E12" s="119">
        <v>45490</v>
      </c>
      <c r="F12" s="51">
        <v>1</v>
      </c>
      <c r="G12" s="119" t="s">
        <v>3138</v>
      </c>
      <c r="H12" s="209">
        <v>0</v>
      </c>
      <c r="I12" s="51">
        <v>31</v>
      </c>
      <c r="J12" s="209">
        <v>5131651710011</v>
      </c>
      <c r="K12" s="51" t="s">
        <v>3216</v>
      </c>
      <c r="L12" s="51">
        <v>11</v>
      </c>
      <c r="M12" s="119" t="s">
        <v>3742</v>
      </c>
      <c r="N12" s="51">
        <v>31</v>
      </c>
      <c r="O12" s="122">
        <v>9.9999999999999903E+29</v>
      </c>
      <c r="P12" s="217">
        <v>45491</v>
      </c>
      <c r="Q12" s="119">
        <v>2958465</v>
      </c>
      <c r="R12" s="119">
        <v>978</v>
      </c>
      <c r="S12" s="181" t="s">
        <v>3216</v>
      </c>
      <c r="T12" s="119">
        <v>45490</v>
      </c>
      <c r="U12" s="51" t="s">
        <v>3738</v>
      </c>
    </row>
    <row r="13" spans="2:21" x14ac:dyDescent="0.25">
      <c r="B13" s="51" t="s">
        <v>3105</v>
      </c>
      <c r="C13" s="51">
        <v>11</v>
      </c>
      <c r="D13" s="51" t="s">
        <v>3743</v>
      </c>
      <c r="E13" s="119">
        <v>45490</v>
      </c>
      <c r="F13" s="51">
        <v>1</v>
      </c>
      <c r="G13" s="119" t="s">
        <v>3138</v>
      </c>
      <c r="H13" s="209">
        <v>0</v>
      </c>
      <c r="I13" s="51">
        <v>31</v>
      </c>
      <c r="J13" s="209">
        <v>5131651710011</v>
      </c>
      <c r="K13" s="51">
        <v>31</v>
      </c>
      <c r="L13" s="51">
        <v>11</v>
      </c>
      <c r="M13" s="119" t="s">
        <v>3742</v>
      </c>
      <c r="N13" s="119">
        <v>31</v>
      </c>
      <c r="O13" s="51">
        <v>9.9999999999999903E+29</v>
      </c>
      <c r="P13" s="119">
        <v>45491</v>
      </c>
      <c r="Q13" s="119">
        <v>2958465</v>
      </c>
      <c r="R13" s="119">
        <v>978</v>
      </c>
      <c r="S13" s="51">
        <v>4</v>
      </c>
      <c r="T13" s="119">
        <v>45490</v>
      </c>
      <c r="U13" s="51" t="s">
        <v>3744</v>
      </c>
    </row>
    <row r="14" spans="2:21" x14ac:dyDescent="0.25">
      <c r="B14" s="51" t="s">
        <v>3107</v>
      </c>
      <c r="C14" s="51">
        <v>12</v>
      </c>
      <c r="D14" s="51" t="s">
        <v>3745</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x14ac:dyDescent="0.25">
      <c r="B15" s="51" t="s">
        <v>3109</v>
      </c>
      <c r="C15" s="51">
        <v>13</v>
      </c>
      <c r="D15" s="51" t="s">
        <v>3746</v>
      </c>
      <c r="E15" s="119">
        <v>45490</v>
      </c>
      <c r="F15" s="51">
        <v>1</v>
      </c>
      <c r="G15" s="217">
        <v>1</v>
      </c>
      <c r="H15" s="209">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row>
    <row r="16" spans="2:21" x14ac:dyDescent="0.25">
      <c r="B16" s="51" t="s">
        <v>3111</v>
      </c>
      <c r="C16" s="51">
        <v>14</v>
      </c>
      <c r="D16" s="51" t="s">
        <v>3747</v>
      </c>
      <c r="E16" s="119">
        <v>45490</v>
      </c>
      <c r="F16" s="51">
        <v>1</v>
      </c>
      <c r="G16" s="217">
        <v>1</v>
      </c>
      <c r="H16" s="209">
        <v>0</v>
      </c>
      <c r="I16" s="51">
        <v>0</v>
      </c>
      <c r="J16" s="51">
        <v>0</v>
      </c>
      <c r="K16" s="51">
        <v>0</v>
      </c>
      <c r="L16" s="51">
        <v>0</v>
      </c>
      <c r="M16" s="51">
        <v>0</v>
      </c>
      <c r="N16" s="51">
        <v>0</v>
      </c>
      <c r="O16" s="51">
        <v>0</v>
      </c>
      <c r="P16" s="51" t="s">
        <v>3138</v>
      </c>
      <c r="Q16" s="51" t="s">
        <v>3138</v>
      </c>
      <c r="R16" s="51">
        <v>0</v>
      </c>
      <c r="S16" s="51">
        <v>0</v>
      </c>
      <c r="T16" s="51" t="s">
        <v>3138</v>
      </c>
      <c r="U16" s="51" t="s">
        <v>3138</v>
      </c>
    </row>
    <row r="17" spans="2:21" x14ac:dyDescent="0.25">
      <c r="B17" s="51" t="s">
        <v>3113</v>
      </c>
      <c r="C17" s="51">
        <v>15</v>
      </c>
      <c r="D17" s="51" t="s">
        <v>3748</v>
      </c>
      <c r="E17" s="119">
        <v>45490</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row>
    <row r="18" spans="2:21" x14ac:dyDescent="0.25">
      <c r="B18" s="51" t="s">
        <v>3115</v>
      </c>
      <c r="C18" s="51">
        <v>16</v>
      </c>
      <c r="D18" s="51" t="s">
        <v>3748</v>
      </c>
      <c r="E18" s="119">
        <v>45490</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row>
    <row r="19" spans="2:21" x14ac:dyDescent="0.25">
      <c r="B19" s="51" t="s">
        <v>3121</v>
      </c>
      <c r="C19" s="51">
        <v>19</v>
      </c>
      <c r="D19" s="51" t="s">
        <v>3749</v>
      </c>
      <c r="E19" s="119">
        <v>45490</v>
      </c>
      <c r="F19" s="51">
        <v>1</v>
      </c>
      <c r="G19" s="217" cm="1">
        <f t="array" ref="G19">SUMPRODUCT(--(ISNUMBER((SEARCH(I25:U25,I19:U19)))))/COUNTA(I19:U19)</f>
        <v>1</v>
      </c>
      <c r="H19" s="209">
        <v>0</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3174</v>
      </c>
    </row>
    <row r="20" spans="2:21" x14ac:dyDescent="0.25">
      <c r="B20" s="51" t="s">
        <v>3124</v>
      </c>
      <c r="C20" s="51">
        <v>20</v>
      </c>
      <c r="D20" s="51" t="s">
        <v>3749</v>
      </c>
      <c r="E20" s="119">
        <v>45490</v>
      </c>
      <c r="F20" s="51">
        <v>1</v>
      </c>
      <c r="G20" s="217" cm="1">
        <f t="array" ref="G20">SUM(IF(I2:S2 = I24:S24, 1, 0))/ COUNTA(I2:S2)</f>
        <v>1</v>
      </c>
      <c r="H20" s="51" t="s">
        <v>3138</v>
      </c>
      <c r="I20" s="51"/>
      <c r="J20" s="51"/>
      <c r="K20" s="51"/>
      <c r="L20" s="51"/>
      <c r="M20" s="51"/>
      <c r="N20" s="51"/>
      <c r="O20" s="51"/>
      <c r="P20" s="51"/>
      <c r="Q20" s="51"/>
      <c r="R20" s="51"/>
      <c r="S20" s="51"/>
      <c r="T20" s="51"/>
      <c r="U20" s="51"/>
    </row>
    <row r="21" spans="2:21" x14ac:dyDescent="0.25">
      <c r="B21" s="51" t="s">
        <v>3127</v>
      </c>
      <c r="C21" s="51">
        <v>21</v>
      </c>
      <c r="D21" s="51" t="s">
        <v>3749</v>
      </c>
      <c r="E21" s="119">
        <v>45490</v>
      </c>
      <c r="F21" s="51">
        <v>1</v>
      </c>
      <c r="G21" s="217" cm="1">
        <f t="array" ref="G21">SUM(IF(IF(G3:G20="null",1,G3:G20)=1,1,0))/COUNT(IF(G3:G20="null",1,1))</f>
        <v>1</v>
      </c>
      <c r="H21" s="51" t="s">
        <v>3138</v>
      </c>
      <c r="I21" s="51"/>
      <c r="J21" s="51"/>
      <c r="K21" s="51"/>
      <c r="L21" s="51"/>
      <c r="M21" s="51"/>
      <c r="N21" s="51"/>
      <c r="O21" s="51"/>
      <c r="P21" s="51"/>
      <c r="Q21" s="51"/>
      <c r="R21" s="51"/>
      <c r="S21" s="51"/>
      <c r="T21" s="51"/>
      <c r="U21" s="51"/>
    </row>
    <row r="22" spans="2:21" x14ac:dyDescent="0.25">
      <c r="B22" s="51"/>
      <c r="C22" s="51"/>
      <c r="D22" s="51"/>
      <c r="E22" s="119"/>
      <c r="F22" s="51"/>
      <c r="G22" s="51"/>
      <c r="H22" s="51"/>
      <c r="I22" s="51"/>
      <c r="J22" s="51"/>
      <c r="K22" s="51"/>
      <c r="L22" s="51"/>
      <c r="M22" s="51"/>
      <c r="N22" s="51"/>
      <c r="O22" s="51"/>
      <c r="P22" s="51"/>
      <c r="Q22" s="51"/>
      <c r="R22" s="51"/>
      <c r="S22" s="51"/>
    </row>
    <row r="23" spans="2:21" x14ac:dyDescent="0.25">
      <c r="B23" s="154" t="s">
        <v>3244</v>
      </c>
    </row>
    <row r="24" spans="2:21" x14ac:dyDescent="0.25">
      <c r="B24" s="152" t="s">
        <v>3130</v>
      </c>
      <c r="C24" s="153" t="s">
        <v>3131</v>
      </c>
      <c r="D24" s="153" t="s">
        <v>3132</v>
      </c>
      <c r="E24" s="153" t="s">
        <v>3133</v>
      </c>
      <c r="F24" s="153" t="s">
        <v>3134</v>
      </c>
      <c r="G24" s="153" t="s">
        <v>3135</v>
      </c>
      <c r="H24" s="153" t="s">
        <v>3136</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x14ac:dyDescent="0.25">
      <c r="B25" s="131" t="s">
        <v>3175</v>
      </c>
      <c r="C25" s="134">
        <v>21</v>
      </c>
      <c r="D25" s="128" t="s">
        <v>3176</v>
      </c>
      <c r="E25" s="127" t="s">
        <v>3177</v>
      </c>
      <c r="F25" s="127" t="s">
        <v>366</v>
      </c>
      <c r="G25" s="127" t="s">
        <v>366</v>
      </c>
      <c r="H25" s="127" t="s">
        <v>366</v>
      </c>
      <c r="I25" s="127" t="str" cm="1">
        <f t="array" ref="I25:U26">TRANSPOSE(_xlfn.SORTBY(_xlfn._xlws.FILTER(IF(Table3[FORMATO]:Table3[COMP_ CAMPO]&lt;&gt;"",Table3[FORMATO]:Table3[COMP_ CAMPO],9999999),Table3[NOME FÍSICO TABELA]="credit_card_account"), _xlfn._xlws.FILTER(Table3[ORDEM], Table3[NOME FÍSICO TABELA]="credit_card_account"),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TIMESTAMP</v>
      </c>
    </row>
    <row r="26" spans="2:21" x14ac:dyDescent="0.25">
      <c r="B26" s="131" t="s">
        <v>3178</v>
      </c>
      <c r="C26" s="134">
        <v>7</v>
      </c>
      <c r="D26" s="128" t="s">
        <v>3176</v>
      </c>
      <c r="E26" s="127" t="s">
        <v>3177</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10</v>
      </c>
      <c r="U26" s="175">
        <v>23</v>
      </c>
    </row>
    <row r="28" spans="2:21" x14ac:dyDescent="0.25">
      <c r="B28" s="164" t="s">
        <v>3179</v>
      </c>
    </row>
    <row r="29" spans="2:21" x14ac:dyDescent="0.25">
      <c r="B29" s="158" t="s">
        <v>3180</v>
      </c>
      <c r="C29" s="158" t="s">
        <v>3181</v>
      </c>
      <c r="D29" s="159" t="s">
        <v>3182</v>
      </c>
      <c r="E29" s="158" t="s">
        <v>3183</v>
      </c>
      <c r="F29" s="158" t="s">
        <v>3184</v>
      </c>
    </row>
    <row r="30" spans="2:21" x14ac:dyDescent="0.25">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x14ac:dyDescent="0.25">
      <c r="B3" s="51" t="s">
        <v>3084</v>
      </c>
      <c r="C3" s="51">
        <v>1</v>
      </c>
      <c r="D3" s="51" t="s">
        <v>3750</v>
      </c>
      <c r="E3" s="119">
        <v>45492</v>
      </c>
      <c r="F3" s="51">
        <v>1</v>
      </c>
      <c r="G3" s="217">
        <v>1</v>
      </c>
      <c r="H3" s="215">
        <v>2843480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x14ac:dyDescent="0.25">
      <c r="B4" s="51" t="s">
        <v>3086</v>
      </c>
      <c r="C4" s="51">
        <v>2</v>
      </c>
      <c r="D4" s="51" t="s">
        <v>3751</v>
      </c>
      <c r="E4" s="119">
        <v>45492</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x14ac:dyDescent="0.25">
      <c r="B5" s="51" t="s">
        <v>3088</v>
      </c>
      <c r="C5" s="51">
        <v>3</v>
      </c>
      <c r="D5" s="51" t="s">
        <v>3752</v>
      </c>
      <c r="E5" s="119">
        <v>45492</v>
      </c>
      <c r="F5" s="51">
        <v>1</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x14ac:dyDescent="0.25">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x14ac:dyDescent="0.25">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x14ac:dyDescent="0.25">
      <c r="B8" s="121" t="s">
        <v>3093</v>
      </c>
      <c r="C8" s="51">
        <v>6</v>
      </c>
      <c r="D8" s="51" t="s">
        <v>3753</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3096</v>
      </c>
      <c r="C9" s="51">
        <v>7</v>
      </c>
      <c r="D9" s="51" t="s">
        <v>3754</v>
      </c>
      <c r="E9" s="119">
        <v>45492</v>
      </c>
      <c r="F9" s="51">
        <v>1</v>
      </c>
      <c r="G9" s="217" cm="1">
        <f t="array" ref="G9">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3099</v>
      </c>
      <c r="C10" s="51">
        <v>8</v>
      </c>
      <c r="D10" s="51" t="s">
        <v>3755</v>
      </c>
      <c r="E10" s="119">
        <v>45492</v>
      </c>
      <c r="F10" s="51">
        <v>1</v>
      </c>
      <c r="G10" s="51" t="s">
        <v>3138</v>
      </c>
      <c r="H10" s="51">
        <v>0</v>
      </c>
      <c r="I10" s="51">
        <v>31</v>
      </c>
      <c r="J10" s="51">
        <v>1104388490010</v>
      </c>
      <c r="K10" s="51" t="s">
        <v>3216</v>
      </c>
      <c r="L10" s="51">
        <v>10</v>
      </c>
      <c r="M10" s="51">
        <v>10</v>
      </c>
      <c r="N10" s="51">
        <v>31</v>
      </c>
      <c r="O10" s="51">
        <v>0</v>
      </c>
      <c r="P10" s="119">
        <v>37403</v>
      </c>
      <c r="Q10" s="119">
        <v>2958465</v>
      </c>
      <c r="R10" s="119">
        <v>978</v>
      </c>
      <c r="S10" s="51" t="s">
        <v>3216</v>
      </c>
      <c r="T10" s="51" t="s">
        <v>3216</v>
      </c>
      <c r="U10" s="119" t="s">
        <v>3269</v>
      </c>
      <c r="V10" s="119">
        <v>45492</v>
      </c>
      <c r="W10" s="51" t="s">
        <v>3756</v>
      </c>
    </row>
    <row r="11" spans="2:23" x14ac:dyDescent="0.25">
      <c r="B11" s="51" t="s">
        <v>3101</v>
      </c>
      <c r="C11" s="51">
        <v>9</v>
      </c>
      <c r="D11" s="51" t="s">
        <v>3757</v>
      </c>
      <c r="E11" s="119">
        <v>45492</v>
      </c>
      <c r="F11" s="51">
        <v>1</v>
      </c>
      <c r="G11" s="51" t="s">
        <v>3138</v>
      </c>
      <c r="H11" s="51">
        <v>0</v>
      </c>
      <c r="I11" s="51">
        <v>31</v>
      </c>
      <c r="J11" s="51">
        <v>1104388490010</v>
      </c>
      <c r="K11" s="51">
        <v>31</v>
      </c>
      <c r="L11" s="51">
        <v>10</v>
      </c>
      <c r="M11" s="51">
        <v>10</v>
      </c>
      <c r="N11" s="119">
        <v>31</v>
      </c>
      <c r="O11" s="51">
        <v>0</v>
      </c>
      <c r="P11" s="119">
        <v>37403</v>
      </c>
      <c r="Q11" s="119">
        <v>2958465</v>
      </c>
      <c r="R11" s="119">
        <v>978</v>
      </c>
      <c r="S11" s="51">
        <v>0</v>
      </c>
      <c r="T11" s="51" t="s">
        <v>3758</v>
      </c>
      <c r="U11" s="119" t="s">
        <v>3269</v>
      </c>
      <c r="V11" s="119">
        <v>45492</v>
      </c>
      <c r="W11" s="51" t="s">
        <v>3759</v>
      </c>
    </row>
    <row r="12" spans="2:23" x14ac:dyDescent="0.25">
      <c r="B12" s="121" t="s">
        <v>3103</v>
      </c>
      <c r="C12" s="51">
        <v>10</v>
      </c>
      <c r="D12" s="51" t="s">
        <v>3760</v>
      </c>
      <c r="E12" s="119">
        <v>45492</v>
      </c>
      <c r="F12" s="51">
        <v>1</v>
      </c>
      <c r="G12" s="51" t="s">
        <v>3138</v>
      </c>
      <c r="H12" s="51">
        <v>0</v>
      </c>
      <c r="I12" s="51">
        <v>31</v>
      </c>
      <c r="J12" s="209">
        <v>5131680060010</v>
      </c>
      <c r="K12" s="51" t="s">
        <v>3216</v>
      </c>
      <c r="L12" s="51">
        <v>11</v>
      </c>
      <c r="M12" s="119" t="s">
        <v>3761</v>
      </c>
      <c r="N12" s="51">
        <v>31</v>
      </c>
      <c r="O12" s="122">
        <v>999999999999999</v>
      </c>
      <c r="P12" s="217">
        <v>45495</v>
      </c>
      <c r="Q12" s="119">
        <v>2958465</v>
      </c>
      <c r="R12" s="119">
        <v>978</v>
      </c>
      <c r="S12" s="51" t="s">
        <v>3216</v>
      </c>
      <c r="T12" s="51" t="s">
        <v>3216</v>
      </c>
      <c r="U12" s="119" t="s">
        <v>3269</v>
      </c>
      <c r="V12" s="119">
        <v>45492</v>
      </c>
      <c r="W12" s="51" t="s">
        <v>3756</v>
      </c>
    </row>
    <row r="13" spans="2:23" x14ac:dyDescent="0.25">
      <c r="B13" s="51" t="s">
        <v>3105</v>
      </c>
      <c r="C13" s="51">
        <v>11</v>
      </c>
      <c r="D13" s="51" t="s">
        <v>3762</v>
      </c>
      <c r="E13" s="119">
        <v>45492</v>
      </c>
      <c r="F13" s="51">
        <v>1</v>
      </c>
      <c r="G13" s="51" t="s">
        <v>3138</v>
      </c>
      <c r="H13" s="51">
        <v>0</v>
      </c>
      <c r="I13" s="51">
        <v>31</v>
      </c>
      <c r="J13" s="209">
        <v>5131680060010</v>
      </c>
      <c r="K13" s="51">
        <v>31</v>
      </c>
      <c r="L13" s="51">
        <v>11</v>
      </c>
      <c r="M13" s="119" t="s">
        <v>3761</v>
      </c>
      <c r="N13" s="119">
        <v>31</v>
      </c>
      <c r="O13" s="51">
        <v>999999999999999</v>
      </c>
      <c r="P13" s="119">
        <v>45495</v>
      </c>
      <c r="Q13" s="119">
        <v>2958465</v>
      </c>
      <c r="R13" s="119">
        <v>978</v>
      </c>
      <c r="S13" s="51">
        <v>0</v>
      </c>
      <c r="T13" s="51" t="s">
        <v>3763</v>
      </c>
      <c r="U13" s="119" t="s">
        <v>3269</v>
      </c>
      <c r="V13" s="119">
        <v>45492</v>
      </c>
      <c r="W13" s="51" t="s">
        <v>3764</v>
      </c>
    </row>
    <row r="14" spans="2:23" x14ac:dyDescent="0.25">
      <c r="B14" s="51" t="s">
        <v>3107</v>
      </c>
      <c r="C14" s="51">
        <v>12</v>
      </c>
      <c r="D14" s="51" t="s">
        <v>3765</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x14ac:dyDescent="0.25">
      <c r="B15" s="51" t="s">
        <v>3109</v>
      </c>
      <c r="C15" s="51">
        <v>13</v>
      </c>
      <c r="D15" s="51" t="s">
        <v>3766</v>
      </c>
      <c r="E15" s="119">
        <v>45492</v>
      </c>
      <c r="F15" s="51">
        <v>1</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x14ac:dyDescent="0.25">
      <c r="B16" s="51" t="s">
        <v>3111</v>
      </c>
      <c r="C16" s="51">
        <v>14</v>
      </c>
      <c r="D16" s="51" t="s">
        <v>3767</v>
      </c>
      <c r="E16" s="119">
        <v>45492</v>
      </c>
      <c r="F16" s="51">
        <v>1</v>
      </c>
      <c r="G16" s="217">
        <v>1</v>
      </c>
      <c r="H16" s="51">
        <v>0</v>
      </c>
      <c r="I16" s="51">
        <v>0</v>
      </c>
      <c r="J16" s="51">
        <v>0</v>
      </c>
      <c r="K16" s="51">
        <v>0</v>
      </c>
      <c r="L16" s="51">
        <v>0</v>
      </c>
      <c r="M16" s="51">
        <v>0</v>
      </c>
      <c r="N16" s="51">
        <v>0</v>
      </c>
      <c r="O16" s="51">
        <v>0</v>
      </c>
      <c r="P16" s="51" t="s">
        <v>3138</v>
      </c>
      <c r="Q16" s="51" t="s">
        <v>3138</v>
      </c>
      <c r="R16" s="51">
        <v>0</v>
      </c>
      <c r="S16" s="51">
        <v>0</v>
      </c>
      <c r="T16" s="51">
        <v>0</v>
      </c>
      <c r="U16" s="51">
        <v>0</v>
      </c>
      <c r="V16" s="51" t="s">
        <v>3138</v>
      </c>
      <c r="W16" s="51" t="s">
        <v>3138</v>
      </c>
    </row>
    <row r="17" spans="2:24" x14ac:dyDescent="0.25">
      <c r="B17" s="51" t="s">
        <v>3113</v>
      </c>
      <c r="C17" s="51">
        <v>15</v>
      </c>
      <c r="D17" s="51" t="s">
        <v>3768</v>
      </c>
      <c r="E17" s="119">
        <v>45492</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4" x14ac:dyDescent="0.25">
      <c r="B18" s="51" t="s">
        <v>3115</v>
      </c>
      <c r="C18" s="51">
        <v>16</v>
      </c>
      <c r="D18" s="51" t="s">
        <v>3768</v>
      </c>
      <c r="E18" s="119">
        <v>45492</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4" x14ac:dyDescent="0.25">
      <c r="B19" s="51" t="s">
        <v>3121</v>
      </c>
      <c r="C19" s="51">
        <v>19</v>
      </c>
      <c r="D19" s="51" t="s">
        <v>3769</v>
      </c>
      <c r="E19" s="119">
        <v>45492</v>
      </c>
      <c r="F19" s="51">
        <v>1</v>
      </c>
      <c r="G19" s="217" cm="1">
        <f t="array" ref="G19">SUM(IF(I2:V2 = I24:V24, 1, 0))/ COUNTA(I2:V2)</f>
        <v>1</v>
      </c>
      <c r="H19" s="51" t="s">
        <v>3138</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3174</v>
      </c>
    </row>
    <row r="20" spans="2:24" x14ac:dyDescent="0.25">
      <c r="B20" s="51" t="s">
        <v>3124</v>
      </c>
      <c r="C20" s="51">
        <v>20</v>
      </c>
      <c r="D20" s="51" t="s">
        <v>3770</v>
      </c>
      <c r="E20" s="119">
        <v>45492</v>
      </c>
      <c r="F20" s="51">
        <v>1</v>
      </c>
      <c r="G20" s="217" cm="1">
        <f t="array" ref="G20">SUM(IF(I2:W2 = I24:W24, 1, 0))/ COUNTA(I2:W2)</f>
        <v>1</v>
      </c>
      <c r="H20" s="51" t="s">
        <v>3138</v>
      </c>
      <c r="I20" s="51"/>
      <c r="J20" s="51"/>
      <c r="K20" s="51"/>
      <c r="L20" s="51"/>
      <c r="M20" s="51"/>
      <c r="N20" s="51"/>
      <c r="O20" s="51"/>
      <c r="P20" s="51"/>
      <c r="Q20" s="51"/>
      <c r="R20" s="51"/>
      <c r="S20" s="51"/>
      <c r="T20" s="51"/>
      <c r="U20" s="51"/>
      <c r="V20" s="51"/>
      <c r="W20" s="51"/>
    </row>
    <row r="21" spans="2:24" x14ac:dyDescent="0.25">
      <c r="B21" s="51" t="s">
        <v>3127</v>
      </c>
      <c r="C21" s="51">
        <v>21</v>
      </c>
      <c r="D21" s="51" t="s">
        <v>3771</v>
      </c>
      <c r="E21" s="119">
        <v>45492</v>
      </c>
      <c r="F21" s="51">
        <v>1</v>
      </c>
      <c r="G21" s="217" cm="1">
        <f t="array" ref="G21">SUM(IF(IF(G3:G20="null",1,G3:G20)=1,1,0))/COUNT(IF(G3:G20="null",1,1))</f>
        <v>0.94444444444444442</v>
      </c>
      <c r="H21" s="51" t="s">
        <v>3138</v>
      </c>
      <c r="I21" s="51"/>
      <c r="J21" s="51"/>
      <c r="K21" s="51"/>
      <c r="L21" s="51"/>
      <c r="M21" s="51"/>
      <c r="N21" s="51"/>
      <c r="O21" s="51"/>
      <c r="P21" s="51"/>
      <c r="Q21" s="51"/>
      <c r="R21" s="51"/>
      <c r="S21" s="51"/>
      <c r="T21" s="51"/>
      <c r="U21" s="51"/>
      <c r="V21" s="51"/>
      <c r="W21" s="51"/>
    </row>
    <row r="22" spans="2:24" x14ac:dyDescent="0.25">
      <c r="B22" s="51"/>
      <c r="C22" s="51"/>
      <c r="D22" s="51"/>
      <c r="E22" s="119"/>
      <c r="F22" s="51"/>
      <c r="G22" s="51"/>
      <c r="H22" s="51"/>
      <c r="I22" s="51"/>
      <c r="J22" s="51"/>
      <c r="K22" s="51"/>
      <c r="L22" s="51"/>
      <c r="M22" s="51"/>
      <c r="N22" s="51"/>
      <c r="O22" s="51"/>
      <c r="P22" s="51"/>
      <c r="Q22" s="51"/>
      <c r="R22" s="51"/>
      <c r="S22" s="51"/>
    </row>
    <row r="23" spans="2:24" x14ac:dyDescent="0.25">
      <c r="B23" s="154" t="s">
        <v>3244</v>
      </c>
    </row>
    <row r="24" spans="2:24" x14ac:dyDescent="0.25">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x14ac:dyDescent="0.25">
      <c r="B25" s="131" t="s">
        <v>3175</v>
      </c>
      <c r="C25" s="134">
        <v>21</v>
      </c>
      <c r="D25" s="128" t="s">
        <v>3176</v>
      </c>
      <c r="E25" s="127" t="s">
        <v>3177</v>
      </c>
      <c r="F25" s="127" t="s">
        <v>366</v>
      </c>
      <c r="G25" s="127" t="s">
        <v>366</v>
      </c>
      <c r="H25" s="127" t="s">
        <v>366</v>
      </c>
      <c r="I25" s="127"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7" t="str">
        <v>STRING</v>
      </c>
      <c r="K25" s="127" t="str">
        <v>STRING</v>
      </c>
      <c r="L25" s="127" t="str">
        <v>STRING</v>
      </c>
      <c r="M25" s="127" t="str">
        <v>STRING</v>
      </c>
      <c r="N25" s="127" t="str">
        <v>STRING</v>
      </c>
      <c r="O25" s="127" t="str">
        <v>STRING</v>
      </c>
      <c r="P25" s="127" t="str">
        <v>STRING</v>
      </c>
      <c r="Q25" s="127" t="str">
        <v>STRING</v>
      </c>
      <c r="R25" s="127" t="str">
        <v>STRING</v>
      </c>
      <c r="S25" s="127" t="str">
        <v>STRING</v>
      </c>
      <c r="T25" s="127" t="str">
        <v>STRING</v>
      </c>
      <c r="U25" s="127" t="str">
        <v>STRING</v>
      </c>
      <c r="V25" s="127" t="str">
        <v>STRING</v>
      </c>
      <c r="W25" s="133" t="str">
        <v>TIMESTAMP</v>
      </c>
    </row>
    <row r="26" spans="2:24" x14ac:dyDescent="0.25">
      <c r="B26" s="131" t="s">
        <v>3178</v>
      </c>
      <c r="C26" s="134">
        <v>7</v>
      </c>
      <c r="D26" s="128" t="s">
        <v>3176</v>
      </c>
      <c r="E26" s="127" t="s">
        <v>3177</v>
      </c>
      <c r="F26" s="129" t="s">
        <v>366</v>
      </c>
      <c r="G26" s="129" t="s">
        <v>366</v>
      </c>
      <c r="H26" s="129" t="s">
        <v>366</v>
      </c>
      <c r="I26" s="175">
        <v>4</v>
      </c>
      <c r="J26" s="175">
        <v>15</v>
      </c>
      <c r="K26" s="175">
        <v>4</v>
      </c>
      <c r="L26" s="175">
        <v>4</v>
      </c>
      <c r="M26" s="175">
        <v>4</v>
      </c>
      <c r="N26" s="175">
        <v>4</v>
      </c>
      <c r="O26" s="175">
        <v>30</v>
      </c>
      <c r="P26" s="175">
        <v>10</v>
      </c>
      <c r="Q26" s="175">
        <v>10</v>
      </c>
      <c r="R26" s="175">
        <v>4</v>
      </c>
      <c r="S26" s="175">
        <v>4</v>
      </c>
      <c r="T26" s="175">
        <v>4</v>
      </c>
      <c r="U26" s="175">
        <v>2</v>
      </c>
      <c r="V26" s="175">
        <v>10</v>
      </c>
      <c r="W26" s="176">
        <v>23</v>
      </c>
      <c r="X26" s="116"/>
    </row>
    <row r="28" spans="2:24" x14ac:dyDescent="0.25">
      <c r="B28" s="164" t="s">
        <v>3179</v>
      </c>
    </row>
    <row r="29" spans="2:24" x14ac:dyDescent="0.25">
      <c r="B29" s="158" t="s">
        <v>3180</v>
      </c>
      <c r="C29" s="158" t="s">
        <v>3181</v>
      </c>
      <c r="D29" s="159" t="s">
        <v>3182</v>
      </c>
      <c r="E29" s="158" t="s">
        <v>3183</v>
      </c>
      <c r="F29" s="158" t="s">
        <v>3184</v>
      </c>
    </row>
    <row r="30" spans="2:24" ht="45" x14ac:dyDescent="0.25">
      <c r="B30" s="142" t="s">
        <v>3185</v>
      </c>
      <c r="C30" s="141" t="s">
        <v>324</v>
      </c>
      <c r="D30" s="147" t="s">
        <v>3772</v>
      </c>
      <c r="E30" s="170" t="s">
        <v>3773</v>
      </c>
      <c r="F30"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8" t="s">
        <v>3130</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3669</v>
      </c>
      <c r="Q2" s="98" t="s">
        <v>3670</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x14ac:dyDescent="0.25">
      <c r="B3" s="51" t="s">
        <v>3084</v>
      </c>
      <c r="C3" s="51">
        <v>1</v>
      </c>
      <c r="D3" s="51" t="s">
        <v>3774</v>
      </c>
      <c r="E3" s="119">
        <v>45485</v>
      </c>
      <c r="F3" s="51">
        <v>2</v>
      </c>
      <c r="G3" s="234" t="s">
        <v>3775</v>
      </c>
      <c r="H3" s="206" t="s">
        <v>3776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row>
    <row r="4" spans="2:51" x14ac:dyDescent="0.25">
      <c r="B4" s="51" t="s">
        <v>3086</v>
      </c>
      <c r="C4" s="51">
        <v>2</v>
      </c>
      <c r="D4" s="51" t="s">
        <v>3777</v>
      </c>
      <c r="E4" s="119">
        <v>45485</v>
      </c>
      <c r="F4" s="51">
        <v>2</v>
      </c>
      <c r="G4" s="234">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row>
    <row r="5" spans="2:51" x14ac:dyDescent="0.25">
      <c r="B5" s="51" t="s">
        <v>3088</v>
      </c>
      <c r="C5" s="51">
        <v>3</v>
      </c>
      <c r="D5" s="51" t="s">
        <v>3778</v>
      </c>
      <c r="E5" s="119">
        <v>45485</v>
      </c>
      <c r="F5" s="51">
        <v>2</v>
      </c>
      <c r="G5" s="234">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v>0</v>
      </c>
      <c r="AY5" s="51" t="s">
        <v>3138</v>
      </c>
    </row>
    <row r="6" spans="2:51" x14ac:dyDescent="0.25">
      <c r="B6" s="121" t="s">
        <v>3090</v>
      </c>
      <c r="C6" s="51">
        <v>4</v>
      </c>
      <c r="D6" s="51" t="s">
        <v>3141</v>
      </c>
      <c r="E6" s="119" t="s">
        <v>3138</v>
      </c>
      <c r="F6" s="51">
        <v>2</v>
      </c>
      <c r="G6" s="119"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row>
    <row r="7" spans="2:51" x14ac:dyDescent="0.25">
      <c r="B7" s="51" t="s">
        <v>3092</v>
      </c>
      <c r="C7" s="51">
        <v>5</v>
      </c>
      <c r="D7" s="51" t="s">
        <v>3141</v>
      </c>
      <c r="E7" s="119" t="s">
        <v>3138</v>
      </c>
      <c r="F7" s="51">
        <v>2</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row>
    <row r="8" spans="2:51" x14ac:dyDescent="0.25">
      <c r="B8" s="121" t="s">
        <v>3093</v>
      </c>
      <c r="C8" s="51">
        <v>6</v>
      </c>
      <c r="D8" s="51" t="s">
        <v>3779</v>
      </c>
      <c r="E8" s="119">
        <v>45485</v>
      </c>
      <c r="F8" s="51">
        <v>2</v>
      </c>
      <c r="G8" s="234" cm="1">
        <f t="array" ref="G8">SUMPRODUCT(--(I8:AY8&gt;0))/COUNTA(I8:AY8)</f>
        <v>1</v>
      </c>
      <c r="H8" s="51" t="s">
        <v>3147</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x14ac:dyDescent="0.25">
      <c r="B9" s="51" t="s">
        <v>3096</v>
      </c>
      <c r="C9" s="51">
        <v>7</v>
      </c>
      <c r="D9" s="51" t="s">
        <v>3780</v>
      </c>
      <c r="E9" s="119">
        <v>45485</v>
      </c>
      <c r="F9" s="51">
        <v>2</v>
      </c>
      <c r="G9" s="234" t="e" cm="1">
        <f t="array" ref="G9">SUMPRODUCT(--(I9:AY9&lt;=I26:AY26))/COUNTA(I26:AY26)</f>
        <v>#DIV/0!</v>
      </c>
      <c r="H9" s="51" t="s">
        <v>3147</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x14ac:dyDescent="0.25">
      <c r="B10" s="51" t="s">
        <v>3099</v>
      </c>
      <c r="C10" s="51">
        <v>8</v>
      </c>
      <c r="D10" s="51" t="s">
        <v>3781</v>
      </c>
      <c r="E10" s="119">
        <v>45485</v>
      </c>
      <c r="F10" s="51">
        <v>2</v>
      </c>
      <c r="G10" s="119" t="s">
        <v>3138</v>
      </c>
      <c r="H10" s="51" t="s">
        <v>3147</v>
      </c>
      <c r="I10" s="51">
        <v>31</v>
      </c>
      <c r="J10" s="51">
        <v>3.1101216902910999E+26</v>
      </c>
      <c r="K10" s="51" t="s">
        <v>3782</v>
      </c>
      <c r="L10" s="51">
        <v>11</v>
      </c>
      <c r="M10" s="51" t="s">
        <v>3737</v>
      </c>
      <c r="N10" s="119" t="e">
        <v>#N/A</v>
      </c>
      <c r="O10" s="51" t="e">
        <v>#N/A</v>
      </c>
      <c r="P10" s="119" t="e">
        <v>#N/A</v>
      </c>
      <c r="Q10" s="119" t="e">
        <v>#N/A</v>
      </c>
      <c r="R10" s="119">
        <v>35711</v>
      </c>
      <c r="S10" s="122">
        <v>39366</v>
      </c>
      <c r="T10" s="51">
        <v>978</v>
      </c>
      <c r="U10" s="51">
        <v>0</v>
      </c>
      <c r="V10" s="51" t="e">
        <v>#N/A</v>
      </c>
      <c r="W10" s="51" t="e">
        <v>#N/A</v>
      </c>
      <c r="X10" s="51" t="e">
        <v>#N/A</v>
      </c>
      <c r="Y10" s="51" t="e">
        <v>#N/A</v>
      </c>
      <c r="Z10" s="51" t="s">
        <v>3147</v>
      </c>
      <c r="AA10" s="51" t="s">
        <v>3147</v>
      </c>
      <c r="AB10" s="51" t="s">
        <v>3147</v>
      </c>
      <c r="AC10" s="122">
        <v>-8696880000</v>
      </c>
      <c r="AD10" s="51" t="s">
        <v>3147</v>
      </c>
      <c r="AE10" s="122">
        <v>-199340000</v>
      </c>
      <c r="AF10" s="51" t="s">
        <v>3147</v>
      </c>
      <c r="AG10" s="51" t="e">
        <v>#N/A</v>
      </c>
      <c r="AH10" s="51" t="e">
        <v>#N/A</v>
      </c>
      <c r="AI10" s="51" t="e">
        <v>#N/A</v>
      </c>
      <c r="AJ10" s="122" t="e">
        <v>#N/A</v>
      </c>
      <c r="AK10" s="51" t="e">
        <v>#N/A</v>
      </c>
      <c r="AL10" s="51" t="e">
        <v>#N/A</v>
      </c>
      <c r="AM10" s="51" t="e">
        <v>#N/A</v>
      </c>
      <c r="AN10" s="51" t="e">
        <v>#N/A</v>
      </c>
      <c r="AO10" s="51" t="e">
        <v>#N/A</v>
      </c>
      <c r="AP10" s="51" t="s">
        <v>3783</v>
      </c>
      <c r="AQ10" s="51" t="s">
        <v>3147</v>
      </c>
      <c r="AR10" s="51" t="s">
        <v>3783</v>
      </c>
      <c r="AS10" s="51" t="s">
        <v>3147</v>
      </c>
      <c r="AT10" s="51">
        <v>0</v>
      </c>
      <c r="AU10" s="51" t="s">
        <v>3148</v>
      </c>
      <c r="AV10" s="51" t="s">
        <v>3784</v>
      </c>
      <c r="AW10" s="51" t="s">
        <v>3269</v>
      </c>
      <c r="AX10" s="119">
        <v>45503</v>
      </c>
      <c r="AY10" s="51" t="s">
        <v>3785</v>
      </c>
    </row>
    <row r="11" spans="2:51" x14ac:dyDescent="0.25">
      <c r="B11" s="51" t="s">
        <v>3101</v>
      </c>
      <c r="C11" s="51">
        <v>9</v>
      </c>
      <c r="D11" s="51" t="s">
        <v>3786</v>
      </c>
      <c r="E11" s="119">
        <v>45485</v>
      </c>
      <c r="F11" s="51">
        <v>2</v>
      </c>
      <c r="G11" s="119" t="s">
        <v>3138</v>
      </c>
      <c r="H11" s="51" t="s">
        <v>3147</v>
      </c>
      <c r="I11" s="51">
        <v>31</v>
      </c>
      <c r="J11" s="51">
        <v>3.1101216902910999E+26</v>
      </c>
      <c r="K11" s="51"/>
      <c r="L11" s="51">
        <v>11</v>
      </c>
      <c r="M11" s="51" t="s">
        <v>3737</v>
      </c>
      <c r="N11" s="119"/>
      <c r="O11" s="51" t="e">
        <v>#N/A</v>
      </c>
      <c r="P11" s="51"/>
      <c r="Q11" s="51" t="e">
        <v>#N/A</v>
      </c>
      <c r="R11" s="119">
        <v>35711</v>
      </c>
      <c r="S11" s="119">
        <v>39366</v>
      </c>
      <c r="T11" s="51">
        <v>978</v>
      </c>
      <c r="U11" s="51">
        <v>0</v>
      </c>
      <c r="V11" s="51" t="e">
        <v>#N/A</v>
      </c>
      <c r="W11" s="51">
        <v>0</v>
      </c>
      <c r="X11" s="51" t="s">
        <v>3787</v>
      </c>
      <c r="Y11" s="51">
        <v>3</v>
      </c>
      <c r="Z11" s="51">
        <v>0</v>
      </c>
      <c r="AA11" s="51">
        <v>0</v>
      </c>
      <c r="AB11" s="122" t="s">
        <v>3147</v>
      </c>
      <c r="AC11" s="51" t="s">
        <v>3788</v>
      </c>
      <c r="AD11" s="122" t="s">
        <v>3147</v>
      </c>
      <c r="AE11" s="122">
        <v>-199340000</v>
      </c>
      <c r="AF11" s="51" t="s">
        <v>3147</v>
      </c>
      <c r="AG11" s="51" t="e">
        <v>#N/A</v>
      </c>
      <c r="AH11" s="51" t="s">
        <v>3147</v>
      </c>
      <c r="AI11" s="51" t="e">
        <v>#N/A</v>
      </c>
      <c r="AJ11" s="122">
        <v>5300000</v>
      </c>
      <c r="AK11" s="51" t="e">
        <v>#N/A</v>
      </c>
      <c r="AL11" s="51" t="s">
        <v>3147</v>
      </c>
      <c r="AM11" s="51" t="e">
        <v>#N/A</v>
      </c>
      <c r="AN11" s="51" t="s">
        <v>3147</v>
      </c>
      <c r="AO11" s="51">
        <v>1</v>
      </c>
      <c r="AP11" s="51" t="e">
        <v>#N/A</v>
      </c>
      <c r="AQ11" s="51" t="s">
        <v>3787</v>
      </c>
      <c r="AR11" s="51" t="e">
        <v>#N/A</v>
      </c>
      <c r="AS11" s="51" t="s">
        <v>3787</v>
      </c>
      <c r="AT11" s="51">
        <v>0</v>
      </c>
      <c r="AU11" s="51">
        <v>0</v>
      </c>
      <c r="AV11" s="51" t="s">
        <v>3153</v>
      </c>
      <c r="AW11" s="51" t="s">
        <v>3269</v>
      </c>
      <c r="AX11" s="119">
        <v>45503</v>
      </c>
      <c r="AY11" s="51" t="s">
        <v>3789</v>
      </c>
    </row>
    <row r="12" spans="2:51" x14ac:dyDescent="0.25">
      <c r="B12" s="121" t="s">
        <v>3103</v>
      </c>
      <c r="C12" s="51">
        <v>10</v>
      </c>
      <c r="D12" s="51" t="s">
        <v>3790</v>
      </c>
      <c r="E12" s="119">
        <v>45485</v>
      </c>
      <c r="F12" s="51">
        <v>2</v>
      </c>
      <c r="G12" s="119" t="s">
        <v>3138</v>
      </c>
      <c r="H12" s="51" t="s">
        <v>3147</v>
      </c>
      <c r="I12" s="51">
        <v>31</v>
      </c>
      <c r="J12" s="209">
        <v>5.1317900200110001E+27</v>
      </c>
      <c r="K12" s="51" t="s">
        <v>3782</v>
      </c>
      <c r="L12" s="51">
        <v>29</v>
      </c>
      <c r="M12" s="119" t="s">
        <v>3742</v>
      </c>
      <c r="N12" s="119">
        <v>31</v>
      </c>
      <c r="O12" s="122">
        <v>9.9999999999999903E+29</v>
      </c>
      <c r="P12" s="217">
        <v>31</v>
      </c>
      <c r="Q12" s="119">
        <v>5131790020011</v>
      </c>
      <c r="R12" s="119">
        <v>45504</v>
      </c>
      <c r="S12" s="181" t="s">
        <v>3791</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3783</v>
      </c>
      <c r="AQ12" s="122">
        <v>28000000</v>
      </c>
      <c r="AR12" s="51" t="s">
        <v>3783</v>
      </c>
      <c r="AS12" s="122">
        <v>28000000</v>
      </c>
      <c r="AT12" s="51">
        <v>1</v>
      </c>
      <c r="AU12" s="51" t="s">
        <v>3157</v>
      </c>
      <c r="AV12" s="51" t="s">
        <v>3792</v>
      </c>
      <c r="AW12" s="51" t="s">
        <v>3158</v>
      </c>
      <c r="AX12" s="119">
        <v>45503</v>
      </c>
      <c r="AY12" s="51" t="s">
        <v>3785</v>
      </c>
    </row>
    <row r="13" spans="2:51" x14ac:dyDescent="0.25">
      <c r="B13" s="51" t="s">
        <v>3105</v>
      </c>
      <c r="C13" s="51">
        <v>11</v>
      </c>
      <c r="D13" s="51" t="s">
        <v>3793</v>
      </c>
      <c r="E13" s="119">
        <v>45485</v>
      </c>
      <c r="F13" s="51">
        <v>2</v>
      </c>
      <c r="G13" s="119" t="s">
        <v>3138</v>
      </c>
      <c r="H13" s="51" t="s">
        <v>3147</v>
      </c>
      <c r="I13" s="51">
        <v>31</v>
      </c>
      <c r="J13" s="209">
        <v>5.1317900200110001E+27</v>
      </c>
      <c r="K13" s="51"/>
      <c r="L13" s="51">
        <v>29</v>
      </c>
      <c r="M13" s="119" t="s">
        <v>3742</v>
      </c>
      <c r="N13" s="119">
        <v>31</v>
      </c>
      <c r="O13" s="122">
        <v>9.9999999999999903E+29</v>
      </c>
      <c r="P13" s="119">
        <v>31</v>
      </c>
      <c r="Q13" s="51">
        <v>5131790020011</v>
      </c>
      <c r="R13" s="119">
        <v>45504</v>
      </c>
      <c r="S13" s="119">
        <v>2958465</v>
      </c>
      <c r="T13" s="51" t="s">
        <v>3156</v>
      </c>
      <c r="U13" s="51">
        <v>1</v>
      </c>
      <c r="V13" s="51">
        <v>3</v>
      </c>
      <c r="W13" s="51">
        <v>93</v>
      </c>
      <c r="X13" s="51" t="s">
        <v>3794</v>
      </c>
      <c r="Y13" s="122">
        <v>36</v>
      </c>
      <c r="Z13" s="119" t="s">
        <v>3795</v>
      </c>
      <c r="AA13" s="119" t="s">
        <v>3795</v>
      </c>
      <c r="AB13" s="122">
        <v>494947820000</v>
      </c>
      <c r="AC13" s="51" t="s">
        <v>3796</v>
      </c>
      <c r="AD13" s="122">
        <v>9727520000</v>
      </c>
      <c r="AE13" s="122">
        <v>67544900000</v>
      </c>
      <c r="AF13" s="122">
        <v>20457260000</v>
      </c>
      <c r="AG13" s="119" t="e">
        <v>#N/A</v>
      </c>
      <c r="AH13" s="122">
        <v>2096690000</v>
      </c>
      <c r="AI13" s="122">
        <v>45488</v>
      </c>
      <c r="AJ13" s="122">
        <v>2093980000</v>
      </c>
      <c r="AK13" s="51" t="e">
        <v>#N/A</v>
      </c>
      <c r="AL13" s="122" t="s">
        <v>3147</v>
      </c>
      <c r="AM13" s="119">
        <v>45504</v>
      </c>
      <c r="AN13" s="122">
        <v>2093980000</v>
      </c>
      <c r="AO13" s="122">
        <v>36</v>
      </c>
      <c r="AP13" s="51" t="s">
        <v>3783</v>
      </c>
      <c r="AQ13" s="51" t="s">
        <v>3797</v>
      </c>
      <c r="AR13" s="51" t="s">
        <v>3783</v>
      </c>
      <c r="AS13" s="51" t="s">
        <v>3797</v>
      </c>
      <c r="AT13" s="51">
        <v>1</v>
      </c>
      <c r="AU13" s="51" t="s">
        <v>3798</v>
      </c>
      <c r="AV13" s="51" t="s">
        <v>3153</v>
      </c>
      <c r="AW13" s="51" t="s">
        <v>3158</v>
      </c>
      <c r="AX13" s="119">
        <v>45503</v>
      </c>
      <c r="AY13" s="51" t="s">
        <v>3799</v>
      </c>
    </row>
    <row r="14" spans="2:51" x14ac:dyDescent="0.25">
      <c r="B14" s="51" t="s">
        <v>3107</v>
      </c>
      <c r="C14" s="51">
        <v>12</v>
      </c>
      <c r="D14" s="51" t="s">
        <v>3800</v>
      </c>
      <c r="E14" s="119">
        <v>45485</v>
      </c>
      <c r="F14" s="51">
        <v>2</v>
      </c>
      <c r="G14" s="234" t="s">
        <v>3801</v>
      </c>
      <c r="H14" s="51" t="s">
        <v>3147</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x14ac:dyDescent="0.25">
      <c r="B15" s="51" t="s">
        <v>3109</v>
      </c>
      <c r="C15" s="51">
        <v>13</v>
      </c>
      <c r="D15" s="51" t="s">
        <v>3802</v>
      </c>
      <c r="E15" s="119">
        <v>45485</v>
      </c>
      <c r="F15" s="51">
        <v>2</v>
      </c>
      <c r="G15" s="234">
        <v>1</v>
      </c>
      <c r="H15" s="51" t="s">
        <v>3147</v>
      </c>
      <c r="I15" s="51" t="s">
        <v>3138</v>
      </c>
      <c r="J15" s="51" t="s">
        <v>3138</v>
      </c>
      <c r="K15" s="51" t="s">
        <v>3138</v>
      </c>
      <c r="L15" s="51" t="s">
        <v>3138</v>
      </c>
      <c r="M15" s="51" t="s">
        <v>3138</v>
      </c>
      <c r="N15" s="51" t="s">
        <v>3138</v>
      </c>
      <c r="O15" s="51" t="s">
        <v>3138</v>
      </c>
      <c r="P15" s="51" t="s">
        <v>3138</v>
      </c>
      <c r="Q15" s="51" t="s">
        <v>3138</v>
      </c>
      <c r="R15" s="51">
        <v>0</v>
      </c>
      <c r="S15" s="51">
        <v>0</v>
      </c>
      <c r="T15" s="5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v>0</v>
      </c>
      <c r="AH15" s="51" t="s">
        <v>3138</v>
      </c>
      <c r="AI15" s="51">
        <v>0</v>
      </c>
      <c r="AJ15" s="51" t="s">
        <v>3138</v>
      </c>
      <c r="AK15" s="51">
        <v>0</v>
      </c>
      <c r="AL15" s="51" t="s">
        <v>3138</v>
      </c>
      <c r="AM15" s="51">
        <v>0</v>
      </c>
      <c r="AN15" s="51" t="s">
        <v>3138</v>
      </c>
      <c r="AO15" s="51" t="s">
        <v>3138</v>
      </c>
      <c r="AP15" s="51" t="s">
        <v>3138</v>
      </c>
      <c r="AQ15" s="51" t="s">
        <v>3138</v>
      </c>
      <c r="AR15" s="51" t="s">
        <v>3138</v>
      </c>
      <c r="AS15" s="51" t="s">
        <v>3138</v>
      </c>
      <c r="AT15" s="51" t="s">
        <v>3138</v>
      </c>
      <c r="AU15" s="51" t="s">
        <v>3138</v>
      </c>
      <c r="AV15" s="51" t="s">
        <v>3138</v>
      </c>
      <c r="AW15" s="51" t="s">
        <v>3138</v>
      </c>
      <c r="AX15" s="51">
        <v>0</v>
      </c>
      <c r="AY15" s="51" t="s">
        <v>3138</v>
      </c>
    </row>
    <row r="16" spans="2:51" x14ac:dyDescent="0.25">
      <c r="B16" s="51" t="s">
        <v>3111</v>
      </c>
      <c r="C16" s="51">
        <v>14</v>
      </c>
      <c r="D16" s="51" t="s">
        <v>3803</v>
      </c>
      <c r="E16" s="119">
        <v>45485</v>
      </c>
      <c r="F16" s="51">
        <v>2</v>
      </c>
      <c r="G16" s="234">
        <v>1</v>
      </c>
      <c r="H16" s="51" t="s">
        <v>3147</v>
      </c>
      <c r="I16" s="51" t="s">
        <v>3138</v>
      </c>
      <c r="J16" s="51" t="s">
        <v>3138</v>
      </c>
      <c r="K16" s="51">
        <v>0</v>
      </c>
      <c r="L16" s="51">
        <v>0</v>
      </c>
      <c r="M16" s="51">
        <v>0</v>
      </c>
      <c r="N16" s="51">
        <v>0</v>
      </c>
      <c r="O16" s="51">
        <v>0</v>
      </c>
      <c r="P16" s="51">
        <v>0</v>
      </c>
      <c r="Q16" s="51">
        <v>0</v>
      </c>
      <c r="R16" s="51">
        <v>0</v>
      </c>
      <c r="S16" s="51">
        <v>0</v>
      </c>
      <c r="T16" s="51">
        <v>0</v>
      </c>
      <c r="U16" s="51" t="s">
        <v>3138</v>
      </c>
      <c r="V16" s="51">
        <v>0</v>
      </c>
      <c r="W16" s="51" t="s">
        <v>3138</v>
      </c>
      <c r="X16" s="51" t="s">
        <v>3138</v>
      </c>
      <c r="Y16" s="51" t="s">
        <v>3138</v>
      </c>
      <c r="Z16" s="51" t="s">
        <v>3138</v>
      </c>
      <c r="AA16" s="51" t="s">
        <v>3138</v>
      </c>
      <c r="AB16" s="51" t="s">
        <v>3138</v>
      </c>
      <c r="AC16" s="51" t="s">
        <v>3138</v>
      </c>
      <c r="AD16" s="51" t="s">
        <v>3138</v>
      </c>
      <c r="AE16" s="51" t="s">
        <v>3138</v>
      </c>
      <c r="AF16" s="51" t="s">
        <v>3138</v>
      </c>
      <c r="AG16" s="51">
        <v>0</v>
      </c>
      <c r="AH16" s="51" t="s">
        <v>3138</v>
      </c>
      <c r="AI16" s="51">
        <v>0</v>
      </c>
      <c r="AJ16" s="51" t="s">
        <v>3138</v>
      </c>
      <c r="AK16" s="51">
        <v>0</v>
      </c>
      <c r="AL16" s="51" t="s">
        <v>3138</v>
      </c>
      <c r="AM16" s="51">
        <v>0</v>
      </c>
      <c r="AN16" s="51" t="s">
        <v>3138</v>
      </c>
      <c r="AO16" s="51" t="s">
        <v>3138</v>
      </c>
      <c r="AP16" s="51">
        <v>0</v>
      </c>
      <c r="AQ16" s="51" t="s">
        <v>3138</v>
      </c>
      <c r="AR16" s="51">
        <v>0</v>
      </c>
      <c r="AS16" s="51" t="s">
        <v>3138</v>
      </c>
      <c r="AT16" s="51" t="s">
        <v>3138</v>
      </c>
      <c r="AU16" s="51">
        <v>0</v>
      </c>
      <c r="AV16" s="51">
        <v>0</v>
      </c>
      <c r="AW16" s="51">
        <v>0</v>
      </c>
      <c r="AX16" s="51" t="s">
        <v>3138</v>
      </c>
      <c r="AY16" s="51" t="s">
        <v>3138</v>
      </c>
    </row>
    <row r="17" spans="2:51" x14ac:dyDescent="0.25">
      <c r="B17" s="51" t="s">
        <v>3113</v>
      </c>
      <c r="C17" s="51">
        <v>15</v>
      </c>
      <c r="D17" s="51" t="s">
        <v>3804</v>
      </c>
      <c r="E17" s="119">
        <v>45485</v>
      </c>
      <c r="F17" s="51">
        <v>2</v>
      </c>
      <c r="G17" s="234" t="s">
        <v>3775</v>
      </c>
      <c r="H17" s="206" t="s">
        <v>3805</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row>
    <row r="18" spans="2:51" x14ac:dyDescent="0.25">
      <c r="B18" s="51" t="s">
        <v>3115</v>
      </c>
      <c r="C18" s="51">
        <v>16</v>
      </c>
      <c r="D18" s="51" t="s">
        <v>3804</v>
      </c>
      <c r="E18" s="119">
        <v>45485</v>
      </c>
      <c r="F18" s="51">
        <v>2</v>
      </c>
      <c r="G18" s="234">
        <v>1</v>
      </c>
      <c r="H18" s="51"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row>
    <row r="19" spans="2:51" x14ac:dyDescent="0.25">
      <c r="B19" s="238" t="s">
        <v>3806</v>
      </c>
      <c r="C19" s="51">
        <v>19</v>
      </c>
      <c r="D19" s="51" t="s">
        <v>3807</v>
      </c>
      <c r="E19" s="119">
        <v>45485</v>
      </c>
      <c r="F19" s="51">
        <v>2</v>
      </c>
      <c r="G19" s="234" t="e" cm="1" vm="1">
        <f t="array" ref="G19">SUM(IF(I2:AY2 = I24:AY24, 1, 0))/ COUNTA(I2:AY2)</f>
        <v>#VALUE!</v>
      </c>
      <c r="H19" s="51" t="s">
        <v>3147</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3172</v>
      </c>
      <c r="X19" s="51" t="s">
        <v>3172</v>
      </c>
      <c r="Y19" s="51" t="s">
        <v>3172</v>
      </c>
      <c r="Z19" s="51" t="s">
        <v>3173</v>
      </c>
      <c r="AA19" s="51" t="s">
        <v>3173</v>
      </c>
      <c r="AB19" s="51" t="s">
        <v>3173</v>
      </c>
      <c r="AC19" s="51" t="s">
        <v>3173</v>
      </c>
      <c r="AD19" s="51" t="s">
        <v>3173</v>
      </c>
      <c r="AE19" s="51" t="s">
        <v>3173</v>
      </c>
      <c r="AF19" s="51" t="s">
        <v>3173</v>
      </c>
      <c r="AG19" s="51" t="s">
        <v>3172</v>
      </c>
      <c r="AH19" s="51" t="s">
        <v>3172</v>
      </c>
      <c r="AI19" s="51" t="s">
        <v>3172</v>
      </c>
      <c r="AJ19" s="51" t="s">
        <v>3172</v>
      </c>
      <c r="AK19" s="51" t="s">
        <v>3172</v>
      </c>
      <c r="AL19" s="51" t="s">
        <v>3172</v>
      </c>
      <c r="AM19" s="51" t="s">
        <v>3172</v>
      </c>
      <c r="AN19" s="51" t="s">
        <v>3172</v>
      </c>
      <c r="AO19" s="51" t="s">
        <v>3172</v>
      </c>
      <c r="AP19" s="51" t="s">
        <v>3172</v>
      </c>
      <c r="AQ19" s="51" t="s">
        <v>3173</v>
      </c>
      <c r="AR19" s="51" t="s">
        <v>3172</v>
      </c>
      <c r="AS19" s="51" t="s">
        <v>3173</v>
      </c>
      <c r="AT19" s="51" t="s">
        <v>3172</v>
      </c>
      <c r="AU19" s="51" t="s">
        <v>3172</v>
      </c>
      <c r="AV19" s="51" t="s">
        <v>3172</v>
      </c>
      <c r="AW19" s="51" t="s">
        <v>3172</v>
      </c>
      <c r="AX19" s="51" t="s">
        <v>3172</v>
      </c>
      <c r="AY19" s="51" t="s">
        <v>3174</v>
      </c>
    </row>
    <row r="20" spans="2:51" x14ac:dyDescent="0.25">
      <c r="B20" s="51" t="s">
        <v>3124</v>
      </c>
      <c r="C20" s="51">
        <v>20</v>
      </c>
      <c r="D20" s="51" t="s">
        <v>3808</v>
      </c>
      <c r="E20" s="119">
        <v>45503</v>
      </c>
      <c r="F20" s="51">
        <v>2</v>
      </c>
      <c r="G20" s="217" t="e" cm="1" vm="1">
        <f t="array" ref="G20">SUM(IF(I2:AY2 = I24:AY24, 1, 0))/ COUNTA(I2:AY2)</f>
        <v>#VALUE!</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row>
    <row r="21" spans="2:51" x14ac:dyDescent="0.25">
      <c r="B21" s="51" t="s">
        <v>3127</v>
      </c>
      <c r="C21" s="51">
        <v>21</v>
      </c>
      <c r="D21" s="51" t="s">
        <v>3808</v>
      </c>
      <c r="E21" s="119">
        <v>45503</v>
      </c>
      <c r="F21" s="51">
        <v>2</v>
      </c>
      <c r="G21" s="217" t="e" cm="1">
        <f t="array" ref="G21">SUM(IF(IF(G3:G20="null",1,G3:G20)=1,1,0))/COUNT(IF(G3:G20="null",1,1))</f>
        <v>#DIV/0!</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c r="X21" s="51" t="s">
        <v>3138</v>
      </c>
      <c r="Y21" s="51" t="s">
        <v>3138</v>
      </c>
      <c r="Z21" s="51" t="s">
        <v>3138</v>
      </c>
      <c r="AA21" s="51" t="s">
        <v>3138</v>
      </c>
      <c r="AB21" s="51" t="s">
        <v>3138</v>
      </c>
      <c r="AC21" s="51" t="s">
        <v>3138</v>
      </c>
      <c r="AD21" s="51" t="s">
        <v>3138</v>
      </c>
      <c r="AE21" s="51" t="s">
        <v>3138</v>
      </c>
      <c r="AF21" s="51" t="s">
        <v>3138</v>
      </c>
      <c r="AG21" s="51" t="s">
        <v>3138</v>
      </c>
      <c r="AH21" s="51" t="s">
        <v>3138</v>
      </c>
      <c r="AI21" s="51" t="s">
        <v>3138</v>
      </c>
      <c r="AJ21" s="51" t="s">
        <v>3138</v>
      </c>
      <c r="AK21" s="51" t="s">
        <v>3138</v>
      </c>
      <c r="AL21" s="51" t="s">
        <v>3138</v>
      </c>
      <c r="AM21" s="51" t="s">
        <v>3138</v>
      </c>
      <c r="AN21" s="51" t="s">
        <v>3138</v>
      </c>
      <c r="AO21" s="51" t="s">
        <v>3138</v>
      </c>
      <c r="AP21" s="51" t="s">
        <v>3138</v>
      </c>
      <c r="AQ21" s="51" t="s">
        <v>3138</v>
      </c>
      <c r="AR21" s="51" t="s">
        <v>3138</v>
      </c>
      <c r="AS21" s="51" t="s">
        <v>3138</v>
      </c>
      <c r="AT21" s="51" t="s">
        <v>3138</v>
      </c>
      <c r="AU21" s="51" t="s">
        <v>3138</v>
      </c>
      <c r="AV21" s="51" t="s">
        <v>3138</v>
      </c>
      <c r="AW21" s="51" t="s">
        <v>3138</v>
      </c>
      <c r="AX21" s="51" t="s">
        <v>3138</v>
      </c>
      <c r="AY21" s="51" t="s">
        <v>3138</v>
      </c>
    </row>
    <row r="22" spans="2:51" x14ac:dyDescent="0.25">
      <c r="B22" s="51"/>
      <c r="C22" s="51"/>
      <c r="D22" s="51"/>
      <c r="E22" s="119"/>
      <c r="F22" s="51"/>
      <c r="G22" s="51"/>
      <c r="H22" s="51"/>
      <c r="I22" s="51"/>
      <c r="J22" s="51"/>
      <c r="K22" s="51"/>
      <c r="L22" s="51"/>
      <c r="M22" s="51"/>
      <c r="N22" s="51"/>
      <c r="O22" s="51"/>
      <c r="P22" s="51"/>
      <c r="Q22" s="51"/>
      <c r="R22" s="51"/>
      <c r="S22" s="51"/>
    </row>
    <row r="23" spans="2:51" x14ac:dyDescent="0.25">
      <c r="B23" s="154" t="s">
        <v>3244</v>
      </c>
    </row>
    <row r="24" spans="2:51" x14ac:dyDescent="0.25">
      <c r="B24" s="152" t="s">
        <v>3130</v>
      </c>
      <c r="C24" s="153" t="s">
        <v>3131</v>
      </c>
      <c r="D24" s="153" t="s">
        <v>3132</v>
      </c>
      <c r="E24" s="153" t="s">
        <v>3133</v>
      </c>
      <c r="F24" s="153" t="s">
        <v>3134</v>
      </c>
      <c r="G24" s="153" t="s">
        <v>3135</v>
      </c>
      <c r="H24" s="153" t="s">
        <v>3136</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x14ac:dyDescent="0.25">
      <c r="B25" s="131" t="s">
        <v>3175</v>
      </c>
      <c r="C25" s="134">
        <v>21</v>
      </c>
      <c r="D25" s="128" t="s">
        <v>3176</v>
      </c>
      <c r="E25" s="127" t="s">
        <v>3177</v>
      </c>
      <c r="F25" s="127" t="s">
        <v>366</v>
      </c>
      <c r="G25" s="127" t="s">
        <v>366</v>
      </c>
      <c r="H25" s="127" t="s">
        <v>366</v>
      </c>
      <c r="I25" s="127"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x14ac:dyDescent="0.25">
      <c r="B26" s="131" t="s">
        <v>3178</v>
      </c>
      <c r="C26" s="134">
        <v>7</v>
      </c>
      <c r="D26" s="128" t="s">
        <v>3176</v>
      </c>
      <c r="E26" s="127" t="s">
        <v>3177</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x14ac:dyDescent="0.25">
      <c r="B28" s="164" t="s">
        <v>3179</v>
      </c>
    </row>
    <row r="29" spans="2:51" x14ac:dyDescent="0.25">
      <c r="B29" s="158" t="s">
        <v>3180</v>
      </c>
      <c r="C29" s="158" t="s">
        <v>3181</v>
      </c>
      <c r="D29" s="159" t="s">
        <v>3182</v>
      </c>
      <c r="E29" s="158" t="s">
        <v>3183</v>
      </c>
      <c r="F29" s="158" t="s">
        <v>3184</v>
      </c>
    </row>
    <row r="30" spans="2:51" ht="60" x14ac:dyDescent="0.25">
      <c r="B30" s="161" t="s">
        <v>3185</v>
      </c>
      <c r="C30" s="162" t="s">
        <v>3809</v>
      </c>
      <c r="D30" s="292" t="s">
        <v>3810</v>
      </c>
      <c r="E30" s="293" t="s">
        <v>3811</v>
      </c>
      <c r="F30" s="213" t="s">
        <v>3194</v>
      </c>
      <c r="H30" s="290"/>
      <c r="J30" t="s">
        <v>3812</v>
      </c>
      <c r="K30">
        <v>20748</v>
      </c>
    </row>
    <row r="31" spans="2:51" ht="45" x14ac:dyDescent="0.25">
      <c r="B31" s="161" t="s">
        <v>3185</v>
      </c>
      <c r="C31" s="162" t="s">
        <v>597</v>
      </c>
      <c r="D31" s="292" t="s">
        <v>3813</v>
      </c>
      <c r="E31" s="293" t="s">
        <v>3814</v>
      </c>
      <c r="F31" s="213" t="s">
        <v>3191</v>
      </c>
      <c r="H31" s="291"/>
      <c r="J31" t="s">
        <v>3815</v>
      </c>
      <c r="K31">
        <v>760260</v>
      </c>
      <c r="L31">
        <f>K31+K30</f>
        <v>781008</v>
      </c>
    </row>
    <row r="32" spans="2:51" ht="30" x14ac:dyDescent="0.25">
      <c r="B32" s="161" t="s">
        <v>3185</v>
      </c>
      <c r="C32" s="139" t="s">
        <v>618</v>
      </c>
      <c r="D32" s="294" t="s">
        <v>3816</v>
      </c>
      <c r="E32" s="170" t="s">
        <v>3817</v>
      </c>
      <c r="F32" s="160" t="s">
        <v>3191</v>
      </c>
      <c r="J32" t="s">
        <v>3818</v>
      </c>
      <c r="K32">
        <v>8461</v>
      </c>
      <c r="L32">
        <f>K31+K32</f>
        <v>768721</v>
      </c>
      <c r="M32">
        <f>L31+K32</f>
        <v>789469</v>
      </c>
    </row>
    <row r="33" spans="2:12" ht="75" x14ac:dyDescent="0.25">
      <c r="B33" s="161" t="s">
        <v>3185</v>
      </c>
      <c r="C33" s="139" t="s">
        <v>1352</v>
      </c>
      <c r="D33" s="294" t="s">
        <v>3819</v>
      </c>
      <c r="E33" s="170" t="s">
        <v>3820</v>
      </c>
      <c r="F33" s="213" t="s">
        <v>3188</v>
      </c>
      <c r="J33" t="s">
        <v>3821</v>
      </c>
      <c r="K33">
        <v>26</v>
      </c>
    </row>
    <row r="34" spans="2:12" ht="105" x14ac:dyDescent="0.25">
      <c r="B34" s="161" t="s">
        <v>3185</v>
      </c>
      <c r="C34" s="139" t="s">
        <v>1360</v>
      </c>
      <c r="D34" s="294" t="s">
        <v>3822</v>
      </c>
      <c r="E34" s="170" t="s">
        <v>3823</v>
      </c>
      <c r="F34" s="160" t="s">
        <v>3188</v>
      </c>
      <c r="J34" t="s">
        <v>3824</v>
      </c>
      <c r="K34">
        <v>478</v>
      </c>
      <c r="L34">
        <f>K32+K34</f>
        <v>8939</v>
      </c>
    </row>
    <row r="35" spans="2:12" ht="75" x14ac:dyDescent="0.25">
      <c r="B35" s="135" t="s">
        <v>3185</v>
      </c>
      <c r="C35" s="139" t="s">
        <v>1365</v>
      </c>
      <c r="D35" s="294" t="s">
        <v>3825</v>
      </c>
      <c r="E35" s="170" t="s">
        <v>3826</v>
      </c>
      <c r="F35" s="160" t="s">
        <v>3355</v>
      </c>
      <c r="K35">
        <f>SUM(K30:K34)</f>
        <v>789973</v>
      </c>
    </row>
    <row r="36" spans="2:12" ht="75" x14ac:dyDescent="0.25">
      <c r="B36" s="135" t="s">
        <v>3185</v>
      </c>
      <c r="C36" s="139" t="s">
        <v>1372</v>
      </c>
      <c r="D36" s="294" t="s">
        <v>3825</v>
      </c>
      <c r="E36" s="170" t="s">
        <v>3827</v>
      </c>
      <c r="F36" s="160" t="s">
        <v>3355</v>
      </c>
    </row>
    <row r="37" spans="2:12" ht="120" x14ac:dyDescent="0.25">
      <c r="B37" s="135" t="s">
        <v>3185</v>
      </c>
      <c r="C37" s="139" t="s">
        <v>423</v>
      </c>
      <c r="D37" s="294" t="s">
        <v>3828</v>
      </c>
      <c r="E37" s="170" t="s">
        <v>3829</v>
      </c>
      <c r="F37" s="160" t="s">
        <v>3188</v>
      </c>
    </row>
    <row r="38" spans="2:12" ht="120" x14ac:dyDescent="0.25">
      <c r="B38" s="135" t="s">
        <v>3185</v>
      </c>
      <c r="C38" s="139" t="s">
        <v>432</v>
      </c>
      <c r="D38" s="294" t="s">
        <v>3828</v>
      </c>
      <c r="E38" s="170" t="s">
        <v>3829</v>
      </c>
      <c r="F38" s="160" t="s">
        <v>3830</v>
      </c>
    </row>
    <row r="39" spans="2:12" ht="45" x14ac:dyDescent="0.25">
      <c r="B39" s="142" t="s">
        <v>3185</v>
      </c>
      <c r="C39" s="141" t="s">
        <v>1391</v>
      </c>
      <c r="D39" s="295" t="s">
        <v>3831</v>
      </c>
      <c r="E39" s="170" t="s">
        <v>3832</v>
      </c>
      <c r="F39" s="160" t="s">
        <v>3191</v>
      </c>
    </row>
    <row r="40" spans="2:12" ht="90" x14ac:dyDescent="0.25">
      <c r="B40" s="135" t="s">
        <v>3185</v>
      </c>
      <c r="C40" s="139" t="s">
        <v>1397</v>
      </c>
      <c r="D40" s="295" t="s">
        <v>3833</v>
      </c>
      <c r="E40" s="170" t="s">
        <v>3834</v>
      </c>
      <c r="F40" s="213" t="s">
        <v>3188</v>
      </c>
    </row>
    <row r="41" spans="2:12" ht="90" x14ac:dyDescent="0.25">
      <c r="B41" s="135" t="s">
        <v>3185</v>
      </c>
      <c r="C41" s="139" t="s">
        <v>1403</v>
      </c>
      <c r="D41" s="295" t="s">
        <v>3835</v>
      </c>
      <c r="E41" s="170" t="s">
        <v>3834</v>
      </c>
      <c r="F41" s="213" t="s">
        <v>3188</v>
      </c>
    </row>
    <row r="42" spans="2:12" ht="90" x14ac:dyDescent="0.25">
      <c r="B42" s="135" t="s">
        <v>3185</v>
      </c>
      <c r="C42" s="139" t="s">
        <v>1410</v>
      </c>
      <c r="D42" s="295" t="s">
        <v>3836</v>
      </c>
      <c r="E42" s="170" t="s">
        <v>3834</v>
      </c>
      <c r="F42" s="213" t="s">
        <v>3188</v>
      </c>
    </row>
    <row r="43" spans="2:12" ht="90" x14ac:dyDescent="0.25">
      <c r="B43" s="135" t="s">
        <v>3185</v>
      </c>
      <c r="C43" s="139" t="s">
        <v>681</v>
      </c>
      <c r="D43" s="295" t="s">
        <v>3837</v>
      </c>
      <c r="E43" s="170" t="s">
        <v>3834</v>
      </c>
      <c r="F43" s="213" t="s">
        <v>3188</v>
      </c>
    </row>
    <row r="44" spans="2:12" ht="120" x14ac:dyDescent="0.25">
      <c r="B44" s="161" t="s">
        <v>3185</v>
      </c>
      <c r="C44" s="162" t="s">
        <v>324</v>
      </c>
      <c r="D44" s="296" t="s">
        <v>3838</v>
      </c>
      <c r="E44" s="171" t="s">
        <v>3839</v>
      </c>
      <c r="F44" s="213" t="s">
        <v>3194</v>
      </c>
    </row>
    <row r="45" spans="2:12" ht="30" x14ac:dyDescent="0.25">
      <c r="B45" s="135" t="s">
        <v>3195</v>
      </c>
      <c r="C45" s="139" t="s">
        <v>3412</v>
      </c>
      <c r="D45" s="147" t="s">
        <v>3840</v>
      </c>
      <c r="E45" s="170" t="s">
        <v>3841</v>
      </c>
      <c r="F45" s="213" t="s">
        <v>3194</v>
      </c>
    </row>
    <row r="46" spans="2:12" ht="90" x14ac:dyDescent="0.25">
      <c r="B46" s="161" t="s">
        <v>3253</v>
      </c>
      <c r="C46" s="139" t="s">
        <v>3412</v>
      </c>
      <c r="D46" s="296" t="s">
        <v>3842</v>
      </c>
      <c r="E46" s="171" t="s">
        <v>3843</v>
      </c>
      <c r="F46" s="213" t="s">
        <v>3844</v>
      </c>
    </row>
    <row r="49" spans="11:11" x14ac:dyDescent="0.25">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98" t="s">
        <v>3130</v>
      </c>
      <c r="C2" s="98" t="s">
        <v>3131</v>
      </c>
      <c r="D2" s="98" t="s">
        <v>3132</v>
      </c>
      <c r="E2" s="98" t="s">
        <v>3845</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x14ac:dyDescent="0.25">
      <c r="B3" s="51" t="s">
        <v>3084</v>
      </c>
      <c r="C3" s="51">
        <v>1</v>
      </c>
      <c r="D3" s="51" t="s">
        <v>3846</v>
      </c>
      <c r="E3" s="119">
        <v>45492</v>
      </c>
      <c r="F3" s="51">
        <v>6</v>
      </c>
      <c r="G3" s="234">
        <v>1</v>
      </c>
      <c r="H3" s="122">
        <v>994692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c r="AZ3" s="51" t="s">
        <v>3138</v>
      </c>
      <c r="BA3" s="51" t="s">
        <v>3138</v>
      </c>
      <c r="BB3" s="51" t="s">
        <v>3138</v>
      </c>
    </row>
    <row r="4" spans="2:54" x14ac:dyDescent="0.25">
      <c r="B4" s="51" t="s">
        <v>3086</v>
      </c>
      <c r="C4" s="51">
        <v>2</v>
      </c>
      <c r="D4" s="51" t="s">
        <v>3847</v>
      </c>
      <c r="E4" s="119">
        <v>45492</v>
      </c>
      <c r="F4" s="51">
        <v>6</v>
      </c>
      <c r="G4" s="234">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c r="AZ4" s="51" t="s">
        <v>3138</v>
      </c>
      <c r="BA4" s="51" t="s">
        <v>3138</v>
      </c>
      <c r="BB4" s="51" t="s">
        <v>3138</v>
      </c>
    </row>
    <row r="5" spans="2:54" x14ac:dyDescent="0.25">
      <c r="B5" s="51" t="s">
        <v>3088</v>
      </c>
      <c r="C5" s="51">
        <v>3</v>
      </c>
      <c r="D5" s="51" t="s">
        <v>3848</v>
      </c>
      <c r="E5" s="119">
        <v>45492</v>
      </c>
      <c r="F5" s="51">
        <v>6</v>
      </c>
      <c r="G5" s="234">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t="s">
        <v>3138</v>
      </c>
      <c r="AY5" s="51" t="s">
        <v>3138</v>
      </c>
      <c r="AZ5" s="51" t="s">
        <v>3138</v>
      </c>
      <c r="BA5" s="51">
        <v>0</v>
      </c>
      <c r="BB5" s="51" t="s">
        <v>3138</v>
      </c>
    </row>
    <row r="6" spans="2:54" x14ac:dyDescent="0.25">
      <c r="B6" s="121" t="s">
        <v>3090</v>
      </c>
      <c r="C6" s="51">
        <v>4</v>
      </c>
      <c r="D6" s="51" t="s">
        <v>3141</v>
      </c>
      <c r="E6" s="119" t="s">
        <v>3138</v>
      </c>
      <c r="F6" s="51">
        <v>6</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c r="AZ6" s="51" t="s">
        <v>3138</v>
      </c>
      <c r="BA6" s="51" t="s">
        <v>3138</v>
      </c>
      <c r="BB6" s="51" t="s">
        <v>3138</v>
      </c>
    </row>
    <row r="7" spans="2:54" x14ac:dyDescent="0.25">
      <c r="B7" s="51" t="s">
        <v>3092</v>
      </c>
      <c r="C7" s="51">
        <v>5</v>
      </c>
      <c r="D7" s="51" t="s">
        <v>3141</v>
      </c>
      <c r="E7" s="119" t="s">
        <v>3138</v>
      </c>
      <c r="F7" s="51">
        <v>6</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c r="AZ7" s="51" t="s">
        <v>3138</v>
      </c>
      <c r="BA7" s="51" t="s">
        <v>3138</v>
      </c>
      <c r="BB7" s="51" t="s">
        <v>3138</v>
      </c>
    </row>
    <row r="8" spans="2:54" x14ac:dyDescent="0.25">
      <c r="B8" s="121" t="s">
        <v>3093</v>
      </c>
      <c r="C8" s="51">
        <v>6</v>
      </c>
      <c r="D8" s="51" t="s">
        <v>3849</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x14ac:dyDescent="0.25">
      <c r="B9" s="51" t="s">
        <v>3096</v>
      </c>
      <c r="C9" s="51">
        <v>7</v>
      </c>
      <c r="D9" s="51" t="s">
        <v>3850</v>
      </c>
      <c r="E9" s="119">
        <v>45492</v>
      </c>
      <c r="F9" s="51">
        <v>6</v>
      </c>
      <c r="G9" s="234" cm="1">
        <f t="array" ref="G9">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x14ac:dyDescent="0.25">
      <c r="B10" s="51" t="s">
        <v>3099</v>
      </c>
      <c r="C10" s="51">
        <v>8</v>
      </c>
      <c r="D10" s="51" t="s">
        <v>3851</v>
      </c>
      <c r="E10" s="119">
        <v>45492</v>
      </c>
      <c r="F10" s="51">
        <v>6</v>
      </c>
      <c r="G10" s="51" t="s">
        <v>3138</v>
      </c>
      <c r="H10" s="51" t="s">
        <v>3138</v>
      </c>
      <c r="I10" s="51">
        <v>31</v>
      </c>
      <c r="J10" s="51">
        <v>2.317541E+21</v>
      </c>
      <c r="K10" s="51" t="s">
        <v>3852</v>
      </c>
      <c r="L10" s="51">
        <v>96</v>
      </c>
      <c r="M10" s="51">
        <v>1</v>
      </c>
      <c r="N10" s="119">
        <v>31</v>
      </c>
      <c r="O10" s="51">
        <v>1.3033148999999999E+22</v>
      </c>
      <c r="P10" s="119" t="s">
        <v>3146</v>
      </c>
      <c r="Q10" s="119" t="s">
        <v>3146</v>
      </c>
      <c r="R10" s="119">
        <v>578</v>
      </c>
      <c r="S10" s="122">
        <v>0</v>
      </c>
      <c r="T10" s="51">
        <v>0</v>
      </c>
      <c r="U10" s="51" t="s">
        <v>3147</v>
      </c>
      <c r="V10" s="51" t="s">
        <v>3147</v>
      </c>
      <c r="W10" s="51" t="s">
        <v>3147</v>
      </c>
      <c r="X10" s="51" t="s">
        <v>3147</v>
      </c>
      <c r="Y10" s="51" t="s">
        <v>3147</v>
      </c>
      <c r="Z10" s="51" t="s">
        <v>3147</v>
      </c>
      <c r="AA10" s="119" t="s">
        <v>3146</v>
      </c>
      <c r="AB10" s="122">
        <v>-28990000</v>
      </c>
      <c r="AC10" s="122" t="s">
        <v>3147</v>
      </c>
      <c r="AD10" s="119">
        <v>35480</v>
      </c>
      <c r="AE10" s="122">
        <v>-81710000</v>
      </c>
      <c r="AF10" s="119">
        <v>36984</v>
      </c>
      <c r="AG10" s="51" t="s">
        <v>3147</v>
      </c>
      <c r="AH10" s="119">
        <v>38499</v>
      </c>
      <c r="AI10" s="51" t="s">
        <v>3853</v>
      </c>
      <c r="AJ10" s="122">
        <v>1</v>
      </c>
      <c r="AK10" s="51"/>
      <c r="AL10" s="51" t="s">
        <v>3783</v>
      </c>
      <c r="AM10" s="51" t="e">
        <v>#N/A</v>
      </c>
      <c r="AN10" s="122">
        <v>-10000000</v>
      </c>
      <c r="AO10" s="51" t="s">
        <v>3147</v>
      </c>
      <c r="AP10" s="51" t="s">
        <v>3147</v>
      </c>
      <c r="AQ10" s="51" t="s">
        <v>3147</v>
      </c>
      <c r="AR10" s="51" t="s">
        <v>3783</v>
      </c>
      <c r="AS10" s="51" t="e">
        <v>#N/A</v>
      </c>
      <c r="AT10" s="122">
        <v>-11000000</v>
      </c>
      <c r="AU10" s="51" t="s">
        <v>3854</v>
      </c>
      <c r="AV10" s="51" t="s">
        <v>3855</v>
      </c>
      <c r="AW10" s="51" t="s">
        <v>3147</v>
      </c>
      <c r="AX10" s="119" t="s">
        <v>3148</v>
      </c>
      <c r="AY10" s="51" t="s">
        <v>3784</v>
      </c>
      <c r="AZ10" s="51" t="s">
        <v>3856</v>
      </c>
      <c r="BA10" s="119">
        <v>45491</v>
      </c>
      <c r="BB10" s="51" t="s">
        <v>3857</v>
      </c>
    </row>
    <row r="11" spans="2:54" x14ac:dyDescent="0.25">
      <c r="B11" s="51" t="s">
        <v>3101</v>
      </c>
      <c r="C11" s="51">
        <v>9</v>
      </c>
      <c r="D11" s="51" t="s">
        <v>3858</v>
      </c>
      <c r="E11" s="119">
        <v>45492</v>
      </c>
      <c r="F11" s="51">
        <v>6</v>
      </c>
      <c r="G11" s="51" t="s">
        <v>3138</v>
      </c>
      <c r="H11" s="51" t="s">
        <v>3138</v>
      </c>
      <c r="I11" s="51">
        <v>31</v>
      </c>
      <c r="J11" s="51">
        <v>2.317541E+21</v>
      </c>
      <c r="K11" s="51"/>
      <c r="L11" s="51">
        <v>96</v>
      </c>
      <c r="M11" s="51">
        <v>1</v>
      </c>
      <c r="N11" s="119"/>
      <c r="O11" s="51">
        <v>1.3033148999999999E+22</v>
      </c>
      <c r="P11" s="119" t="s">
        <v>3146</v>
      </c>
      <c r="Q11" s="119" t="s">
        <v>3146</v>
      </c>
      <c r="R11" s="119">
        <v>578</v>
      </c>
      <c r="S11" s="119">
        <v>0</v>
      </c>
      <c r="T11" s="51">
        <v>0</v>
      </c>
      <c r="U11" s="51" t="s">
        <v>3147</v>
      </c>
      <c r="V11" s="51" t="s">
        <v>3147</v>
      </c>
      <c r="W11" s="51" t="s">
        <v>3147</v>
      </c>
      <c r="X11" s="51" t="s">
        <v>3147</v>
      </c>
      <c r="Y11" s="51" t="s">
        <v>3147</v>
      </c>
      <c r="Z11" s="51" t="s">
        <v>3147</v>
      </c>
      <c r="AA11" s="119" t="s">
        <v>3146</v>
      </c>
      <c r="AB11" s="122">
        <v>-28990000</v>
      </c>
      <c r="AC11" s="51" t="s">
        <v>3147</v>
      </c>
      <c r="AD11" s="122">
        <v>35480</v>
      </c>
      <c r="AE11" s="122">
        <v>-81710000</v>
      </c>
      <c r="AF11" s="119">
        <v>36984</v>
      </c>
      <c r="AG11" s="51" t="s">
        <v>3147</v>
      </c>
      <c r="AH11" s="119">
        <v>38499</v>
      </c>
      <c r="AI11" s="51" t="s">
        <v>3853</v>
      </c>
      <c r="AJ11" s="122">
        <v>1</v>
      </c>
      <c r="AK11" s="51"/>
      <c r="AL11" s="51" t="s">
        <v>3783</v>
      </c>
      <c r="AM11" s="51" t="e">
        <v>#N/A</v>
      </c>
      <c r="AN11" s="122">
        <v>-10000000</v>
      </c>
      <c r="AO11" s="51" t="s">
        <v>3147</v>
      </c>
      <c r="AP11" s="51" t="s">
        <v>3147</v>
      </c>
      <c r="AQ11" s="51" t="s">
        <v>3147</v>
      </c>
      <c r="AR11" s="51" t="s">
        <v>3783</v>
      </c>
      <c r="AS11" s="51" t="e">
        <v>#N/A</v>
      </c>
      <c r="AT11" s="122">
        <v>-11000000</v>
      </c>
      <c r="AU11" s="51" t="s">
        <v>3854</v>
      </c>
      <c r="AV11" s="51" t="s">
        <v>3855</v>
      </c>
      <c r="AW11" s="51" t="s">
        <v>3147</v>
      </c>
      <c r="AX11" s="119">
        <v>0</v>
      </c>
      <c r="AY11" s="51" t="s">
        <v>3261</v>
      </c>
      <c r="AZ11" s="51" t="s">
        <v>3856</v>
      </c>
      <c r="BA11" s="119">
        <v>45491</v>
      </c>
      <c r="BB11" s="51" t="s">
        <v>3859</v>
      </c>
    </row>
    <row r="12" spans="2:54" x14ac:dyDescent="0.25">
      <c r="B12" s="121" t="s">
        <v>3103</v>
      </c>
      <c r="C12" s="51">
        <v>10</v>
      </c>
      <c r="D12" s="51" t="s">
        <v>3860</v>
      </c>
      <c r="E12" s="119">
        <v>45492</v>
      </c>
      <c r="F12" s="51">
        <v>6</v>
      </c>
      <c r="G12" s="51" t="s">
        <v>3138</v>
      </c>
      <c r="H12" s="51" t="s">
        <v>3138</v>
      </c>
      <c r="I12" s="51">
        <v>31</v>
      </c>
      <c r="J12" s="209">
        <v>6.8350096000050594E+29</v>
      </c>
      <c r="K12" s="51" t="s">
        <v>3852</v>
      </c>
      <c r="L12" s="51">
        <v>96</v>
      </c>
      <c r="M12" s="119" t="s">
        <v>3861</v>
      </c>
      <c r="N12" s="119">
        <v>31</v>
      </c>
      <c r="O12" s="122">
        <v>2.3950569509102E+29</v>
      </c>
      <c r="P12" s="217">
        <v>110541</v>
      </c>
      <c r="Q12" s="119">
        <v>100616</v>
      </c>
      <c r="R12" s="119">
        <v>978</v>
      </c>
      <c r="S12" s="181" t="s">
        <v>3862</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3386</v>
      </c>
      <c r="AL12" s="122" t="s">
        <v>3217</v>
      </c>
      <c r="AM12" s="119" t="s">
        <v>3863</v>
      </c>
      <c r="AN12" s="122">
        <v>2480712000</v>
      </c>
      <c r="AO12" s="122">
        <v>126000000</v>
      </c>
      <c r="AP12" s="122">
        <v>99999999</v>
      </c>
      <c r="AQ12" s="122">
        <v>13241605</v>
      </c>
      <c r="AR12" s="51" t="s">
        <v>3217</v>
      </c>
      <c r="AS12" s="122" t="s">
        <v>3863</v>
      </c>
      <c r="AT12" s="122">
        <v>2431200000</v>
      </c>
      <c r="AU12" s="122">
        <v>120000000</v>
      </c>
      <c r="AV12" s="122">
        <v>20722600</v>
      </c>
      <c r="AW12" s="122">
        <v>13241605</v>
      </c>
      <c r="AX12" s="119" t="s">
        <v>3377</v>
      </c>
      <c r="AY12" s="51" t="s">
        <v>3792</v>
      </c>
      <c r="AZ12" s="51" t="s">
        <v>3158</v>
      </c>
      <c r="BA12" s="119">
        <v>45492</v>
      </c>
      <c r="BB12" s="51" t="s">
        <v>3857</v>
      </c>
    </row>
    <row r="13" spans="2:54" x14ac:dyDescent="0.25">
      <c r="B13" s="51" t="s">
        <v>3105</v>
      </c>
      <c r="C13" s="51">
        <v>11</v>
      </c>
      <c r="D13" s="51" t="s">
        <v>3864</v>
      </c>
      <c r="E13" s="119">
        <v>45492</v>
      </c>
      <c r="F13" s="51">
        <v>6</v>
      </c>
      <c r="G13" s="51" t="s">
        <v>3138</v>
      </c>
      <c r="H13" s="51" t="s">
        <v>3138</v>
      </c>
      <c r="I13" s="51">
        <v>31</v>
      </c>
      <c r="J13" s="209">
        <v>6.8350096000050594E+29</v>
      </c>
      <c r="K13" s="51"/>
      <c r="L13" s="51">
        <v>96</v>
      </c>
      <c r="M13" s="119" t="s">
        <v>3861</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3386</v>
      </c>
      <c r="AL13" s="122" t="s">
        <v>3217</v>
      </c>
      <c r="AM13" s="119" t="s">
        <v>3863</v>
      </c>
      <c r="AN13" s="122">
        <v>2480712000</v>
      </c>
      <c r="AO13" s="122">
        <v>126000000</v>
      </c>
      <c r="AP13" s="122">
        <v>99999999</v>
      </c>
      <c r="AQ13" s="122">
        <v>13241605</v>
      </c>
      <c r="AR13" s="51" t="s">
        <v>3217</v>
      </c>
      <c r="AS13" s="51" t="s">
        <v>3863</v>
      </c>
      <c r="AT13" s="122">
        <v>2431200000</v>
      </c>
      <c r="AU13" s="122">
        <v>120000000</v>
      </c>
      <c r="AV13" s="122">
        <v>20722600</v>
      </c>
      <c r="AW13" s="122">
        <v>13241605</v>
      </c>
      <c r="AX13" s="119" t="s">
        <v>3865</v>
      </c>
      <c r="AY13" s="51" t="s">
        <v>3261</v>
      </c>
      <c r="AZ13" s="51" t="s">
        <v>3158</v>
      </c>
      <c r="BA13" s="119">
        <v>45492</v>
      </c>
      <c r="BB13" s="51" t="s">
        <v>3866</v>
      </c>
    </row>
    <row r="14" spans="2:54" x14ac:dyDescent="0.25">
      <c r="B14" s="51" t="s">
        <v>3107</v>
      </c>
      <c r="C14" s="51">
        <v>12</v>
      </c>
      <c r="D14" s="51" t="s">
        <v>3867</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x14ac:dyDescent="0.25">
      <c r="B15" s="51" t="s">
        <v>3109</v>
      </c>
      <c r="C15" s="51">
        <v>13</v>
      </c>
      <c r="D15" s="51" t="s">
        <v>3868</v>
      </c>
      <c r="E15" s="119">
        <v>45492</v>
      </c>
      <c r="F15" s="51">
        <v>6</v>
      </c>
      <c r="G15" s="234">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c r="X15" s="51" t="s">
        <v>3138</v>
      </c>
      <c r="Y15" s="51" t="s">
        <v>3138</v>
      </c>
      <c r="Z15" s="51" t="s">
        <v>3138</v>
      </c>
      <c r="AA15" s="51">
        <v>0</v>
      </c>
      <c r="AB15" s="51" t="s">
        <v>3138</v>
      </c>
      <c r="AC15" s="51" t="s">
        <v>3138</v>
      </c>
      <c r="AD15" s="51">
        <v>0</v>
      </c>
      <c r="AE15" s="51" t="s">
        <v>3138</v>
      </c>
      <c r="AF15" s="51">
        <v>0</v>
      </c>
      <c r="AG15" s="51" t="s">
        <v>3138</v>
      </c>
      <c r="AH15" s="51">
        <v>0</v>
      </c>
      <c r="AI15" s="51" t="s">
        <v>3138</v>
      </c>
      <c r="AJ15" s="51" t="s">
        <v>3138</v>
      </c>
      <c r="AK15" s="51" t="s">
        <v>3138</v>
      </c>
      <c r="AL15" s="51" t="s">
        <v>3138</v>
      </c>
      <c r="AM15" s="51" t="s">
        <v>3138</v>
      </c>
      <c r="AN15" s="51" t="s">
        <v>3138</v>
      </c>
      <c r="AO15" s="51" t="s">
        <v>3138</v>
      </c>
      <c r="AP15" s="51" t="s">
        <v>3138</v>
      </c>
      <c r="AQ15" s="51" t="s">
        <v>3138</v>
      </c>
      <c r="AR15" s="51" t="s">
        <v>3138</v>
      </c>
      <c r="AS15" s="51" t="s">
        <v>3138</v>
      </c>
      <c r="AT15" s="51" t="s">
        <v>3138</v>
      </c>
      <c r="AU15" s="51" t="s">
        <v>3138</v>
      </c>
      <c r="AV15" s="51" t="s">
        <v>3138</v>
      </c>
      <c r="AW15" s="51" t="s">
        <v>3138</v>
      </c>
      <c r="AX15" s="51" t="s">
        <v>3138</v>
      </c>
      <c r="AY15" s="51" t="s">
        <v>3138</v>
      </c>
      <c r="AZ15" s="51" t="s">
        <v>3138</v>
      </c>
      <c r="BA15" s="51" t="s">
        <v>3138</v>
      </c>
      <c r="BB15" s="51" t="s">
        <v>3138</v>
      </c>
    </row>
    <row r="16" spans="2:54" x14ac:dyDescent="0.25">
      <c r="B16" s="51" t="s">
        <v>3111</v>
      </c>
      <c r="C16" s="51">
        <v>14</v>
      </c>
      <c r="D16" s="51" t="s">
        <v>3869</v>
      </c>
      <c r="E16" s="119">
        <v>45492</v>
      </c>
      <c r="F16" s="51">
        <v>6</v>
      </c>
      <c r="G16" s="234">
        <v>1</v>
      </c>
      <c r="H16" s="51">
        <v>0</v>
      </c>
      <c r="I16" s="51" t="s">
        <v>3138</v>
      </c>
      <c r="J16" s="51" t="s">
        <v>3138</v>
      </c>
      <c r="K16" s="51">
        <v>0</v>
      </c>
      <c r="L16" s="51">
        <v>0</v>
      </c>
      <c r="M16" s="51">
        <v>0</v>
      </c>
      <c r="N16" s="51" t="s">
        <v>3138</v>
      </c>
      <c r="O16" s="51" t="s">
        <v>3138</v>
      </c>
      <c r="P16" s="51" t="s">
        <v>3138</v>
      </c>
      <c r="Q16" s="51" t="s">
        <v>3138</v>
      </c>
      <c r="R16" s="51">
        <v>0</v>
      </c>
      <c r="S16" s="51" t="s">
        <v>3138</v>
      </c>
      <c r="T16" s="51" t="s">
        <v>3138</v>
      </c>
      <c r="U16" s="51" t="s">
        <v>3138</v>
      </c>
      <c r="V16" s="51" t="s">
        <v>3138</v>
      </c>
      <c r="W16" s="51" t="s">
        <v>3138</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t="s">
        <v>3138</v>
      </c>
      <c r="AK16" s="51" t="s">
        <v>3138</v>
      </c>
      <c r="AL16" s="51" t="s">
        <v>3138</v>
      </c>
      <c r="AM16" s="51">
        <v>0</v>
      </c>
      <c r="AN16" s="51" t="s">
        <v>3138</v>
      </c>
      <c r="AO16" s="51" t="s">
        <v>3138</v>
      </c>
      <c r="AP16" s="51" t="s">
        <v>3138</v>
      </c>
      <c r="AQ16" s="51" t="s">
        <v>3138</v>
      </c>
      <c r="AR16" s="51">
        <v>0</v>
      </c>
      <c r="AS16" s="51">
        <v>0</v>
      </c>
      <c r="AT16" s="51" t="s">
        <v>3138</v>
      </c>
      <c r="AU16" s="51" t="s">
        <v>3138</v>
      </c>
      <c r="AV16" s="51" t="s">
        <v>3138</v>
      </c>
      <c r="AW16" s="51" t="s">
        <v>3138</v>
      </c>
      <c r="AX16" s="51">
        <v>0</v>
      </c>
      <c r="AY16" s="51">
        <v>0</v>
      </c>
      <c r="AZ16" s="51">
        <v>0</v>
      </c>
      <c r="BA16" s="51">
        <v>0</v>
      </c>
      <c r="BB16" s="51" t="s">
        <v>3138</v>
      </c>
    </row>
    <row r="17" spans="2:54" x14ac:dyDescent="0.25">
      <c r="B17" s="51" t="s">
        <v>3113</v>
      </c>
      <c r="C17" s="51">
        <v>15</v>
      </c>
      <c r="D17" s="51" t="s">
        <v>3870</v>
      </c>
      <c r="E17" s="119">
        <v>45492</v>
      </c>
      <c r="F17" s="51">
        <v>6</v>
      </c>
      <c r="G17" s="234">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c r="AZ17" s="51" t="s">
        <v>3138</v>
      </c>
      <c r="BA17" s="51" t="s">
        <v>3138</v>
      </c>
      <c r="BB17" s="51" t="s">
        <v>3138</v>
      </c>
    </row>
    <row r="18" spans="2:54" x14ac:dyDescent="0.25">
      <c r="B18" s="51" t="s">
        <v>3115</v>
      </c>
      <c r="C18" s="51">
        <v>16</v>
      </c>
      <c r="D18" s="51" t="s">
        <v>3870</v>
      </c>
      <c r="E18" s="119">
        <v>45492</v>
      </c>
      <c r="F18" s="51">
        <v>6</v>
      </c>
      <c r="G18" s="234">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c r="AZ18" s="51" t="s">
        <v>3138</v>
      </c>
      <c r="BA18" s="51" t="s">
        <v>3138</v>
      </c>
      <c r="BB18" s="51" t="s">
        <v>3138</v>
      </c>
    </row>
    <row r="19" spans="2:54" x14ac:dyDescent="0.25">
      <c r="B19" s="51" t="s">
        <v>3117</v>
      </c>
      <c r="C19" s="51">
        <v>17</v>
      </c>
      <c r="D19" s="51" t="s">
        <v>3871</v>
      </c>
      <c r="E19" s="119">
        <v>45492</v>
      </c>
      <c r="F19" s="51">
        <v>6</v>
      </c>
      <c r="G19" s="217">
        <v>0.72939600000000004</v>
      </c>
      <c r="H19" s="209">
        <v>269168</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c r="AT19" s="51" t="s">
        <v>3138</v>
      </c>
      <c r="AU19" s="51" t="s">
        <v>3138</v>
      </c>
      <c r="AV19" s="51" t="s">
        <v>3138</v>
      </c>
      <c r="AW19" s="51" t="s">
        <v>3138</v>
      </c>
      <c r="AX19" s="51" t="s">
        <v>3138</v>
      </c>
      <c r="AY19" s="51" t="s">
        <v>3138</v>
      </c>
      <c r="AZ19" s="51" t="s">
        <v>3138</v>
      </c>
      <c r="BA19" s="51" t="s">
        <v>3138</v>
      </c>
      <c r="BB19" s="51" t="s">
        <v>3138</v>
      </c>
    </row>
    <row r="20" spans="2:54" x14ac:dyDescent="0.25">
      <c r="B20" s="51" t="s">
        <v>3119</v>
      </c>
      <c r="C20" s="121">
        <v>18</v>
      </c>
      <c r="D20" s="51" t="s">
        <v>3871</v>
      </c>
      <c r="E20" s="119">
        <v>45492</v>
      </c>
      <c r="F20" s="51">
        <v>6</v>
      </c>
      <c r="G20" s="217">
        <v>0.99998100000000001</v>
      </c>
      <c r="H20" s="122">
        <v>27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c r="AZ20" s="51" t="s">
        <v>3138</v>
      </c>
      <c r="BA20" s="51" t="s">
        <v>3138</v>
      </c>
      <c r="BB20" s="51" t="s">
        <v>3138</v>
      </c>
    </row>
    <row r="21" spans="2:54" x14ac:dyDescent="0.25">
      <c r="B21" s="238" t="s">
        <v>3806</v>
      </c>
      <c r="C21" s="51">
        <v>19</v>
      </c>
      <c r="D21" s="51" t="s">
        <v>3871</v>
      </c>
      <c r="E21" s="119">
        <v>45492</v>
      </c>
      <c r="F21" s="51">
        <v>6</v>
      </c>
      <c r="G21" s="234" cm="1">
        <f t="array" ref="G21">SUMPRODUCT(--(ISNUMBER((SEARCH(I27:BB27,I21:BB21)))))/COUNTA(I21:BB21)</f>
        <v>1</v>
      </c>
      <c r="H21" s="51">
        <v>0</v>
      </c>
      <c r="I21" s="51" t="s">
        <v>3172</v>
      </c>
      <c r="J21" s="51" t="s">
        <v>3172</v>
      </c>
      <c r="K21" s="51" t="s">
        <v>3172</v>
      </c>
      <c r="L21" s="51" t="s">
        <v>3172</v>
      </c>
      <c r="M21" s="51" t="s">
        <v>3172</v>
      </c>
      <c r="N21" s="51" t="s">
        <v>3172</v>
      </c>
      <c r="O21" s="51" t="s">
        <v>3172</v>
      </c>
      <c r="P21" s="51" t="s">
        <v>3172</v>
      </c>
      <c r="Q21" s="51" t="s">
        <v>3172</v>
      </c>
      <c r="R21" s="51" t="s">
        <v>3172</v>
      </c>
      <c r="S21" s="51" t="s">
        <v>3172</v>
      </c>
      <c r="T21" s="51" t="s">
        <v>3556</v>
      </c>
      <c r="U21" s="51" t="s">
        <v>3173</v>
      </c>
      <c r="V21" s="51" t="s">
        <v>3173</v>
      </c>
      <c r="W21" s="51" t="s">
        <v>3173</v>
      </c>
      <c r="X21" s="51" t="s">
        <v>3173</v>
      </c>
      <c r="Y21" s="51" t="s">
        <v>3173</v>
      </c>
      <c r="Z21" s="51" t="s">
        <v>3173</v>
      </c>
      <c r="AA21" s="51" t="s">
        <v>3172</v>
      </c>
      <c r="AB21" s="51" t="s">
        <v>3173</v>
      </c>
      <c r="AC21" s="51" t="s">
        <v>3173</v>
      </c>
      <c r="AD21" s="51" t="s">
        <v>3172</v>
      </c>
      <c r="AE21" s="51" t="s">
        <v>3173</v>
      </c>
      <c r="AF21" s="51" t="s">
        <v>3172</v>
      </c>
      <c r="AG21" s="51" t="s">
        <v>3173</v>
      </c>
      <c r="AH21" s="51" t="s">
        <v>3172</v>
      </c>
      <c r="AI21" s="51" t="s">
        <v>3173</v>
      </c>
      <c r="AJ21" s="51" t="s">
        <v>3556</v>
      </c>
      <c r="AK21" s="51" t="s">
        <v>3172</v>
      </c>
      <c r="AL21" s="51" t="s">
        <v>3172</v>
      </c>
      <c r="AM21" s="51" t="s">
        <v>3172</v>
      </c>
      <c r="AN21" s="51" t="s">
        <v>3173</v>
      </c>
      <c r="AO21" s="51" t="s">
        <v>3173</v>
      </c>
      <c r="AP21" s="51" t="s">
        <v>3173</v>
      </c>
      <c r="AQ21" s="51" t="s">
        <v>3173</v>
      </c>
      <c r="AR21" s="51" t="s">
        <v>3172</v>
      </c>
      <c r="AS21" s="51" t="s">
        <v>3172</v>
      </c>
      <c r="AT21" s="51" t="s">
        <v>3173</v>
      </c>
      <c r="AU21" s="51" t="s">
        <v>3173</v>
      </c>
      <c r="AV21" s="51" t="s">
        <v>3173</v>
      </c>
      <c r="AW21" s="51" t="s">
        <v>3173</v>
      </c>
      <c r="AX21" s="51" t="s">
        <v>3172</v>
      </c>
      <c r="AY21" s="51" t="s">
        <v>3172</v>
      </c>
      <c r="AZ21" s="51" t="s">
        <v>3172</v>
      </c>
      <c r="BA21" s="51" t="s">
        <v>3172</v>
      </c>
      <c r="BB21" s="51" t="s">
        <v>3174</v>
      </c>
    </row>
    <row r="22" spans="2:54" x14ac:dyDescent="0.25">
      <c r="B22" s="51" t="s">
        <v>3124</v>
      </c>
      <c r="C22" s="51">
        <v>20</v>
      </c>
      <c r="D22" s="51" t="s">
        <v>3871</v>
      </c>
      <c r="E22" s="119">
        <v>45492</v>
      </c>
      <c r="F22" s="51">
        <v>6</v>
      </c>
      <c r="G22" s="217" cm="1">
        <f t="array" ref="G22">SUM(IF(I2:BB2 = I26:BB26, 1, 0))/ COUNTA(I2:BB2)</f>
        <v>1</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c r="AC22" s="51" t="s">
        <v>3138</v>
      </c>
      <c r="AD22" s="51" t="s">
        <v>3138</v>
      </c>
      <c r="AE22" s="51" t="s">
        <v>3138</v>
      </c>
      <c r="AF22" s="51" t="s">
        <v>3138</v>
      </c>
      <c r="AG22" s="51" t="s">
        <v>3138</v>
      </c>
      <c r="AH22" s="51" t="s">
        <v>3138</v>
      </c>
      <c r="AI22" s="51" t="s">
        <v>3138</v>
      </c>
      <c r="AJ22" s="51" t="s">
        <v>3138</v>
      </c>
      <c r="AK22" s="51" t="s">
        <v>3138</v>
      </c>
      <c r="AL22" s="51" t="s">
        <v>3138</v>
      </c>
      <c r="AM22" s="51" t="s">
        <v>3138</v>
      </c>
      <c r="AN22" s="51" t="s">
        <v>3138</v>
      </c>
      <c r="AO22" s="51" t="s">
        <v>3138</v>
      </c>
      <c r="AP22" s="51" t="s">
        <v>3138</v>
      </c>
      <c r="AQ22" s="51" t="s">
        <v>3138</v>
      </c>
      <c r="AR22" s="51" t="s">
        <v>3138</v>
      </c>
      <c r="AS22" s="51" t="s">
        <v>3138</v>
      </c>
      <c r="AT22" s="51" t="s">
        <v>3138</v>
      </c>
      <c r="AU22" s="51" t="s">
        <v>3138</v>
      </c>
      <c r="AV22" s="51" t="s">
        <v>3138</v>
      </c>
      <c r="AW22" s="51" t="s">
        <v>3138</v>
      </c>
      <c r="AX22" s="51" t="s">
        <v>3138</v>
      </c>
      <c r="AY22" s="51" t="s">
        <v>3138</v>
      </c>
      <c r="AZ22" s="51" t="s">
        <v>3138</v>
      </c>
      <c r="BA22" s="51" t="s">
        <v>3138</v>
      </c>
      <c r="BB22" s="51" t="s">
        <v>3138</v>
      </c>
    </row>
    <row r="23" spans="2:54" x14ac:dyDescent="0.25">
      <c r="B23" s="51" t="s">
        <v>3127</v>
      </c>
      <c r="C23" s="51">
        <v>21</v>
      </c>
      <c r="D23" s="51" t="s">
        <v>3871</v>
      </c>
      <c r="E23" s="119">
        <v>45492</v>
      </c>
      <c r="F23" s="51">
        <v>6</v>
      </c>
      <c r="G23" s="217" cm="1">
        <f t="array" ref="G23">SUM(IF(IF(G3:G22="null",1,G3:G22)=1,1,0))/COUNT(IF(G3:G22="null",1,1))</f>
        <v>0.85</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c r="AC23" s="51" t="s">
        <v>3138</v>
      </c>
      <c r="AD23" s="51" t="s">
        <v>3138</v>
      </c>
      <c r="AE23" s="51" t="s">
        <v>3138</v>
      </c>
      <c r="AF23" s="51" t="s">
        <v>3138</v>
      </c>
      <c r="AG23" s="51" t="s">
        <v>3138</v>
      </c>
      <c r="AH23" s="51" t="s">
        <v>3138</v>
      </c>
      <c r="AI23" s="51" t="s">
        <v>3138</v>
      </c>
      <c r="AJ23" s="51" t="s">
        <v>3138</v>
      </c>
      <c r="AK23" s="51" t="s">
        <v>3138</v>
      </c>
      <c r="AL23" s="51" t="s">
        <v>3138</v>
      </c>
      <c r="AM23" s="51" t="s">
        <v>3138</v>
      </c>
      <c r="AN23" s="51" t="s">
        <v>3138</v>
      </c>
      <c r="AO23" s="51" t="s">
        <v>3138</v>
      </c>
      <c r="AP23" s="51" t="s">
        <v>3138</v>
      </c>
      <c r="AQ23" s="51" t="s">
        <v>3138</v>
      </c>
      <c r="AR23" s="51" t="s">
        <v>3138</v>
      </c>
      <c r="AS23" s="51" t="s">
        <v>3138</v>
      </c>
      <c r="AT23" s="51" t="s">
        <v>3138</v>
      </c>
      <c r="AU23" s="51" t="s">
        <v>3138</v>
      </c>
      <c r="AV23" s="51" t="s">
        <v>3138</v>
      </c>
      <c r="AW23" s="51" t="s">
        <v>3138</v>
      </c>
      <c r="AX23" s="51" t="s">
        <v>3138</v>
      </c>
      <c r="AY23" s="51" t="s">
        <v>3138</v>
      </c>
      <c r="AZ23" s="51" t="s">
        <v>3138</v>
      </c>
      <c r="BA23" s="51" t="s">
        <v>3138</v>
      </c>
      <c r="BB23" s="51" t="s">
        <v>3138</v>
      </c>
    </row>
    <row r="24" spans="2:54" x14ac:dyDescent="0.25">
      <c r="B24" s="51"/>
      <c r="C24" s="51"/>
      <c r="D24" s="51"/>
      <c r="E24" s="119"/>
      <c r="F24" s="51"/>
      <c r="G24" s="51"/>
      <c r="H24" s="51"/>
      <c r="I24" s="51"/>
      <c r="J24" s="51"/>
      <c r="K24" s="51"/>
      <c r="L24" s="51"/>
      <c r="M24" s="51"/>
      <c r="N24" s="51"/>
      <c r="O24" s="51"/>
      <c r="P24" s="51"/>
      <c r="Q24" s="51"/>
      <c r="R24" s="51"/>
      <c r="S24" s="51"/>
    </row>
    <row r="25" spans="2:54" x14ac:dyDescent="0.25">
      <c r="B25" s="154" t="s">
        <v>3244</v>
      </c>
    </row>
    <row r="26" spans="2:54" x14ac:dyDescent="0.25">
      <c r="B26" s="152" t="s">
        <v>3130</v>
      </c>
      <c r="C26" s="153" t="s">
        <v>3131</v>
      </c>
      <c r="D26" s="153" t="s">
        <v>3132</v>
      </c>
      <c r="E26" s="153" t="s">
        <v>3133</v>
      </c>
      <c r="F26" s="153" t="s">
        <v>3134</v>
      </c>
      <c r="G26" s="153" t="s">
        <v>3135</v>
      </c>
      <c r="H26" s="153" t="s">
        <v>3136</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x14ac:dyDescent="0.25">
      <c r="B27" s="131" t="s">
        <v>3175</v>
      </c>
      <c r="C27" s="134">
        <v>21</v>
      </c>
      <c r="D27" s="128" t="s">
        <v>3176</v>
      </c>
      <c r="E27" s="127" t="s">
        <v>3177</v>
      </c>
      <c r="F27" s="127" t="s">
        <v>366</v>
      </c>
      <c r="G27" s="127" t="s">
        <v>366</v>
      </c>
      <c r="H27" s="127" t="s">
        <v>366</v>
      </c>
      <c r="I27" s="127" t="str" cm="1">
        <f t="array" ref="I27:BB28">TRANSPOSE(_xlfn.SORTBY(_xlfn._xlws.FILTER(IF(Table3[FORMATO]:Table3[COMP_ CAMPO]&lt;&gt;"",Table3[FORMATO]:Table3[COMP_ CAMPO],9999999),Table3[NOME FÍSICO TABELA]="loan"), _xlfn._xlws.FILTER(Table3[ORDEM], Table3[NOME FÍSICO TABELA]="loan"),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INT</v>
      </c>
      <c r="U27" s="127" t="str">
        <v>DECIMAL</v>
      </c>
      <c r="V27" s="127" t="str">
        <v>DECIMAL</v>
      </c>
      <c r="W27" s="127" t="str">
        <v>DECIMAL</v>
      </c>
      <c r="X27" s="127" t="str">
        <v>DECIMAL</v>
      </c>
      <c r="Y27" s="127" t="str">
        <v>DECIMAL</v>
      </c>
      <c r="Z27" s="127" t="str">
        <v>DECIMAL</v>
      </c>
      <c r="AA27" s="127" t="str">
        <v>STRING</v>
      </c>
      <c r="AB27" s="127" t="str">
        <v>DECIMAL</v>
      </c>
      <c r="AC27" s="127" t="str">
        <v>DECIMAL</v>
      </c>
      <c r="AD27" s="298" t="str">
        <v>STRING</v>
      </c>
      <c r="AE27" s="127" t="str">
        <v>DECIMAL</v>
      </c>
      <c r="AF27" s="127" t="str">
        <v>STRING</v>
      </c>
      <c r="AG27" s="289" t="str">
        <v>DECIMAL</v>
      </c>
      <c r="AH27" s="289" t="str">
        <v>STRING</v>
      </c>
      <c r="AI27" s="127" t="str">
        <v>DECIMAL</v>
      </c>
      <c r="AJ27" s="127" t="str">
        <v>INT</v>
      </c>
      <c r="AK27" s="127" t="str">
        <v>STRING</v>
      </c>
      <c r="AL27" s="127" t="str">
        <v>STRING</v>
      </c>
      <c r="AM27" s="127" t="str">
        <v>STRING</v>
      </c>
      <c r="AN27" s="127" t="str">
        <v>DECIMAL</v>
      </c>
      <c r="AO27" s="127" t="str">
        <v>DECIMAL</v>
      </c>
      <c r="AP27" s="127" t="str">
        <v>DECIMAL</v>
      </c>
      <c r="AQ27" s="127" t="str">
        <v>DECIMAL</v>
      </c>
      <c r="AR27" s="127" t="str">
        <v>STRING</v>
      </c>
      <c r="AS27" s="127" t="str">
        <v>STRING</v>
      </c>
      <c r="AT27" s="127" t="str">
        <v>DECIMAL</v>
      </c>
      <c r="AU27" s="127" t="str">
        <v>DECIMAL</v>
      </c>
      <c r="AV27" s="127" t="str">
        <v>DECIMAL</v>
      </c>
      <c r="AW27" s="127" t="str">
        <v>DECIMAL</v>
      </c>
      <c r="AX27" s="127" t="str">
        <v>STRING</v>
      </c>
      <c r="AY27" s="129" t="str">
        <v>STRING</v>
      </c>
      <c r="AZ27" s="129" t="str">
        <v>STRING</v>
      </c>
      <c r="BA27" s="129" t="str">
        <v>STRING</v>
      </c>
      <c r="BB27" s="133" t="str">
        <v>TIMESTAMP</v>
      </c>
    </row>
    <row r="28" spans="2:54" x14ac:dyDescent="0.25">
      <c r="B28" s="131" t="s">
        <v>3178</v>
      </c>
      <c r="C28" s="134">
        <v>7</v>
      </c>
      <c r="D28" s="128" t="s">
        <v>3176</v>
      </c>
      <c r="E28" s="127" t="s">
        <v>3177</v>
      </c>
      <c r="F28" s="129" t="s">
        <v>366</v>
      </c>
      <c r="G28" s="129" t="s">
        <v>366</v>
      </c>
      <c r="H28" s="129" t="s">
        <v>366</v>
      </c>
      <c r="I28" s="175">
        <v>4</v>
      </c>
      <c r="J28" s="175">
        <v>30</v>
      </c>
      <c r="K28" s="175">
        <v>4</v>
      </c>
      <c r="L28" s="175">
        <v>4</v>
      </c>
      <c r="M28" s="175">
        <v>4</v>
      </c>
      <c r="N28" s="175">
        <v>4</v>
      </c>
      <c r="O28" s="175">
        <v>30</v>
      </c>
      <c r="P28" s="175">
        <v>10</v>
      </c>
      <c r="Q28" s="175">
        <v>10</v>
      </c>
      <c r="R28" s="175">
        <v>4</v>
      </c>
      <c r="S28" s="175">
        <v>4</v>
      </c>
      <c r="T28" s="175">
        <v>9999999</v>
      </c>
      <c r="U28" s="175">
        <v>23</v>
      </c>
      <c r="V28" s="175">
        <v>23</v>
      </c>
      <c r="W28" s="175">
        <v>23</v>
      </c>
      <c r="X28" s="175">
        <v>23</v>
      </c>
      <c r="Y28" s="175">
        <v>23</v>
      </c>
      <c r="Z28" s="175">
        <v>23</v>
      </c>
      <c r="AA28" s="175">
        <v>10</v>
      </c>
      <c r="AB28" s="175">
        <v>23</v>
      </c>
      <c r="AC28" s="175">
        <v>23</v>
      </c>
      <c r="AD28" s="299">
        <v>10</v>
      </c>
      <c r="AE28" s="175">
        <v>23</v>
      </c>
      <c r="AF28" s="175">
        <v>10</v>
      </c>
      <c r="AG28" s="175">
        <v>23</v>
      </c>
      <c r="AH28" s="175">
        <v>10</v>
      </c>
      <c r="AI28" s="175">
        <v>23</v>
      </c>
      <c r="AJ28" s="175">
        <v>9999999</v>
      </c>
      <c r="AK28" s="175">
        <v>4</v>
      </c>
      <c r="AL28" s="175">
        <v>4</v>
      </c>
      <c r="AM28" s="175">
        <v>20</v>
      </c>
      <c r="AN28" s="175">
        <v>23</v>
      </c>
      <c r="AO28" s="175">
        <v>23</v>
      </c>
      <c r="AP28" s="175">
        <v>23</v>
      </c>
      <c r="AQ28" s="175">
        <v>23</v>
      </c>
      <c r="AR28" s="175">
        <v>3</v>
      </c>
      <c r="AS28" s="175">
        <v>20</v>
      </c>
      <c r="AT28" s="175">
        <v>23</v>
      </c>
      <c r="AU28" s="175">
        <v>23</v>
      </c>
      <c r="AV28" s="175">
        <v>23</v>
      </c>
      <c r="AW28" s="175">
        <v>23</v>
      </c>
      <c r="AX28" s="175">
        <v>4</v>
      </c>
      <c r="AY28" s="175">
        <v>4</v>
      </c>
      <c r="AZ28" s="175">
        <v>2</v>
      </c>
      <c r="BA28" s="175">
        <v>10</v>
      </c>
      <c r="BB28" s="176">
        <v>23</v>
      </c>
    </row>
    <row r="30" spans="2:54" x14ac:dyDescent="0.25">
      <c r="B30" s="164" t="s">
        <v>3179</v>
      </c>
    </row>
    <row r="31" spans="2:54" x14ac:dyDescent="0.25">
      <c r="B31" s="158" t="s">
        <v>3180</v>
      </c>
      <c r="C31" s="158" t="s">
        <v>3181</v>
      </c>
      <c r="D31" s="159" t="s">
        <v>3182</v>
      </c>
      <c r="E31" s="158" t="s">
        <v>3183</v>
      </c>
      <c r="F31" s="158" t="s">
        <v>3184</v>
      </c>
      <c r="H31" t="s">
        <v>3872</v>
      </c>
    </row>
    <row r="32" spans="2:54" ht="45" x14ac:dyDescent="0.25">
      <c r="B32" s="161" t="s">
        <v>3185</v>
      </c>
      <c r="C32" s="162" t="s">
        <v>213</v>
      </c>
      <c r="D32" s="292" t="s">
        <v>3873</v>
      </c>
      <c r="E32" s="293" t="s">
        <v>3874</v>
      </c>
      <c r="F32" s="213" t="s">
        <v>3194</v>
      </c>
      <c r="H32" s="307" t="s">
        <v>3875</v>
      </c>
      <c r="J32" s="50"/>
      <c r="L32" s="50"/>
    </row>
    <row r="33" spans="2:12" ht="30" x14ac:dyDescent="0.25">
      <c r="B33" s="161" t="s">
        <v>3185</v>
      </c>
      <c r="C33" s="139" t="s">
        <v>2001</v>
      </c>
      <c r="D33" s="294" t="s">
        <v>3876</v>
      </c>
      <c r="E33" s="170" t="s">
        <v>3877</v>
      </c>
      <c r="F33" s="160" t="s">
        <v>3191</v>
      </c>
      <c r="H33" s="291"/>
      <c r="J33" s="50"/>
      <c r="L33" s="50"/>
    </row>
    <row r="34" spans="2:12" ht="120" x14ac:dyDescent="0.25">
      <c r="B34" s="161" t="s">
        <v>3185</v>
      </c>
      <c r="C34" s="139" t="s">
        <v>3878</v>
      </c>
      <c r="D34" s="294" t="s">
        <v>3879</v>
      </c>
      <c r="E34" s="170" t="s">
        <v>3880</v>
      </c>
      <c r="F34" s="213" t="s">
        <v>3358</v>
      </c>
    </row>
    <row r="35" spans="2:12" ht="45" x14ac:dyDescent="0.25">
      <c r="B35" s="161" t="s">
        <v>3185</v>
      </c>
      <c r="C35" s="139" t="s">
        <v>3881</v>
      </c>
      <c r="D35" s="294" t="s">
        <v>3882</v>
      </c>
      <c r="E35" s="170" t="s">
        <v>3625</v>
      </c>
      <c r="F35" s="160" t="s">
        <v>3194</v>
      </c>
    </row>
    <row r="36" spans="2:12" ht="120" x14ac:dyDescent="0.25">
      <c r="B36" s="308" t="s">
        <v>3185</v>
      </c>
      <c r="C36" s="198" t="s">
        <v>3883</v>
      </c>
      <c r="D36" s="309" t="s">
        <v>3884</v>
      </c>
      <c r="E36" s="310" t="s">
        <v>3885</v>
      </c>
      <c r="F36" s="201" t="s">
        <v>3886</v>
      </c>
    </row>
    <row r="37" spans="2:12" ht="45" x14ac:dyDescent="0.25">
      <c r="B37" s="161" t="s">
        <v>3185</v>
      </c>
      <c r="C37" s="198" t="s">
        <v>2274</v>
      </c>
      <c r="D37" s="309" t="s">
        <v>3887</v>
      </c>
      <c r="E37" s="310" t="s">
        <v>3874</v>
      </c>
      <c r="F37" s="201" t="s">
        <v>3194</v>
      </c>
    </row>
    <row r="38" spans="2:12" ht="120" x14ac:dyDescent="0.25">
      <c r="B38" s="161" t="s">
        <v>3185</v>
      </c>
      <c r="C38" s="139" t="s">
        <v>1352</v>
      </c>
      <c r="D38" s="294" t="s">
        <v>3888</v>
      </c>
      <c r="E38" s="170" t="s">
        <v>3889</v>
      </c>
      <c r="F38" s="160" t="s">
        <v>3890</v>
      </c>
    </row>
    <row r="39" spans="2:12" ht="120" x14ac:dyDescent="0.25">
      <c r="B39" s="161" t="s">
        <v>3185</v>
      </c>
      <c r="C39" s="139" t="s">
        <v>1360</v>
      </c>
      <c r="D39" s="294" t="s">
        <v>3888</v>
      </c>
      <c r="E39" s="170" t="s">
        <v>3889</v>
      </c>
      <c r="F39" s="160" t="s">
        <v>3890</v>
      </c>
    </row>
    <row r="40" spans="2:12" ht="90" x14ac:dyDescent="0.25">
      <c r="B40" s="161" t="s">
        <v>3185</v>
      </c>
      <c r="C40" s="139" t="s">
        <v>1365</v>
      </c>
      <c r="D40" s="294" t="s">
        <v>3891</v>
      </c>
      <c r="E40" s="170" t="s">
        <v>3892</v>
      </c>
      <c r="F40" s="160" t="s">
        <v>3188</v>
      </c>
    </row>
    <row r="41" spans="2:12" ht="150" x14ac:dyDescent="0.25">
      <c r="B41" s="161" t="s">
        <v>3185</v>
      </c>
      <c r="C41" s="141" t="s">
        <v>1372</v>
      </c>
      <c r="D41" s="295" t="s">
        <v>3893</v>
      </c>
      <c r="E41" s="170" t="s">
        <v>3894</v>
      </c>
      <c r="F41" s="160" t="s">
        <v>3630</v>
      </c>
      <c r="H41" s="51"/>
    </row>
    <row r="42" spans="2:12" ht="135" x14ac:dyDescent="0.25">
      <c r="B42" s="161" t="s">
        <v>3185</v>
      </c>
      <c r="C42" s="139" t="s">
        <v>423</v>
      </c>
      <c r="D42" s="305" t="s">
        <v>3895</v>
      </c>
      <c r="E42" s="121" t="s">
        <v>3896</v>
      </c>
      <c r="F42" s="213" t="s">
        <v>3630</v>
      </c>
    </row>
    <row r="43" spans="2:12" ht="255" x14ac:dyDescent="0.25">
      <c r="B43" s="161" t="s">
        <v>3185</v>
      </c>
      <c r="C43" s="139" t="s">
        <v>432</v>
      </c>
      <c r="D43" s="305" t="s">
        <v>3897</v>
      </c>
      <c r="E43" s="170" t="s">
        <v>3898</v>
      </c>
      <c r="F43" s="213" t="s">
        <v>3561</v>
      </c>
    </row>
    <row r="44" spans="2:12" ht="285" x14ac:dyDescent="0.25">
      <c r="B44" s="161" t="s">
        <v>3185</v>
      </c>
      <c r="C44" s="139" t="s">
        <v>1391</v>
      </c>
      <c r="D44" s="305" t="s">
        <v>3899</v>
      </c>
      <c r="E44" s="311" t="s">
        <v>3900</v>
      </c>
      <c r="F44" s="213" t="s">
        <v>3901</v>
      </c>
    </row>
    <row r="45" spans="2:12" ht="90" x14ac:dyDescent="0.25">
      <c r="B45" s="161" t="s">
        <v>3185</v>
      </c>
      <c r="C45" s="139" t="s">
        <v>1767</v>
      </c>
      <c r="D45" s="295" t="s">
        <v>3902</v>
      </c>
      <c r="E45" s="170" t="s">
        <v>3903</v>
      </c>
      <c r="F45" s="213" t="s">
        <v>3904</v>
      </c>
      <c r="I45" s="304"/>
    </row>
    <row r="46" spans="2:12" ht="90" x14ac:dyDescent="0.25">
      <c r="B46" s="161" t="s">
        <v>3185</v>
      </c>
      <c r="C46" s="162" t="s">
        <v>1773</v>
      </c>
      <c r="D46" s="296" t="s">
        <v>3905</v>
      </c>
      <c r="E46" s="171" t="s">
        <v>3906</v>
      </c>
      <c r="F46" s="213" t="s">
        <v>3355</v>
      </c>
      <c r="I46" s="304"/>
    </row>
    <row r="47" spans="2:12" ht="90" x14ac:dyDescent="0.25">
      <c r="B47" s="161" t="s">
        <v>3185</v>
      </c>
      <c r="C47" s="139" t="s">
        <v>1403</v>
      </c>
      <c r="D47" s="296" t="s">
        <v>3907</v>
      </c>
      <c r="E47" s="170" t="s">
        <v>3908</v>
      </c>
      <c r="F47" s="213" t="s">
        <v>3904</v>
      </c>
      <c r="I47" s="51"/>
      <c r="J47" s="51"/>
      <c r="K47" s="51"/>
    </row>
    <row r="48" spans="2:12" ht="45" x14ac:dyDescent="0.25">
      <c r="B48" s="161" t="s">
        <v>3185</v>
      </c>
      <c r="C48" s="139" t="s">
        <v>2348</v>
      </c>
      <c r="D48" s="296" t="s">
        <v>3909</v>
      </c>
      <c r="E48" s="171" t="s">
        <v>3910</v>
      </c>
      <c r="F48" s="213" t="s">
        <v>3194</v>
      </c>
      <c r="I48" s="304"/>
    </row>
    <row r="49" spans="2:11" ht="135" x14ac:dyDescent="0.25">
      <c r="B49" s="161" t="s">
        <v>3185</v>
      </c>
      <c r="C49" s="139" t="s">
        <v>664</v>
      </c>
      <c r="D49" s="295" t="s">
        <v>3911</v>
      </c>
      <c r="E49" s="170" t="s">
        <v>3912</v>
      </c>
      <c r="F49" s="213" t="s">
        <v>3913</v>
      </c>
      <c r="I49" s="304"/>
    </row>
    <row r="50" spans="2:11" ht="90" x14ac:dyDescent="0.25">
      <c r="B50" s="161" t="s">
        <v>3185</v>
      </c>
      <c r="C50" s="139" t="s">
        <v>673</v>
      </c>
      <c r="D50" s="296" t="s">
        <v>3905</v>
      </c>
      <c r="E50" s="171" t="s">
        <v>3914</v>
      </c>
      <c r="F50" s="213" t="s">
        <v>3355</v>
      </c>
    </row>
    <row r="51" spans="2:11" ht="90" x14ac:dyDescent="0.25">
      <c r="B51" s="161" t="s">
        <v>3185</v>
      </c>
      <c r="C51" s="139" t="s">
        <v>681</v>
      </c>
      <c r="D51" s="296" t="s">
        <v>3915</v>
      </c>
      <c r="E51" s="170" t="s">
        <v>3916</v>
      </c>
      <c r="F51" s="213" t="s">
        <v>3355</v>
      </c>
      <c r="I51" s="51"/>
      <c r="J51" s="51"/>
    </row>
    <row r="52" spans="2:11" ht="45" x14ac:dyDescent="0.25">
      <c r="B52" s="161" t="s">
        <v>3185</v>
      </c>
      <c r="C52" s="162" t="s">
        <v>2363</v>
      </c>
      <c r="D52" s="296" t="s">
        <v>3917</v>
      </c>
      <c r="E52" s="171" t="s">
        <v>3918</v>
      </c>
      <c r="F52" s="213" t="s">
        <v>3194</v>
      </c>
      <c r="K52" s="50"/>
    </row>
    <row r="53" spans="2:11" ht="30" x14ac:dyDescent="0.25">
      <c r="B53" s="161" t="s">
        <v>3185</v>
      </c>
      <c r="C53" s="162" t="s">
        <v>324</v>
      </c>
      <c r="D53" s="296" t="s">
        <v>3919</v>
      </c>
      <c r="E53" s="171" t="s">
        <v>3920</v>
      </c>
      <c r="F53" s="213" t="s">
        <v>3194</v>
      </c>
    </row>
    <row r="54" spans="2:11" ht="60" x14ac:dyDescent="0.25">
      <c r="B54" s="197" t="s">
        <v>3185</v>
      </c>
      <c r="C54" s="198" t="s">
        <v>312</v>
      </c>
      <c r="D54" s="312" t="s">
        <v>3921</v>
      </c>
      <c r="E54" s="310" t="s">
        <v>3922</v>
      </c>
      <c r="F54" s="201" t="s">
        <v>3194</v>
      </c>
    </row>
    <row r="55" spans="2:11" ht="330" x14ac:dyDescent="0.25">
      <c r="B55" s="308" t="s">
        <v>3195</v>
      </c>
      <c r="C55" s="313" t="s">
        <v>3923</v>
      </c>
      <c r="D55" s="314" t="s">
        <v>3924</v>
      </c>
      <c r="E55" s="315" t="s">
        <v>3925</v>
      </c>
      <c r="F55" s="316" t="s">
        <v>3926</v>
      </c>
    </row>
    <row r="56" spans="2:11" ht="120" x14ac:dyDescent="0.25">
      <c r="B56" s="308" t="s">
        <v>3253</v>
      </c>
      <c r="C56" s="317" t="s">
        <v>3927</v>
      </c>
      <c r="D56" s="314" t="s">
        <v>3928</v>
      </c>
      <c r="E56" s="315" t="s">
        <v>3929</v>
      </c>
      <c r="F56" s="316" t="s">
        <v>3188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x14ac:dyDescent="0.25">
      <c r="B3" s="51" t="s">
        <v>3084</v>
      </c>
      <c r="C3" s="51">
        <v>1</v>
      </c>
      <c r="D3" s="51" t="s">
        <v>3930</v>
      </c>
      <c r="E3" s="119">
        <v>45495</v>
      </c>
      <c r="F3" s="51">
        <v>3</v>
      </c>
      <c r="G3" s="122">
        <v>1</v>
      </c>
      <c r="H3" s="51">
        <v>269078</v>
      </c>
      <c r="I3" s="51" t="s">
        <v>3138</v>
      </c>
      <c r="J3" s="51" t="s">
        <v>3138</v>
      </c>
      <c r="K3" s="51" t="s">
        <v>3138</v>
      </c>
      <c r="L3" s="51" t="s">
        <v>3138</v>
      </c>
      <c r="M3" s="51" t="s">
        <v>3138</v>
      </c>
      <c r="N3" s="51" t="s">
        <v>3138</v>
      </c>
      <c r="O3" s="51" t="s">
        <v>3138</v>
      </c>
      <c r="P3" s="51" t="s">
        <v>3138</v>
      </c>
      <c r="Q3" s="51" t="s">
        <v>3138</v>
      </c>
      <c r="R3" s="51" t="s">
        <v>3138</v>
      </c>
      <c r="S3" s="51" t="s">
        <v>3138</v>
      </c>
      <c r="T3" s="51" t="s">
        <v>3138</v>
      </c>
      <c r="U3" s="30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x14ac:dyDescent="0.25">
      <c r="B4" s="51" t="s">
        <v>3086</v>
      </c>
      <c r="C4" s="51">
        <v>2</v>
      </c>
      <c r="D4" s="51" t="s">
        <v>3931</v>
      </c>
      <c r="E4" s="119">
        <v>45495</v>
      </c>
      <c r="F4" s="51">
        <v>3</v>
      </c>
      <c r="G4" s="51">
        <v>0.99996300000000005</v>
      </c>
      <c r="H4" s="122">
        <v>10</v>
      </c>
      <c r="I4" s="51" t="s">
        <v>3138</v>
      </c>
      <c r="J4" s="51" t="s">
        <v>3138</v>
      </c>
      <c r="K4" s="51" t="s">
        <v>3138</v>
      </c>
      <c r="L4" s="51" t="s">
        <v>3138</v>
      </c>
      <c r="M4" s="51" t="s">
        <v>3138</v>
      </c>
      <c r="N4" s="51" t="s">
        <v>3138</v>
      </c>
      <c r="O4" s="51" t="s">
        <v>3138</v>
      </c>
      <c r="P4" s="51" t="s">
        <v>3138</v>
      </c>
      <c r="Q4" s="51" t="s">
        <v>3138</v>
      </c>
      <c r="R4" s="51" t="s">
        <v>3138</v>
      </c>
      <c r="S4" s="51" t="s">
        <v>3138</v>
      </c>
      <c r="T4" s="51" t="s">
        <v>3138</v>
      </c>
      <c r="U4" s="30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x14ac:dyDescent="0.25">
      <c r="B5" s="51" t="s">
        <v>3088</v>
      </c>
      <c r="C5" s="51">
        <v>3</v>
      </c>
      <c r="D5" s="51" t="s">
        <v>3932</v>
      </c>
      <c r="E5" s="119">
        <v>45495</v>
      </c>
      <c r="F5" s="51">
        <v>3</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30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x14ac:dyDescent="0.25">
      <c r="B6" s="121" t="s">
        <v>3090</v>
      </c>
      <c r="C6" s="51">
        <v>4</v>
      </c>
      <c r="D6" s="51" t="s">
        <v>3141</v>
      </c>
      <c r="E6" s="119" t="s">
        <v>3138</v>
      </c>
      <c r="F6" s="51">
        <v>3</v>
      </c>
      <c r="G6" s="51"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30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x14ac:dyDescent="0.25">
      <c r="B7" s="51" t="s">
        <v>3092</v>
      </c>
      <c r="C7" s="51">
        <v>5</v>
      </c>
      <c r="D7" s="51" t="s">
        <v>3141</v>
      </c>
      <c r="E7" s="119" t="s">
        <v>3138</v>
      </c>
      <c r="F7" s="51">
        <v>3</v>
      </c>
      <c r="G7" s="51"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30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x14ac:dyDescent="0.25">
      <c r="B8" s="121" t="s">
        <v>3093</v>
      </c>
      <c r="C8" s="51">
        <v>6</v>
      </c>
      <c r="D8" s="51" t="s">
        <v>3933</v>
      </c>
      <c r="E8" s="119">
        <v>45495</v>
      </c>
      <c r="F8" s="51">
        <v>3</v>
      </c>
      <c r="G8" s="234" cm="1">
        <f t="array" ref="G8">SUMPRODUCT(--(I8:AJ8&gt;0))/COUNTA(I8:AJ8)</f>
        <v>1</v>
      </c>
      <c r="H8" s="51" t="s">
        <v>3147</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3261</v>
      </c>
      <c r="AH8" s="51">
        <v>2</v>
      </c>
      <c r="AI8" s="51">
        <v>10</v>
      </c>
      <c r="AJ8" s="51">
        <v>22</v>
      </c>
      <c r="AK8" s="51"/>
      <c r="AL8" s="51"/>
      <c r="AM8" s="51"/>
      <c r="AN8" s="51"/>
    </row>
    <row r="9" spans="2:40" x14ac:dyDescent="0.25">
      <c r="B9" s="51" t="s">
        <v>3096</v>
      </c>
      <c r="C9" s="51">
        <v>7</v>
      </c>
      <c r="D9" s="51" t="s">
        <v>3934</v>
      </c>
      <c r="E9" s="119">
        <v>45495</v>
      </c>
      <c r="F9" s="51">
        <v>3</v>
      </c>
      <c r="G9" s="234" cm="1">
        <f t="array" ref="G9">SUMPRODUCT(--(I9:AJ9 &lt;= I28:AJ28))/COUNTA(I28:AJ28)</f>
        <v>0.6071428571428571</v>
      </c>
      <c r="H9" s="51" t="s">
        <v>3147</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3261</v>
      </c>
      <c r="AH9" s="51">
        <v>2</v>
      </c>
      <c r="AI9" s="51">
        <v>10</v>
      </c>
      <c r="AJ9" s="51">
        <v>22</v>
      </c>
      <c r="AK9" s="51"/>
      <c r="AL9" s="51"/>
      <c r="AM9" s="51"/>
      <c r="AN9" s="51"/>
    </row>
    <row r="10" spans="2:40" x14ac:dyDescent="0.25">
      <c r="B10" s="51" t="s">
        <v>3099</v>
      </c>
      <c r="C10" s="51">
        <v>8</v>
      </c>
      <c r="D10" s="51" t="s">
        <v>3935</v>
      </c>
      <c r="E10" s="119">
        <v>45495</v>
      </c>
      <c r="F10" s="51">
        <v>3</v>
      </c>
      <c r="G10" s="51" t="s">
        <v>3138</v>
      </c>
      <c r="H10" s="51" t="s">
        <v>3147</v>
      </c>
      <c r="I10" s="51">
        <v>31</v>
      </c>
      <c r="J10" s="51">
        <v>2.4845061000001999E+22</v>
      </c>
      <c r="K10" s="51" t="s">
        <v>3936</v>
      </c>
      <c r="L10" s="51">
        <v>61</v>
      </c>
      <c r="M10" s="51">
        <v>0</v>
      </c>
      <c r="N10" s="51">
        <v>31</v>
      </c>
      <c r="O10" s="51">
        <v>2.1208001000000002E+22</v>
      </c>
      <c r="P10" s="119">
        <v>26384</v>
      </c>
      <c r="Q10" s="119">
        <v>40121</v>
      </c>
      <c r="R10" s="122">
        <v>36</v>
      </c>
      <c r="S10" s="122" t="s">
        <v>3147</v>
      </c>
      <c r="T10" s="122" t="s">
        <v>3147</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3148</v>
      </c>
      <c r="AG10" s="51" t="s">
        <v>3261</v>
      </c>
      <c r="AH10" s="51" t="s">
        <v>3937</v>
      </c>
      <c r="AI10" s="119">
        <v>45495</v>
      </c>
      <c r="AJ10" s="51" t="s">
        <v>3938</v>
      </c>
      <c r="AK10" s="51"/>
      <c r="AL10" s="51"/>
      <c r="AM10" s="119"/>
      <c r="AN10" s="119"/>
    </row>
    <row r="11" spans="2:40" x14ac:dyDescent="0.25">
      <c r="B11" s="51" t="s">
        <v>3101</v>
      </c>
      <c r="C11" s="51">
        <v>9</v>
      </c>
      <c r="D11" s="51" t="s">
        <v>3939</v>
      </c>
      <c r="E11" s="119">
        <v>45495</v>
      </c>
      <c r="F11" s="51">
        <v>3</v>
      </c>
      <c r="G11" s="51" t="s">
        <v>3138</v>
      </c>
      <c r="H11" s="51" t="s">
        <v>3147</v>
      </c>
      <c r="I11" s="51">
        <v>31</v>
      </c>
      <c r="J11" s="51">
        <v>2.4845061000001999E+22</v>
      </c>
      <c r="K11" s="51"/>
      <c r="L11" s="51">
        <v>61</v>
      </c>
      <c r="M11" s="51">
        <v>0</v>
      </c>
      <c r="N11" s="119"/>
      <c r="O11" s="51">
        <v>2.1208001000000002E+22</v>
      </c>
      <c r="P11" s="119">
        <v>26384</v>
      </c>
      <c r="Q11" s="119">
        <v>40121</v>
      </c>
      <c r="R11" s="51">
        <v>36</v>
      </c>
      <c r="S11" s="51" t="s">
        <v>3223</v>
      </c>
      <c r="T11" s="51" t="s">
        <v>3223</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3163</v>
      </c>
      <c r="AG11" s="51" t="s">
        <v>3261</v>
      </c>
      <c r="AH11" s="51" t="s">
        <v>3937</v>
      </c>
      <c r="AI11" s="119">
        <v>45495</v>
      </c>
      <c r="AJ11" s="51" t="s">
        <v>3940</v>
      </c>
      <c r="AK11" s="51"/>
      <c r="AL11" s="51"/>
      <c r="AM11" s="119"/>
      <c r="AN11" s="119"/>
    </row>
    <row r="12" spans="2:40" x14ac:dyDescent="0.25">
      <c r="B12" s="121" t="s">
        <v>3103</v>
      </c>
      <c r="C12" s="51">
        <v>10</v>
      </c>
      <c r="D12" s="51" t="s">
        <v>3941</v>
      </c>
      <c r="E12" s="119">
        <v>45495</v>
      </c>
      <c r="F12" s="51">
        <v>3</v>
      </c>
      <c r="G12" s="51" t="s">
        <v>3138</v>
      </c>
      <c r="H12" s="51" t="s">
        <v>3147</v>
      </c>
      <c r="I12" s="51">
        <v>31</v>
      </c>
      <c r="J12" s="51">
        <v>5.4060000086906101E+29</v>
      </c>
      <c r="K12" s="51" t="s">
        <v>3936</v>
      </c>
      <c r="L12" s="51">
        <v>269</v>
      </c>
      <c r="M12" s="51" t="s">
        <v>3942</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3148</v>
      </c>
      <c r="AG12" s="51" t="s">
        <v>3261</v>
      </c>
      <c r="AH12" s="119" t="s">
        <v>3937</v>
      </c>
      <c r="AI12" s="119">
        <v>45495</v>
      </c>
      <c r="AJ12" s="51" t="s">
        <v>3938</v>
      </c>
      <c r="AK12" s="51"/>
      <c r="AL12" s="51"/>
      <c r="AM12" s="119"/>
      <c r="AN12" s="119"/>
    </row>
    <row r="13" spans="2:40" x14ac:dyDescent="0.25">
      <c r="B13" s="51" t="s">
        <v>3105</v>
      </c>
      <c r="C13" s="51">
        <v>11</v>
      </c>
      <c r="D13" s="51" t="s">
        <v>3943</v>
      </c>
      <c r="E13" s="119">
        <v>45495</v>
      </c>
      <c r="F13" s="51">
        <v>3</v>
      </c>
      <c r="G13" s="51" t="s">
        <v>3138</v>
      </c>
      <c r="H13" s="51" t="s">
        <v>3147</v>
      </c>
      <c r="I13" s="51">
        <v>31</v>
      </c>
      <c r="J13" s="51">
        <v>5.4060000086906101E+29</v>
      </c>
      <c r="K13" s="51"/>
      <c r="L13" s="51">
        <v>269</v>
      </c>
      <c r="M13" s="51" t="s">
        <v>3942</v>
      </c>
      <c r="N13" s="119"/>
      <c r="O13" s="51">
        <v>2.39700506824024E+29</v>
      </c>
      <c r="P13" s="119">
        <v>45495</v>
      </c>
      <c r="Q13" s="119">
        <v>50908</v>
      </c>
      <c r="R13" s="51">
        <v>978</v>
      </c>
      <c r="S13" s="119" t="s">
        <v>3944</v>
      </c>
      <c r="T13" s="122" t="s">
        <v>3944</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3163</v>
      </c>
      <c r="AG13" s="51" t="s">
        <v>3261</v>
      </c>
      <c r="AH13" s="119" t="s">
        <v>3937</v>
      </c>
      <c r="AI13" s="119">
        <v>45495</v>
      </c>
      <c r="AJ13" s="51" t="s">
        <v>3945</v>
      </c>
      <c r="AK13" s="51"/>
      <c r="AL13" s="51"/>
      <c r="AM13" s="119"/>
      <c r="AN13" s="119"/>
    </row>
    <row r="14" spans="2:40" x14ac:dyDescent="0.25">
      <c r="B14" s="51" t="s">
        <v>3107</v>
      </c>
      <c r="C14" s="51">
        <v>12</v>
      </c>
      <c r="D14" s="51" t="s">
        <v>3946</v>
      </c>
      <c r="E14" s="119">
        <v>45495</v>
      </c>
      <c r="F14" s="51">
        <v>3</v>
      </c>
      <c r="G14" s="51">
        <v>0.89285700000000001</v>
      </c>
      <c r="H14" s="51" t="s">
        <v>3147</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x14ac:dyDescent="0.25">
      <c r="B15" s="51" t="s">
        <v>3109</v>
      </c>
      <c r="C15" s="51">
        <v>13</v>
      </c>
      <c r="D15" s="51" t="s">
        <v>3947</v>
      </c>
      <c r="E15" s="119">
        <v>45495</v>
      </c>
      <c r="F15" s="51">
        <v>3</v>
      </c>
      <c r="G15" s="122">
        <v>1</v>
      </c>
      <c r="H15" s="51" t="s">
        <v>3147</v>
      </c>
      <c r="I15" s="51" t="s">
        <v>3138</v>
      </c>
      <c r="J15" s="51" t="s">
        <v>3138</v>
      </c>
      <c r="K15" s="51" t="s">
        <v>3138</v>
      </c>
      <c r="L15" s="51" t="s">
        <v>3138</v>
      </c>
      <c r="M15" s="51" t="s">
        <v>3138</v>
      </c>
      <c r="N15" s="119" t="s">
        <v>3138</v>
      </c>
      <c r="O15" s="119" t="s">
        <v>3138</v>
      </c>
      <c r="P15" s="51">
        <v>0</v>
      </c>
      <c r="Q15" s="51">
        <v>0</v>
      </c>
      <c r="R15" s="51" t="s">
        <v>3138</v>
      </c>
      <c r="S15" s="119" t="s">
        <v>3138</v>
      </c>
      <c r="T15" s="119" t="s">
        <v>3138</v>
      </c>
      <c r="U15" s="301" t="s">
        <v>3138</v>
      </c>
      <c r="V15" s="301" t="s">
        <v>3138</v>
      </c>
      <c r="W15" s="301" t="s">
        <v>3138</v>
      </c>
      <c r="X15" s="301" t="s">
        <v>3138</v>
      </c>
      <c r="Y15" s="301" t="s">
        <v>3138</v>
      </c>
      <c r="Z15" s="301" t="s">
        <v>3138</v>
      </c>
      <c r="AA15" s="301" t="s">
        <v>3138</v>
      </c>
      <c r="AB15" s="301" t="s">
        <v>3138</v>
      </c>
      <c r="AC15" s="303" t="s">
        <v>3138</v>
      </c>
      <c r="AD15" s="301" t="s">
        <v>3138</v>
      </c>
      <c r="AE15" s="301" t="s">
        <v>3138</v>
      </c>
      <c r="AF15" s="51" t="s">
        <v>3138</v>
      </c>
      <c r="AG15" s="51" t="s">
        <v>3138</v>
      </c>
      <c r="AH15" s="119" t="s">
        <v>3138</v>
      </c>
      <c r="AI15" s="51" t="s">
        <v>3138</v>
      </c>
      <c r="AJ15" s="51" t="s">
        <v>3138</v>
      </c>
      <c r="AK15" s="51"/>
      <c r="AL15" s="51"/>
      <c r="AM15" s="51"/>
      <c r="AN15" s="119"/>
    </row>
    <row r="16" spans="2:40" x14ac:dyDescent="0.25">
      <c r="B16" s="51" t="s">
        <v>3111</v>
      </c>
      <c r="C16" s="51">
        <v>14</v>
      </c>
      <c r="D16" s="51" t="s">
        <v>3948</v>
      </c>
      <c r="E16" s="119">
        <v>45495</v>
      </c>
      <c r="F16" s="51">
        <v>3</v>
      </c>
      <c r="G16" s="122">
        <v>1</v>
      </c>
      <c r="H16" s="51" t="s">
        <v>3147</v>
      </c>
      <c r="I16" s="51">
        <v>0</v>
      </c>
      <c r="J16" s="51">
        <v>0</v>
      </c>
      <c r="K16" s="51">
        <v>0</v>
      </c>
      <c r="L16" s="51">
        <v>0</v>
      </c>
      <c r="M16" s="51">
        <v>0</v>
      </c>
      <c r="N16" s="51">
        <v>0</v>
      </c>
      <c r="O16" s="51">
        <v>0</v>
      </c>
      <c r="P16" s="51" t="s">
        <v>3138</v>
      </c>
      <c r="Q16" s="51" t="s">
        <v>3138</v>
      </c>
      <c r="R16" s="51">
        <v>0</v>
      </c>
      <c r="S16" s="51" t="s">
        <v>3138</v>
      </c>
      <c r="T16" s="51" t="s">
        <v>3138</v>
      </c>
      <c r="U16" s="301" t="s">
        <v>3138</v>
      </c>
      <c r="V16" s="301" t="s">
        <v>3138</v>
      </c>
      <c r="W16" s="301" t="s">
        <v>3138</v>
      </c>
      <c r="X16" s="301" t="s">
        <v>3138</v>
      </c>
      <c r="Y16" s="301" t="s">
        <v>3138</v>
      </c>
      <c r="Z16" s="301" t="s">
        <v>3138</v>
      </c>
      <c r="AA16" s="301" t="s">
        <v>3138</v>
      </c>
      <c r="AB16" s="301" t="s">
        <v>3138</v>
      </c>
      <c r="AC16" s="301" t="s">
        <v>3138</v>
      </c>
      <c r="AD16" s="301" t="s">
        <v>3138</v>
      </c>
      <c r="AE16" s="301" t="s">
        <v>3138</v>
      </c>
      <c r="AF16" s="51">
        <v>0</v>
      </c>
      <c r="AG16" s="51">
        <v>0</v>
      </c>
      <c r="AH16" s="51">
        <v>0</v>
      </c>
      <c r="AI16" s="51" t="s">
        <v>3138</v>
      </c>
      <c r="AJ16" s="51" t="s">
        <v>3138</v>
      </c>
      <c r="AK16" s="51"/>
      <c r="AL16" s="51"/>
      <c r="AM16" s="51"/>
      <c r="AN16" s="51"/>
    </row>
    <row r="17" spans="2:41" x14ac:dyDescent="0.25">
      <c r="B17" s="51" t="s">
        <v>3113</v>
      </c>
      <c r="C17" s="51">
        <v>15</v>
      </c>
      <c r="D17" s="51" t="s">
        <v>3949</v>
      </c>
      <c r="E17" s="119">
        <v>45495</v>
      </c>
      <c r="F17" s="51">
        <v>3</v>
      </c>
      <c r="G17" s="122">
        <v>1</v>
      </c>
      <c r="H17" s="122" t="s">
        <v>3147</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30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1" x14ac:dyDescent="0.25">
      <c r="B18" s="51" t="s">
        <v>3115</v>
      </c>
      <c r="C18" s="51">
        <v>16</v>
      </c>
      <c r="D18" s="51" t="s">
        <v>3949</v>
      </c>
      <c r="E18" s="119">
        <v>45495</v>
      </c>
      <c r="F18" s="51">
        <v>3</v>
      </c>
      <c r="G18" s="122">
        <v>1</v>
      </c>
      <c r="H18" s="122" t="s">
        <v>3147</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30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1" x14ac:dyDescent="0.25">
      <c r="B19" s="51" t="s">
        <v>3117</v>
      </c>
      <c r="C19" s="51">
        <v>17</v>
      </c>
      <c r="D19" s="51" t="s">
        <v>3950</v>
      </c>
      <c r="E19" s="119">
        <v>45495</v>
      </c>
      <c r="F19" s="51">
        <v>3</v>
      </c>
      <c r="G19" s="51">
        <v>0.98260000000000003</v>
      </c>
      <c r="H19" s="237">
        <v>4682000000</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30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1" x14ac:dyDescent="0.25">
      <c r="B20" s="51" t="s">
        <v>3119</v>
      </c>
      <c r="C20" s="51">
        <v>18</v>
      </c>
      <c r="D20" s="51" t="s">
        <v>3950</v>
      </c>
      <c r="E20" s="119">
        <v>45495</v>
      </c>
      <c r="F20" s="51">
        <v>3</v>
      </c>
      <c r="G20" s="122">
        <v>1</v>
      </c>
      <c r="H20" s="217" t="s">
        <v>3147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30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1" x14ac:dyDescent="0.25">
      <c r="B21" s="51" t="s">
        <v>3121</v>
      </c>
      <c r="C21" s="51">
        <v>19</v>
      </c>
      <c r="D21" s="51" t="s">
        <v>3951</v>
      </c>
      <c r="E21" s="119">
        <v>45495</v>
      </c>
      <c r="F21" s="51">
        <v>3</v>
      </c>
      <c r="G21" s="234" cm="1">
        <f t="array" ref="G21">SUMPRODUCT(--(ISNUMBER((SEARCH(I27:AJ27,I21:AJ21)))))/COUNTA(I21:AJ21)</f>
        <v>0.7142857142857143</v>
      </c>
      <c r="H21" s="51" t="s">
        <v>3147</v>
      </c>
      <c r="I21" s="51" t="s">
        <v>3172</v>
      </c>
      <c r="J21" s="51" t="s">
        <v>3172</v>
      </c>
      <c r="K21" s="51" t="s">
        <v>3172</v>
      </c>
      <c r="L21" s="51" t="s">
        <v>3172</v>
      </c>
      <c r="M21" s="51" t="s">
        <v>3172</v>
      </c>
      <c r="N21" s="51" t="s">
        <v>3172</v>
      </c>
      <c r="O21" s="51" t="s">
        <v>3172</v>
      </c>
      <c r="P21" s="121" t="s">
        <v>3172</v>
      </c>
      <c r="Q21" s="121" t="s">
        <v>3172</v>
      </c>
      <c r="R21" s="51" t="s">
        <v>3172</v>
      </c>
      <c r="S21" s="51" t="s">
        <v>3172</v>
      </c>
      <c r="T21" s="51" t="s">
        <v>3173</v>
      </c>
      <c r="U21" s="301" t="s">
        <v>3172</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1" x14ac:dyDescent="0.25">
      <c r="B22" s="51" t="s">
        <v>3124</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x14ac:dyDescent="0.25">
      <c r="B23" s="51" t="s">
        <v>3127</v>
      </c>
      <c r="C23" s="51">
        <v>21</v>
      </c>
      <c r="D23" s="51"/>
      <c r="E23" s="119"/>
      <c r="F23" s="51"/>
      <c r="G23" s="217" cm="1">
        <f t="array" ref="G23">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x14ac:dyDescent="0.25">
      <c r="B25" s="154" t="s">
        <v>3244</v>
      </c>
    </row>
    <row r="26" spans="2:41" x14ac:dyDescent="0.25">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x14ac:dyDescent="0.25">
      <c r="B27" s="131" t="s">
        <v>3175</v>
      </c>
      <c r="C27" s="116">
        <v>21</v>
      </c>
      <c r="D27" s="115" t="s">
        <v>3176</v>
      </c>
      <c r="E27" t="s">
        <v>3177</v>
      </c>
      <c r="F27" t="s">
        <v>366</v>
      </c>
      <c r="G27" t="s">
        <v>366</v>
      </c>
      <c r="H27" t="s">
        <v>366</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0" t="str">
        <v>TIMESTAMP</v>
      </c>
    </row>
    <row r="28" spans="2:41" x14ac:dyDescent="0.25">
      <c r="B28" s="131" t="s">
        <v>3178</v>
      </c>
      <c r="C28" s="175">
        <v>7</v>
      </c>
      <c r="D28" s="130" t="s">
        <v>3176</v>
      </c>
      <c r="E28" s="129" t="s">
        <v>3177</v>
      </c>
      <c r="F28" s="129" t="s">
        <v>366</v>
      </c>
      <c r="G28" s="129" t="s">
        <v>366</v>
      </c>
      <c r="H28" s="129" t="s">
        <v>366</v>
      </c>
      <c r="I28" s="175">
        <v>4</v>
      </c>
      <c r="J28" s="175">
        <v>30</v>
      </c>
      <c r="K28" s="175">
        <v>10</v>
      </c>
      <c r="L28" s="175">
        <v>4</v>
      </c>
      <c r="M28" s="175">
        <v>4</v>
      </c>
      <c r="N28" s="175">
        <v>4</v>
      </c>
      <c r="O28" s="175">
        <v>4</v>
      </c>
      <c r="P28" s="175">
        <v>30</v>
      </c>
      <c r="Q28" s="175">
        <v>10</v>
      </c>
      <c r="R28" s="175">
        <v>4</v>
      </c>
      <c r="S28" s="175">
        <v>23</v>
      </c>
      <c r="T28" s="175">
        <v>23</v>
      </c>
      <c r="U28" s="175">
        <v>23</v>
      </c>
      <c r="V28" s="175">
        <v>4</v>
      </c>
      <c r="W28" s="175">
        <v>20</v>
      </c>
      <c r="X28" s="175">
        <v>23</v>
      </c>
      <c r="Y28" s="175">
        <v>23</v>
      </c>
      <c r="Z28" s="175">
        <v>23</v>
      </c>
      <c r="AA28" s="175">
        <v>4</v>
      </c>
      <c r="AB28" s="175">
        <v>20</v>
      </c>
      <c r="AC28" s="175">
        <v>23</v>
      </c>
      <c r="AD28" s="175">
        <v>23</v>
      </c>
      <c r="AE28" s="175">
        <v>23</v>
      </c>
      <c r="AF28" s="175">
        <v>4</v>
      </c>
      <c r="AG28" s="175">
        <v>4</v>
      </c>
      <c r="AH28" s="175">
        <v>2</v>
      </c>
      <c r="AI28" s="175">
        <v>27</v>
      </c>
      <c r="AJ28" s="176">
        <v>28</v>
      </c>
      <c r="AK28" s="116"/>
      <c r="AL28" s="116"/>
      <c r="AM28" s="116"/>
      <c r="AN28" s="116"/>
      <c r="AO28" s="116"/>
    </row>
    <row r="30" spans="2:41" x14ac:dyDescent="0.25">
      <c r="B30" s="164" t="s">
        <v>3179</v>
      </c>
    </row>
    <row r="31" spans="2:41" x14ac:dyDescent="0.25">
      <c r="B31" s="158" t="s">
        <v>3180</v>
      </c>
      <c r="C31" s="158" t="s">
        <v>3181</v>
      </c>
      <c r="D31" s="159" t="s">
        <v>3182</v>
      </c>
      <c r="E31" s="158" t="s">
        <v>3183</v>
      </c>
      <c r="F31" s="158" t="s">
        <v>3184</v>
      </c>
    </row>
    <row r="32" spans="2:41" ht="30" x14ac:dyDescent="0.25">
      <c r="B32" s="135" t="s">
        <v>3185</v>
      </c>
      <c r="C32" s="139" t="s">
        <v>213</v>
      </c>
      <c r="D32" s="54" t="s">
        <v>3952</v>
      </c>
      <c r="E32" s="177" t="s">
        <v>3953</v>
      </c>
      <c r="F32" s="160" t="s">
        <v>3191</v>
      </c>
    </row>
    <row r="33" spans="2:16" ht="30" x14ac:dyDescent="0.25">
      <c r="B33" s="135" t="s">
        <v>3185</v>
      </c>
      <c r="C33" s="139" t="s">
        <v>248</v>
      </c>
      <c r="D33" s="54" t="s">
        <v>3954</v>
      </c>
      <c r="E33" s="177" t="s">
        <v>3955</v>
      </c>
      <c r="F33" s="160" t="s">
        <v>3191</v>
      </c>
    </row>
    <row r="34" spans="2:16" ht="30" x14ac:dyDescent="0.25">
      <c r="B34" s="135" t="s">
        <v>3185</v>
      </c>
      <c r="C34" s="139" t="s">
        <v>2541</v>
      </c>
      <c r="D34" s="54" t="s">
        <v>3954</v>
      </c>
      <c r="E34" s="177" t="s">
        <v>3955</v>
      </c>
      <c r="F34" s="160" t="s">
        <v>3191</v>
      </c>
    </row>
    <row r="35" spans="2:16" ht="30" x14ac:dyDescent="0.25">
      <c r="B35" s="135" t="s">
        <v>3185</v>
      </c>
      <c r="C35" s="139" t="s">
        <v>1482</v>
      </c>
      <c r="D35" s="54" t="s">
        <v>3954</v>
      </c>
      <c r="E35" s="177" t="s">
        <v>3955</v>
      </c>
      <c r="F35" s="160" t="s">
        <v>3191</v>
      </c>
    </row>
    <row r="36" spans="2:16" ht="30" x14ac:dyDescent="0.25">
      <c r="B36" s="135" t="s">
        <v>3185</v>
      </c>
      <c r="C36" s="139" t="s">
        <v>324</v>
      </c>
      <c r="D36" s="54" t="s">
        <v>3956</v>
      </c>
      <c r="E36" s="177" t="s">
        <v>3957</v>
      </c>
      <c r="F36" s="160" t="s">
        <v>3194</v>
      </c>
    </row>
    <row r="37" spans="2:16" ht="45" x14ac:dyDescent="0.25">
      <c r="B37" s="135" t="s">
        <v>3200</v>
      </c>
      <c r="C37" s="139" t="s">
        <v>3958</v>
      </c>
      <c r="D37" s="54" t="s">
        <v>3959</v>
      </c>
      <c r="E37" s="177" t="s">
        <v>3960</v>
      </c>
      <c r="F37" s="160" t="s">
        <v>3194</v>
      </c>
      <c r="I37" s="182"/>
      <c r="J37" s="182"/>
      <c r="K37" s="182"/>
      <c r="L37" s="182"/>
      <c r="M37" s="182"/>
      <c r="N37" s="182"/>
      <c r="O37" s="182"/>
      <c r="P37" s="182"/>
    </row>
    <row r="38" spans="2:16" ht="30" x14ac:dyDescent="0.25">
      <c r="B38" s="135" t="s">
        <v>3195</v>
      </c>
      <c r="C38" s="139" t="s">
        <v>3958</v>
      </c>
      <c r="D38" s="54" t="s">
        <v>3961</v>
      </c>
      <c r="E38" s="177" t="s">
        <v>3962</v>
      </c>
      <c r="F38"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x14ac:dyDescent="0.25">
      <c r="B3" s="51" t="s">
        <v>3084</v>
      </c>
      <c r="C3" s="51">
        <v>1</v>
      </c>
      <c r="D3" s="51" t="s">
        <v>3963</v>
      </c>
      <c r="E3" s="119">
        <v>45548</v>
      </c>
      <c r="F3" s="51">
        <v>1</v>
      </c>
      <c r="G3" s="318">
        <v>1</v>
      </c>
      <c r="H3" s="250">
        <v>956041</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x14ac:dyDescent="0.25">
      <c r="B4" s="51" t="s">
        <v>3086</v>
      </c>
      <c r="C4" s="51">
        <v>2</v>
      </c>
      <c r="D4" s="51" t="s">
        <v>3964</v>
      </c>
      <c r="E4" s="119">
        <v>45548</v>
      </c>
      <c r="F4" s="51">
        <v>1</v>
      </c>
      <c r="G4" s="318">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x14ac:dyDescent="0.25">
      <c r="B5" s="51" t="s">
        <v>3088</v>
      </c>
      <c r="C5" s="51">
        <v>3</v>
      </c>
      <c r="D5" s="51" t="s">
        <v>3965</v>
      </c>
      <c r="E5" s="119">
        <v>45548</v>
      </c>
      <c r="F5" s="51">
        <v>1</v>
      </c>
      <c r="G5" s="318">
        <v>1</v>
      </c>
      <c r="H5" s="209">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x14ac:dyDescent="0.25">
      <c r="B6" s="121" t="s">
        <v>3090</v>
      </c>
      <c r="C6" s="51">
        <v>4</v>
      </c>
      <c r="D6" s="51" t="s">
        <v>3141</v>
      </c>
      <c r="E6" s="119" t="s">
        <v>3138</v>
      </c>
      <c r="F6" s="51">
        <v>1</v>
      </c>
      <c r="G6" s="119"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x14ac:dyDescent="0.25">
      <c r="B7" s="51" t="s">
        <v>3092</v>
      </c>
      <c r="C7" s="51">
        <v>5</v>
      </c>
      <c r="D7" s="51" t="s">
        <v>3141</v>
      </c>
      <c r="E7" s="119" t="s">
        <v>3138</v>
      </c>
      <c r="F7" s="51">
        <v>1</v>
      </c>
      <c r="G7" s="119"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x14ac:dyDescent="0.25">
      <c r="B8" s="121" t="s">
        <v>3093</v>
      </c>
      <c r="C8" s="51">
        <v>6</v>
      </c>
      <c r="D8" s="51" t="s">
        <v>3966</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x14ac:dyDescent="0.25">
      <c r="B9" s="51" t="s">
        <v>3096</v>
      </c>
      <c r="C9" s="51">
        <v>7</v>
      </c>
      <c r="D9" s="51" t="s">
        <v>3967</v>
      </c>
      <c r="E9" s="119">
        <v>45548</v>
      </c>
      <c r="F9" s="51">
        <v>1</v>
      </c>
      <c r="G9" s="234" cm="1">
        <f t="array" ref="G9">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x14ac:dyDescent="0.25">
      <c r="B10" s="51" t="s">
        <v>3099</v>
      </c>
      <c r="C10" s="51">
        <v>8</v>
      </c>
      <c r="D10" s="51" t="s">
        <v>3968</v>
      </c>
      <c r="E10" s="119">
        <v>45548</v>
      </c>
      <c r="F10" s="51">
        <v>1</v>
      </c>
      <c r="G10" s="119" t="s">
        <v>3138</v>
      </c>
      <c r="H10" s="209">
        <v>0</v>
      </c>
      <c r="I10" s="51">
        <v>31</v>
      </c>
      <c r="J10" s="51">
        <v>1.3033148999999999E+22</v>
      </c>
      <c r="K10" s="51" t="s">
        <v>3969</v>
      </c>
      <c r="L10" s="51">
        <v>25</v>
      </c>
      <c r="M10" s="51">
        <v>0</v>
      </c>
      <c r="N10" s="119">
        <v>26456</v>
      </c>
      <c r="O10" s="119">
        <v>35577</v>
      </c>
      <c r="P10" s="51">
        <v>124</v>
      </c>
      <c r="Q10" s="51">
        <v>0</v>
      </c>
      <c r="R10" s="122">
        <v>-423629766230000</v>
      </c>
      <c r="S10" s="217" t="s">
        <v>3147</v>
      </c>
      <c r="T10" s="122">
        <v>-2157898676640000</v>
      </c>
      <c r="U10" s="122" t="s">
        <v>3147</v>
      </c>
      <c r="V10" s="302" t="s">
        <v>2426</v>
      </c>
      <c r="W10" s="302" t="s">
        <v>1760</v>
      </c>
      <c r="X10" s="301" t="s">
        <v>1767</v>
      </c>
      <c r="Y10" s="302" t="s">
        <v>1773</v>
      </c>
      <c r="Z10" s="302" t="s">
        <v>1403</v>
      </c>
      <c r="AA10" s="301" t="s">
        <v>1410</v>
      </c>
      <c r="AB10" s="301" t="s">
        <v>655</v>
      </c>
      <c r="AC10" s="301" t="s">
        <v>664</v>
      </c>
      <c r="AD10" s="301" t="s">
        <v>673</v>
      </c>
      <c r="AE10" s="301" t="s">
        <v>681</v>
      </c>
      <c r="AF10" s="51" t="s">
        <v>3148</v>
      </c>
      <c r="AG10" s="51" t="s">
        <v>3149</v>
      </c>
      <c r="AH10" s="51" t="s">
        <v>3266</v>
      </c>
      <c r="AI10" s="119">
        <v>45548</v>
      </c>
      <c r="AJ10" s="119" t="s">
        <v>3970</v>
      </c>
      <c r="AK10" s="51"/>
      <c r="AL10" s="51"/>
      <c r="AM10" s="119"/>
      <c r="AN10" s="119"/>
    </row>
    <row r="11" spans="2:40" x14ac:dyDescent="0.25">
      <c r="B11" s="51" t="s">
        <v>3101</v>
      </c>
      <c r="C11" s="51">
        <v>9</v>
      </c>
      <c r="D11" s="51" t="s">
        <v>3971</v>
      </c>
      <c r="E11" s="119">
        <v>45548</v>
      </c>
      <c r="F11" s="51">
        <v>1</v>
      </c>
      <c r="G11" s="119" t="s">
        <v>3138</v>
      </c>
      <c r="H11" s="209">
        <v>0</v>
      </c>
      <c r="I11" s="51">
        <v>31</v>
      </c>
      <c r="J11" s="51">
        <v>1.3033148999999999E+22</v>
      </c>
      <c r="K11" s="51" t="s">
        <v>3972</v>
      </c>
      <c r="L11" s="51">
        <v>25</v>
      </c>
      <c r="M11" s="51">
        <v>0</v>
      </c>
      <c r="N11" s="119">
        <v>26456</v>
      </c>
      <c r="O11" s="119">
        <v>35577</v>
      </c>
      <c r="P11" s="51">
        <v>124</v>
      </c>
      <c r="Q11" s="51">
        <v>0</v>
      </c>
      <c r="R11" s="122">
        <v>-423629766230000</v>
      </c>
      <c r="S11" s="51" t="s">
        <v>3147</v>
      </c>
      <c r="T11" s="122">
        <v>-2157898676640000</v>
      </c>
      <c r="U11" s="51" t="s">
        <v>3147</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3266</v>
      </c>
      <c r="AI11" s="119">
        <v>45548</v>
      </c>
      <c r="AJ11" s="119" t="s">
        <v>3973</v>
      </c>
      <c r="AK11" s="51"/>
      <c r="AL11" s="51"/>
      <c r="AM11" s="119"/>
      <c r="AN11" s="119"/>
    </row>
    <row r="12" spans="2:40" x14ac:dyDescent="0.25">
      <c r="B12" s="121" t="s">
        <v>3103</v>
      </c>
      <c r="C12" s="51">
        <v>10</v>
      </c>
      <c r="D12" s="51" t="s">
        <v>3974</v>
      </c>
      <c r="E12" s="119">
        <v>45548</v>
      </c>
      <c r="F12" s="51">
        <v>1</v>
      </c>
      <c r="G12" s="119" t="s">
        <v>3138</v>
      </c>
      <c r="H12" s="209">
        <v>0</v>
      </c>
      <c r="I12" s="51">
        <v>31</v>
      </c>
      <c r="J12" s="51">
        <v>5.3150000011502503E+29</v>
      </c>
      <c r="K12" s="51" t="s">
        <v>3969</v>
      </c>
      <c r="L12" s="51">
        <v>43</v>
      </c>
      <c r="M12" s="51" t="s">
        <v>3975</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3157</v>
      </c>
      <c r="AG12" s="51" t="s">
        <v>3149</v>
      </c>
      <c r="AH12" s="51" t="s">
        <v>3158</v>
      </c>
      <c r="AI12" s="119">
        <v>45548</v>
      </c>
      <c r="AJ12" s="119" t="s">
        <v>3970</v>
      </c>
      <c r="AK12" s="51"/>
      <c r="AL12" s="51"/>
      <c r="AM12" s="119"/>
      <c r="AN12" s="119"/>
    </row>
    <row r="13" spans="2:40" x14ac:dyDescent="0.25">
      <c r="B13" s="51" t="s">
        <v>3105</v>
      </c>
      <c r="C13" s="51">
        <v>11</v>
      </c>
      <c r="D13" s="51" t="s">
        <v>3976</v>
      </c>
      <c r="E13" s="119">
        <v>45548</v>
      </c>
      <c r="F13" s="51">
        <v>1</v>
      </c>
      <c r="G13" s="119" t="s">
        <v>3138</v>
      </c>
      <c r="H13" s="209">
        <v>0</v>
      </c>
      <c r="I13" s="51">
        <v>31</v>
      </c>
      <c r="J13" s="51">
        <v>5.3150000011502503E+29</v>
      </c>
      <c r="K13" s="51" t="s">
        <v>3977</v>
      </c>
      <c r="L13" s="51">
        <v>43</v>
      </c>
      <c r="M13" s="51" t="s">
        <v>3975</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3158</v>
      </c>
      <c r="AI13" s="119">
        <v>45548</v>
      </c>
      <c r="AJ13" s="119" t="s">
        <v>3978</v>
      </c>
      <c r="AK13" s="51"/>
      <c r="AL13" s="51"/>
      <c r="AM13" s="119"/>
      <c r="AN13" s="119"/>
    </row>
    <row r="14" spans="2:40" x14ac:dyDescent="0.25">
      <c r="B14" s="51" t="s">
        <v>3107</v>
      </c>
      <c r="C14" s="51">
        <v>12</v>
      </c>
      <c r="D14" s="51" t="s">
        <v>3979</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x14ac:dyDescent="0.25">
      <c r="B15" s="51" t="s">
        <v>3109</v>
      </c>
      <c r="C15" s="51">
        <v>13</v>
      </c>
      <c r="D15" s="51" t="s">
        <v>3980</v>
      </c>
      <c r="E15" s="119">
        <v>45548</v>
      </c>
      <c r="F15" s="51">
        <v>1</v>
      </c>
      <c r="G15" s="318">
        <v>1</v>
      </c>
      <c r="H15" s="209">
        <v>0</v>
      </c>
      <c r="I15" s="51" t="s">
        <v>3138</v>
      </c>
      <c r="J15" s="51" t="s">
        <v>3138</v>
      </c>
      <c r="K15" s="51" t="s">
        <v>3138</v>
      </c>
      <c r="L15" s="51" t="s">
        <v>3138</v>
      </c>
      <c r="M15" s="51" t="s">
        <v>3138</v>
      </c>
      <c r="N15" s="119">
        <v>0</v>
      </c>
      <c r="O15" s="119">
        <v>0</v>
      </c>
      <c r="P15" s="51" t="s">
        <v>3138</v>
      </c>
      <c r="Q15" s="51" t="s">
        <v>3138</v>
      </c>
      <c r="R15" s="51" t="s">
        <v>3138</v>
      </c>
      <c r="S15" s="119" t="s">
        <v>3138</v>
      </c>
      <c r="T15" s="119" t="s">
        <v>3138</v>
      </c>
      <c r="U15" s="119" t="s">
        <v>3138</v>
      </c>
      <c r="V15" s="301" t="s">
        <v>3138</v>
      </c>
      <c r="W15" s="301" t="s">
        <v>3138</v>
      </c>
      <c r="X15" s="301" t="s">
        <v>3138</v>
      </c>
      <c r="Y15" s="301" t="s">
        <v>3138</v>
      </c>
      <c r="Z15" s="301" t="s">
        <v>3138</v>
      </c>
      <c r="AA15" s="301" t="s">
        <v>3138</v>
      </c>
      <c r="AB15" s="301" t="s">
        <v>3138</v>
      </c>
      <c r="AC15" s="301" t="s">
        <v>3138</v>
      </c>
      <c r="AD15" s="303" t="s">
        <v>3138</v>
      </c>
      <c r="AE15" s="301" t="s">
        <v>3138</v>
      </c>
      <c r="AF15" s="51" t="s">
        <v>3138</v>
      </c>
      <c r="AG15" s="51" t="s">
        <v>3138</v>
      </c>
      <c r="AH15" s="51" t="s">
        <v>3138</v>
      </c>
      <c r="AI15" s="119" t="s">
        <v>3138</v>
      </c>
      <c r="AJ15" s="51" t="s">
        <v>3138</v>
      </c>
      <c r="AK15" s="51"/>
      <c r="AL15" s="51"/>
      <c r="AM15" s="51"/>
      <c r="AN15" s="119"/>
    </row>
    <row r="16" spans="2:40" x14ac:dyDescent="0.25">
      <c r="B16" s="51" t="s">
        <v>3111</v>
      </c>
      <c r="C16" s="51">
        <v>14</v>
      </c>
      <c r="D16" s="51" t="s">
        <v>3981</v>
      </c>
      <c r="E16" s="119">
        <v>45548</v>
      </c>
      <c r="F16" s="51">
        <v>1</v>
      </c>
      <c r="G16" s="318">
        <v>1</v>
      </c>
      <c r="H16" s="209">
        <v>0</v>
      </c>
      <c r="I16" s="51">
        <v>0</v>
      </c>
      <c r="J16" s="51">
        <v>0</v>
      </c>
      <c r="K16" s="51">
        <v>0</v>
      </c>
      <c r="L16" s="51">
        <v>0</v>
      </c>
      <c r="M16" s="51">
        <v>0</v>
      </c>
      <c r="N16" s="51" t="s">
        <v>3138</v>
      </c>
      <c r="O16" s="51" t="s">
        <v>3138</v>
      </c>
      <c r="P16" s="51">
        <v>0</v>
      </c>
      <c r="Q16" s="51" t="s">
        <v>3138</v>
      </c>
      <c r="R16" s="51" t="s">
        <v>3138</v>
      </c>
      <c r="S16" s="51" t="s">
        <v>3138</v>
      </c>
      <c r="T16" s="51" t="s">
        <v>3138</v>
      </c>
      <c r="U16" s="51" t="s">
        <v>3138</v>
      </c>
      <c r="V16" s="301" t="s">
        <v>3138</v>
      </c>
      <c r="W16" s="301" t="s">
        <v>3138</v>
      </c>
      <c r="X16" s="301" t="s">
        <v>3138</v>
      </c>
      <c r="Y16" s="301" t="s">
        <v>3138</v>
      </c>
      <c r="Z16" s="301" t="s">
        <v>3138</v>
      </c>
      <c r="AA16" s="301">
        <v>0</v>
      </c>
      <c r="AB16" s="301" t="s">
        <v>3138</v>
      </c>
      <c r="AC16" s="301" t="s">
        <v>3138</v>
      </c>
      <c r="AD16" s="301" t="s">
        <v>3138</v>
      </c>
      <c r="AE16" s="301" t="s">
        <v>3138</v>
      </c>
      <c r="AF16" s="51">
        <v>0</v>
      </c>
      <c r="AG16" s="51">
        <v>0</v>
      </c>
      <c r="AH16" s="51">
        <v>0</v>
      </c>
      <c r="AI16" s="51" t="s">
        <v>3138</v>
      </c>
      <c r="AJ16" s="51" t="s">
        <v>3138</v>
      </c>
      <c r="AK16" s="51"/>
      <c r="AL16" s="51"/>
      <c r="AM16" s="51"/>
      <c r="AN16" s="51"/>
    </row>
    <row r="17" spans="2:40" x14ac:dyDescent="0.25">
      <c r="B17" s="51" t="s">
        <v>3113</v>
      </c>
      <c r="C17" s="51">
        <v>15</v>
      </c>
      <c r="D17" s="51" t="s">
        <v>3982</v>
      </c>
      <c r="E17" s="119">
        <v>45548</v>
      </c>
      <c r="F17" s="51">
        <v>1</v>
      </c>
      <c r="G17" s="318">
        <v>1</v>
      </c>
      <c r="H17" s="209">
        <v>0</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12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0" x14ac:dyDescent="0.25">
      <c r="B18" s="51" t="s">
        <v>3115</v>
      </c>
      <c r="C18" s="51">
        <v>16</v>
      </c>
      <c r="D18" s="51" t="s">
        <v>3982</v>
      </c>
      <c r="E18" s="119">
        <v>45548</v>
      </c>
      <c r="F18" s="51">
        <v>1</v>
      </c>
      <c r="G18" s="318">
        <v>1</v>
      </c>
      <c r="H18" s="209">
        <v>0</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5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0" x14ac:dyDescent="0.25">
      <c r="B19" s="51" t="s">
        <v>3117</v>
      </c>
      <c r="C19" s="51">
        <v>17</v>
      </c>
      <c r="D19" s="51" t="s">
        <v>3983</v>
      </c>
      <c r="E19" s="119">
        <v>45548</v>
      </c>
      <c r="F19" s="51">
        <v>1</v>
      </c>
      <c r="G19" s="318">
        <v>0.61778200000000005</v>
      </c>
      <c r="H19" s="250">
        <v>365684</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0" x14ac:dyDescent="0.25">
      <c r="B20" s="51" t="s">
        <v>3119</v>
      </c>
      <c r="C20" s="51">
        <v>18</v>
      </c>
      <c r="D20" s="51" t="s">
        <v>3983</v>
      </c>
      <c r="E20" s="119">
        <v>45548</v>
      </c>
      <c r="F20" s="51">
        <v>1</v>
      </c>
      <c r="G20" s="318">
        <v>1</v>
      </c>
      <c r="H20" s="209">
        <v>0</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0" x14ac:dyDescent="0.25">
      <c r="B21" s="51" t="s">
        <v>3121</v>
      </c>
      <c r="C21" s="51">
        <v>19</v>
      </c>
      <c r="D21" s="51" t="s">
        <v>3984</v>
      </c>
      <c r="E21" s="119">
        <v>45548</v>
      </c>
      <c r="F21" s="51">
        <v>1</v>
      </c>
      <c r="G21" s="234" cm="1">
        <f t="array" ref="G21">SUMPRODUCT(--(ISNUMBER((SEARCH(I27:AJ27,I21:AJ21)))))/COUNTA(I21:AJ21)</f>
        <v>0.7857142857142857</v>
      </c>
      <c r="H21" s="209">
        <v>0</v>
      </c>
      <c r="I21" s="51" t="s">
        <v>3172</v>
      </c>
      <c r="J21" s="51" t="s">
        <v>3172</v>
      </c>
      <c r="K21" s="51" t="s">
        <v>3172</v>
      </c>
      <c r="L21" s="51" t="s">
        <v>3172</v>
      </c>
      <c r="M21" s="51" t="s">
        <v>3172</v>
      </c>
      <c r="N21" s="51" t="s">
        <v>3172</v>
      </c>
      <c r="O21" s="51" t="s">
        <v>3172</v>
      </c>
      <c r="P21" s="121" t="s">
        <v>3172</v>
      </c>
      <c r="Q21" s="121" t="s">
        <v>3172</v>
      </c>
      <c r="R21" s="51" t="s">
        <v>3173</v>
      </c>
      <c r="S21" s="51" t="s">
        <v>3173</v>
      </c>
      <c r="T21" s="51" t="s">
        <v>3173</v>
      </c>
      <c r="U21" s="51" t="s">
        <v>3173</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0" x14ac:dyDescent="0.25">
      <c r="B22" s="51" t="s">
        <v>3124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x14ac:dyDescent="0.25">
      <c r="B23" s="51" t="s">
        <v>3127</v>
      </c>
      <c r="C23" s="51">
        <v>21</v>
      </c>
      <c r="D23" s="51"/>
      <c r="E23" s="119"/>
      <c r="F23" s="51"/>
      <c r="G23" s="217" cm="1">
        <f t="array" ref="G23">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x14ac:dyDescent="0.25">
      <c r="B25" s="154" t="s">
        <v>3244</v>
      </c>
    </row>
    <row r="26" spans="2:40" x14ac:dyDescent="0.25">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x14ac:dyDescent="0.25">
      <c r="B27" s="131" t="s">
        <v>3175</v>
      </c>
      <c r="C27" s="116">
        <v>21</v>
      </c>
      <c r="D27" s="115" t="s">
        <v>3176</v>
      </c>
      <c r="E27" t="s">
        <v>3177</v>
      </c>
      <c r="F27" t="s">
        <v>366</v>
      </c>
      <c r="G27" t="s">
        <v>366</v>
      </c>
      <c r="H27" t="s">
        <v>366</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50" t="str">
        <v>TIMESTAMP</v>
      </c>
    </row>
    <row r="28" spans="2:40" x14ac:dyDescent="0.25">
      <c r="B28" s="131" t="s">
        <v>3178</v>
      </c>
      <c r="C28" s="175">
        <v>7</v>
      </c>
      <c r="D28" s="130" t="s">
        <v>3176</v>
      </c>
      <c r="E28" s="129" t="s">
        <v>3177</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4</v>
      </c>
      <c r="W28" s="175">
        <v>4</v>
      </c>
      <c r="X28" s="175">
        <v>23</v>
      </c>
      <c r="Y28" s="175">
        <v>23</v>
      </c>
      <c r="Z28" s="175">
        <v>23</v>
      </c>
      <c r="AA28" s="175">
        <v>4</v>
      </c>
      <c r="AB28" s="175">
        <v>4</v>
      </c>
      <c r="AC28" s="175">
        <v>23</v>
      </c>
      <c r="AD28" s="175">
        <v>23</v>
      </c>
      <c r="AE28" s="175">
        <v>23</v>
      </c>
      <c r="AF28" s="175">
        <v>4</v>
      </c>
      <c r="AG28" s="175">
        <v>4</v>
      </c>
      <c r="AH28" s="175">
        <v>2</v>
      </c>
      <c r="AI28" s="175">
        <v>10</v>
      </c>
      <c r="AJ28" s="176">
        <v>23</v>
      </c>
      <c r="AK28" s="116"/>
      <c r="AL28" s="116"/>
      <c r="AM28" s="116"/>
      <c r="AN28" s="116"/>
    </row>
    <row r="30" spans="2:40" x14ac:dyDescent="0.25">
      <c r="B30" s="164" t="s">
        <v>3179</v>
      </c>
    </row>
    <row r="31" spans="2:40" x14ac:dyDescent="0.25">
      <c r="B31" s="158" t="s">
        <v>3180</v>
      </c>
      <c r="C31" s="158" t="s">
        <v>3181</v>
      </c>
      <c r="D31" s="159" t="s">
        <v>3182</v>
      </c>
      <c r="E31" s="158" t="s">
        <v>3183</v>
      </c>
      <c r="F31" s="158" t="s">
        <v>3184</v>
      </c>
    </row>
    <row r="32" spans="2:40" ht="45" x14ac:dyDescent="0.25">
      <c r="B32" s="135" t="s">
        <v>3195</v>
      </c>
      <c r="C32" s="139" t="s">
        <v>3958</v>
      </c>
      <c r="D32" s="54" t="s">
        <v>3985</v>
      </c>
      <c r="E32" s="177" t="s">
        <v>3986</v>
      </c>
      <c r="F32" s="160" t="s">
        <v>3987</v>
      </c>
    </row>
    <row r="33" spans="2:6" ht="45" x14ac:dyDescent="0.25">
      <c r="B33" s="161" t="s">
        <v>3288</v>
      </c>
      <c r="C33" s="162" t="s">
        <v>2426</v>
      </c>
      <c r="D33" s="163" t="s">
        <v>3289</v>
      </c>
      <c r="E33" s="121" t="s">
        <v>3988</v>
      </c>
      <c r="F33" s="213" t="s">
        <v>3191</v>
      </c>
    </row>
    <row r="34" spans="2:6" ht="45" x14ac:dyDescent="0.25">
      <c r="B34" s="161" t="s">
        <v>3288</v>
      </c>
      <c r="C34" s="162" t="s">
        <v>1760</v>
      </c>
      <c r="D34" s="163" t="s">
        <v>3289</v>
      </c>
      <c r="E34" s="121" t="s">
        <v>3988</v>
      </c>
      <c r="F34" s="213" t="s">
        <v>3191</v>
      </c>
    </row>
    <row r="35" spans="2:6" ht="45" x14ac:dyDescent="0.25">
      <c r="B35" s="161" t="s">
        <v>3288</v>
      </c>
      <c r="C35" s="162" t="s">
        <v>1767</v>
      </c>
      <c r="D35" s="163" t="s">
        <v>3289</v>
      </c>
      <c r="E35" s="121" t="s">
        <v>3988</v>
      </c>
      <c r="F35" s="213" t="s">
        <v>3191</v>
      </c>
    </row>
    <row r="36" spans="2:6" ht="45" x14ac:dyDescent="0.25">
      <c r="B36" s="161" t="s">
        <v>3288</v>
      </c>
      <c r="C36" s="162" t="s">
        <v>1403</v>
      </c>
      <c r="D36" s="163" t="s">
        <v>3289</v>
      </c>
      <c r="E36" s="121" t="s">
        <v>3988</v>
      </c>
      <c r="F36" s="213" t="s">
        <v>3191</v>
      </c>
    </row>
    <row r="37" spans="2:6" ht="45" x14ac:dyDescent="0.25">
      <c r="B37" s="161" t="s">
        <v>3288</v>
      </c>
      <c r="C37" s="162" t="s">
        <v>1410</v>
      </c>
      <c r="D37" s="163" t="s">
        <v>3289</v>
      </c>
      <c r="E37" s="121" t="s">
        <v>3988</v>
      </c>
      <c r="F37" s="213" t="s">
        <v>3191</v>
      </c>
    </row>
    <row r="38" spans="2:6" ht="45" x14ac:dyDescent="0.25">
      <c r="B38" s="161" t="s">
        <v>3288</v>
      </c>
      <c r="C38" s="162" t="s">
        <v>655</v>
      </c>
      <c r="D38" s="163" t="s">
        <v>3289</v>
      </c>
      <c r="E38" s="121" t="s">
        <v>3988</v>
      </c>
      <c r="F38" s="213" t="s">
        <v>3191</v>
      </c>
    </row>
    <row r="39" spans="2:6" ht="45" x14ac:dyDescent="0.25">
      <c r="B39" s="161" t="s">
        <v>3288</v>
      </c>
      <c r="C39" s="162" t="s">
        <v>664</v>
      </c>
      <c r="D39" s="163" t="s">
        <v>3289</v>
      </c>
      <c r="E39" s="121" t="s">
        <v>3988</v>
      </c>
      <c r="F39" s="213" t="s">
        <v>3191</v>
      </c>
    </row>
    <row r="40" spans="2:6" ht="45" x14ac:dyDescent="0.25">
      <c r="B40" s="161" t="s">
        <v>3288</v>
      </c>
      <c r="C40" s="162" t="s">
        <v>681</v>
      </c>
      <c r="D40" s="163" t="s">
        <v>3289</v>
      </c>
      <c r="E40" s="121" t="s">
        <v>3988</v>
      </c>
      <c r="F40" s="213" t="s">
        <v>3191</v>
      </c>
    </row>
    <row r="41" spans="2:6" ht="45" x14ac:dyDescent="0.25">
      <c r="B41" s="161" t="s">
        <v>3298</v>
      </c>
      <c r="C41" s="162" t="s">
        <v>1767</v>
      </c>
      <c r="D41" s="163" t="s">
        <v>3299</v>
      </c>
      <c r="E41" s="121" t="s">
        <v>3988</v>
      </c>
      <c r="F41" s="213" t="s">
        <v>3191</v>
      </c>
    </row>
    <row r="42" spans="2:6" ht="45" x14ac:dyDescent="0.25">
      <c r="B42" s="161" t="s">
        <v>3298</v>
      </c>
      <c r="C42" s="162" t="s">
        <v>1773</v>
      </c>
      <c r="D42" s="163" t="s">
        <v>3299</v>
      </c>
      <c r="E42" s="121" t="s">
        <v>3988</v>
      </c>
      <c r="F42" s="213" t="s">
        <v>3191</v>
      </c>
    </row>
    <row r="43" spans="2:6" ht="45" x14ac:dyDescent="0.25">
      <c r="B43" s="161" t="s">
        <v>3298</v>
      </c>
      <c r="C43" s="162" t="s">
        <v>1403</v>
      </c>
      <c r="D43" s="163" t="s">
        <v>3299</v>
      </c>
      <c r="E43" s="121" t="s">
        <v>3988</v>
      </c>
      <c r="F43" s="213" t="s">
        <v>3191</v>
      </c>
    </row>
    <row r="44" spans="2:6" ht="45" x14ac:dyDescent="0.25">
      <c r="B44" s="135" t="s">
        <v>3298</v>
      </c>
      <c r="C44" s="162" t="s">
        <v>664</v>
      </c>
      <c r="D44" s="54" t="s">
        <v>3299</v>
      </c>
      <c r="E44" s="121" t="s">
        <v>3988</v>
      </c>
      <c r="F44" s="213" t="s">
        <v>3191</v>
      </c>
    </row>
    <row r="45" spans="2:6" ht="45" x14ac:dyDescent="0.25">
      <c r="B45" s="135" t="s">
        <v>3298</v>
      </c>
      <c r="C45" s="139" t="s">
        <v>673</v>
      </c>
      <c r="D45" s="54" t="s">
        <v>3299</v>
      </c>
      <c r="E45" s="121" t="s">
        <v>3988</v>
      </c>
      <c r="F45" s="213" t="s">
        <v>3191</v>
      </c>
    </row>
    <row r="46" spans="2:6" ht="45" x14ac:dyDescent="0.25">
      <c r="B46" s="161" t="s">
        <v>3298</v>
      </c>
      <c r="C46" s="162" t="s">
        <v>681</v>
      </c>
      <c r="D46" s="163" t="s">
        <v>3299</v>
      </c>
      <c r="E46" s="121" t="s">
        <v>3988</v>
      </c>
      <c r="F46"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x14ac:dyDescent="0.25">
      <c r="B3" s="51" t="s">
        <v>3084</v>
      </c>
      <c r="C3" s="51">
        <v>1</v>
      </c>
      <c r="D3" s="51" t="s">
        <v>3989</v>
      </c>
      <c r="E3" s="119">
        <v>45538</v>
      </c>
      <c r="F3" s="51">
        <v>1</v>
      </c>
      <c r="G3" s="318" t="s">
        <v>3862</v>
      </c>
      <c r="H3" s="206" t="s">
        <v>3990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x14ac:dyDescent="0.25">
      <c r="B4" s="51" t="s">
        <v>3086</v>
      </c>
      <c r="C4" s="51">
        <v>2</v>
      </c>
      <c r="D4" s="51" t="s">
        <v>3991</v>
      </c>
      <c r="E4" s="119">
        <v>45538</v>
      </c>
      <c r="F4" s="51">
        <v>1</v>
      </c>
      <c r="G4" s="318" t="s">
        <v>3862</v>
      </c>
      <c r="H4" s="122"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x14ac:dyDescent="0.25">
      <c r="B5" s="51" t="s">
        <v>3088</v>
      </c>
      <c r="C5" s="51">
        <v>3</v>
      </c>
      <c r="D5" s="51" t="s">
        <v>3992</v>
      </c>
      <c r="E5" s="119">
        <v>45538</v>
      </c>
      <c r="F5" s="51">
        <v>1</v>
      </c>
      <c r="G5" s="318" t="s">
        <v>3862</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x14ac:dyDescent="0.25">
      <c r="B6" s="121" t="s">
        <v>3090</v>
      </c>
      <c r="C6" s="51">
        <v>4</v>
      </c>
      <c r="D6" s="51" t="s">
        <v>3141</v>
      </c>
      <c r="E6" s="119" t="s">
        <v>3138</v>
      </c>
      <c r="F6" s="51">
        <v>1</v>
      </c>
      <c r="G6" s="119"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x14ac:dyDescent="0.25">
      <c r="B7" s="51" t="s">
        <v>3092</v>
      </c>
      <c r="C7" s="51">
        <v>5</v>
      </c>
      <c r="D7" s="51" t="s">
        <v>3141</v>
      </c>
      <c r="E7" s="119" t="s">
        <v>3138</v>
      </c>
      <c r="F7" s="51">
        <v>1</v>
      </c>
      <c r="G7" s="119"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x14ac:dyDescent="0.25">
      <c r="B8" s="121" t="s">
        <v>3093</v>
      </c>
      <c r="C8" s="51">
        <v>6</v>
      </c>
      <c r="D8" s="51" t="s">
        <v>3993</v>
      </c>
      <c r="E8" s="119">
        <v>45538</v>
      </c>
      <c r="F8" s="51">
        <v>1</v>
      </c>
      <c r="G8" s="234" cm="1">
        <f t="array" ref="G8">SUMPRODUCT(--(I8:AJ8&gt;0))/COUNTA(I8:AJ8)</f>
        <v>1</v>
      </c>
      <c r="H8" s="51" t="s">
        <v>3147</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x14ac:dyDescent="0.25">
      <c r="B9" s="51" t="s">
        <v>3096</v>
      </c>
      <c r="C9" s="51">
        <v>7</v>
      </c>
      <c r="D9" s="51" t="s">
        <v>3994</v>
      </c>
      <c r="E9" s="119">
        <v>45538</v>
      </c>
      <c r="F9" s="51">
        <v>1</v>
      </c>
      <c r="G9" s="234" cm="1">
        <f t="array" ref="G9">SUMPRODUCT(--(I9:AJ9 &lt;= I28:AJ28))/COUNTA(I28:AJ28)</f>
        <v>1</v>
      </c>
      <c r="H9" s="51" t="s">
        <v>3147</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x14ac:dyDescent="0.25">
      <c r="B10" s="51" t="s">
        <v>3099</v>
      </c>
      <c r="C10" s="51">
        <v>8</v>
      </c>
      <c r="D10" s="51" t="s">
        <v>3995</v>
      </c>
      <c r="E10" s="119">
        <v>45538</v>
      </c>
      <c r="F10" s="51">
        <v>1</v>
      </c>
      <c r="G10" s="119" t="s">
        <v>3138</v>
      </c>
      <c r="H10" s="51" t="s">
        <v>3147</v>
      </c>
      <c r="I10" s="51">
        <v>31</v>
      </c>
      <c r="J10" s="51">
        <v>4.0142670650000004E+25</v>
      </c>
      <c r="K10" s="51" t="s">
        <v>3996</v>
      </c>
      <c r="L10" s="51">
        <v>29</v>
      </c>
      <c r="M10" s="51">
        <v>1</v>
      </c>
      <c r="N10" s="119">
        <v>28877</v>
      </c>
      <c r="O10" s="119">
        <v>2958465</v>
      </c>
      <c r="P10" s="51">
        <v>36</v>
      </c>
      <c r="Q10" s="51">
        <v>0</v>
      </c>
      <c r="R10" s="122">
        <v>-1419736369000000</v>
      </c>
      <c r="S10" s="217" t="s">
        <v>3147</v>
      </c>
      <c r="T10" s="122">
        <v>-1419736369000000</v>
      </c>
      <c r="U10" s="122" t="s">
        <v>3147</v>
      </c>
      <c r="V10" s="302" t="s">
        <v>2426</v>
      </c>
      <c r="W10" s="302" t="s">
        <v>1760</v>
      </c>
      <c r="X10" s="301" t="s">
        <v>1767</v>
      </c>
      <c r="Y10" s="302" t="s">
        <v>1773</v>
      </c>
      <c r="Z10" s="302" t="s">
        <v>1403</v>
      </c>
      <c r="AA10" s="301" t="s">
        <v>1410</v>
      </c>
      <c r="AB10" s="301" t="s">
        <v>655</v>
      </c>
      <c r="AC10" s="301" t="s">
        <v>664</v>
      </c>
      <c r="AD10" s="301" t="s">
        <v>673</v>
      </c>
      <c r="AE10" s="301" t="s">
        <v>681</v>
      </c>
      <c r="AF10" s="51" t="s">
        <v>3148</v>
      </c>
      <c r="AG10" s="51" t="s">
        <v>3149</v>
      </c>
      <c r="AH10" s="51" t="s">
        <v>3266</v>
      </c>
      <c r="AI10" s="119">
        <v>45538</v>
      </c>
      <c r="AJ10" s="119" t="s">
        <v>3997</v>
      </c>
      <c r="AK10" s="51"/>
      <c r="AL10" s="51"/>
      <c r="AM10" s="119"/>
      <c r="AN10" s="119"/>
    </row>
    <row r="11" spans="2:40" x14ac:dyDescent="0.25">
      <c r="B11" s="51" t="s">
        <v>3101</v>
      </c>
      <c r="C11" s="51">
        <v>9</v>
      </c>
      <c r="D11" s="51" t="s">
        <v>3998</v>
      </c>
      <c r="E11" s="119">
        <v>45538</v>
      </c>
      <c r="F11" s="51">
        <v>1</v>
      </c>
      <c r="G11" s="119" t="s">
        <v>3138</v>
      </c>
      <c r="H11" s="51" t="s">
        <v>3147</v>
      </c>
      <c r="I11" s="51"/>
      <c r="J11" s="51">
        <v>4.0142670650000004E+25</v>
      </c>
      <c r="K11" s="51" t="s">
        <v>3999</v>
      </c>
      <c r="L11" s="51">
        <v>29</v>
      </c>
      <c r="M11" s="51">
        <v>1</v>
      </c>
      <c r="N11" s="119">
        <v>28877</v>
      </c>
      <c r="O11" s="119" t="s">
        <v>3261</v>
      </c>
      <c r="P11" s="51">
        <v>36</v>
      </c>
      <c r="Q11" s="51">
        <v>0</v>
      </c>
      <c r="R11" s="122">
        <v>-1419736369000000</v>
      </c>
      <c r="S11" s="51" t="s">
        <v>3147</v>
      </c>
      <c r="T11" s="122">
        <v>-1419736369000000</v>
      </c>
      <c r="U11" s="51" t="s">
        <v>3147</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3266</v>
      </c>
      <c r="AI11" s="119">
        <v>45538</v>
      </c>
      <c r="AJ11" s="119" t="s">
        <v>4000</v>
      </c>
      <c r="AK11" s="51"/>
      <c r="AL11" s="51"/>
      <c r="AM11" s="119"/>
      <c r="AN11" s="119"/>
    </row>
    <row r="12" spans="2:40" x14ac:dyDescent="0.25">
      <c r="B12" s="121" t="s">
        <v>3103</v>
      </c>
      <c r="C12" s="51">
        <v>10</v>
      </c>
      <c r="D12" s="51" t="s">
        <v>4001</v>
      </c>
      <c r="E12" s="119">
        <v>45538</v>
      </c>
      <c r="F12" s="51">
        <v>1</v>
      </c>
      <c r="G12" s="119" t="s">
        <v>3138</v>
      </c>
      <c r="H12" s="51" t="s">
        <v>3147</v>
      </c>
      <c r="I12" s="51">
        <v>31</v>
      </c>
      <c r="J12" s="51">
        <v>2.5631600365802999E+29</v>
      </c>
      <c r="K12" s="51" t="s">
        <v>3996</v>
      </c>
      <c r="L12" s="51">
        <v>30</v>
      </c>
      <c r="M12" s="51">
        <v>340</v>
      </c>
      <c r="N12" s="119">
        <v>45135</v>
      </c>
      <c r="O12" s="119">
        <v>2958465</v>
      </c>
      <c r="P12" s="51">
        <v>985</v>
      </c>
      <c r="Q12" s="51">
        <v>0</v>
      </c>
      <c r="R12" s="122">
        <v>5007826750000</v>
      </c>
      <c r="S12" s="217" t="s">
        <v>3147</v>
      </c>
      <c r="T12" s="122">
        <v>5007826750000</v>
      </c>
      <c r="U12" s="122" t="s">
        <v>3147</v>
      </c>
      <c r="V12" s="302" t="s">
        <v>2426</v>
      </c>
      <c r="W12" s="302" t="s">
        <v>1760</v>
      </c>
      <c r="X12" s="302" t="s">
        <v>1767</v>
      </c>
      <c r="Y12" s="302" t="s">
        <v>1773</v>
      </c>
      <c r="Z12" s="302" t="s">
        <v>1403</v>
      </c>
      <c r="AA12" s="302" t="s">
        <v>1410</v>
      </c>
      <c r="AB12" s="301" t="s">
        <v>655</v>
      </c>
      <c r="AC12" s="301" t="s">
        <v>664</v>
      </c>
      <c r="AD12" s="303" t="s">
        <v>673</v>
      </c>
      <c r="AE12" s="301" t="s">
        <v>681</v>
      </c>
      <c r="AF12" s="51" t="s">
        <v>3148</v>
      </c>
      <c r="AG12" s="51" t="s">
        <v>3149</v>
      </c>
      <c r="AH12" s="51" t="s">
        <v>3266</v>
      </c>
      <c r="AI12" s="119">
        <v>45538</v>
      </c>
      <c r="AJ12" s="119" t="s">
        <v>3997</v>
      </c>
      <c r="AK12" s="51"/>
      <c r="AL12" s="51"/>
      <c r="AM12" s="119"/>
      <c r="AN12" s="119"/>
    </row>
    <row r="13" spans="2:40" x14ac:dyDescent="0.25">
      <c r="B13" s="51" t="s">
        <v>3105</v>
      </c>
      <c r="C13" s="51">
        <v>11</v>
      </c>
      <c r="D13" s="51" t="s">
        <v>4002</v>
      </c>
      <c r="E13" s="119">
        <v>45538</v>
      </c>
      <c r="F13" s="51">
        <v>1</v>
      </c>
      <c r="G13" s="119" t="s">
        <v>3138</v>
      </c>
      <c r="H13" s="51" t="s">
        <v>3147</v>
      </c>
      <c r="I13" s="51"/>
      <c r="J13" s="51">
        <v>2.5631600365802999E+29</v>
      </c>
      <c r="K13" s="51" t="s">
        <v>3999</v>
      </c>
      <c r="L13" s="51">
        <v>30</v>
      </c>
      <c r="M13" s="51">
        <v>340</v>
      </c>
      <c r="N13" s="119">
        <v>45135</v>
      </c>
      <c r="O13" s="119" t="s">
        <v>3261</v>
      </c>
      <c r="P13" s="51">
        <v>985</v>
      </c>
      <c r="Q13" s="51">
        <v>0</v>
      </c>
      <c r="R13" s="122">
        <v>5007826750000</v>
      </c>
      <c r="S13" s="119" t="s">
        <v>3147</v>
      </c>
      <c r="T13" s="122">
        <v>5007826750000</v>
      </c>
      <c r="U13" s="122" t="s">
        <v>3147</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3266</v>
      </c>
      <c r="AI13" s="119">
        <v>45538</v>
      </c>
      <c r="AJ13" s="119" t="s">
        <v>4003</v>
      </c>
      <c r="AK13" s="51"/>
      <c r="AL13" s="51"/>
      <c r="AM13" s="119"/>
      <c r="AN13" s="119"/>
    </row>
    <row r="14" spans="2:40" x14ac:dyDescent="0.25">
      <c r="B14" s="51" t="s">
        <v>3107</v>
      </c>
      <c r="C14" s="51">
        <v>12</v>
      </c>
      <c r="D14" s="51" t="s">
        <v>4004</v>
      </c>
      <c r="E14" s="119">
        <v>45538</v>
      </c>
      <c r="F14" s="51">
        <v>1</v>
      </c>
      <c r="G14" s="318" t="s">
        <v>3862</v>
      </c>
      <c r="H14" s="51" t="s">
        <v>3147</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x14ac:dyDescent="0.25">
      <c r="B15" s="51" t="s">
        <v>3109</v>
      </c>
      <c r="C15" s="51">
        <v>13</v>
      </c>
      <c r="D15" s="51" t="s">
        <v>4005</v>
      </c>
      <c r="E15" s="119">
        <v>45538</v>
      </c>
      <c r="F15" s="51">
        <v>1</v>
      </c>
      <c r="G15" s="318" t="s">
        <v>3862</v>
      </c>
      <c r="H15" s="51" t="s">
        <v>3147</v>
      </c>
      <c r="I15" s="51" t="s">
        <v>3138</v>
      </c>
      <c r="J15" s="51" t="s">
        <v>3138</v>
      </c>
      <c r="K15" s="51" t="s">
        <v>3138</v>
      </c>
      <c r="L15" s="51" t="s">
        <v>3138</v>
      </c>
      <c r="M15" s="51" t="s">
        <v>3138</v>
      </c>
      <c r="N15" s="119">
        <v>0</v>
      </c>
      <c r="O15" s="119">
        <v>0</v>
      </c>
      <c r="P15" s="51" t="s">
        <v>3138</v>
      </c>
      <c r="Q15" s="51" t="s">
        <v>3138</v>
      </c>
      <c r="R15" s="51" t="s">
        <v>3138</v>
      </c>
      <c r="S15" s="119" t="s">
        <v>3138</v>
      </c>
      <c r="T15" s="119" t="s">
        <v>3138</v>
      </c>
      <c r="U15" s="119" t="s">
        <v>3138</v>
      </c>
      <c r="V15" s="301" t="s">
        <v>3138</v>
      </c>
      <c r="W15" s="301" t="s">
        <v>3138</v>
      </c>
      <c r="X15" s="301" t="s">
        <v>3138</v>
      </c>
      <c r="Y15" s="301" t="s">
        <v>3138</v>
      </c>
      <c r="Z15" s="301" t="s">
        <v>3138</v>
      </c>
      <c r="AA15" s="301" t="s">
        <v>3138</v>
      </c>
      <c r="AB15" s="301" t="s">
        <v>3138</v>
      </c>
      <c r="AC15" s="301" t="s">
        <v>3138</v>
      </c>
      <c r="AD15" s="303" t="s">
        <v>3138</v>
      </c>
      <c r="AE15" s="301" t="s">
        <v>3138</v>
      </c>
      <c r="AF15" s="51" t="s">
        <v>3138</v>
      </c>
      <c r="AG15" s="51" t="s">
        <v>3138</v>
      </c>
      <c r="AH15" s="51" t="s">
        <v>3138</v>
      </c>
      <c r="AI15" s="119" t="s">
        <v>3138</v>
      </c>
      <c r="AJ15" s="51" t="s">
        <v>3138</v>
      </c>
      <c r="AK15" s="51"/>
      <c r="AL15" s="51"/>
      <c r="AM15" s="51"/>
      <c r="AN15" s="119"/>
    </row>
    <row r="16" spans="2:40" x14ac:dyDescent="0.25">
      <c r="B16" s="51" t="s">
        <v>3111</v>
      </c>
      <c r="C16" s="51">
        <v>14</v>
      </c>
      <c r="D16" s="51" t="s">
        <v>4006</v>
      </c>
      <c r="E16" s="119">
        <v>45538</v>
      </c>
      <c r="F16" s="51">
        <v>1</v>
      </c>
      <c r="G16" s="318" t="s">
        <v>3862</v>
      </c>
      <c r="H16" s="51" t="s">
        <v>3147</v>
      </c>
      <c r="I16" s="51">
        <v>0</v>
      </c>
      <c r="J16" s="51">
        <v>0</v>
      </c>
      <c r="K16" s="51">
        <v>0</v>
      </c>
      <c r="L16" s="51">
        <v>0</v>
      </c>
      <c r="M16" s="51">
        <v>0</v>
      </c>
      <c r="N16" s="51" t="s">
        <v>3138</v>
      </c>
      <c r="O16" s="51" t="s">
        <v>3138</v>
      </c>
      <c r="P16" s="51">
        <v>0</v>
      </c>
      <c r="Q16" s="51" t="s">
        <v>3138</v>
      </c>
      <c r="R16" s="51" t="s">
        <v>3138</v>
      </c>
      <c r="S16" s="51" t="s">
        <v>3138</v>
      </c>
      <c r="T16" s="51" t="s">
        <v>3138</v>
      </c>
      <c r="U16" s="51" t="s">
        <v>3138</v>
      </c>
      <c r="V16" s="301" t="s">
        <v>3138</v>
      </c>
      <c r="W16" s="301" t="s">
        <v>3138</v>
      </c>
      <c r="X16" s="301" t="s">
        <v>3138</v>
      </c>
      <c r="Y16" s="301" t="s">
        <v>3138</v>
      </c>
      <c r="Z16" s="301" t="s">
        <v>3138</v>
      </c>
      <c r="AA16" s="301">
        <v>0</v>
      </c>
      <c r="AB16" s="301" t="s">
        <v>3138</v>
      </c>
      <c r="AC16" s="301" t="s">
        <v>3138</v>
      </c>
      <c r="AD16" s="301" t="s">
        <v>3138</v>
      </c>
      <c r="AE16" s="301" t="s">
        <v>3138</v>
      </c>
      <c r="AF16" s="51">
        <v>0</v>
      </c>
      <c r="AG16" s="51">
        <v>0</v>
      </c>
      <c r="AH16" s="51">
        <v>0</v>
      </c>
      <c r="AI16" s="51" t="s">
        <v>3138</v>
      </c>
      <c r="AJ16" s="51" t="s">
        <v>3138</v>
      </c>
      <c r="AK16" s="51"/>
      <c r="AL16" s="51"/>
      <c r="AM16" s="51"/>
      <c r="AN16" s="51"/>
    </row>
    <row r="17" spans="2:40" x14ac:dyDescent="0.25">
      <c r="B17" s="51" t="s">
        <v>3113</v>
      </c>
      <c r="C17" s="51">
        <v>15</v>
      </c>
      <c r="D17" s="51" t="s">
        <v>4007</v>
      </c>
      <c r="E17" s="119">
        <v>45538</v>
      </c>
      <c r="F17" s="51">
        <v>1</v>
      </c>
      <c r="G17" s="318" t="s">
        <v>3862</v>
      </c>
      <c r="H17" s="51" t="s">
        <v>3147</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12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0" x14ac:dyDescent="0.25">
      <c r="B18" s="51" t="s">
        <v>3115</v>
      </c>
      <c r="C18" s="51">
        <v>16</v>
      </c>
      <c r="D18" s="51" t="s">
        <v>4007</v>
      </c>
      <c r="E18" s="119">
        <v>45538</v>
      </c>
      <c r="F18" s="51">
        <v>1</v>
      </c>
      <c r="G18" s="318" t="s">
        <v>3862</v>
      </c>
      <c r="H18" s="51" t="s">
        <v>3147</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5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0" x14ac:dyDescent="0.25">
      <c r="B19" s="51" t="s">
        <v>3117</v>
      </c>
      <c r="C19" s="51">
        <v>17</v>
      </c>
      <c r="D19" s="51" t="s">
        <v>4008</v>
      </c>
      <c r="E19" s="119">
        <v>45538</v>
      </c>
      <c r="F19" s="51">
        <v>1</v>
      </c>
      <c r="G19" s="318">
        <v>0.63</v>
      </c>
      <c r="H19" s="306" t="s">
        <v>4009</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0" x14ac:dyDescent="0.25">
      <c r="B20" s="51" t="s">
        <v>3119</v>
      </c>
      <c r="C20" s="51">
        <v>18</v>
      </c>
      <c r="D20" s="51" t="s">
        <v>4008</v>
      </c>
      <c r="E20" s="119">
        <v>45538</v>
      </c>
      <c r="F20" s="51">
        <v>1</v>
      </c>
      <c r="G20" s="318" t="s">
        <v>3862</v>
      </c>
      <c r="H20" s="217" t="s">
        <v>3147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0" x14ac:dyDescent="0.25">
      <c r="B21" s="51" t="s">
        <v>3121</v>
      </c>
      <c r="C21" s="51">
        <v>19</v>
      </c>
      <c r="D21" s="51" t="s">
        <v>4010</v>
      </c>
      <c r="E21" s="119">
        <v>45538</v>
      </c>
      <c r="F21" s="51">
        <v>1</v>
      </c>
      <c r="G21" s="234" cm="1">
        <f t="array" ref="G21">SUMPRODUCT(--(ISNUMBER((SEARCH(I27:AJ27,I21:AJ21)))))/COUNTA(I21:AJ21)</f>
        <v>0.7857142857142857</v>
      </c>
      <c r="H21" s="51" t="s">
        <v>3147</v>
      </c>
      <c r="I21" s="51" t="s">
        <v>3172</v>
      </c>
      <c r="J21" s="51" t="s">
        <v>3172</v>
      </c>
      <c r="K21" s="51" t="s">
        <v>3172</v>
      </c>
      <c r="L21" s="51" t="s">
        <v>3172</v>
      </c>
      <c r="M21" s="51" t="s">
        <v>3172</v>
      </c>
      <c r="N21" s="51" t="s">
        <v>3172</v>
      </c>
      <c r="O21" s="51" t="s">
        <v>3172</v>
      </c>
      <c r="P21" s="121" t="s">
        <v>3172</v>
      </c>
      <c r="Q21" s="121" t="s">
        <v>3172</v>
      </c>
      <c r="R21" s="51" t="s">
        <v>3173</v>
      </c>
      <c r="S21" s="51" t="s">
        <v>3173</v>
      </c>
      <c r="T21" s="51" t="s">
        <v>3173</v>
      </c>
      <c r="U21" s="51" t="s">
        <v>3173</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0" x14ac:dyDescent="0.25">
      <c r="B22" s="51" t="s">
        <v>3124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x14ac:dyDescent="0.25">
      <c r="B23" s="51" t="s">
        <v>3127</v>
      </c>
      <c r="C23" s="51">
        <v>21</v>
      </c>
      <c r="D23" s="51"/>
      <c r="E23" s="119"/>
      <c r="F23" s="51"/>
      <c r="G23" s="217" cm="1">
        <f t="array" ref="G23">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x14ac:dyDescent="0.25">
      <c r="B25" s="154" t="s">
        <v>3244</v>
      </c>
    </row>
    <row r="26" spans="2:40" x14ac:dyDescent="0.25">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x14ac:dyDescent="0.25">
      <c r="B27" s="131" t="s">
        <v>3175</v>
      </c>
      <c r="C27" s="116">
        <v>21</v>
      </c>
      <c r="D27" s="115" t="s">
        <v>3176</v>
      </c>
      <c r="E27" t="s">
        <v>3177</v>
      </c>
      <c r="F27" t="s">
        <v>366</v>
      </c>
      <c r="G27" t="s">
        <v>366</v>
      </c>
      <c r="H27" t="s">
        <v>366</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50" t="str">
        <v>TIMESTAMP</v>
      </c>
    </row>
    <row r="28" spans="2:40" x14ac:dyDescent="0.25">
      <c r="B28" s="131" t="s">
        <v>3178</v>
      </c>
      <c r="C28" s="175">
        <v>7</v>
      </c>
      <c r="D28" s="130" t="s">
        <v>3176</v>
      </c>
      <c r="E28" s="129" t="s">
        <v>3177</v>
      </c>
      <c r="F28" s="129" t="s">
        <v>366</v>
      </c>
      <c r="G28" s="129" t="s">
        <v>366</v>
      </c>
      <c r="H28" s="129" t="s">
        <v>366</v>
      </c>
      <c r="I28" s="175">
        <v>4</v>
      </c>
      <c r="J28" s="175">
        <v>30</v>
      </c>
      <c r="K28" s="175">
        <v>4</v>
      </c>
      <c r="L28" s="175">
        <v>4</v>
      </c>
      <c r="M28" s="175">
        <v>4</v>
      </c>
      <c r="N28" s="175">
        <v>10</v>
      </c>
      <c r="O28" s="175">
        <v>10</v>
      </c>
      <c r="P28" s="175">
        <v>4</v>
      </c>
      <c r="Q28" s="175">
        <v>4</v>
      </c>
      <c r="R28" s="175">
        <v>23</v>
      </c>
      <c r="S28" s="175">
        <v>23</v>
      </c>
      <c r="T28" s="175">
        <v>23</v>
      </c>
      <c r="U28" s="175">
        <v>23</v>
      </c>
      <c r="V28" s="175">
        <v>4</v>
      </c>
      <c r="W28" s="175">
        <v>4</v>
      </c>
      <c r="X28" s="175">
        <v>23</v>
      </c>
      <c r="Y28" s="175">
        <v>23</v>
      </c>
      <c r="Z28" s="175">
        <v>23</v>
      </c>
      <c r="AA28" s="175">
        <v>4</v>
      </c>
      <c r="AB28" s="175">
        <v>4</v>
      </c>
      <c r="AC28" s="175">
        <v>23</v>
      </c>
      <c r="AD28" s="175">
        <v>23</v>
      </c>
      <c r="AE28" s="175">
        <v>23</v>
      </c>
      <c r="AF28" s="175">
        <v>4</v>
      </c>
      <c r="AG28" s="175">
        <v>4</v>
      </c>
      <c r="AH28" s="175">
        <v>2</v>
      </c>
      <c r="AI28" s="175">
        <v>10</v>
      </c>
      <c r="AJ28" s="176">
        <v>23</v>
      </c>
      <c r="AK28" s="116"/>
      <c r="AL28" s="116"/>
      <c r="AM28" s="116"/>
      <c r="AN28" s="116"/>
    </row>
    <row r="30" spans="2:40" x14ac:dyDescent="0.25">
      <c r="B30" s="164" t="s">
        <v>3179</v>
      </c>
    </row>
    <row r="31" spans="2:40" x14ac:dyDescent="0.25">
      <c r="B31" s="158" t="s">
        <v>3180</v>
      </c>
      <c r="C31" s="158" t="s">
        <v>3181</v>
      </c>
      <c r="D31" s="159" t="s">
        <v>3182</v>
      </c>
      <c r="E31" s="158" t="s">
        <v>3183</v>
      </c>
      <c r="F31" s="158" t="s">
        <v>3184</v>
      </c>
    </row>
    <row r="32" spans="2:40" ht="30" x14ac:dyDescent="0.25">
      <c r="B32" s="135" t="s">
        <v>3195</v>
      </c>
      <c r="C32" s="139" t="s">
        <v>3958</v>
      </c>
      <c r="D32" s="54" t="s">
        <v>4011</v>
      </c>
      <c r="E32" s="177" t="s">
        <v>4012</v>
      </c>
      <c r="F32" s="160" t="s">
        <v>3191</v>
      </c>
    </row>
    <row r="33" spans="2:6" ht="45" x14ac:dyDescent="0.25">
      <c r="B33" s="161" t="s">
        <v>3288</v>
      </c>
      <c r="C33" s="162" t="s">
        <v>2426</v>
      </c>
      <c r="D33" s="163" t="s">
        <v>3289</v>
      </c>
      <c r="E33" s="121" t="s">
        <v>4013</v>
      </c>
      <c r="F33" s="213" t="s">
        <v>3191</v>
      </c>
    </row>
    <row r="34" spans="2:6" ht="45" x14ac:dyDescent="0.25">
      <c r="B34" s="161" t="s">
        <v>3288</v>
      </c>
      <c r="C34" s="162" t="s">
        <v>1760</v>
      </c>
      <c r="D34" s="163" t="s">
        <v>3289</v>
      </c>
      <c r="E34" s="121" t="s">
        <v>4013</v>
      </c>
      <c r="F34" s="213" t="s">
        <v>3191</v>
      </c>
    </row>
    <row r="35" spans="2:6" ht="45" x14ac:dyDescent="0.25">
      <c r="B35" s="161" t="s">
        <v>3288</v>
      </c>
      <c r="C35" s="162" t="s">
        <v>1767</v>
      </c>
      <c r="D35" s="163" t="s">
        <v>3289</v>
      </c>
      <c r="E35" s="121" t="s">
        <v>4013</v>
      </c>
      <c r="F35" s="213" t="s">
        <v>3191</v>
      </c>
    </row>
    <row r="36" spans="2:6" ht="45" x14ac:dyDescent="0.25">
      <c r="B36" s="161" t="s">
        <v>3288</v>
      </c>
      <c r="C36" s="162" t="s">
        <v>1403</v>
      </c>
      <c r="D36" s="163" t="s">
        <v>3289</v>
      </c>
      <c r="E36" s="121" t="s">
        <v>4013</v>
      </c>
      <c r="F36" s="213" t="s">
        <v>3191</v>
      </c>
    </row>
    <row r="37" spans="2:6" ht="45" x14ac:dyDescent="0.25">
      <c r="B37" s="161" t="s">
        <v>3288</v>
      </c>
      <c r="C37" s="162" t="s">
        <v>1410</v>
      </c>
      <c r="D37" s="163" t="s">
        <v>3289</v>
      </c>
      <c r="E37" s="121" t="s">
        <v>4013</v>
      </c>
      <c r="F37" s="213" t="s">
        <v>3191</v>
      </c>
    </row>
    <row r="38" spans="2:6" ht="45" x14ac:dyDescent="0.25">
      <c r="B38" s="161" t="s">
        <v>3288</v>
      </c>
      <c r="C38" s="162" t="s">
        <v>655</v>
      </c>
      <c r="D38" s="163" t="s">
        <v>3289</v>
      </c>
      <c r="E38" s="121" t="s">
        <v>4013</v>
      </c>
      <c r="F38" s="213" t="s">
        <v>3191</v>
      </c>
    </row>
    <row r="39" spans="2:6" ht="45" x14ac:dyDescent="0.25">
      <c r="B39" s="161" t="s">
        <v>3288</v>
      </c>
      <c r="C39" s="162" t="s">
        <v>664</v>
      </c>
      <c r="D39" s="163" t="s">
        <v>3289</v>
      </c>
      <c r="E39" s="121" t="s">
        <v>4013</v>
      </c>
      <c r="F39" s="213" t="s">
        <v>3191</v>
      </c>
    </row>
    <row r="40" spans="2:6" ht="45" x14ac:dyDescent="0.25">
      <c r="B40" s="161" t="s">
        <v>3288</v>
      </c>
      <c r="C40" s="162" t="s">
        <v>681</v>
      </c>
      <c r="D40" s="163" t="s">
        <v>3289</v>
      </c>
      <c r="E40" s="121" t="s">
        <v>4013</v>
      </c>
      <c r="F40" s="213" t="s">
        <v>3191</v>
      </c>
    </row>
    <row r="41" spans="2:6" ht="45" x14ac:dyDescent="0.25">
      <c r="B41" s="161" t="s">
        <v>3298</v>
      </c>
      <c r="C41" s="162" t="s">
        <v>1767</v>
      </c>
      <c r="D41" s="163" t="s">
        <v>3299</v>
      </c>
      <c r="E41" s="121" t="s">
        <v>4013</v>
      </c>
      <c r="F41" s="213" t="s">
        <v>3191</v>
      </c>
    </row>
    <row r="42" spans="2:6" ht="45" x14ac:dyDescent="0.25">
      <c r="B42" s="161" t="s">
        <v>3298</v>
      </c>
      <c r="C42" s="162" t="s">
        <v>1773</v>
      </c>
      <c r="D42" s="163" t="s">
        <v>3299</v>
      </c>
      <c r="E42" s="121" t="s">
        <v>4013</v>
      </c>
      <c r="F42" s="213" t="s">
        <v>3191</v>
      </c>
    </row>
    <row r="43" spans="2:6" ht="45" x14ac:dyDescent="0.25">
      <c r="B43" s="161" t="s">
        <v>3298</v>
      </c>
      <c r="C43" s="162" t="s">
        <v>1403</v>
      </c>
      <c r="D43" s="163" t="s">
        <v>3299</v>
      </c>
      <c r="E43" s="121" t="s">
        <v>4013</v>
      </c>
      <c r="F43" s="213" t="s">
        <v>3191</v>
      </c>
    </row>
    <row r="44" spans="2:6" ht="45" x14ac:dyDescent="0.25">
      <c r="B44" s="135" t="s">
        <v>3298</v>
      </c>
      <c r="C44" s="162" t="s">
        <v>664</v>
      </c>
      <c r="D44" s="54" t="s">
        <v>3299</v>
      </c>
      <c r="E44" s="121" t="s">
        <v>4013</v>
      </c>
      <c r="F44" s="213" t="s">
        <v>3191</v>
      </c>
    </row>
    <row r="45" spans="2:6" ht="45" x14ac:dyDescent="0.25">
      <c r="B45" s="135" t="s">
        <v>3298</v>
      </c>
      <c r="C45" s="139" t="s">
        <v>673</v>
      </c>
      <c r="D45" s="54" t="s">
        <v>3299</v>
      </c>
      <c r="E45" s="121" t="s">
        <v>4013</v>
      </c>
      <c r="F45" s="213" t="s">
        <v>3191</v>
      </c>
    </row>
    <row r="46" spans="2:6" ht="45" x14ac:dyDescent="0.25">
      <c r="B46" s="161" t="s">
        <v>3298</v>
      </c>
      <c r="C46" s="162" t="s">
        <v>681</v>
      </c>
      <c r="D46" s="163" t="s">
        <v>3299</v>
      </c>
      <c r="E46" s="121" t="s">
        <v>4013</v>
      </c>
      <c r="F46"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x14ac:dyDescent="0.25"/>
    <row r="2" spans="2:15"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row>
    <row r="3" spans="2:15" x14ac:dyDescent="0.25">
      <c r="B3" s="51" t="s">
        <v>3084</v>
      </c>
      <c r="C3" s="51">
        <v>1</v>
      </c>
      <c r="D3" s="51" t="s">
        <v>4014</v>
      </c>
      <c r="E3" s="119">
        <v>45492</v>
      </c>
      <c r="F3" s="51">
        <v>1</v>
      </c>
      <c r="G3" s="318" t="s">
        <v>4015</v>
      </c>
      <c r="H3" s="206" t="s">
        <v>4016</v>
      </c>
      <c r="I3" s="51" t="s">
        <v>3138</v>
      </c>
      <c r="J3" s="51" t="s">
        <v>3138</v>
      </c>
      <c r="K3" s="51" t="s">
        <v>3138</v>
      </c>
      <c r="L3" s="51" t="s">
        <v>3138</v>
      </c>
      <c r="M3" s="51" t="s">
        <v>3138</v>
      </c>
      <c r="N3" s="51" t="s">
        <v>3138</v>
      </c>
      <c r="O3" s="51" t="s">
        <v>3138</v>
      </c>
    </row>
    <row r="4" spans="2:15" x14ac:dyDescent="0.25">
      <c r="B4" s="51" t="s">
        <v>3086</v>
      </c>
      <c r="C4" s="51">
        <v>2</v>
      </c>
      <c r="D4" s="51" t="s">
        <v>4017</v>
      </c>
      <c r="E4" s="119">
        <v>45492</v>
      </c>
      <c r="F4" s="51">
        <v>1</v>
      </c>
      <c r="G4" s="318" t="s">
        <v>4015</v>
      </c>
      <c r="H4" s="122">
        <v>0</v>
      </c>
      <c r="I4" s="51" t="s">
        <v>3138</v>
      </c>
      <c r="J4" s="51" t="s">
        <v>3138</v>
      </c>
      <c r="K4" s="51" t="s">
        <v>3138</v>
      </c>
      <c r="L4" s="51" t="s">
        <v>3138</v>
      </c>
      <c r="M4" s="51" t="s">
        <v>3138</v>
      </c>
      <c r="N4" s="51" t="s">
        <v>3138</v>
      </c>
      <c r="O4" s="51" t="s">
        <v>3138</v>
      </c>
    </row>
    <row r="5" spans="2:15" x14ac:dyDescent="0.25">
      <c r="B5" s="51" t="s">
        <v>3088</v>
      </c>
      <c r="C5" s="51">
        <v>3</v>
      </c>
      <c r="D5" s="51" t="s">
        <v>4018</v>
      </c>
      <c r="E5" s="119">
        <v>45492</v>
      </c>
      <c r="F5" s="51">
        <v>1</v>
      </c>
      <c r="G5" s="318" t="s">
        <v>4015</v>
      </c>
      <c r="H5" s="122">
        <v>0</v>
      </c>
      <c r="I5" s="51">
        <v>0</v>
      </c>
      <c r="J5" s="51">
        <v>0</v>
      </c>
      <c r="K5" s="51">
        <v>0</v>
      </c>
      <c r="L5" s="51">
        <v>0</v>
      </c>
      <c r="M5" s="51">
        <v>0</v>
      </c>
      <c r="N5" s="51">
        <v>0</v>
      </c>
      <c r="O5" s="51" t="s">
        <v>3138</v>
      </c>
    </row>
    <row r="6" spans="2:15" x14ac:dyDescent="0.25">
      <c r="B6" s="121" t="s">
        <v>3090</v>
      </c>
      <c r="C6" s="51">
        <v>4</v>
      </c>
      <c r="D6" s="51" t="s">
        <v>3141</v>
      </c>
      <c r="E6" s="119" t="s">
        <v>3138</v>
      </c>
      <c r="F6" s="51">
        <v>1</v>
      </c>
      <c r="G6" s="119" t="s">
        <v>3138</v>
      </c>
      <c r="H6" s="122">
        <v>0</v>
      </c>
      <c r="I6" s="51" t="s">
        <v>3138</v>
      </c>
      <c r="J6" s="51" t="s">
        <v>3138</v>
      </c>
      <c r="K6" s="51" t="s">
        <v>3138</v>
      </c>
      <c r="L6" s="51" t="s">
        <v>3138</v>
      </c>
      <c r="M6" s="51" t="s">
        <v>3138</v>
      </c>
      <c r="N6" s="51" t="s">
        <v>3138</v>
      </c>
      <c r="O6" s="51" t="s">
        <v>3138</v>
      </c>
    </row>
    <row r="7" spans="2:15" x14ac:dyDescent="0.25">
      <c r="B7" s="51" t="s">
        <v>3092</v>
      </c>
      <c r="C7" s="51">
        <v>5</v>
      </c>
      <c r="D7" s="51" t="s">
        <v>3141</v>
      </c>
      <c r="E7" s="119" t="s">
        <v>3138</v>
      </c>
      <c r="F7" s="51">
        <v>1</v>
      </c>
      <c r="G7" s="119" t="s">
        <v>3138</v>
      </c>
      <c r="H7" s="122">
        <v>0</v>
      </c>
      <c r="I7" s="51" t="s">
        <v>3138</v>
      </c>
      <c r="J7" s="51" t="s">
        <v>3138</v>
      </c>
      <c r="K7" s="51" t="s">
        <v>3138</v>
      </c>
      <c r="L7" s="51" t="s">
        <v>3138</v>
      </c>
      <c r="M7" s="51" t="s">
        <v>3138</v>
      </c>
      <c r="N7" s="51" t="s">
        <v>3138</v>
      </c>
      <c r="O7" s="51" t="s">
        <v>3138</v>
      </c>
    </row>
    <row r="8" spans="2:15" x14ac:dyDescent="0.25">
      <c r="B8" s="121" t="s">
        <v>3093</v>
      </c>
      <c r="C8" s="51">
        <v>6</v>
      </c>
      <c r="D8" s="51" t="s">
        <v>4019</v>
      </c>
      <c r="E8" s="119">
        <v>45492</v>
      </c>
      <c r="F8" s="51">
        <v>1</v>
      </c>
      <c r="G8" s="234" cm="1">
        <f t="array" ref="G8">SUMPRODUCT(--(I8:O8&gt;0))/COUNTA(I8:O8)</f>
        <v>1</v>
      </c>
      <c r="H8" s="122">
        <v>0</v>
      </c>
      <c r="I8" s="51">
        <v>2</v>
      </c>
      <c r="J8" s="51">
        <v>30</v>
      </c>
      <c r="K8" s="51">
        <v>3</v>
      </c>
      <c r="L8" s="51">
        <v>3</v>
      </c>
      <c r="M8" s="51">
        <v>3</v>
      </c>
      <c r="N8" s="51">
        <v>10</v>
      </c>
      <c r="O8" s="51">
        <v>23</v>
      </c>
    </row>
    <row r="9" spans="2:15" x14ac:dyDescent="0.25">
      <c r="B9" s="51" t="s">
        <v>3096</v>
      </c>
      <c r="C9" s="51">
        <v>7</v>
      </c>
      <c r="D9" s="51" t="s">
        <v>4020</v>
      </c>
      <c r="E9" s="119">
        <v>45492</v>
      </c>
      <c r="F9" s="51">
        <v>1</v>
      </c>
      <c r="G9" s="234" cm="1">
        <f t="array" ref="G9">SUMPRODUCT(--(I9:O9 &lt;= I28:O28))/COUNTA(I28:O28)</f>
        <v>0.7142857142857143</v>
      </c>
      <c r="H9" s="122">
        <v>0</v>
      </c>
      <c r="I9" s="51">
        <v>2</v>
      </c>
      <c r="J9" s="51">
        <v>30</v>
      </c>
      <c r="K9" s="51">
        <v>3</v>
      </c>
      <c r="L9" s="51">
        <v>3</v>
      </c>
      <c r="M9" s="51">
        <v>3</v>
      </c>
      <c r="N9" s="51">
        <v>10</v>
      </c>
      <c r="O9" s="51">
        <v>23</v>
      </c>
    </row>
    <row r="10" spans="2:15" x14ac:dyDescent="0.25">
      <c r="B10" s="51" t="s">
        <v>3099</v>
      </c>
      <c r="C10" s="51">
        <v>8</v>
      </c>
      <c r="D10" s="51" t="s">
        <v>4021</v>
      </c>
      <c r="E10" s="119">
        <v>45492</v>
      </c>
      <c r="F10" s="51">
        <v>1</v>
      </c>
      <c r="G10" s="119" t="s">
        <v>3138</v>
      </c>
      <c r="H10" s="122">
        <v>0</v>
      </c>
      <c r="I10" s="51">
        <v>31</v>
      </c>
      <c r="J10" s="51">
        <v>2.317541E+21</v>
      </c>
      <c r="K10" s="51" t="s">
        <v>3852</v>
      </c>
      <c r="L10" s="51">
        <v>96</v>
      </c>
      <c r="M10" s="51">
        <v>1</v>
      </c>
      <c r="N10" s="119">
        <v>45492</v>
      </c>
      <c r="O10" s="119" t="s">
        <v>4022</v>
      </c>
    </row>
    <row r="11" spans="2:15" x14ac:dyDescent="0.25">
      <c r="B11" s="51" t="s">
        <v>3101</v>
      </c>
      <c r="C11" s="51">
        <v>9</v>
      </c>
      <c r="D11" s="51" t="s">
        <v>4023</v>
      </c>
      <c r="E11" s="119">
        <v>45492</v>
      </c>
      <c r="F11" s="51">
        <v>1</v>
      </c>
      <c r="G11" s="119" t="s">
        <v>3138</v>
      </c>
      <c r="H11" s="122">
        <v>0</v>
      </c>
      <c r="I11" s="51">
        <v>31</v>
      </c>
      <c r="J11" s="51">
        <v>2.317541E+21</v>
      </c>
      <c r="K11" s="51" t="s">
        <v>3852</v>
      </c>
      <c r="L11" s="51">
        <v>96</v>
      </c>
      <c r="M11" s="51">
        <v>1</v>
      </c>
      <c r="N11" s="119">
        <v>45492</v>
      </c>
      <c r="O11" s="119" t="s">
        <v>4024</v>
      </c>
    </row>
    <row r="12" spans="2:15" x14ac:dyDescent="0.25">
      <c r="B12" s="121" t="s">
        <v>3103</v>
      </c>
      <c r="C12" s="51">
        <v>10</v>
      </c>
      <c r="D12" s="51" t="s">
        <v>4025</v>
      </c>
      <c r="E12" s="119">
        <v>45492</v>
      </c>
      <c r="F12" s="51">
        <v>1</v>
      </c>
      <c r="G12" s="119" t="s">
        <v>3138</v>
      </c>
      <c r="H12" s="122">
        <v>0</v>
      </c>
      <c r="I12" s="51">
        <v>31</v>
      </c>
      <c r="J12" s="51">
        <v>6.8350096000050594E+29</v>
      </c>
      <c r="K12" s="51" t="s">
        <v>3852</v>
      </c>
      <c r="L12" s="51">
        <v>96</v>
      </c>
      <c r="M12" s="51" t="s">
        <v>3861</v>
      </c>
      <c r="N12" s="119">
        <v>45492</v>
      </c>
      <c r="O12" s="119" t="s">
        <v>4022</v>
      </c>
    </row>
    <row r="13" spans="2:15" x14ac:dyDescent="0.25">
      <c r="B13" s="51" t="s">
        <v>3105</v>
      </c>
      <c r="C13" s="51">
        <v>11</v>
      </c>
      <c r="D13" s="51" t="s">
        <v>4026</v>
      </c>
      <c r="E13" s="119">
        <v>45492</v>
      </c>
      <c r="F13" s="51">
        <v>1</v>
      </c>
      <c r="G13" s="119" t="s">
        <v>3138</v>
      </c>
      <c r="H13" s="122">
        <v>0</v>
      </c>
      <c r="I13" s="51">
        <v>31</v>
      </c>
      <c r="J13" s="51">
        <v>6.8350096000050594E+29</v>
      </c>
      <c r="K13" s="51" t="s">
        <v>3852</v>
      </c>
      <c r="L13" s="51">
        <v>96</v>
      </c>
      <c r="M13" s="51" t="s">
        <v>3861</v>
      </c>
      <c r="N13" s="119">
        <v>45492</v>
      </c>
      <c r="O13" s="119" t="s">
        <v>4027</v>
      </c>
    </row>
    <row r="14" spans="2:15" x14ac:dyDescent="0.25">
      <c r="B14" s="51" t="s">
        <v>3107</v>
      </c>
      <c r="C14" s="51">
        <v>12</v>
      </c>
      <c r="D14" s="51" t="s">
        <v>4028</v>
      </c>
      <c r="E14" s="119">
        <v>45492</v>
      </c>
      <c r="F14" s="51">
        <v>1</v>
      </c>
      <c r="G14" s="318" t="s">
        <v>4015</v>
      </c>
      <c r="H14" s="122">
        <v>0</v>
      </c>
      <c r="I14" s="51">
        <v>0</v>
      </c>
      <c r="J14" s="51">
        <v>0</v>
      </c>
      <c r="K14" s="51">
        <v>0</v>
      </c>
      <c r="L14" s="51">
        <v>0</v>
      </c>
      <c r="M14" s="51">
        <v>0</v>
      </c>
      <c r="N14" s="51">
        <v>0</v>
      </c>
      <c r="O14" s="51">
        <v>0</v>
      </c>
    </row>
    <row r="15" spans="2:15" x14ac:dyDescent="0.25">
      <c r="B15" s="51" t="s">
        <v>3109</v>
      </c>
      <c r="C15" s="51">
        <v>13</v>
      </c>
      <c r="D15" s="51" t="s">
        <v>4029</v>
      </c>
      <c r="E15" s="119">
        <v>45492</v>
      </c>
      <c r="F15" s="51">
        <v>1</v>
      </c>
      <c r="G15" s="318" t="s">
        <v>4015</v>
      </c>
      <c r="H15" s="122">
        <v>0</v>
      </c>
      <c r="I15" s="51" t="s">
        <v>3138</v>
      </c>
      <c r="J15" s="51" t="s">
        <v>3138</v>
      </c>
      <c r="K15" s="51" t="s">
        <v>3138</v>
      </c>
      <c r="L15" s="51" t="s">
        <v>3138</v>
      </c>
      <c r="M15" s="51" t="s">
        <v>3138</v>
      </c>
      <c r="N15" s="119">
        <v>0</v>
      </c>
      <c r="O15" s="119" t="s">
        <v>3138</v>
      </c>
    </row>
    <row r="16" spans="2:15" x14ac:dyDescent="0.25">
      <c r="B16" s="51" t="s">
        <v>3111</v>
      </c>
      <c r="C16" s="51">
        <v>14</v>
      </c>
      <c r="D16" s="51" t="s">
        <v>4030</v>
      </c>
      <c r="E16" s="119">
        <v>45492</v>
      </c>
      <c r="F16" s="51">
        <v>1</v>
      </c>
      <c r="G16" s="318" t="s">
        <v>4015</v>
      </c>
      <c r="H16" s="122">
        <v>0</v>
      </c>
      <c r="I16" s="51">
        <v>0</v>
      </c>
      <c r="J16" s="51">
        <v>0</v>
      </c>
      <c r="K16" s="51">
        <v>0</v>
      </c>
      <c r="L16" s="51">
        <v>0</v>
      </c>
      <c r="M16" s="51">
        <v>0</v>
      </c>
      <c r="N16" s="51">
        <v>0</v>
      </c>
      <c r="O16" s="51" t="s">
        <v>3138</v>
      </c>
    </row>
    <row r="17" spans="2:24" x14ac:dyDescent="0.25">
      <c r="B17" s="51" t="s">
        <v>3113</v>
      </c>
      <c r="C17" s="51">
        <v>15</v>
      </c>
      <c r="D17" s="51" t="s">
        <v>4031</v>
      </c>
      <c r="E17" s="119">
        <v>45492</v>
      </c>
      <c r="F17" s="51">
        <v>1</v>
      </c>
      <c r="G17" s="318" t="s">
        <v>4015</v>
      </c>
      <c r="H17" s="122">
        <v>0</v>
      </c>
      <c r="I17" s="51" t="s">
        <v>3138</v>
      </c>
      <c r="J17" s="51" t="s">
        <v>3138</v>
      </c>
      <c r="K17" s="51" t="s">
        <v>3138</v>
      </c>
      <c r="L17" s="51" t="s">
        <v>3138</v>
      </c>
      <c r="M17" s="51" t="s">
        <v>3138</v>
      </c>
      <c r="N17" s="121" t="s">
        <v>3138</v>
      </c>
      <c r="O17" s="121" t="s">
        <v>3138</v>
      </c>
    </row>
    <row r="18" spans="2:24" x14ac:dyDescent="0.25">
      <c r="B18" s="51" t="s">
        <v>3115</v>
      </c>
      <c r="C18" s="51">
        <v>16</v>
      </c>
      <c r="D18" s="51" t="s">
        <v>4031</v>
      </c>
      <c r="E18" s="119">
        <v>45492</v>
      </c>
      <c r="F18" s="51">
        <v>1</v>
      </c>
      <c r="G18" s="318" t="s">
        <v>4015</v>
      </c>
      <c r="H18" s="122">
        <v>0</v>
      </c>
      <c r="I18" s="51" t="s">
        <v>3138</v>
      </c>
      <c r="J18" s="51" t="s">
        <v>3138</v>
      </c>
      <c r="K18" s="51" t="s">
        <v>3138</v>
      </c>
      <c r="L18" s="51" t="s">
        <v>3138</v>
      </c>
      <c r="M18" s="51" t="s">
        <v>3138</v>
      </c>
      <c r="N18" s="121" t="s">
        <v>3138</v>
      </c>
      <c r="O18" s="121" t="s">
        <v>3138</v>
      </c>
    </row>
    <row r="19" spans="2:24" x14ac:dyDescent="0.25">
      <c r="B19" s="51" t="s">
        <v>3117</v>
      </c>
      <c r="C19" s="51">
        <v>17</v>
      </c>
      <c r="D19" s="51" t="s">
        <v>4032</v>
      </c>
      <c r="E19" s="119">
        <v>45492</v>
      </c>
      <c r="F19" s="51">
        <v>1</v>
      </c>
      <c r="G19" s="318" t="s">
        <v>4015</v>
      </c>
      <c r="H19" s="122">
        <v>0</v>
      </c>
      <c r="I19" s="51" t="s">
        <v>3172</v>
      </c>
      <c r="J19" s="51" t="s">
        <v>3172</v>
      </c>
      <c r="K19" s="51" t="s">
        <v>3172</v>
      </c>
      <c r="L19" s="51" t="s">
        <v>3172</v>
      </c>
      <c r="M19" s="51" t="s">
        <v>3172</v>
      </c>
      <c r="N19" s="51" t="s">
        <v>3172</v>
      </c>
      <c r="O19" s="51" t="s">
        <v>3174</v>
      </c>
    </row>
    <row r="20" spans="2:24" x14ac:dyDescent="0.25">
      <c r="B20" s="51" t="s">
        <v>3119</v>
      </c>
      <c r="C20" s="51">
        <v>18</v>
      </c>
      <c r="D20" s="51" t="s">
        <v>4033</v>
      </c>
      <c r="E20" s="119">
        <v>45516</v>
      </c>
      <c r="F20" s="51">
        <v>1</v>
      </c>
      <c r="G20" s="318" t="s">
        <v>4015</v>
      </c>
      <c r="H20" s="122">
        <v>0</v>
      </c>
      <c r="I20" s="51" t="s">
        <v>3138</v>
      </c>
      <c r="J20" s="51" t="s">
        <v>3138</v>
      </c>
      <c r="K20" s="51" t="s">
        <v>3138</v>
      </c>
      <c r="L20" s="51" t="s">
        <v>3138</v>
      </c>
      <c r="M20" s="51" t="s">
        <v>3138</v>
      </c>
      <c r="N20" s="51" t="s">
        <v>3138</v>
      </c>
      <c r="O20" s="51" t="s">
        <v>3138</v>
      </c>
    </row>
    <row r="21" spans="2:24" x14ac:dyDescent="0.25">
      <c r="B21" s="51" t="s">
        <v>3121</v>
      </c>
      <c r="C21" s="51">
        <v>19</v>
      </c>
      <c r="D21" s="51" t="s">
        <v>4034</v>
      </c>
      <c r="E21" s="119">
        <v>45492</v>
      </c>
      <c r="F21" s="51">
        <v>1</v>
      </c>
      <c r="G21" s="318" cm="1">
        <f t="array" ref="G21">SUMPRODUCT(--(ISNUMBER((SEARCH(I27:O27,I21:O21)))))/COUNTA(I21:O21)</f>
        <v>0</v>
      </c>
      <c r="H21" s="122">
        <v>0</v>
      </c>
      <c r="I21" s="51" t="s">
        <v>3138</v>
      </c>
      <c r="J21" s="51" t="s">
        <v>3138</v>
      </c>
      <c r="K21" s="51" t="s">
        <v>3138</v>
      </c>
      <c r="L21" s="51" t="s">
        <v>3138</v>
      </c>
      <c r="M21" s="51" t="s">
        <v>3138</v>
      </c>
      <c r="N21" s="51" t="s">
        <v>3138</v>
      </c>
      <c r="O21" s="51" t="s">
        <v>3138</v>
      </c>
    </row>
    <row r="22" spans="2:24" x14ac:dyDescent="0.25">
      <c r="B22" s="51" t="s">
        <v>3124</v>
      </c>
      <c r="C22" s="51">
        <v>20</v>
      </c>
      <c r="D22" s="51"/>
      <c r="E22" s="119"/>
      <c r="F22" s="51"/>
      <c r="G22" s="217" cm="1">
        <f t="array" ref="G22">SUM(IF(I2:O2 = I26:O26, 1, 0))/ COUNTA(I2:O2)</f>
        <v>0.7142857142857143</v>
      </c>
      <c r="H22" s="51"/>
      <c r="I22" s="51"/>
      <c r="J22" s="51"/>
      <c r="K22" s="51"/>
      <c r="L22" s="51"/>
      <c r="M22" s="51"/>
      <c r="N22" s="51"/>
      <c r="O22" s="51"/>
    </row>
    <row r="23" spans="2:24" x14ac:dyDescent="0.25">
      <c r="B23" s="51" t="s">
        <v>3127</v>
      </c>
      <c r="C23" s="51">
        <v>21</v>
      </c>
      <c r="D23" s="51"/>
      <c r="E23" s="119"/>
      <c r="F23" s="51"/>
      <c r="G23" s="217" cm="1">
        <f t="array" ref="G23">SUM(IF(IF(G3:G22="null",1,G3:G22)=1,1,0))/COUNT(IF(G3:G22="null",1,1))</f>
        <v>0.35</v>
      </c>
      <c r="H23" s="51"/>
      <c r="I23" s="51"/>
      <c r="J23" s="51"/>
      <c r="K23" s="51"/>
      <c r="L23" s="51"/>
      <c r="M23" s="51"/>
      <c r="N23" s="51"/>
      <c r="O23" s="51"/>
    </row>
    <row r="25" spans="2:24" x14ac:dyDescent="0.25">
      <c r="B25" s="154" t="s">
        <v>3244</v>
      </c>
    </row>
    <row r="26" spans="2:24" x14ac:dyDescent="0.25">
      <c r="B26" s="152" t="s">
        <v>3130</v>
      </c>
      <c r="C26" s="153" t="s">
        <v>3131</v>
      </c>
      <c r="D26" s="153" t="s">
        <v>3132</v>
      </c>
      <c r="E26" s="153" t="s">
        <v>3133</v>
      </c>
      <c r="F26" s="153" t="s">
        <v>3134</v>
      </c>
      <c r="G26" s="153" t="s">
        <v>3135</v>
      </c>
      <c r="H26" s="153" t="s">
        <v>3136</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x14ac:dyDescent="0.25">
      <c r="B27" s="131" t="s">
        <v>3175</v>
      </c>
      <c r="C27" s="116">
        <v>21</v>
      </c>
      <c r="D27" s="115" t="s">
        <v>3176</v>
      </c>
      <c r="E27" t="s">
        <v>3177</v>
      </c>
      <c r="F27" t="s">
        <v>366</v>
      </c>
      <c r="G27" t="s">
        <v>366</v>
      </c>
      <c r="H27" t="s">
        <v>366</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25">
      <c r="B28" s="131" t="s">
        <v>3178</v>
      </c>
      <c r="C28" s="175">
        <v>7</v>
      </c>
      <c r="D28" s="130" t="s">
        <v>3176</v>
      </c>
      <c r="E28" s="129" t="s">
        <v>3177</v>
      </c>
      <c r="F28" s="129" t="s">
        <v>366</v>
      </c>
      <c r="G28" s="129" t="s">
        <v>366</v>
      </c>
      <c r="H28" s="129" t="s">
        <v>366</v>
      </c>
      <c r="I28" s="175">
        <v>4</v>
      </c>
      <c r="J28" s="175">
        <v>30</v>
      </c>
      <c r="K28" s="175">
        <v>3</v>
      </c>
      <c r="L28" s="175">
        <v>20</v>
      </c>
      <c r="M28" s="175">
        <v>20</v>
      </c>
      <c r="N28" s="175">
        <v>4</v>
      </c>
      <c r="O28" s="175">
        <v>11</v>
      </c>
      <c r="P28" s="175">
        <v>15</v>
      </c>
      <c r="Q28" s="175">
        <v>20</v>
      </c>
      <c r="R28" s="175">
        <v>10</v>
      </c>
      <c r="S28" s="175">
        <v>23</v>
      </c>
      <c r="T28" s="116"/>
      <c r="U28" s="116"/>
      <c r="V28" s="116"/>
      <c r="W28" s="116"/>
      <c r="X28" s="116"/>
    </row>
    <row r="30" spans="2:24" x14ac:dyDescent="0.25">
      <c r="B30" s="164" t="s">
        <v>3179</v>
      </c>
    </row>
    <row r="31" spans="2:24" x14ac:dyDescent="0.25">
      <c r="B31" s="158" t="s">
        <v>3180</v>
      </c>
      <c r="C31" s="158" t="s">
        <v>3181</v>
      </c>
      <c r="D31" s="159" t="s">
        <v>3182</v>
      </c>
      <c r="E31" s="158" t="s">
        <v>3183</v>
      </c>
      <c r="F31" s="158" t="s">
        <v>3184</v>
      </c>
    </row>
    <row r="32" spans="2:24" ht="30" x14ac:dyDescent="0.25">
      <c r="B32" s="135" t="s">
        <v>3288</v>
      </c>
      <c r="C32" s="139" t="s">
        <v>3958</v>
      </c>
      <c r="D32" s="54" t="s">
        <v>4035</v>
      </c>
      <c r="E32" s="177" t="s">
        <v>4036</v>
      </c>
      <c r="F32" s="160" t="s">
        <v>3191</v>
      </c>
    </row>
    <row r="33" spans="2:6" ht="30" x14ac:dyDescent="0.25">
      <c r="B33" s="161" t="s">
        <v>3298</v>
      </c>
      <c r="C33" s="162" t="s">
        <v>3958</v>
      </c>
      <c r="D33" s="163" t="s">
        <v>4035</v>
      </c>
      <c r="E33" s="319" t="s">
        <v>4036</v>
      </c>
      <c r="F33"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98" t="s">
        <v>3255</v>
      </c>
      <c r="C2" s="98" t="s">
        <v>3131</v>
      </c>
      <c r="D2" s="98" t="s">
        <v>3132</v>
      </c>
      <c r="E2" s="98" t="s">
        <v>3133</v>
      </c>
      <c r="F2" s="98" t="s">
        <v>3134</v>
      </c>
      <c r="G2" s="98" t="s">
        <v>3135</v>
      </c>
      <c r="H2" s="98" t="s">
        <v>3136</v>
      </c>
      <c r="I2" s="98" t="s">
        <v>148</v>
      </c>
      <c r="J2" s="98" t="s">
        <v>163</v>
      </c>
      <c r="K2" s="153" t="s">
        <v>2726</v>
      </c>
      <c r="L2" s="153" t="s">
        <v>2733</v>
      </c>
      <c r="M2" s="98" t="s">
        <v>2742</v>
      </c>
      <c r="N2" s="98" t="s">
        <v>2746</v>
      </c>
      <c r="O2" s="98" t="s">
        <v>337</v>
      </c>
      <c r="P2" s="98" t="s">
        <v>344</v>
      </c>
      <c r="Q2" s="98" t="s">
        <v>351</v>
      </c>
      <c r="R2" s="98"/>
    </row>
    <row r="3" spans="2:18" x14ac:dyDescent="0.25">
      <c r="B3" s="51" t="s">
        <v>3084</v>
      </c>
      <c r="C3" s="51">
        <v>1</v>
      </c>
      <c r="D3" s="51" t="s">
        <v>4037</v>
      </c>
      <c r="E3" s="119">
        <v>45534</v>
      </c>
      <c r="F3" s="51">
        <v>1</v>
      </c>
      <c r="G3" s="318">
        <v>1</v>
      </c>
      <c r="H3" s="206">
        <v>10349</v>
      </c>
      <c r="I3" s="51" t="s">
        <v>3138</v>
      </c>
      <c r="J3" s="51" t="s">
        <v>3138</v>
      </c>
      <c r="K3" s="51" t="s">
        <v>3138</v>
      </c>
      <c r="L3" s="51" t="s">
        <v>3138</v>
      </c>
      <c r="M3" s="51" t="s">
        <v>3138</v>
      </c>
      <c r="N3" s="51" t="s">
        <v>3138</v>
      </c>
      <c r="O3" s="51" t="s">
        <v>3138</v>
      </c>
      <c r="P3" s="51" t="s">
        <v>3138</v>
      </c>
      <c r="Q3" s="51" t="s">
        <v>3138</v>
      </c>
      <c r="R3" s="51"/>
    </row>
    <row r="4" spans="2:18" x14ac:dyDescent="0.25">
      <c r="B4" s="51" t="s">
        <v>3086</v>
      </c>
      <c r="C4" s="51">
        <v>2</v>
      </c>
      <c r="D4" s="51" t="s">
        <v>4038</v>
      </c>
      <c r="E4" s="119">
        <v>45534</v>
      </c>
      <c r="F4" s="51">
        <v>1</v>
      </c>
      <c r="G4" s="318">
        <v>1</v>
      </c>
      <c r="H4" s="51" t="s">
        <v>3147</v>
      </c>
      <c r="I4" s="51" t="s">
        <v>3138</v>
      </c>
      <c r="J4" s="51" t="s">
        <v>3138</v>
      </c>
      <c r="K4" s="51" t="s">
        <v>3138</v>
      </c>
      <c r="L4" s="51" t="s">
        <v>3138</v>
      </c>
      <c r="M4" s="51" t="s">
        <v>3138</v>
      </c>
      <c r="N4" s="51" t="s">
        <v>3138</v>
      </c>
      <c r="O4" s="51" t="s">
        <v>3138</v>
      </c>
      <c r="P4" s="51" t="s">
        <v>3138</v>
      </c>
      <c r="Q4" s="51" t="s">
        <v>3138</v>
      </c>
      <c r="R4" s="51"/>
    </row>
    <row r="5" spans="2:18" x14ac:dyDescent="0.25">
      <c r="B5" s="51" t="s">
        <v>3088</v>
      </c>
      <c r="C5" s="51">
        <v>3</v>
      </c>
      <c r="D5" s="51" t="s">
        <v>4039</v>
      </c>
      <c r="E5" s="119">
        <v>45534</v>
      </c>
      <c r="F5" s="51">
        <v>1</v>
      </c>
      <c r="G5" s="318">
        <v>1</v>
      </c>
      <c r="H5" s="51" t="s">
        <v>3147</v>
      </c>
      <c r="I5" s="51">
        <v>0</v>
      </c>
      <c r="J5" s="51">
        <v>0</v>
      </c>
      <c r="K5" s="51">
        <v>0</v>
      </c>
      <c r="L5" s="51" t="s">
        <v>3138</v>
      </c>
      <c r="M5" s="51" t="s">
        <v>3138</v>
      </c>
      <c r="N5" s="51" t="s">
        <v>3138</v>
      </c>
      <c r="O5" s="51" t="s">
        <v>3138</v>
      </c>
      <c r="P5" s="51">
        <v>0</v>
      </c>
      <c r="Q5" s="51" t="s">
        <v>3138</v>
      </c>
      <c r="R5" s="51"/>
    </row>
    <row r="6" spans="2:18" x14ac:dyDescent="0.25">
      <c r="B6" s="121" t="s">
        <v>3090</v>
      </c>
      <c r="C6" s="51">
        <v>4</v>
      </c>
      <c r="D6" s="51" t="s">
        <v>3141</v>
      </c>
      <c r="E6" s="119" t="s">
        <v>3138</v>
      </c>
      <c r="F6" s="51">
        <v>1</v>
      </c>
      <c r="G6" s="119" t="s">
        <v>3138</v>
      </c>
      <c r="H6" s="51" t="s">
        <v>3138</v>
      </c>
      <c r="I6" s="51" t="s">
        <v>3138</v>
      </c>
      <c r="J6" s="51" t="s">
        <v>3138</v>
      </c>
      <c r="K6" s="51" t="s">
        <v>3138</v>
      </c>
      <c r="L6" s="51" t="s">
        <v>3138</v>
      </c>
      <c r="M6" s="51" t="s">
        <v>3138</v>
      </c>
      <c r="N6" s="51" t="s">
        <v>3138</v>
      </c>
      <c r="O6" s="51" t="s">
        <v>3138</v>
      </c>
      <c r="P6" s="51" t="s">
        <v>3138</v>
      </c>
      <c r="Q6" s="51" t="s">
        <v>3138</v>
      </c>
      <c r="R6" s="51"/>
    </row>
    <row r="7" spans="2:18" x14ac:dyDescent="0.25">
      <c r="B7" s="51" t="s">
        <v>3092</v>
      </c>
      <c r="C7" s="51">
        <v>5</v>
      </c>
      <c r="D7" s="51" t="s">
        <v>3141</v>
      </c>
      <c r="E7" s="119" t="s">
        <v>3138</v>
      </c>
      <c r="F7" s="51">
        <v>1</v>
      </c>
      <c r="G7" s="119" t="s">
        <v>3138</v>
      </c>
      <c r="H7" s="51" t="s">
        <v>3138</v>
      </c>
      <c r="I7" s="51" t="s">
        <v>3138</v>
      </c>
      <c r="J7" s="51" t="s">
        <v>3138</v>
      </c>
      <c r="K7" s="51" t="s">
        <v>3138</v>
      </c>
      <c r="L7" s="51" t="s">
        <v>3138</v>
      </c>
      <c r="M7" s="51" t="s">
        <v>3138</v>
      </c>
      <c r="N7" s="51" t="s">
        <v>3138</v>
      </c>
      <c r="O7" s="51" t="s">
        <v>3138</v>
      </c>
      <c r="P7" s="51" t="s">
        <v>3138</v>
      </c>
      <c r="Q7" s="51" t="s">
        <v>3138</v>
      </c>
      <c r="R7" s="51"/>
    </row>
    <row r="8" spans="2:18" x14ac:dyDescent="0.25">
      <c r="B8" s="121" t="s">
        <v>3093</v>
      </c>
      <c r="C8" s="51">
        <v>6</v>
      </c>
      <c r="D8" s="51" t="s">
        <v>4040</v>
      </c>
      <c r="E8" s="119">
        <v>45534</v>
      </c>
      <c r="F8" s="51">
        <v>1</v>
      </c>
      <c r="G8" s="234" cm="1">
        <f t="array" ref="G8">SUMPRODUCT(--(I8:O8&gt;0))/COUNTA(I8:O8)</f>
        <v>1</v>
      </c>
      <c r="H8" s="51" t="s">
        <v>3147</v>
      </c>
      <c r="I8" s="51">
        <v>2</v>
      </c>
      <c r="J8" s="51">
        <v>30</v>
      </c>
      <c r="K8" s="51">
        <v>1</v>
      </c>
      <c r="L8" s="51">
        <v>1</v>
      </c>
      <c r="M8" s="51">
        <v>1</v>
      </c>
      <c r="N8" s="51">
        <v>1</v>
      </c>
      <c r="O8" s="51">
        <v>2</v>
      </c>
      <c r="P8" s="51">
        <v>10</v>
      </c>
      <c r="Q8" s="51">
        <v>23</v>
      </c>
      <c r="R8" s="51"/>
    </row>
    <row r="9" spans="2:18" x14ac:dyDescent="0.25">
      <c r="B9" s="51" t="s">
        <v>3096</v>
      </c>
      <c r="C9" s="51">
        <v>7</v>
      </c>
      <c r="D9" s="51" t="s">
        <v>4041</v>
      </c>
      <c r="E9" s="119">
        <v>45534</v>
      </c>
      <c r="F9" s="51">
        <v>1</v>
      </c>
      <c r="G9" s="234" cm="1">
        <f t="array" ref="G9">SUMPRODUCT(--(I9:Q9 &lt;= I26:Q26))/COUNTA(I26:Q26)</f>
        <v>1</v>
      </c>
      <c r="H9" s="51" t="s">
        <v>3147</v>
      </c>
      <c r="I9" s="51">
        <v>2</v>
      </c>
      <c r="J9" s="51">
        <v>30</v>
      </c>
      <c r="K9" s="51">
        <v>2</v>
      </c>
      <c r="L9" s="51">
        <v>35</v>
      </c>
      <c r="M9" s="51">
        <v>28</v>
      </c>
      <c r="N9" s="51">
        <v>31</v>
      </c>
      <c r="O9" s="51">
        <v>2</v>
      </c>
      <c r="P9" s="51">
        <v>10</v>
      </c>
      <c r="Q9" s="51">
        <v>23</v>
      </c>
      <c r="R9" s="51"/>
    </row>
    <row r="10" spans="2:18" x14ac:dyDescent="0.25">
      <c r="B10" s="51" t="s">
        <v>3099</v>
      </c>
      <c r="C10" s="51">
        <v>8</v>
      </c>
      <c r="D10" s="51" t="s">
        <v>4042</v>
      </c>
      <c r="E10" s="119">
        <v>45534</v>
      </c>
      <c r="F10" s="51">
        <v>1</v>
      </c>
      <c r="G10" s="119" t="s">
        <v>3138</v>
      </c>
      <c r="H10" s="51" t="s">
        <v>3147</v>
      </c>
      <c r="I10" s="51">
        <v>31</v>
      </c>
      <c r="J10" s="51">
        <v>6.6350038000872803E+29</v>
      </c>
      <c r="K10" s="51">
        <v>0</v>
      </c>
      <c r="L10" s="51" t="s">
        <v>4043</v>
      </c>
      <c r="M10" s="51" t="s">
        <v>4043</v>
      </c>
      <c r="N10" s="119" t="s">
        <v>4043</v>
      </c>
      <c r="O10" s="119" t="s">
        <v>4044</v>
      </c>
      <c r="P10" s="119">
        <v>45534</v>
      </c>
      <c r="Q10" s="119" t="s">
        <v>4045</v>
      </c>
      <c r="R10" s="119"/>
    </row>
    <row r="11" spans="2:18" x14ac:dyDescent="0.25">
      <c r="B11" s="51" t="s">
        <v>3101</v>
      </c>
      <c r="C11" s="51">
        <v>9</v>
      </c>
      <c r="D11" s="51" t="s">
        <v>4046</v>
      </c>
      <c r="E11" s="119">
        <v>45534</v>
      </c>
      <c r="F11" s="51">
        <v>1</v>
      </c>
      <c r="G11" s="119" t="s">
        <v>3138</v>
      </c>
      <c r="H11" s="51" t="s">
        <v>3147</v>
      </c>
      <c r="I11" s="51"/>
      <c r="J11" s="51">
        <v>6.6350038000872803E+29</v>
      </c>
      <c r="K11" s="51">
        <v>0</v>
      </c>
      <c r="L11" s="51"/>
      <c r="M11" s="51"/>
      <c r="N11" s="119"/>
      <c r="O11" s="119" t="s">
        <v>4044</v>
      </c>
      <c r="P11" s="119">
        <v>45534</v>
      </c>
      <c r="Q11" s="119" t="s">
        <v>4047</v>
      </c>
      <c r="R11" s="119"/>
    </row>
    <row r="12" spans="2:18" x14ac:dyDescent="0.25">
      <c r="B12" s="121" t="s">
        <v>3103</v>
      </c>
      <c r="C12" s="51">
        <v>10</v>
      </c>
      <c r="D12" s="51" t="s">
        <v>4048</v>
      </c>
      <c r="E12" s="119">
        <v>45534</v>
      </c>
      <c r="F12" s="51">
        <v>1</v>
      </c>
      <c r="G12" s="119" t="s">
        <v>3138</v>
      </c>
      <c r="H12" s="51" t="s">
        <v>3147</v>
      </c>
      <c r="I12" s="51">
        <v>31</v>
      </c>
      <c r="J12" s="51">
        <v>8.8780038000002303E+29</v>
      </c>
      <c r="K12" s="51">
        <v>99</v>
      </c>
      <c r="L12" s="51" t="s">
        <v>4049</v>
      </c>
      <c r="M12" s="51" t="s">
        <v>4050</v>
      </c>
      <c r="N12" s="119" t="s">
        <v>4051</v>
      </c>
      <c r="O12" s="119" t="s">
        <v>4052</v>
      </c>
      <c r="P12" s="119">
        <v>45534</v>
      </c>
      <c r="Q12" s="119" t="s">
        <v>4045</v>
      </c>
      <c r="R12" s="119"/>
    </row>
    <row r="13" spans="2:18" x14ac:dyDescent="0.25">
      <c r="B13" s="51" t="s">
        <v>3105</v>
      </c>
      <c r="C13" s="51">
        <v>11</v>
      </c>
      <c r="D13" s="51" t="s">
        <v>4053</v>
      </c>
      <c r="E13" s="119">
        <v>45534</v>
      </c>
      <c r="F13" s="51">
        <v>1</v>
      </c>
      <c r="G13" s="119" t="s">
        <v>3138</v>
      </c>
      <c r="H13" s="51" t="s">
        <v>3147</v>
      </c>
      <c r="I13" s="51"/>
      <c r="J13" s="51">
        <v>8.8780038000002303E+29</v>
      </c>
      <c r="K13" s="51">
        <v>99</v>
      </c>
      <c r="L13" s="51" t="s">
        <v>4049</v>
      </c>
      <c r="M13" s="51" t="s">
        <v>4050</v>
      </c>
      <c r="N13" s="119" t="s">
        <v>4051</v>
      </c>
      <c r="O13" s="119" t="s">
        <v>4052</v>
      </c>
      <c r="P13" s="119">
        <v>45534</v>
      </c>
      <c r="Q13" s="119" t="s">
        <v>4054</v>
      </c>
      <c r="R13" s="119"/>
    </row>
    <row r="14" spans="2:18" x14ac:dyDescent="0.25">
      <c r="B14" s="51" t="s">
        <v>3107</v>
      </c>
      <c r="C14" s="51">
        <v>12</v>
      </c>
      <c r="D14" s="51" t="s">
        <v>4055</v>
      </c>
      <c r="E14" s="119">
        <v>45534</v>
      </c>
      <c r="F14" s="51">
        <v>1</v>
      </c>
      <c r="G14" s="318">
        <v>0.67</v>
      </c>
      <c r="H14" s="51" t="s">
        <v>3147</v>
      </c>
      <c r="I14" s="51">
        <v>0</v>
      </c>
      <c r="J14" s="51">
        <v>0</v>
      </c>
      <c r="K14" s="51">
        <v>0</v>
      </c>
      <c r="L14" s="51">
        <v>9224</v>
      </c>
      <c r="M14" s="51">
        <v>9807</v>
      </c>
      <c r="N14" s="51">
        <v>9168</v>
      </c>
      <c r="O14" s="51">
        <v>0</v>
      </c>
      <c r="P14" s="51">
        <v>0</v>
      </c>
      <c r="Q14" s="51">
        <v>0</v>
      </c>
      <c r="R14" s="51"/>
    </row>
    <row r="15" spans="2:18" x14ac:dyDescent="0.25">
      <c r="B15" s="51" t="s">
        <v>3109</v>
      </c>
      <c r="C15" s="51">
        <v>13</v>
      </c>
      <c r="D15" s="51" t="s">
        <v>4056</v>
      </c>
      <c r="E15" s="119">
        <v>45518</v>
      </c>
      <c r="F15" s="51">
        <v>1</v>
      </c>
      <c r="G15" s="318">
        <v>1</v>
      </c>
      <c r="H15" s="51" t="s">
        <v>3147</v>
      </c>
      <c r="I15" s="51">
        <v>0</v>
      </c>
      <c r="J15" s="51">
        <v>0</v>
      </c>
      <c r="K15" s="51">
        <v>0</v>
      </c>
      <c r="L15" s="51">
        <v>0</v>
      </c>
      <c r="M15" s="51" t="s">
        <v>3138</v>
      </c>
      <c r="N15" s="119">
        <v>0</v>
      </c>
      <c r="O15" s="119" t="s">
        <v>3138</v>
      </c>
      <c r="P15" s="51">
        <v>0</v>
      </c>
      <c r="Q15" s="51" t="s">
        <v>3138</v>
      </c>
      <c r="R15" s="119"/>
    </row>
    <row r="16" spans="2:18" x14ac:dyDescent="0.25">
      <c r="B16" s="51" t="s">
        <v>3111</v>
      </c>
      <c r="C16" s="51">
        <v>14</v>
      </c>
      <c r="D16" s="51" t="s">
        <v>4057</v>
      </c>
      <c r="E16" s="119">
        <v>45534</v>
      </c>
      <c r="F16" s="51">
        <v>1</v>
      </c>
      <c r="G16" s="318">
        <v>1</v>
      </c>
      <c r="H16" s="122" t="s">
        <v>3147</v>
      </c>
      <c r="I16" s="51">
        <v>0</v>
      </c>
      <c r="J16" s="51">
        <v>0</v>
      </c>
      <c r="K16" s="51">
        <v>0</v>
      </c>
      <c r="L16" s="51">
        <v>0</v>
      </c>
      <c r="M16" s="51" t="s">
        <v>3138</v>
      </c>
      <c r="N16" s="51" t="s">
        <v>3138</v>
      </c>
      <c r="O16" s="51">
        <v>0</v>
      </c>
      <c r="P16" s="51" t="s">
        <v>3138</v>
      </c>
      <c r="Q16" s="51" t="s">
        <v>3138</v>
      </c>
      <c r="R16" s="51"/>
    </row>
    <row r="17" spans="2:19" x14ac:dyDescent="0.25">
      <c r="B17" s="51" t="s">
        <v>3113</v>
      </c>
      <c r="C17" s="51">
        <v>15</v>
      </c>
      <c r="D17" s="51" t="s">
        <v>4058</v>
      </c>
      <c r="E17" s="119">
        <v>45534</v>
      </c>
      <c r="F17" s="51">
        <v>1</v>
      </c>
      <c r="G17" s="318">
        <v>1</v>
      </c>
      <c r="H17" s="51" t="s">
        <v>3147</v>
      </c>
      <c r="I17" s="51" t="s">
        <v>3138</v>
      </c>
      <c r="J17" s="51" t="s">
        <v>3138</v>
      </c>
      <c r="K17" s="51" t="s">
        <v>3138</v>
      </c>
      <c r="L17" s="51" t="s">
        <v>3138</v>
      </c>
      <c r="M17" s="51" t="s">
        <v>3138</v>
      </c>
      <c r="N17" s="51" t="s">
        <v>3138</v>
      </c>
      <c r="O17" s="51" t="s">
        <v>3138</v>
      </c>
      <c r="P17" s="51" t="s">
        <v>3138</v>
      </c>
      <c r="Q17" s="51" t="s">
        <v>3138</v>
      </c>
      <c r="R17" s="51"/>
    </row>
    <row r="18" spans="2:19" x14ac:dyDescent="0.25">
      <c r="B18" s="51" t="s">
        <v>3115</v>
      </c>
      <c r="C18" s="51">
        <v>16</v>
      </c>
      <c r="D18" s="51" t="s">
        <v>4058</v>
      </c>
      <c r="E18" s="119">
        <v>45534</v>
      </c>
      <c r="F18" s="51">
        <v>1</v>
      </c>
      <c r="G18" s="318">
        <v>1</v>
      </c>
      <c r="H18" s="122" t="s">
        <v>3147</v>
      </c>
      <c r="I18" s="51" t="s">
        <v>3138</v>
      </c>
      <c r="J18" s="51" t="s">
        <v>3138</v>
      </c>
      <c r="K18" s="51" t="s">
        <v>3138</v>
      </c>
      <c r="L18" s="51" t="s">
        <v>3138</v>
      </c>
      <c r="M18" s="51" t="s">
        <v>3138</v>
      </c>
      <c r="N18" s="121" t="s">
        <v>3138</v>
      </c>
      <c r="O18" s="121" t="s">
        <v>3138</v>
      </c>
      <c r="P18" s="121" t="s">
        <v>3138</v>
      </c>
      <c r="Q18" s="121" t="s">
        <v>3138</v>
      </c>
      <c r="R18" s="51"/>
    </row>
    <row r="19" spans="2:19" x14ac:dyDescent="0.25">
      <c r="B19" s="51" t="s">
        <v>3121</v>
      </c>
      <c r="C19" s="51">
        <v>19</v>
      </c>
      <c r="D19" s="51" t="s">
        <v>4059</v>
      </c>
      <c r="E19" s="119">
        <v>45534</v>
      </c>
      <c r="F19" s="51">
        <v>1</v>
      </c>
      <c r="G19" s="234" cm="1">
        <f t="array" ref="G19">SUMPRODUCT(--(ISNUMBER((SEARCH(I25:AJ25,I19:AJ19)))))/COUNTA(I19:AJ19)</f>
        <v>1</v>
      </c>
      <c r="H19" s="122" t="s">
        <v>3147</v>
      </c>
      <c r="I19" s="51" t="s">
        <v>3172</v>
      </c>
      <c r="J19" s="51" t="s">
        <v>3172</v>
      </c>
      <c r="K19" s="51" t="s">
        <v>4060</v>
      </c>
      <c r="L19" s="51" t="s">
        <v>3172</v>
      </c>
      <c r="M19" s="51" t="s">
        <v>3172</v>
      </c>
      <c r="N19" s="121" t="s">
        <v>3172</v>
      </c>
      <c r="O19" s="121" t="s">
        <v>3172</v>
      </c>
      <c r="P19" s="51" t="s">
        <v>3172</v>
      </c>
      <c r="Q19" s="51" t="s">
        <v>3174</v>
      </c>
      <c r="R19" s="51"/>
    </row>
    <row r="20" spans="2:19" x14ac:dyDescent="0.25">
      <c r="B20" s="51" t="s">
        <v>3124</v>
      </c>
      <c r="C20" s="51">
        <v>20</v>
      </c>
      <c r="D20" s="51"/>
      <c r="E20" s="119"/>
      <c r="F20" s="51"/>
      <c r="G20" s="217" cm="1">
        <f t="array" ref="G20">SUM(IF(I2:Q2 = I24:Q24, 1, 0))/ COUNTA(I2:Q2)</f>
        <v>1</v>
      </c>
      <c r="H20" s="51"/>
      <c r="I20" s="51"/>
      <c r="J20" s="51"/>
      <c r="K20" s="51"/>
      <c r="L20" s="51"/>
      <c r="M20" s="51"/>
      <c r="N20" s="51"/>
      <c r="O20" s="51"/>
      <c r="P20" s="51"/>
      <c r="Q20" s="51"/>
      <c r="R20" s="51"/>
    </row>
    <row r="21" spans="2:19" x14ac:dyDescent="0.25">
      <c r="B21" s="51" t="s">
        <v>3127</v>
      </c>
      <c r="C21" s="51">
        <v>21</v>
      </c>
      <c r="D21" s="51"/>
      <c r="E21" s="119"/>
      <c r="F21" s="51"/>
      <c r="G21" s="217" cm="1">
        <f t="array" ref="G21">SUM(IF(IF(G3:G20="null",1,G3:G20)=1,1,0))/COUNT(IF(G3:G20="null",1,1))</f>
        <v>0.94444444444444442</v>
      </c>
      <c r="H21" s="51"/>
      <c r="I21" s="51"/>
      <c r="J21" s="51"/>
      <c r="K21" s="51"/>
      <c r="L21" s="51"/>
      <c r="M21" s="51"/>
      <c r="N21" s="51"/>
      <c r="O21" s="51"/>
      <c r="P21" s="51"/>
      <c r="Q21" s="51"/>
      <c r="R21" s="51"/>
    </row>
    <row r="23" spans="2:19" x14ac:dyDescent="0.25">
      <c r="B23" s="154" t="s">
        <v>3244</v>
      </c>
    </row>
    <row r="24" spans="2:19" x14ac:dyDescent="0.25">
      <c r="B24" s="152" t="s">
        <v>3130</v>
      </c>
      <c r="C24" s="153" t="s">
        <v>3131</v>
      </c>
      <c r="D24" s="153" t="s">
        <v>3132</v>
      </c>
      <c r="E24" s="153" t="s">
        <v>3133</v>
      </c>
      <c r="F24" s="153" t="s">
        <v>3134</v>
      </c>
      <c r="G24" s="153" t="s">
        <v>3135</v>
      </c>
      <c r="H24" s="153" t="s">
        <v>3136</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x14ac:dyDescent="0.25">
      <c r="B25" s="131" t="s">
        <v>3175</v>
      </c>
      <c r="C25" s="116">
        <v>21</v>
      </c>
      <c r="D25" s="115" t="s">
        <v>3176</v>
      </c>
      <c r="E25" t="s">
        <v>3177</v>
      </c>
      <c r="F25" t="s">
        <v>366</v>
      </c>
      <c r="G25" t="s">
        <v>366</v>
      </c>
      <c r="H25" t="s">
        <v>366</v>
      </c>
      <c r="I25" t="str" cm="1">
        <f t="array" ref="I25:Q26">TRANSPOSE(_xlfn.SORTBY(_xlfn._xlws.FILTER(IF(Table3[FORMATO]:Table3[COMP_ CAMPO]&lt;&gt;"",Table3[FORMATO]:Table3[COMP_ CAMPO],9999999),Table3[NOME FÍSICO TABELA]="trade_finance_route"), _xlfn._xlws.FILTER(Table3[ORDEM], Table3[NOME FÍSICO TABELA]="trade_finance_route"), 1))</f>
        <v>STRING</v>
      </c>
      <c r="J25" t="str">
        <v>STRING</v>
      </c>
      <c r="K25" t="str">
        <v>BIGINT</v>
      </c>
      <c r="L25" t="str">
        <v>STRING</v>
      </c>
      <c r="M25" t="str">
        <v>STRING</v>
      </c>
      <c r="N25" t="str">
        <v>STRING</v>
      </c>
      <c r="O25" t="str">
        <v>STRING</v>
      </c>
      <c r="P25" t="str">
        <v>STRING</v>
      </c>
      <c r="Q25" t="str">
        <v>TIMESTAMP</v>
      </c>
    </row>
    <row r="26" spans="2:19" x14ac:dyDescent="0.25">
      <c r="B26" s="131" t="s">
        <v>3178</v>
      </c>
      <c r="C26" s="175">
        <v>7</v>
      </c>
      <c r="D26" s="130" t="s">
        <v>3176</v>
      </c>
      <c r="E26" s="129" t="s">
        <v>3177</v>
      </c>
      <c r="F26" s="129" t="s">
        <v>366</v>
      </c>
      <c r="G26" s="129" t="s">
        <v>366</v>
      </c>
      <c r="H26" s="129" t="s">
        <v>366</v>
      </c>
      <c r="I26" s="175">
        <v>4</v>
      </c>
      <c r="J26" s="175">
        <v>30</v>
      </c>
      <c r="K26" s="175">
        <v>9999999</v>
      </c>
      <c r="L26" s="175">
        <v>9999999</v>
      </c>
      <c r="M26" s="175">
        <v>9999999</v>
      </c>
      <c r="N26" s="175">
        <v>9999999</v>
      </c>
      <c r="O26" s="175">
        <v>2</v>
      </c>
      <c r="P26" s="175">
        <v>10</v>
      </c>
      <c r="Q26" s="175">
        <v>23</v>
      </c>
      <c r="R26" s="116"/>
      <c r="S26" s="116"/>
    </row>
    <row r="28" spans="2:19" x14ac:dyDescent="0.25">
      <c r="B28" s="164" t="s">
        <v>3179</v>
      </c>
    </row>
    <row r="29" spans="2:19" x14ac:dyDescent="0.25">
      <c r="B29" s="158" t="s">
        <v>3180</v>
      </c>
      <c r="C29" s="158" t="s">
        <v>3181</v>
      </c>
      <c r="D29" s="159" t="s">
        <v>3182</v>
      </c>
      <c r="E29" s="158" t="s">
        <v>3183</v>
      </c>
      <c r="F29" s="158" t="s">
        <v>3184</v>
      </c>
    </row>
    <row r="30" spans="2:19" ht="90" x14ac:dyDescent="0.25">
      <c r="B30" s="135" t="s">
        <v>3185</v>
      </c>
      <c r="C30" s="139" t="s">
        <v>2733</v>
      </c>
      <c r="D30" s="54" t="s">
        <v>4061</v>
      </c>
      <c r="E30" s="177" t="s">
        <v>4062</v>
      </c>
      <c r="F30" s="160"/>
    </row>
    <row r="31" spans="2:19" ht="90" x14ac:dyDescent="0.25">
      <c r="B31" s="135" t="s">
        <v>3583</v>
      </c>
      <c r="C31" s="162" t="s">
        <v>2742</v>
      </c>
      <c r="D31" s="54" t="s">
        <v>4061</v>
      </c>
      <c r="E31" s="177" t="s">
        <v>4063</v>
      </c>
      <c r="F31" s="213"/>
    </row>
    <row r="32" spans="2:19" ht="90" x14ac:dyDescent="0.25">
      <c r="B32" s="135" t="s">
        <v>4064</v>
      </c>
      <c r="C32" s="162" t="s">
        <v>2746</v>
      </c>
      <c r="D32" s="54" t="s">
        <v>4061</v>
      </c>
      <c r="E32" s="177" t="s">
        <v>4065</v>
      </c>
      <c r="F32" s="213"/>
    </row>
    <row r="33" spans="2:6" ht="66" customHeight="1" x14ac:dyDescent="0.25">
      <c r="B33" s="356" t="s">
        <v>4066</v>
      </c>
      <c r="C33" s="357" t="s">
        <v>3958</v>
      </c>
      <c r="D33" s="358" t="s">
        <v>4067</v>
      </c>
      <c r="E33" s="359" t="s">
        <v>4068</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x14ac:dyDescent="0.25"/>
    <row r="2" spans="2:40" x14ac:dyDescent="0.25">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x14ac:dyDescent="0.25">
      <c r="B3" s="51" t="s">
        <v>3084</v>
      </c>
      <c r="C3" s="51">
        <v>1</v>
      </c>
      <c r="D3" s="51" t="s">
        <v>4069</v>
      </c>
      <c r="E3" s="119">
        <v>45513</v>
      </c>
      <c r="F3" s="51">
        <v>1</v>
      </c>
      <c r="G3" s="122">
        <v>1</v>
      </c>
      <c r="H3" s="250" t="s">
        <v>4070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211" t="s">
        <v>3138</v>
      </c>
      <c r="AA3" s="211" t="s">
        <v>3138</v>
      </c>
      <c r="AB3" s="211" t="s">
        <v>3138</v>
      </c>
      <c r="AC3" s="211" t="s">
        <v>3138</v>
      </c>
      <c r="AD3" s="211" t="s">
        <v>3138</v>
      </c>
      <c r="AE3" s="211" t="s">
        <v>3138</v>
      </c>
      <c r="AF3" s="211" t="s">
        <v>3138</v>
      </c>
      <c r="AG3" s="211" t="s">
        <v>3138</v>
      </c>
      <c r="AH3" s="211" t="s">
        <v>3138</v>
      </c>
      <c r="AI3" s="211" t="s">
        <v>3138</v>
      </c>
      <c r="AJ3" s="51" t="s">
        <v>3138</v>
      </c>
      <c r="AK3" s="51" t="s">
        <v>3138</v>
      </c>
      <c r="AL3" s="51" t="s">
        <v>3138</v>
      </c>
      <c r="AM3" s="51" t="s">
        <v>3138</v>
      </c>
      <c r="AN3" s="51" t="s">
        <v>3138</v>
      </c>
    </row>
    <row r="4" spans="2:40" x14ac:dyDescent="0.25">
      <c r="B4" s="51" t="s">
        <v>3086</v>
      </c>
      <c r="C4" s="51">
        <v>2</v>
      </c>
      <c r="D4" s="51" t="s">
        <v>4071</v>
      </c>
      <c r="E4" s="119">
        <v>45513</v>
      </c>
      <c r="F4" s="51">
        <v>1</v>
      </c>
      <c r="G4" s="122">
        <v>1</v>
      </c>
      <c r="H4" s="209"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211" t="s">
        <v>3138</v>
      </c>
      <c r="AA4" s="211" t="s">
        <v>3138</v>
      </c>
      <c r="AB4" s="211" t="s">
        <v>3138</v>
      </c>
      <c r="AC4" s="211" t="s">
        <v>3138</v>
      </c>
      <c r="AD4" s="211" t="s">
        <v>3138</v>
      </c>
      <c r="AE4" s="211" t="s">
        <v>3138</v>
      </c>
      <c r="AF4" s="211" t="s">
        <v>3138</v>
      </c>
      <c r="AG4" s="211" t="s">
        <v>3138</v>
      </c>
      <c r="AH4" s="211" t="s">
        <v>3138</v>
      </c>
      <c r="AI4" s="211" t="s">
        <v>3138</v>
      </c>
      <c r="AJ4" s="51" t="s">
        <v>3138</v>
      </c>
      <c r="AK4" s="51" t="s">
        <v>3138</v>
      </c>
      <c r="AL4" s="51" t="s">
        <v>3138</v>
      </c>
      <c r="AM4" s="51" t="s">
        <v>3138</v>
      </c>
      <c r="AN4" s="51" t="s">
        <v>3138</v>
      </c>
    </row>
    <row r="5" spans="2:40" x14ac:dyDescent="0.25">
      <c r="B5" s="51" t="s">
        <v>3088</v>
      </c>
      <c r="C5" s="51">
        <v>3</v>
      </c>
      <c r="D5" s="51" t="s">
        <v>4072</v>
      </c>
      <c r="E5" s="119">
        <v>45513</v>
      </c>
      <c r="F5" s="51">
        <v>1</v>
      </c>
      <c r="G5" s="122">
        <v>1</v>
      </c>
      <c r="H5" s="209"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211" t="s">
        <v>3138</v>
      </c>
      <c r="AA5" s="211" t="s">
        <v>3138</v>
      </c>
      <c r="AB5" s="211" t="s">
        <v>3138</v>
      </c>
      <c r="AC5" s="211" t="s">
        <v>3138</v>
      </c>
      <c r="AD5" s="211" t="s">
        <v>3138</v>
      </c>
      <c r="AE5" s="211" t="s">
        <v>3138</v>
      </c>
      <c r="AF5" s="211" t="s">
        <v>3138</v>
      </c>
      <c r="AG5" s="211" t="s">
        <v>3138</v>
      </c>
      <c r="AH5" s="211" t="s">
        <v>3138</v>
      </c>
      <c r="AI5" s="211" t="s">
        <v>3138</v>
      </c>
      <c r="AJ5" s="51" t="s">
        <v>3138</v>
      </c>
      <c r="AK5" s="51" t="s">
        <v>3138</v>
      </c>
      <c r="AL5" s="51" t="s">
        <v>3138</v>
      </c>
      <c r="AM5" s="51">
        <v>0</v>
      </c>
      <c r="AN5" s="51" t="s">
        <v>3138</v>
      </c>
    </row>
    <row r="6" spans="2:40" x14ac:dyDescent="0.25">
      <c r="B6" s="121" t="s">
        <v>3090</v>
      </c>
      <c r="C6" s="51">
        <v>4</v>
      </c>
      <c r="D6" s="51" t="s">
        <v>3141</v>
      </c>
      <c r="E6" s="119" t="s">
        <v>3138</v>
      </c>
      <c r="F6" s="51">
        <v>1</v>
      </c>
      <c r="G6" s="51"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211" t="s">
        <v>3138</v>
      </c>
      <c r="AA6" s="211" t="s">
        <v>3138</v>
      </c>
      <c r="AB6" s="211" t="s">
        <v>3138</v>
      </c>
      <c r="AC6" s="211" t="s">
        <v>3138</v>
      </c>
      <c r="AD6" s="211" t="s">
        <v>3138</v>
      </c>
      <c r="AE6" s="211" t="s">
        <v>3138</v>
      </c>
      <c r="AF6" s="211" t="s">
        <v>3138</v>
      </c>
      <c r="AG6" s="211" t="s">
        <v>3138</v>
      </c>
      <c r="AH6" s="211" t="s">
        <v>3138</v>
      </c>
      <c r="AI6" s="211" t="s">
        <v>3138</v>
      </c>
      <c r="AJ6" s="51" t="s">
        <v>3138</v>
      </c>
      <c r="AK6" s="51" t="s">
        <v>3138</v>
      </c>
      <c r="AL6" s="51" t="s">
        <v>3138</v>
      </c>
      <c r="AM6" s="51" t="s">
        <v>3138</v>
      </c>
      <c r="AN6" s="51" t="s">
        <v>3138</v>
      </c>
    </row>
    <row r="7" spans="2:40" x14ac:dyDescent="0.25">
      <c r="B7" s="51" t="s">
        <v>3092</v>
      </c>
      <c r="C7" s="51">
        <v>5</v>
      </c>
      <c r="D7" s="51" t="s">
        <v>3141</v>
      </c>
      <c r="E7" s="119" t="s">
        <v>3138</v>
      </c>
      <c r="F7" s="51">
        <v>1</v>
      </c>
      <c r="G7" s="51"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211" t="s">
        <v>3138</v>
      </c>
      <c r="AA7" s="211" t="s">
        <v>3138</v>
      </c>
      <c r="AB7" s="211" t="s">
        <v>3138</v>
      </c>
      <c r="AC7" s="211" t="s">
        <v>3138</v>
      </c>
      <c r="AD7" s="211" t="s">
        <v>3138</v>
      </c>
      <c r="AE7" s="211" t="s">
        <v>3138</v>
      </c>
      <c r="AF7" s="211" t="s">
        <v>3138</v>
      </c>
      <c r="AG7" s="211" t="s">
        <v>3138</v>
      </c>
      <c r="AH7" s="211" t="s">
        <v>3138</v>
      </c>
      <c r="AI7" s="211" t="s">
        <v>3138</v>
      </c>
      <c r="AJ7" s="51" t="s">
        <v>3138</v>
      </c>
      <c r="AK7" s="51" t="s">
        <v>3138</v>
      </c>
      <c r="AL7" s="51" t="s">
        <v>3138</v>
      </c>
      <c r="AM7" s="51" t="s">
        <v>3138</v>
      </c>
      <c r="AN7" s="51" t="s">
        <v>3138</v>
      </c>
    </row>
    <row r="8" spans="2:40" x14ac:dyDescent="0.25">
      <c r="B8" s="121" t="s">
        <v>3093</v>
      </c>
      <c r="C8" s="51">
        <v>6</v>
      </c>
      <c r="D8" s="51" t="s">
        <v>4073</v>
      </c>
      <c r="E8" s="119">
        <v>45513</v>
      </c>
      <c r="F8" s="51">
        <v>1</v>
      </c>
      <c r="G8" s="234" cm="1">
        <f t="array" ref="G8">SUMPRODUCT(--(I8:AN8&gt;0))/COUNTA(I8:AN8)</f>
        <v>1</v>
      </c>
      <c r="H8" s="209" t="s">
        <v>3147</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x14ac:dyDescent="0.25">
      <c r="B9" s="51" t="s">
        <v>3096</v>
      </c>
      <c r="C9" s="51">
        <v>7</v>
      </c>
      <c r="D9" s="51" t="s">
        <v>4074</v>
      </c>
      <c r="E9" s="119">
        <v>45513</v>
      </c>
      <c r="F9" s="51">
        <v>1</v>
      </c>
      <c r="G9" s="234" cm="1">
        <f t="array" ref="G9">SUMPRODUCT(--(I9:AN9 &lt;= I28:AN28))/COUNTA(I28:AN28)</f>
        <v>1</v>
      </c>
      <c r="H9" s="209" t="s">
        <v>3147</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x14ac:dyDescent="0.25">
      <c r="B10" s="51" t="s">
        <v>3099</v>
      </c>
      <c r="C10" s="51">
        <v>8</v>
      </c>
      <c r="D10" s="51" t="s">
        <v>4075</v>
      </c>
      <c r="E10" s="119">
        <v>45513</v>
      </c>
      <c r="F10" s="51">
        <v>1</v>
      </c>
      <c r="G10" s="51" t="s">
        <v>3138</v>
      </c>
      <c r="H10" s="209" t="s">
        <v>3147</v>
      </c>
      <c r="I10" s="51">
        <v>31</v>
      </c>
      <c r="J10" s="204" t="s">
        <v>4076</v>
      </c>
      <c r="K10" s="51" t="s">
        <v>4077</v>
      </c>
      <c r="L10" s="51">
        <v>22</v>
      </c>
      <c r="M10" s="51">
        <v>0</v>
      </c>
      <c r="N10" s="51">
        <v>31</v>
      </c>
      <c r="O10" s="51">
        <v>2.2822000999999998E+22</v>
      </c>
      <c r="P10" s="119">
        <v>31530</v>
      </c>
      <c r="Q10" s="119">
        <v>34698</v>
      </c>
      <c r="R10" s="51">
        <v>826</v>
      </c>
      <c r="S10" s="122">
        <v>0</v>
      </c>
      <c r="T10" s="204" t="s">
        <v>3147</v>
      </c>
      <c r="U10" s="122">
        <v>-900000000000</v>
      </c>
      <c r="V10" s="51" t="s">
        <v>3147</v>
      </c>
      <c r="W10" s="122">
        <v>-16362170000</v>
      </c>
      <c r="X10" s="122">
        <v>-42408660000</v>
      </c>
      <c r="Y10" s="51" t="s">
        <v>3147</v>
      </c>
      <c r="Z10" s="211" t="s">
        <v>2426</v>
      </c>
      <c r="AA10" s="211" t="s">
        <v>1760</v>
      </c>
      <c r="AB10" s="211" t="s">
        <v>1767</v>
      </c>
      <c r="AC10" s="211" t="s">
        <v>1773</v>
      </c>
      <c r="AD10" s="211" t="s">
        <v>1403</v>
      </c>
      <c r="AE10" s="211" t="s">
        <v>1410</v>
      </c>
      <c r="AF10" s="211" t="s">
        <v>655</v>
      </c>
      <c r="AG10" s="211" t="s">
        <v>664</v>
      </c>
      <c r="AH10" s="211" t="s">
        <v>673</v>
      </c>
      <c r="AI10" s="211" t="s">
        <v>681</v>
      </c>
      <c r="AJ10" s="51" t="s">
        <v>3148</v>
      </c>
      <c r="AK10" s="51" t="s">
        <v>3149</v>
      </c>
      <c r="AL10" s="51" t="s">
        <v>3266</v>
      </c>
      <c r="AM10" s="119">
        <v>45513</v>
      </c>
      <c r="AN10" s="51" t="s">
        <v>4078</v>
      </c>
    </row>
    <row r="11" spans="2:40" x14ac:dyDescent="0.25">
      <c r="B11" s="51" t="s">
        <v>3101</v>
      </c>
      <c r="C11" s="51">
        <v>9</v>
      </c>
      <c r="D11" s="51" t="s">
        <v>4079</v>
      </c>
      <c r="E11" s="119">
        <v>45513</v>
      </c>
      <c r="F11" s="51">
        <v>1</v>
      </c>
      <c r="G11" s="51" t="s">
        <v>3138</v>
      </c>
      <c r="H11" s="209" t="s">
        <v>3147</v>
      </c>
      <c r="I11" s="51">
        <v>31</v>
      </c>
      <c r="J11" s="204" t="s">
        <v>4076</v>
      </c>
      <c r="K11" s="51" t="s">
        <v>4080</v>
      </c>
      <c r="L11" s="51">
        <v>22</v>
      </c>
      <c r="M11" s="51">
        <v>0</v>
      </c>
      <c r="N11" s="51"/>
      <c r="O11" s="51">
        <v>2.2822000999999998E+22</v>
      </c>
      <c r="P11" s="119">
        <v>31530</v>
      </c>
      <c r="Q11" s="119">
        <v>34698</v>
      </c>
      <c r="R11" s="51">
        <v>826</v>
      </c>
      <c r="S11" s="51">
        <v>0</v>
      </c>
      <c r="T11" s="204" t="s">
        <v>3223</v>
      </c>
      <c r="U11" s="122">
        <v>-900000000000</v>
      </c>
      <c r="V11" s="51" t="s">
        <v>3223</v>
      </c>
      <c r="W11" s="122">
        <v>-16362170000</v>
      </c>
      <c r="X11" s="122" t="s">
        <v>4081</v>
      </c>
      <c r="Y11" s="51" t="s">
        <v>3223</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3266</v>
      </c>
      <c r="AM11" s="119">
        <v>45513</v>
      </c>
      <c r="AN11" s="51" t="s">
        <v>4082</v>
      </c>
    </row>
    <row r="12" spans="2:40" x14ac:dyDescent="0.25">
      <c r="B12" s="121" t="s">
        <v>3103</v>
      </c>
      <c r="C12" s="51">
        <v>10</v>
      </c>
      <c r="D12" s="51" t="s">
        <v>4083</v>
      </c>
      <c r="E12" s="119">
        <v>45513</v>
      </c>
      <c r="F12" s="51">
        <v>1</v>
      </c>
      <c r="G12" s="51" t="s">
        <v>3138</v>
      </c>
      <c r="H12" s="209" t="s">
        <v>3147</v>
      </c>
      <c r="I12" s="51">
        <v>31</v>
      </c>
      <c r="J12" s="204" t="s">
        <v>4084</v>
      </c>
      <c r="K12" s="51" t="s">
        <v>4077</v>
      </c>
      <c r="L12" s="51">
        <v>97</v>
      </c>
      <c r="M12" s="119" t="s">
        <v>4085</v>
      </c>
      <c r="N12" s="51">
        <v>31</v>
      </c>
      <c r="O12" s="122">
        <v>2.3930258433501999E+29</v>
      </c>
      <c r="P12" s="217">
        <v>45513</v>
      </c>
      <c r="Q12" s="119">
        <v>2958464</v>
      </c>
      <c r="R12" s="51">
        <v>978</v>
      </c>
      <c r="S12" s="345" t="s">
        <v>3862</v>
      </c>
      <c r="T12" s="204" t="s">
        <v>4086</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3322</v>
      </c>
      <c r="AK12" s="51" t="s">
        <v>3149</v>
      </c>
      <c r="AL12" s="51" t="s">
        <v>3158</v>
      </c>
      <c r="AM12" s="119">
        <v>45513</v>
      </c>
      <c r="AN12" s="51" t="s">
        <v>4078</v>
      </c>
    </row>
    <row r="13" spans="2:40" x14ac:dyDescent="0.25">
      <c r="B13" s="51" t="s">
        <v>3105</v>
      </c>
      <c r="C13" s="51">
        <v>11</v>
      </c>
      <c r="D13" s="51" t="s">
        <v>4087</v>
      </c>
      <c r="E13" s="119">
        <v>45513</v>
      </c>
      <c r="F13" s="51">
        <v>1</v>
      </c>
      <c r="G13" s="51" t="s">
        <v>3138</v>
      </c>
      <c r="H13" s="209" t="s">
        <v>3147</v>
      </c>
      <c r="I13" s="51">
        <v>31</v>
      </c>
      <c r="J13" s="204" t="s">
        <v>4084</v>
      </c>
      <c r="K13" s="51" t="s">
        <v>4080</v>
      </c>
      <c r="L13" s="51">
        <v>97</v>
      </c>
      <c r="M13" s="119" t="s">
        <v>4085</v>
      </c>
      <c r="N13" s="51"/>
      <c r="O13" s="51">
        <v>2.3930258433501999E+29</v>
      </c>
      <c r="P13" s="119">
        <v>45513</v>
      </c>
      <c r="Q13" s="119">
        <v>2958464</v>
      </c>
      <c r="R13" s="51">
        <v>978</v>
      </c>
      <c r="S13" s="51">
        <v>1</v>
      </c>
      <c r="T13" s="204" t="s">
        <v>4088</v>
      </c>
      <c r="U13" s="122">
        <v>72487500000000</v>
      </c>
      <c r="V13" s="122" t="s">
        <v>4089</v>
      </c>
      <c r="W13" s="122">
        <v>27512500000000</v>
      </c>
      <c r="X13" s="122" t="s">
        <v>4090</v>
      </c>
      <c r="Y13" s="122" t="s">
        <v>4089</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3158</v>
      </c>
      <c r="AM13" s="119">
        <v>45513</v>
      </c>
      <c r="AN13" s="51" t="s">
        <v>4091</v>
      </c>
    </row>
    <row r="14" spans="2:40" x14ac:dyDescent="0.25">
      <c r="B14" s="51" t="s">
        <v>3107</v>
      </c>
      <c r="C14" s="51">
        <v>12</v>
      </c>
      <c r="D14" s="51" t="s">
        <v>4092</v>
      </c>
      <c r="E14" s="119">
        <v>45513</v>
      </c>
      <c r="F14" s="51">
        <v>1</v>
      </c>
      <c r="G14" s="217" t="s">
        <v>4093</v>
      </c>
      <c r="H14" s="209" t="s">
        <v>3147</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x14ac:dyDescent="0.25">
      <c r="B15" s="51" t="s">
        <v>3109</v>
      </c>
      <c r="C15" s="51">
        <v>13</v>
      </c>
      <c r="D15" s="51" t="s">
        <v>4094</v>
      </c>
      <c r="E15" s="119">
        <v>45513</v>
      </c>
      <c r="F15" s="51">
        <v>1</v>
      </c>
      <c r="G15" s="122">
        <v>1</v>
      </c>
      <c r="H15" s="209" t="s">
        <v>3147</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c r="X15" s="51" t="s">
        <v>3138</v>
      </c>
      <c r="Y15" s="51" t="s">
        <v>3138</v>
      </c>
      <c r="Z15" s="211" t="s">
        <v>3138</v>
      </c>
      <c r="AA15" s="211" t="s">
        <v>3138</v>
      </c>
      <c r="AB15" s="211" t="s">
        <v>3138</v>
      </c>
      <c r="AC15" s="211" t="s">
        <v>3138</v>
      </c>
      <c r="AD15" s="211" t="s">
        <v>3138</v>
      </c>
      <c r="AE15" s="211" t="s">
        <v>3138</v>
      </c>
      <c r="AF15" s="211" t="s">
        <v>3138</v>
      </c>
      <c r="AG15" s="211" t="s">
        <v>3138</v>
      </c>
      <c r="AH15" s="211" t="s">
        <v>3138</v>
      </c>
      <c r="AI15" s="211" t="s">
        <v>3138</v>
      </c>
      <c r="AJ15" s="51" t="s">
        <v>3138</v>
      </c>
      <c r="AK15" s="51" t="s">
        <v>3138</v>
      </c>
      <c r="AL15" s="51" t="s">
        <v>3138</v>
      </c>
      <c r="AM15" s="51" t="s">
        <v>3138</v>
      </c>
      <c r="AN15" s="51" t="s">
        <v>3138</v>
      </c>
    </row>
    <row r="16" spans="2:40" x14ac:dyDescent="0.25">
      <c r="B16" s="51" t="s">
        <v>3111</v>
      </c>
      <c r="C16" s="51">
        <v>14</v>
      </c>
      <c r="D16" s="51" t="s">
        <v>4095</v>
      </c>
      <c r="E16" s="119">
        <v>45513</v>
      </c>
      <c r="F16" s="51">
        <v>1</v>
      </c>
      <c r="G16" s="122">
        <v>1</v>
      </c>
      <c r="H16" s="209" t="s">
        <v>3147</v>
      </c>
      <c r="I16" s="51">
        <v>0</v>
      </c>
      <c r="J16" s="51">
        <v>0</v>
      </c>
      <c r="K16" s="51">
        <v>0</v>
      </c>
      <c r="L16" s="51">
        <v>0</v>
      </c>
      <c r="M16" s="51">
        <v>0</v>
      </c>
      <c r="N16" s="51">
        <v>0</v>
      </c>
      <c r="O16" s="51">
        <v>0</v>
      </c>
      <c r="P16" s="51" t="s">
        <v>3138</v>
      </c>
      <c r="Q16" s="51" t="s">
        <v>3138</v>
      </c>
      <c r="R16" s="51">
        <v>0</v>
      </c>
      <c r="S16" s="51" t="s">
        <v>3138</v>
      </c>
      <c r="T16" s="51" t="s">
        <v>3138</v>
      </c>
      <c r="U16" s="51" t="s">
        <v>3138</v>
      </c>
      <c r="V16" s="51" t="s">
        <v>3138</v>
      </c>
      <c r="W16" s="51" t="s">
        <v>3138</v>
      </c>
      <c r="X16" s="51" t="s">
        <v>3138</v>
      </c>
      <c r="Y16" s="51" t="s">
        <v>3138</v>
      </c>
      <c r="Z16" s="211" t="s">
        <v>3138</v>
      </c>
      <c r="AA16" s="211" t="s">
        <v>3138</v>
      </c>
      <c r="AB16" s="211" t="s">
        <v>3138</v>
      </c>
      <c r="AC16" s="211" t="s">
        <v>3138</v>
      </c>
      <c r="AD16" s="211" t="s">
        <v>3138</v>
      </c>
      <c r="AE16" s="211">
        <v>0</v>
      </c>
      <c r="AF16" s="211" t="s">
        <v>3138</v>
      </c>
      <c r="AG16" s="211" t="s">
        <v>3138</v>
      </c>
      <c r="AH16" s="211" t="s">
        <v>3138</v>
      </c>
      <c r="AI16" s="211" t="s">
        <v>3138</v>
      </c>
      <c r="AJ16" s="51">
        <v>0</v>
      </c>
      <c r="AK16" s="51">
        <v>0</v>
      </c>
      <c r="AL16" s="51">
        <v>0</v>
      </c>
      <c r="AM16" s="51" t="s">
        <v>3138</v>
      </c>
      <c r="AN16" s="51" t="s">
        <v>3138</v>
      </c>
    </row>
    <row r="17" spans="2:40" x14ac:dyDescent="0.25">
      <c r="B17" s="51" t="s">
        <v>3113</v>
      </c>
      <c r="C17" s="51">
        <v>15</v>
      </c>
      <c r="D17" s="51" t="s">
        <v>4096</v>
      </c>
      <c r="E17" s="119">
        <v>45513</v>
      </c>
      <c r="F17" s="51">
        <v>1</v>
      </c>
      <c r="G17" s="122">
        <v>1</v>
      </c>
      <c r="H17" s="209" t="s">
        <v>3147</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211" t="s">
        <v>3138</v>
      </c>
      <c r="AA17" s="211" t="s">
        <v>3138</v>
      </c>
      <c r="AB17" s="211" t="s">
        <v>3138</v>
      </c>
      <c r="AC17" s="211" t="s">
        <v>3138</v>
      </c>
      <c r="AD17" s="211" t="s">
        <v>3138</v>
      </c>
      <c r="AE17" s="211" t="s">
        <v>3138</v>
      </c>
      <c r="AF17" s="211" t="s">
        <v>3138</v>
      </c>
      <c r="AG17" s="211" t="s">
        <v>3138</v>
      </c>
      <c r="AH17" s="211" t="s">
        <v>3138</v>
      </c>
      <c r="AI17" s="211" t="s">
        <v>3138</v>
      </c>
      <c r="AJ17" s="51" t="s">
        <v>3138</v>
      </c>
      <c r="AK17" s="51" t="s">
        <v>3138</v>
      </c>
      <c r="AL17" s="51" t="s">
        <v>3138</v>
      </c>
      <c r="AM17" s="51" t="s">
        <v>3138</v>
      </c>
      <c r="AN17" s="51" t="s">
        <v>3138</v>
      </c>
    </row>
    <row r="18" spans="2:40" x14ac:dyDescent="0.25">
      <c r="B18" s="51" t="s">
        <v>3115</v>
      </c>
      <c r="C18" s="51">
        <v>16</v>
      </c>
      <c r="D18" s="51" t="s">
        <v>4096</v>
      </c>
      <c r="E18" s="119">
        <v>45513</v>
      </c>
      <c r="F18" s="51">
        <v>1</v>
      </c>
      <c r="G18" s="122">
        <v>1</v>
      </c>
      <c r="H18" s="209"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211" t="s">
        <v>3138</v>
      </c>
      <c r="AA18" s="211" t="s">
        <v>3138</v>
      </c>
      <c r="AB18" s="211" t="s">
        <v>3138</v>
      </c>
      <c r="AC18" s="211" t="s">
        <v>3138</v>
      </c>
      <c r="AD18" s="211" t="s">
        <v>3138</v>
      </c>
      <c r="AE18" s="211" t="s">
        <v>3138</v>
      </c>
      <c r="AF18" s="211" t="s">
        <v>3138</v>
      </c>
      <c r="AG18" s="211" t="s">
        <v>3138</v>
      </c>
      <c r="AH18" s="211" t="s">
        <v>3138</v>
      </c>
      <c r="AI18" s="211" t="s">
        <v>3138</v>
      </c>
      <c r="AJ18" s="51" t="s">
        <v>3138</v>
      </c>
      <c r="AK18" s="51" t="s">
        <v>3138</v>
      </c>
      <c r="AL18" s="51" t="s">
        <v>3138</v>
      </c>
      <c r="AM18" s="51" t="s">
        <v>3138</v>
      </c>
      <c r="AN18" s="51" t="s">
        <v>3138</v>
      </c>
    </row>
    <row r="19" spans="2:40" x14ac:dyDescent="0.25">
      <c r="B19" s="51" t="s">
        <v>3117</v>
      </c>
      <c r="C19" s="51">
        <v>17</v>
      </c>
      <c r="D19" s="51" t="s">
        <v>4097</v>
      </c>
      <c r="E19" s="119">
        <v>45513</v>
      </c>
      <c r="F19" s="51">
        <v>1</v>
      </c>
      <c r="G19" s="51" t="s">
        <v>4098</v>
      </c>
      <c r="H19" s="306" t="s">
        <v>4099</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51" t="s">
        <v>3138</v>
      </c>
      <c r="W19" s="51" t="s">
        <v>3138</v>
      </c>
      <c r="X19" s="51" t="s">
        <v>3138</v>
      </c>
      <c r="Y19" s="51" t="s">
        <v>3138</v>
      </c>
      <c r="Z19" s="211" t="s">
        <v>3138</v>
      </c>
      <c r="AA19" s="211" t="s">
        <v>3138</v>
      </c>
      <c r="AB19" s="211" t="s">
        <v>3138</v>
      </c>
      <c r="AC19" s="211" t="s">
        <v>3138</v>
      </c>
      <c r="AD19" s="211" t="s">
        <v>3138</v>
      </c>
      <c r="AE19" s="211" t="s">
        <v>3138</v>
      </c>
      <c r="AF19" s="211" t="s">
        <v>3138</v>
      </c>
      <c r="AG19" s="211" t="s">
        <v>3138</v>
      </c>
      <c r="AH19" s="211" t="s">
        <v>3138</v>
      </c>
      <c r="AI19" s="211" t="s">
        <v>3138</v>
      </c>
      <c r="AJ19" s="51" t="s">
        <v>3138</v>
      </c>
      <c r="AK19" s="51" t="s">
        <v>3138</v>
      </c>
      <c r="AL19" s="51" t="s">
        <v>3138</v>
      </c>
      <c r="AM19" s="51" t="s">
        <v>3138</v>
      </c>
      <c r="AN19" s="51" t="s">
        <v>3138</v>
      </c>
    </row>
    <row r="20" spans="2:40" x14ac:dyDescent="0.25">
      <c r="B20" s="51" t="s">
        <v>3119</v>
      </c>
      <c r="C20" s="51">
        <v>18</v>
      </c>
      <c r="D20" s="51" t="s">
        <v>4097</v>
      </c>
      <c r="E20" s="119">
        <v>45513</v>
      </c>
      <c r="F20" s="51">
        <v>1</v>
      </c>
      <c r="G20" s="235" t="s">
        <v>4100</v>
      </c>
      <c r="H20" s="318" t="s">
        <v>4101</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211" t="s">
        <v>3138</v>
      </c>
      <c r="AA20" s="211" t="s">
        <v>3138</v>
      </c>
      <c r="AB20" s="211" t="s">
        <v>3138</v>
      </c>
      <c r="AC20" s="211" t="s">
        <v>3138</v>
      </c>
      <c r="AD20" s="211" t="s">
        <v>3138</v>
      </c>
      <c r="AE20" s="211" t="s">
        <v>3138</v>
      </c>
      <c r="AF20" s="211" t="s">
        <v>3138</v>
      </c>
      <c r="AG20" s="211" t="s">
        <v>3138</v>
      </c>
      <c r="AH20" s="211" t="s">
        <v>3138</v>
      </c>
      <c r="AI20" s="211" t="s">
        <v>3138</v>
      </c>
      <c r="AJ20" s="51" t="s">
        <v>3138</v>
      </c>
      <c r="AK20" s="51" t="s">
        <v>3138</v>
      </c>
      <c r="AL20" s="51" t="s">
        <v>3138</v>
      </c>
      <c r="AM20" s="51" t="s">
        <v>3138</v>
      </c>
      <c r="AN20" s="51" t="s">
        <v>3138</v>
      </c>
    </row>
    <row r="21" spans="2:40" x14ac:dyDescent="0.25">
      <c r="B21" s="51" t="s">
        <v>3121</v>
      </c>
      <c r="C21" s="51">
        <v>19</v>
      </c>
      <c r="D21" s="51" t="s">
        <v>4102</v>
      </c>
      <c r="E21" s="119">
        <v>45513</v>
      </c>
      <c r="F21" s="51">
        <v>1</v>
      </c>
      <c r="G21" s="234" cm="1">
        <f t="array" ref="G21">SUMPRODUCT(--(ISNUMBER((SEARCH(I27:AN27,I21:AN21)))))/COUNTA(I21:AN21)</f>
        <v>0.8125</v>
      </c>
      <c r="H21" s="209"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3173</v>
      </c>
      <c r="U21" s="51" t="s">
        <v>3173</v>
      </c>
      <c r="V21" s="51" t="s">
        <v>3173</v>
      </c>
      <c r="W21" s="51" t="s">
        <v>3173</v>
      </c>
      <c r="X21" s="51" t="s">
        <v>3173</v>
      </c>
      <c r="Y21" s="51" t="s">
        <v>3173</v>
      </c>
      <c r="Z21" s="211" t="s">
        <v>3172</v>
      </c>
      <c r="AA21" s="211" t="s">
        <v>3172</v>
      </c>
      <c r="AB21" s="211" t="s">
        <v>3172</v>
      </c>
      <c r="AC21" s="211" t="s">
        <v>3172</v>
      </c>
      <c r="AD21" s="211" t="s">
        <v>3172</v>
      </c>
      <c r="AE21" s="211" t="s">
        <v>3172</v>
      </c>
      <c r="AF21" s="211" t="s">
        <v>3172</v>
      </c>
      <c r="AG21" s="211" t="s">
        <v>3172</v>
      </c>
      <c r="AH21" s="211" t="s">
        <v>3172</v>
      </c>
      <c r="AI21" s="211" t="s">
        <v>3172</v>
      </c>
      <c r="AJ21" s="51" t="s">
        <v>3172</v>
      </c>
      <c r="AK21" s="51" t="s">
        <v>3172</v>
      </c>
      <c r="AL21" s="51" t="s">
        <v>3172</v>
      </c>
      <c r="AM21" s="51" t="s">
        <v>3172</v>
      </c>
      <c r="AN21" s="51" t="s">
        <v>3174</v>
      </c>
    </row>
    <row r="22" spans="2:40" x14ac:dyDescent="0.25">
      <c r="B22" s="51" t="s">
        <v>3124</v>
      </c>
      <c r="C22" s="51">
        <v>20</v>
      </c>
      <c r="D22" s="51"/>
      <c r="E22" s="119"/>
      <c r="F22" s="51">
        <v>1</v>
      </c>
      <c r="G22" s="217" cm="1">
        <f t="array" ref="G22">SUM(IF(I2:AN2 = I26:AN26, 1, 0))/ COUNTA(I2:AN2)</f>
        <v>1</v>
      </c>
      <c r="H22" s="51" t="s">
        <v>3138</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x14ac:dyDescent="0.25">
      <c r="B23" s="51" t="s">
        <v>3127</v>
      </c>
      <c r="C23" s="51">
        <v>21</v>
      </c>
      <c r="D23" s="51"/>
      <c r="E23" s="119"/>
      <c r="F23" s="51">
        <v>1</v>
      </c>
      <c r="G23" s="217" cm="1">
        <f t="array" ref="G23">SUM(IF(IF(G3:G22="null",1,G3:G22)=1,1,0))/COUNT(IF(G3:G22="null",1,1))</f>
        <v>0.8</v>
      </c>
      <c r="H23" s="51" t="s">
        <v>3138</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x14ac:dyDescent="0.25">
      <c r="B24" s="51"/>
      <c r="C24" s="51"/>
      <c r="D24" s="51"/>
      <c r="E24" s="119"/>
      <c r="F24" s="51"/>
      <c r="G24" s="51"/>
      <c r="H24" s="51"/>
      <c r="I24" s="51"/>
      <c r="J24" s="51"/>
      <c r="K24" s="51"/>
      <c r="L24" s="51"/>
      <c r="M24" s="51"/>
      <c r="N24" s="51"/>
      <c r="O24" s="51"/>
      <c r="P24" s="51"/>
      <c r="Q24" s="51"/>
      <c r="R24" s="51"/>
      <c r="S24" s="51"/>
    </row>
    <row r="25" spans="2:40" x14ac:dyDescent="0.25">
      <c r="B25" s="154" t="s">
        <v>3244</v>
      </c>
    </row>
    <row r="26" spans="2:40" x14ac:dyDescent="0.25">
      <c r="B26" s="152" t="s">
        <v>3130</v>
      </c>
      <c r="C26" s="153" t="s">
        <v>3131</v>
      </c>
      <c r="D26" s="153" t="s">
        <v>3132</v>
      </c>
      <c r="E26" s="153" t="s">
        <v>3133</v>
      </c>
      <c r="F26" s="153" t="s">
        <v>3134</v>
      </c>
      <c r="G26" s="153" t="s">
        <v>3135</v>
      </c>
      <c r="H26" s="153" t="s">
        <v>3136</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x14ac:dyDescent="0.25">
      <c r="B27" s="131" t="s">
        <v>3175</v>
      </c>
      <c r="C27" s="134">
        <v>21</v>
      </c>
      <c r="D27" s="128" t="s">
        <v>3176</v>
      </c>
      <c r="E27" s="127" t="s">
        <v>3177</v>
      </c>
      <c r="F27" s="127" t="s">
        <v>366</v>
      </c>
      <c r="G27" s="127" t="s">
        <v>366</v>
      </c>
      <c r="H27" s="127" t="s">
        <v>366</v>
      </c>
      <c r="I27" s="127" t="str" cm="1">
        <f t="array" ref="I27:AN28">TRANSPOSE(_xlfn.SORTBY(_xlfn._xlws.FILTER(IF(Table3[FORMATO]:Table3[COMP_ CAMPO]&lt;&gt;"",Table3[FORMATO]:Table3[COMP_ CAMPO],9999999),Table3[NOME FÍSICO TABELA]="loan_account"), _xlfn._xlws.FILTER(Table3[ORDEM], Table3[NOME FÍSICO TABELA]="loan_account"), 1))</f>
        <v>STRING</v>
      </c>
      <c r="J27" s="127" t="str">
        <v>STRING</v>
      </c>
      <c r="K27" s="127" t="str">
        <v>STRING</v>
      </c>
      <c r="L27" s="127" t="str">
        <v>STRING</v>
      </c>
      <c r="M27" s="127" t="str">
        <v>STRING</v>
      </c>
      <c r="N27" s="129" t="str">
        <v>STRING</v>
      </c>
      <c r="O27" s="129" t="str">
        <v>STRING</v>
      </c>
      <c r="P27" s="129" t="str">
        <v>STRING</v>
      </c>
      <c r="Q27" s="129" t="str">
        <v>STRING</v>
      </c>
      <c r="R27" s="129" t="str">
        <v>STRING</v>
      </c>
      <c r="S27" s="129" t="str">
        <v>STRING</v>
      </c>
      <c r="T27" s="129" t="str">
        <v>DECIMAL</v>
      </c>
      <c r="U27" s="129" t="str">
        <v>DECIMAL</v>
      </c>
      <c r="V27" s="129" t="str">
        <v>DECIMAL</v>
      </c>
      <c r="W27" s="129" t="str">
        <v>DECIMAL</v>
      </c>
      <c r="X27" s="129" t="str">
        <v>DECIMAL</v>
      </c>
      <c r="Y27" s="129" t="str">
        <v>DECIMAL</v>
      </c>
      <c r="Z27" s="129" t="str">
        <v>STRING</v>
      </c>
      <c r="AA27" s="129" t="str">
        <v>STRING</v>
      </c>
      <c r="AB27" s="129" t="str">
        <v>DECIMAL</v>
      </c>
      <c r="AC27" s="129" t="str">
        <v>DECIMAL</v>
      </c>
      <c r="AD27" s="129" t="str">
        <v>DECIMAL</v>
      </c>
      <c r="AE27" s="129" t="str">
        <v>STRING</v>
      </c>
      <c r="AF27" s="129" t="str">
        <v>STRING</v>
      </c>
      <c r="AG27" s="129" t="str">
        <v>DECIMAL</v>
      </c>
      <c r="AH27" s="129" t="str">
        <v>DECIMAL</v>
      </c>
      <c r="AI27" s="129" t="str">
        <v>DECIMAL</v>
      </c>
      <c r="AJ27" s="129" t="str">
        <v>STRING</v>
      </c>
      <c r="AK27" s="129" t="str">
        <v>STRING</v>
      </c>
      <c r="AL27" s="129" t="str">
        <v>STRING</v>
      </c>
      <c r="AM27" s="129" t="str">
        <v>STRING</v>
      </c>
      <c r="AN27" s="129" t="str">
        <v>TIMESTAMP</v>
      </c>
    </row>
    <row r="28" spans="2:40" x14ac:dyDescent="0.25">
      <c r="B28" s="131" t="s">
        <v>3178</v>
      </c>
      <c r="C28" s="134">
        <v>7</v>
      </c>
      <c r="D28" s="128" t="s">
        <v>3176</v>
      </c>
      <c r="E28" s="127" t="s">
        <v>3177</v>
      </c>
      <c r="F28" s="129" t="s">
        <v>366</v>
      </c>
      <c r="G28" s="129" t="s">
        <v>366</v>
      </c>
      <c r="H28" s="129" t="s">
        <v>366</v>
      </c>
      <c r="I28" s="175">
        <v>4</v>
      </c>
      <c r="J28" s="175">
        <v>30</v>
      </c>
      <c r="K28" s="175">
        <v>4</v>
      </c>
      <c r="L28" s="175">
        <v>4</v>
      </c>
      <c r="M28" s="175">
        <v>4</v>
      </c>
      <c r="N28" s="134">
        <v>4</v>
      </c>
      <c r="O28" s="134">
        <v>30</v>
      </c>
      <c r="P28" s="134">
        <v>10</v>
      </c>
      <c r="Q28" s="134">
        <v>10</v>
      </c>
      <c r="R28" s="134">
        <v>4</v>
      </c>
      <c r="S28" s="134">
        <v>4</v>
      </c>
      <c r="T28" s="134">
        <v>23</v>
      </c>
      <c r="U28" s="134">
        <v>23</v>
      </c>
      <c r="V28" s="127">
        <v>23</v>
      </c>
      <c r="W28" s="127">
        <v>23</v>
      </c>
      <c r="X28" s="127">
        <v>23</v>
      </c>
      <c r="Y28" s="127">
        <v>23</v>
      </c>
      <c r="Z28" s="127">
        <v>4</v>
      </c>
      <c r="AA28" s="127">
        <v>4</v>
      </c>
      <c r="AB28" s="127">
        <v>23</v>
      </c>
      <c r="AC28" s="127">
        <v>23</v>
      </c>
      <c r="AD28" s="127">
        <v>23</v>
      </c>
      <c r="AE28" s="127">
        <v>4</v>
      </c>
      <c r="AF28" s="127">
        <v>4</v>
      </c>
      <c r="AG28" s="127">
        <v>23</v>
      </c>
      <c r="AH28" s="127">
        <v>23</v>
      </c>
      <c r="AI28" s="127">
        <v>23</v>
      </c>
      <c r="AJ28" s="127">
        <v>4</v>
      </c>
      <c r="AK28" s="127">
        <v>4</v>
      </c>
      <c r="AL28" s="127">
        <v>2</v>
      </c>
      <c r="AM28" s="127">
        <v>10</v>
      </c>
      <c r="AN28" s="127">
        <v>23</v>
      </c>
    </row>
    <row r="30" spans="2:40" x14ac:dyDescent="0.25">
      <c r="B30" s="164" t="s">
        <v>3179</v>
      </c>
    </row>
    <row r="31" spans="2:40" x14ac:dyDescent="0.25">
      <c r="B31" s="158" t="s">
        <v>3180</v>
      </c>
      <c r="C31" s="158" t="s">
        <v>3181</v>
      </c>
      <c r="D31" s="159" t="s">
        <v>3182</v>
      </c>
      <c r="E31" s="158" t="s">
        <v>3183</v>
      </c>
      <c r="F31" s="158" t="s">
        <v>3184</v>
      </c>
    </row>
    <row r="32" spans="2:40" ht="60" x14ac:dyDescent="0.25">
      <c r="B32" s="161" t="s">
        <v>3288</v>
      </c>
      <c r="C32" s="162" t="s">
        <v>2426</v>
      </c>
      <c r="D32" s="296" t="s">
        <v>3289</v>
      </c>
      <c r="E32" s="171" t="s">
        <v>4103</v>
      </c>
      <c r="F32" s="222" t="s">
        <v>4104</v>
      </c>
    </row>
    <row r="33" spans="2:6" ht="60" x14ac:dyDescent="0.25">
      <c r="B33" s="161" t="s">
        <v>3288</v>
      </c>
      <c r="C33" s="162" t="s">
        <v>1760</v>
      </c>
      <c r="D33" s="296" t="s">
        <v>3289</v>
      </c>
      <c r="E33" s="171" t="s">
        <v>4103</v>
      </c>
      <c r="F33" s="222" t="s">
        <v>4104</v>
      </c>
    </row>
    <row r="34" spans="2:6" ht="60" x14ac:dyDescent="0.25">
      <c r="B34" s="161" t="s">
        <v>3288</v>
      </c>
      <c r="C34" s="162" t="s">
        <v>1773</v>
      </c>
      <c r="D34" s="296" t="s">
        <v>3289</v>
      </c>
      <c r="E34" s="171" t="s">
        <v>4103</v>
      </c>
      <c r="F34" s="222" t="s">
        <v>4104</v>
      </c>
    </row>
    <row r="35" spans="2:6" ht="60" x14ac:dyDescent="0.25">
      <c r="B35" s="161" t="s">
        <v>3288</v>
      </c>
      <c r="C35" s="162" t="s">
        <v>1403</v>
      </c>
      <c r="D35" s="296" t="s">
        <v>3289</v>
      </c>
      <c r="E35" s="171" t="s">
        <v>4103</v>
      </c>
      <c r="F35" s="222" t="s">
        <v>4104</v>
      </c>
    </row>
    <row r="36" spans="2:6" ht="60" x14ac:dyDescent="0.25">
      <c r="B36" s="161" t="s">
        <v>3288</v>
      </c>
      <c r="C36" s="162" t="s">
        <v>1410</v>
      </c>
      <c r="D36" s="296" t="s">
        <v>3289</v>
      </c>
      <c r="E36" s="171" t="s">
        <v>4103</v>
      </c>
      <c r="F36" s="222" t="s">
        <v>4104</v>
      </c>
    </row>
    <row r="37" spans="2:6" ht="60" x14ac:dyDescent="0.25">
      <c r="B37" s="161" t="s">
        <v>3288</v>
      </c>
      <c r="C37" s="162" t="s">
        <v>655</v>
      </c>
      <c r="D37" s="296" t="s">
        <v>3289</v>
      </c>
      <c r="E37" s="171" t="s">
        <v>4103</v>
      </c>
      <c r="F37" s="222" t="s">
        <v>4104</v>
      </c>
    </row>
    <row r="38" spans="2:6" ht="60" x14ac:dyDescent="0.25">
      <c r="B38" s="161" t="s">
        <v>3288</v>
      </c>
      <c r="C38" s="162" t="s">
        <v>673</v>
      </c>
      <c r="D38" s="296" t="s">
        <v>3289</v>
      </c>
      <c r="E38" s="171" t="s">
        <v>4103</v>
      </c>
      <c r="F38" s="222" t="s">
        <v>4104</v>
      </c>
    </row>
    <row r="39" spans="2:6" ht="60" x14ac:dyDescent="0.25">
      <c r="B39" s="161" t="s">
        <v>3288</v>
      </c>
      <c r="C39" s="162" t="s">
        <v>681</v>
      </c>
      <c r="D39" s="296" t="s">
        <v>3289</v>
      </c>
      <c r="E39" s="171" t="s">
        <v>4103</v>
      </c>
      <c r="F39" s="222" t="s">
        <v>4104</v>
      </c>
    </row>
    <row r="40" spans="2:6" ht="75" x14ac:dyDescent="0.25">
      <c r="B40" s="142" t="s">
        <v>3185</v>
      </c>
      <c r="C40" s="141" t="s">
        <v>213</v>
      </c>
      <c r="D40" s="147" t="s">
        <v>4105</v>
      </c>
      <c r="E40" s="170" t="s">
        <v>4106</v>
      </c>
      <c r="F40" s="160" t="s">
        <v>3188</v>
      </c>
    </row>
    <row r="41" spans="2:6" x14ac:dyDescent="0.25">
      <c r="B41" s="161" t="s">
        <v>3195</v>
      </c>
      <c r="C41" s="162" t="s">
        <v>3196</v>
      </c>
      <c r="D41" s="296"/>
      <c r="E41" s="171" t="s">
        <v>4107</v>
      </c>
      <c r="F41" s="213"/>
    </row>
    <row r="42" spans="2:6" x14ac:dyDescent="0.25">
      <c r="B42" s="161" t="s">
        <v>3253</v>
      </c>
      <c r="C42" s="162" t="s">
        <v>3196</v>
      </c>
      <c r="D42" s="296"/>
      <c r="E42" s="171" t="s">
        <v>4108</v>
      </c>
      <c r="F42" s="213"/>
    </row>
    <row r="43" spans="2:6" ht="75" x14ac:dyDescent="0.25">
      <c r="B43" s="161" t="s">
        <v>3298</v>
      </c>
      <c r="C43" s="162" t="s">
        <v>1767</v>
      </c>
      <c r="D43" s="163" t="s">
        <v>3299</v>
      </c>
      <c r="E43" s="171" t="s">
        <v>4103</v>
      </c>
      <c r="F43" s="222" t="s">
        <v>4104</v>
      </c>
    </row>
    <row r="44" spans="2:6" ht="75" x14ac:dyDescent="0.25">
      <c r="B44" s="161" t="s">
        <v>3298</v>
      </c>
      <c r="C44" s="162" t="s">
        <v>1773</v>
      </c>
      <c r="D44" s="296" t="s">
        <v>3299</v>
      </c>
      <c r="E44" s="171" t="s">
        <v>4103</v>
      </c>
      <c r="F44" s="213" t="s">
        <v>4104</v>
      </c>
    </row>
    <row r="45" spans="2:6" ht="75" x14ac:dyDescent="0.25">
      <c r="B45" s="161" t="s">
        <v>3298</v>
      </c>
      <c r="C45" s="162" t="s">
        <v>1403</v>
      </c>
      <c r="D45" s="296" t="s">
        <v>3299</v>
      </c>
      <c r="E45" s="171" t="s">
        <v>4103</v>
      </c>
      <c r="F45" s="213" t="s">
        <v>4104</v>
      </c>
    </row>
    <row r="46" spans="2:6" ht="75" x14ac:dyDescent="0.25">
      <c r="B46" s="161" t="s">
        <v>3298</v>
      </c>
      <c r="C46" s="162" t="s">
        <v>664</v>
      </c>
      <c r="D46" s="296" t="s">
        <v>3299</v>
      </c>
      <c r="E46" s="171" t="s">
        <v>4103</v>
      </c>
      <c r="F46" s="213" t="s">
        <v>4104</v>
      </c>
    </row>
    <row r="47" spans="2:6" ht="75" x14ac:dyDescent="0.25">
      <c r="B47" s="161" t="s">
        <v>3298</v>
      </c>
      <c r="C47" s="162" t="s">
        <v>673</v>
      </c>
      <c r="D47" s="296" t="s">
        <v>3299</v>
      </c>
      <c r="E47" s="171" t="s">
        <v>4103</v>
      </c>
      <c r="F47" s="213" t="s">
        <v>4104</v>
      </c>
    </row>
    <row r="48" spans="2:6" ht="75" x14ac:dyDescent="0.25">
      <c r="B48" s="161" t="s">
        <v>3298</v>
      </c>
      <c r="C48" s="162" t="s">
        <v>681</v>
      </c>
      <c r="D48" s="296" t="s">
        <v>3299</v>
      </c>
      <c r="E48" s="171" t="s">
        <v>4103</v>
      </c>
      <c r="F48" s="213" t="s">
        <v>4104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x14ac:dyDescent="0.25"/>
    <row r="2" spans="2:69" x14ac:dyDescent="0.25">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x14ac:dyDescent="0.25">
      <c r="B3" s="51" t="s">
        <v>3084</v>
      </c>
      <c r="C3" s="51">
        <v>1</v>
      </c>
      <c r="D3" s="51" t="s">
        <v>4109</v>
      </c>
      <c r="E3" s="119">
        <v>45534</v>
      </c>
      <c r="F3" s="51">
        <v>1</v>
      </c>
      <c r="G3" s="318">
        <v>1</v>
      </c>
      <c r="H3" s="206" t="s">
        <v>4110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c r="AZ3" s="51" t="s">
        <v>3138</v>
      </c>
      <c r="BA3" s="51" t="s">
        <v>3138</v>
      </c>
      <c r="BB3" s="51" t="s">
        <v>3138</v>
      </c>
      <c r="BC3" s="51" t="s">
        <v>3138</v>
      </c>
      <c r="BD3" s="51" t="s">
        <v>3138</v>
      </c>
      <c r="BE3" s="51" t="s">
        <v>3138</v>
      </c>
      <c r="BF3" s="51" t="s">
        <v>3138</v>
      </c>
      <c r="BG3" s="51" t="s">
        <v>3138</v>
      </c>
      <c r="BH3" s="51" t="s">
        <v>3138</v>
      </c>
      <c r="BI3" s="51" t="s">
        <v>3138</v>
      </c>
      <c r="BJ3" s="51" t="s">
        <v>3138</v>
      </c>
      <c r="BK3" s="51" t="s">
        <v>3138</v>
      </c>
      <c r="BL3" s="51" t="s">
        <v>3138</v>
      </c>
      <c r="BM3" s="51" t="s">
        <v>3138</v>
      </c>
      <c r="BN3" s="51" t="s">
        <v>3138</v>
      </c>
      <c r="BO3" s="51" t="s">
        <v>3138</v>
      </c>
      <c r="BP3" s="51" t="s">
        <v>3138</v>
      </c>
      <c r="BQ3" s="51" t="s">
        <v>3138</v>
      </c>
    </row>
    <row r="4" spans="2:69" x14ac:dyDescent="0.25">
      <c r="B4" s="51" t="s">
        <v>3086</v>
      </c>
      <c r="C4" s="51">
        <v>2</v>
      </c>
      <c r="D4" s="51" t="s">
        <v>4111</v>
      </c>
      <c r="E4" s="119">
        <v>45534</v>
      </c>
      <c r="F4" s="51">
        <v>1</v>
      </c>
      <c r="G4" s="318">
        <v>1</v>
      </c>
      <c r="H4" s="122"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c r="AZ4" s="51" t="s">
        <v>3138</v>
      </c>
      <c r="BA4" s="51" t="s">
        <v>3138</v>
      </c>
      <c r="BB4" s="51" t="s">
        <v>3138</v>
      </c>
      <c r="BC4" s="51" t="s">
        <v>3138</v>
      </c>
      <c r="BD4" s="51" t="s">
        <v>3138</v>
      </c>
      <c r="BE4" s="51" t="s">
        <v>3138</v>
      </c>
      <c r="BF4" s="51" t="s">
        <v>3138</v>
      </c>
      <c r="BG4" s="51" t="s">
        <v>3138</v>
      </c>
      <c r="BH4" s="51" t="s">
        <v>3138</v>
      </c>
      <c r="BI4" s="51" t="s">
        <v>3138</v>
      </c>
      <c r="BJ4" s="51" t="s">
        <v>3138</v>
      </c>
      <c r="BK4" s="51" t="s">
        <v>3138</v>
      </c>
      <c r="BL4" s="51" t="s">
        <v>3138</v>
      </c>
      <c r="BM4" s="51" t="s">
        <v>3138</v>
      </c>
      <c r="BN4" s="51" t="s">
        <v>3138</v>
      </c>
      <c r="BO4" s="51" t="s">
        <v>3138</v>
      </c>
      <c r="BP4" s="51" t="s">
        <v>3138</v>
      </c>
      <c r="BQ4" s="51" t="s">
        <v>3138</v>
      </c>
    </row>
    <row r="5" spans="2:69" x14ac:dyDescent="0.25">
      <c r="B5" s="51" t="s">
        <v>3088</v>
      </c>
      <c r="C5" s="51">
        <v>3</v>
      </c>
      <c r="D5" s="51" t="s">
        <v>4112</v>
      </c>
      <c r="E5" s="119">
        <v>45534</v>
      </c>
      <c r="F5" s="51">
        <v>1</v>
      </c>
      <c r="G5" s="318">
        <v>1</v>
      </c>
      <c r="H5" s="122"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t="s">
        <v>3138</v>
      </c>
      <c r="AY5" s="51" t="s">
        <v>3138</v>
      </c>
      <c r="AZ5" s="51" t="s">
        <v>3138</v>
      </c>
      <c r="BA5" s="51" t="s">
        <v>3138</v>
      </c>
      <c r="BB5" s="51" t="s">
        <v>3138</v>
      </c>
      <c r="BC5" s="51" t="s">
        <v>3138</v>
      </c>
      <c r="BD5" s="51" t="s">
        <v>3138</v>
      </c>
      <c r="BE5" s="51" t="s">
        <v>3138</v>
      </c>
      <c r="BF5" s="51" t="s">
        <v>3138</v>
      </c>
      <c r="BG5" s="51" t="s">
        <v>3138</v>
      </c>
      <c r="BH5" s="51" t="s">
        <v>3138</v>
      </c>
      <c r="BI5" s="51" t="s">
        <v>3138</v>
      </c>
      <c r="BJ5" s="51" t="s">
        <v>3138</v>
      </c>
      <c r="BK5" s="51" t="s">
        <v>3138</v>
      </c>
      <c r="BL5" s="51" t="s">
        <v>3138</v>
      </c>
      <c r="BM5" s="51" t="s">
        <v>3138</v>
      </c>
      <c r="BN5" s="51" t="s">
        <v>3138</v>
      </c>
      <c r="BO5" s="51" t="s">
        <v>3138</v>
      </c>
      <c r="BP5" s="51">
        <v>0</v>
      </c>
      <c r="BQ5" s="51" t="s">
        <v>3138</v>
      </c>
    </row>
    <row r="6" spans="2:69" x14ac:dyDescent="0.25">
      <c r="B6" s="121" t="s">
        <v>3090</v>
      </c>
      <c r="C6" s="51">
        <v>4</v>
      </c>
      <c r="D6" s="51" t="s">
        <v>3141</v>
      </c>
      <c r="E6" s="119" t="s">
        <v>3138</v>
      </c>
      <c r="F6" s="51">
        <v>1</v>
      </c>
      <c r="G6" s="119" t="s">
        <v>3138</v>
      </c>
      <c r="H6" s="122"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c r="AZ6" s="51" t="s">
        <v>3138</v>
      </c>
      <c r="BA6" s="51" t="s">
        <v>3138</v>
      </c>
      <c r="BB6" s="51" t="s">
        <v>3138</v>
      </c>
      <c r="BC6" s="51" t="s">
        <v>3138</v>
      </c>
      <c r="BD6" s="51" t="s">
        <v>3138</v>
      </c>
      <c r="BE6" s="51" t="s">
        <v>3138</v>
      </c>
      <c r="BF6" s="51" t="s">
        <v>3138</v>
      </c>
      <c r="BG6" s="51" t="s">
        <v>3138</v>
      </c>
      <c r="BH6" s="51" t="s">
        <v>3138</v>
      </c>
      <c r="BI6" s="51" t="s">
        <v>3138</v>
      </c>
      <c r="BJ6" s="51" t="s">
        <v>3138</v>
      </c>
      <c r="BK6" s="51" t="s">
        <v>3138</v>
      </c>
      <c r="BL6" s="51" t="s">
        <v>3138</v>
      </c>
      <c r="BM6" s="51" t="s">
        <v>3138</v>
      </c>
      <c r="BN6" s="51" t="s">
        <v>3138</v>
      </c>
      <c r="BO6" s="51" t="s">
        <v>3138</v>
      </c>
      <c r="BP6" s="51" t="s">
        <v>3138</v>
      </c>
      <c r="BQ6" s="51" t="s">
        <v>3138</v>
      </c>
    </row>
    <row r="7" spans="2:69" x14ac:dyDescent="0.25">
      <c r="B7" s="51" t="s">
        <v>3092</v>
      </c>
      <c r="C7" s="51">
        <v>5</v>
      </c>
      <c r="D7" s="51" t="s">
        <v>3141</v>
      </c>
      <c r="E7" s="119" t="s">
        <v>3138</v>
      </c>
      <c r="F7" s="51">
        <v>1</v>
      </c>
      <c r="G7" s="119" t="s">
        <v>3138</v>
      </c>
      <c r="H7" s="122"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c r="AZ7" s="51" t="s">
        <v>3138</v>
      </c>
      <c r="BA7" s="51" t="s">
        <v>3138</v>
      </c>
      <c r="BB7" s="51" t="s">
        <v>3138</v>
      </c>
      <c r="BC7" s="51" t="s">
        <v>3138</v>
      </c>
      <c r="BD7" s="51" t="s">
        <v>3138</v>
      </c>
      <c r="BE7" s="51" t="s">
        <v>3138</v>
      </c>
      <c r="BF7" s="51" t="s">
        <v>3138</v>
      </c>
      <c r="BG7" s="51" t="s">
        <v>3138</v>
      </c>
      <c r="BH7" s="51" t="s">
        <v>3138</v>
      </c>
      <c r="BI7" s="51" t="s">
        <v>3138</v>
      </c>
      <c r="BJ7" s="51" t="s">
        <v>3138</v>
      </c>
      <c r="BK7" s="51" t="s">
        <v>3138</v>
      </c>
      <c r="BL7" s="51" t="s">
        <v>3138</v>
      </c>
      <c r="BM7" s="51" t="s">
        <v>3138</v>
      </c>
      <c r="BN7" s="51" t="s">
        <v>3138</v>
      </c>
      <c r="BO7" s="51" t="s">
        <v>3138</v>
      </c>
      <c r="BP7" s="51" t="s">
        <v>3138</v>
      </c>
      <c r="BQ7" s="51" t="s">
        <v>3138</v>
      </c>
    </row>
    <row r="8" spans="2:69" x14ac:dyDescent="0.25">
      <c r="B8" s="121" t="s">
        <v>3093</v>
      </c>
      <c r="C8" s="51">
        <v>6</v>
      </c>
      <c r="D8" s="51" t="s">
        <v>4113</v>
      </c>
      <c r="E8" s="119">
        <v>45534</v>
      </c>
      <c r="F8" s="51">
        <v>1</v>
      </c>
      <c r="G8" s="234" cm="1">
        <f t="array" ref="G8">SUMPRODUCT(--(I8:BQ8&gt;0))/COUNTA(I8:BQ8)</f>
        <v>1</v>
      </c>
      <c r="H8" s="122" t="s">
        <v>3147</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x14ac:dyDescent="0.25">
      <c r="B9" s="51" t="s">
        <v>3096</v>
      </c>
      <c r="C9" s="51">
        <v>7</v>
      </c>
      <c r="D9" s="51" t="s">
        <v>4114</v>
      </c>
      <c r="E9" s="119">
        <v>45534</v>
      </c>
      <c r="F9" s="51">
        <v>1</v>
      </c>
      <c r="G9" s="234" cm="1">
        <f t="array" ref="G9">SUMPRODUCT(--(I9:BQ9 &lt;= I28:BQ28))/COUNTA(I28:BQ28)</f>
        <v>0.98360655737704916</v>
      </c>
      <c r="H9" s="122" t="s">
        <v>3147</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x14ac:dyDescent="0.25">
      <c r="B10" s="51" t="s">
        <v>3099</v>
      </c>
      <c r="C10" s="51">
        <v>8</v>
      </c>
      <c r="D10" s="51" t="s">
        <v>4115</v>
      </c>
      <c r="E10" s="119">
        <v>45534</v>
      </c>
      <c r="F10" s="51">
        <v>1</v>
      </c>
      <c r="G10" s="119" t="s">
        <v>3138</v>
      </c>
      <c r="H10" s="122" t="s">
        <v>3147</v>
      </c>
      <c r="I10" s="51">
        <v>90</v>
      </c>
      <c r="J10" s="51">
        <v>2.5690004500003999E+18</v>
      </c>
      <c r="K10" s="51" t="s">
        <v>4116</v>
      </c>
      <c r="L10" s="51">
        <v>0</v>
      </c>
      <c r="M10" s="51">
        <v>3</v>
      </c>
      <c r="N10" s="119">
        <v>31</v>
      </c>
      <c r="O10" s="51">
        <v>2.569E+18</v>
      </c>
      <c r="P10" s="51" t="s">
        <v>4117</v>
      </c>
      <c r="Q10" s="51">
        <v>0</v>
      </c>
      <c r="R10" s="51">
        <v>0</v>
      </c>
      <c r="S10" s="51">
        <v>0</v>
      </c>
      <c r="T10" s="51">
        <v>0</v>
      </c>
      <c r="U10" s="119">
        <v>33756</v>
      </c>
      <c r="V10" s="119">
        <v>34669</v>
      </c>
      <c r="W10" s="51">
        <v>978</v>
      </c>
      <c r="X10" s="51">
        <v>0</v>
      </c>
      <c r="Y10" s="51">
        <v>0</v>
      </c>
      <c r="Z10" s="51" t="s">
        <v>3147</v>
      </c>
      <c r="AA10" s="51" t="s">
        <v>3147</v>
      </c>
      <c r="AB10" s="51" t="s">
        <v>3147</v>
      </c>
      <c r="AC10" s="51" t="s">
        <v>3147</v>
      </c>
      <c r="AD10" s="206" t="s">
        <v>4118</v>
      </c>
      <c r="AE10" s="51" t="s">
        <v>3147</v>
      </c>
      <c r="AF10" s="51" t="s">
        <v>3147</v>
      </c>
      <c r="AG10" s="51" t="s">
        <v>3147</v>
      </c>
      <c r="AH10" s="51" t="s">
        <v>3147</v>
      </c>
      <c r="AI10" s="51" t="s">
        <v>3147</v>
      </c>
      <c r="AJ10" s="51" t="s">
        <v>3147</v>
      </c>
      <c r="AK10" s="51" t="s">
        <v>4119</v>
      </c>
      <c r="AL10" s="51" t="s">
        <v>3147</v>
      </c>
      <c r="AM10" s="122">
        <v>-2480000</v>
      </c>
      <c r="AN10" s="51" t="s">
        <v>3147</v>
      </c>
      <c r="AO10" s="119">
        <v>45535</v>
      </c>
      <c r="AP10" s="51" t="s">
        <v>3147</v>
      </c>
      <c r="AQ10" s="119">
        <v>34684</v>
      </c>
      <c r="AR10" s="51" t="s">
        <v>3147</v>
      </c>
      <c r="AS10" s="51" t="s">
        <v>3147</v>
      </c>
      <c r="AT10" s="51" t="s">
        <v>3147</v>
      </c>
      <c r="AU10" s="51" t="s">
        <v>3147</v>
      </c>
      <c r="AV10" s="119">
        <v>37553</v>
      </c>
      <c r="AW10" s="51" t="s">
        <v>3310</v>
      </c>
      <c r="AX10" s="51" t="s">
        <v>3147</v>
      </c>
      <c r="AY10" s="51" t="s">
        <v>3147</v>
      </c>
      <c r="AZ10" s="119">
        <v>36708</v>
      </c>
      <c r="BA10" s="51" t="s">
        <v>3147</v>
      </c>
      <c r="BB10" s="51">
        <v>0</v>
      </c>
      <c r="BC10" s="51" t="s">
        <v>4120</v>
      </c>
      <c r="BD10" s="51" t="s">
        <v>4121</v>
      </c>
      <c r="BE10" s="51" t="s">
        <v>3147</v>
      </c>
      <c r="BF10" s="51" t="s">
        <v>3147</v>
      </c>
      <c r="BG10" s="51" t="s">
        <v>3147</v>
      </c>
      <c r="BH10" s="51" t="s">
        <v>4120</v>
      </c>
      <c r="BI10" s="51" t="s">
        <v>4121</v>
      </c>
      <c r="BJ10" s="51" t="s">
        <v>3147</v>
      </c>
      <c r="BK10" s="51" t="s">
        <v>3147</v>
      </c>
      <c r="BL10" s="51" t="s">
        <v>3147</v>
      </c>
      <c r="BM10" s="51" t="s">
        <v>3148</v>
      </c>
      <c r="BN10" s="51" t="s">
        <v>3784</v>
      </c>
      <c r="BO10" s="51" t="s">
        <v>4122</v>
      </c>
      <c r="BP10" s="119">
        <v>45534</v>
      </c>
      <c r="BQ10" s="51" t="s">
        <v>4123</v>
      </c>
    </row>
    <row r="11" spans="2:69" x14ac:dyDescent="0.25">
      <c r="B11" s="51" t="s">
        <v>3101</v>
      </c>
      <c r="C11" s="51">
        <v>9</v>
      </c>
      <c r="D11" s="51" t="s">
        <v>4124</v>
      </c>
      <c r="E11" s="119">
        <v>45534</v>
      </c>
      <c r="F11" s="51">
        <v>1</v>
      </c>
      <c r="G11" s="119" t="s">
        <v>3138</v>
      </c>
      <c r="H11" s="122" t="s">
        <v>3147</v>
      </c>
      <c r="I11" s="51">
        <v>90</v>
      </c>
      <c r="J11" s="51">
        <v>2.5690004500003999E+18</v>
      </c>
      <c r="K11" s="51"/>
      <c r="L11" s="51">
        <v>0</v>
      </c>
      <c r="M11" s="51">
        <v>3</v>
      </c>
      <c r="N11" s="119"/>
      <c r="O11" s="121">
        <v>2.569E+18</v>
      </c>
      <c r="P11" s="51" t="s">
        <v>4117</v>
      </c>
      <c r="Q11" s="51">
        <v>0</v>
      </c>
      <c r="R11" s="51">
        <v>0</v>
      </c>
      <c r="S11" s="51">
        <v>0</v>
      </c>
      <c r="T11" s="51">
        <v>0</v>
      </c>
      <c r="U11" s="51">
        <v>19920601</v>
      </c>
      <c r="V11" s="51">
        <v>19941201</v>
      </c>
      <c r="W11" s="51">
        <v>978</v>
      </c>
      <c r="X11" s="51">
        <v>0</v>
      </c>
      <c r="Y11" s="51">
        <v>0</v>
      </c>
      <c r="Z11" s="51" t="s">
        <v>3223</v>
      </c>
      <c r="AA11" s="51" t="s">
        <v>3223</v>
      </c>
      <c r="AB11" s="51" t="s">
        <v>3223</v>
      </c>
      <c r="AC11" s="51" t="s">
        <v>3223</v>
      </c>
      <c r="AD11" s="51" t="s">
        <v>4125</v>
      </c>
      <c r="AE11" s="51" t="s">
        <v>3223</v>
      </c>
      <c r="AF11" s="51" t="s">
        <v>3223</v>
      </c>
      <c r="AG11" s="51" t="s">
        <v>3223</v>
      </c>
      <c r="AH11" s="51" t="s">
        <v>3223</v>
      </c>
      <c r="AI11" s="51" t="s">
        <v>3223</v>
      </c>
      <c r="AJ11" s="51" t="s">
        <v>3223</v>
      </c>
      <c r="AK11" s="51" t="s">
        <v>4126</v>
      </c>
      <c r="AL11" s="51" t="s">
        <v>3223</v>
      </c>
      <c r="AM11" s="51" t="s">
        <v>4127</v>
      </c>
      <c r="AN11" s="51" t="s">
        <v>3223</v>
      </c>
      <c r="AO11" s="51">
        <v>20240831</v>
      </c>
      <c r="AP11" s="51" t="s">
        <v>3223</v>
      </c>
      <c r="AQ11" s="51">
        <v>19941216</v>
      </c>
      <c r="AR11" s="51" t="s">
        <v>3223</v>
      </c>
      <c r="AS11" s="51" t="s">
        <v>3223</v>
      </c>
      <c r="AT11" s="51" t="s">
        <v>3223</v>
      </c>
      <c r="AU11" s="51" t="s">
        <v>3223</v>
      </c>
      <c r="AV11" s="51">
        <v>20011120</v>
      </c>
      <c r="AW11" s="51" t="s">
        <v>3315</v>
      </c>
      <c r="AX11" s="51" t="s">
        <v>3223</v>
      </c>
      <c r="AY11" s="51" t="s">
        <v>3223</v>
      </c>
      <c r="AZ11" s="51">
        <v>20000515</v>
      </c>
      <c r="BA11" s="51" t="s">
        <v>3223</v>
      </c>
      <c r="BB11" s="51">
        <v>0</v>
      </c>
      <c r="BC11" s="51" t="s">
        <v>4120</v>
      </c>
      <c r="BD11" s="51" t="s">
        <v>4121</v>
      </c>
      <c r="BE11" s="51" t="s">
        <v>4128</v>
      </c>
      <c r="BF11" s="51" t="s">
        <v>4128</v>
      </c>
      <c r="BG11" s="51" t="s">
        <v>4128</v>
      </c>
      <c r="BH11" s="51" t="s">
        <v>4120</v>
      </c>
      <c r="BI11" s="51" t="s">
        <v>4121</v>
      </c>
      <c r="BJ11" s="51" t="s">
        <v>4128</v>
      </c>
      <c r="BK11" s="51" t="s">
        <v>4128</v>
      </c>
      <c r="BL11" s="51" t="s">
        <v>4128</v>
      </c>
      <c r="BM11" s="51">
        <v>1</v>
      </c>
      <c r="BN11" s="51" t="s">
        <v>4129</v>
      </c>
      <c r="BO11" s="51" t="s">
        <v>4122</v>
      </c>
      <c r="BP11" s="119">
        <v>45534</v>
      </c>
      <c r="BQ11" s="51" t="s">
        <v>4130</v>
      </c>
    </row>
    <row r="12" spans="2:69" x14ac:dyDescent="0.25">
      <c r="B12" s="121" t="s">
        <v>3103</v>
      </c>
      <c r="C12" s="51">
        <v>10</v>
      </c>
      <c r="D12" s="51" t="s">
        <v>4131</v>
      </c>
      <c r="E12" s="119">
        <v>45534</v>
      </c>
      <c r="F12" s="51">
        <v>1</v>
      </c>
      <c r="G12" s="119" t="s">
        <v>3138</v>
      </c>
      <c r="H12" s="122" t="s">
        <v>3147</v>
      </c>
      <c r="I12" s="51">
        <v>90</v>
      </c>
      <c r="J12" s="51">
        <v>2.3020041000509998E+22</v>
      </c>
      <c r="K12" s="51" t="s">
        <v>4116</v>
      </c>
      <c r="L12" s="51">
        <v>0</v>
      </c>
      <c r="M12" s="51" t="s">
        <v>4132</v>
      </c>
      <c r="N12" s="119">
        <v>31</v>
      </c>
      <c r="O12" s="51">
        <v>2.3020041E+22</v>
      </c>
      <c r="P12" s="51" t="s">
        <v>4133</v>
      </c>
      <c r="Q12" s="51">
        <v>9.9999999740799995E+20</v>
      </c>
      <c r="R12" s="51">
        <v>9999</v>
      </c>
      <c r="S12" s="51">
        <v>9999</v>
      </c>
      <c r="T12" s="51">
        <v>99999999999999</v>
      </c>
      <c r="U12" s="119">
        <v>45519</v>
      </c>
      <c r="V12" s="119">
        <v>54056</v>
      </c>
      <c r="W12" s="51">
        <v>978</v>
      </c>
      <c r="X12" s="51">
        <v>1</v>
      </c>
      <c r="Y12" s="51">
        <v>281</v>
      </c>
      <c r="Z12" s="206" t="s">
        <v>4134</v>
      </c>
      <c r="AA12" s="206" t="s">
        <v>4134</v>
      </c>
      <c r="AB12" s="206" t="s">
        <v>4134</v>
      </c>
      <c r="AC12" s="206" t="s">
        <v>4134</v>
      </c>
      <c r="AD12" s="206" t="s">
        <v>4135</v>
      </c>
      <c r="AE12" s="206" t="s">
        <v>4136</v>
      </c>
      <c r="AF12" s="206" t="s">
        <v>4137</v>
      </c>
      <c r="AG12" s="206" t="s">
        <v>4138</v>
      </c>
      <c r="AH12" s="206" t="s">
        <v>4139</v>
      </c>
      <c r="AI12" s="206" t="s">
        <v>4140</v>
      </c>
      <c r="AJ12" s="206" t="s">
        <v>4141</v>
      </c>
      <c r="AK12" s="206" t="s">
        <v>4142</v>
      </c>
      <c r="AL12" s="206" t="s">
        <v>4143</v>
      </c>
      <c r="AM12" s="206" t="s">
        <v>4144</v>
      </c>
      <c r="AN12" s="206" t="s">
        <v>4145</v>
      </c>
      <c r="AO12" s="119">
        <v>45898</v>
      </c>
      <c r="AP12" s="206" t="s">
        <v>4146</v>
      </c>
      <c r="AQ12" s="119">
        <v>45534</v>
      </c>
      <c r="AR12" s="206" t="s">
        <v>4147</v>
      </c>
      <c r="AS12" s="206" t="s">
        <v>4148</v>
      </c>
      <c r="AT12" s="206" t="s">
        <v>4149</v>
      </c>
      <c r="AU12" s="206" t="s">
        <v>4150</v>
      </c>
      <c r="AV12" s="119">
        <v>45533</v>
      </c>
      <c r="AW12" s="206" t="s">
        <v>4151</v>
      </c>
      <c r="AX12" s="206" t="s">
        <v>4152</v>
      </c>
      <c r="AY12" s="206" t="s">
        <v>4153</v>
      </c>
      <c r="AZ12" s="119">
        <v>45534</v>
      </c>
      <c r="BA12" s="206" t="s">
        <v>4154</v>
      </c>
      <c r="BB12" s="51">
        <v>281</v>
      </c>
      <c r="BC12" s="51" t="s">
        <v>4155</v>
      </c>
      <c r="BD12" s="51" t="s">
        <v>4156</v>
      </c>
      <c r="BE12" s="206" t="s">
        <v>4157</v>
      </c>
      <c r="BF12" s="206" t="s">
        <v>4158</v>
      </c>
      <c r="BG12" s="206" t="s">
        <v>4159</v>
      </c>
      <c r="BH12" s="51" t="s">
        <v>4155</v>
      </c>
      <c r="BI12" s="51" t="s">
        <v>4156</v>
      </c>
      <c r="BJ12" s="206" t="s">
        <v>4160</v>
      </c>
      <c r="BK12" s="206" t="s">
        <v>4161</v>
      </c>
      <c r="BL12" s="206" t="s">
        <v>4159</v>
      </c>
      <c r="BM12" s="51" t="s">
        <v>3157</v>
      </c>
      <c r="BN12" s="51" t="s">
        <v>3323</v>
      </c>
      <c r="BO12" s="51" t="s">
        <v>4122</v>
      </c>
      <c r="BP12" s="119">
        <v>45534</v>
      </c>
      <c r="BQ12" s="51" t="s">
        <v>4123</v>
      </c>
    </row>
    <row r="13" spans="2:69" x14ac:dyDescent="0.25">
      <c r="B13" s="51" t="s">
        <v>3105</v>
      </c>
      <c r="C13" s="51">
        <v>11</v>
      </c>
      <c r="D13" s="51" t="s">
        <v>4162</v>
      </c>
      <c r="E13" s="119">
        <v>45534</v>
      </c>
      <c r="F13" s="51">
        <v>1</v>
      </c>
      <c r="G13" s="119" t="s">
        <v>3138</v>
      </c>
      <c r="H13" s="122" t="s">
        <v>3147</v>
      </c>
      <c r="I13" s="51">
        <v>90</v>
      </c>
      <c r="J13" s="51">
        <v>2.3020041000509998E+22</v>
      </c>
      <c r="K13" s="51"/>
      <c r="L13" s="51">
        <v>0</v>
      </c>
      <c r="M13" s="51" t="s">
        <v>4132</v>
      </c>
      <c r="N13" s="119"/>
      <c r="O13" s="51">
        <v>2.3020041E+22</v>
      </c>
      <c r="P13" s="51" t="s">
        <v>4133</v>
      </c>
      <c r="Q13" s="51">
        <v>9.9999999740799995E+20</v>
      </c>
      <c r="R13" s="51">
        <v>9999</v>
      </c>
      <c r="S13" s="51">
        <v>9999</v>
      </c>
      <c r="T13" s="51">
        <v>99999999999999</v>
      </c>
      <c r="U13" s="51">
        <v>20240815</v>
      </c>
      <c r="V13" s="51">
        <v>20471230</v>
      </c>
      <c r="W13" s="51">
        <v>978</v>
      </c>
      <c r="X13" s="51">
        <v>1</v>
      </c>
      <c r="Y13" s="51">
        <v>281</v>
      </c>
      <c r="Z13" s="51" t="s">
        <v>4163</v>
      </c>
      <c r="AA13" s="51" t="s">
        <v>4163</v>
      </c>
      <c r="AB13" s="51" t="s">
        <v>4163</v>
      </c>
      <c r="AC13" s="51" t="s">
        <v>4163</v>
      </c>
      <c r="AD13" s="51" t="s">
        <v>4164</v>
      </c>
      <c r="AE13" s="51" t="s">
        <v>4165</v>
      </c>
      <c r="AF13" s="51" t="s">
        <v>4166</v>
      </c>
      <c r="AG13" s="51" t="s">
        <v>4167</v>
      </c>
      <c r="AH13" s="51" t="s">
        <v>4168</v>
      </c>
      <c r="AI13" s="51" t="s">
        <v>4169</v>
      </c>
      <c r="AJ13" s="51" t="s">
        <v>4170</v>
      </c>
      <c r="AK13" s="51" t="s">
        <v>4171</v>
      </c>
      <c r="AL13" s="51" t="s">
        <v>4172</v>
      </c>
      <c r="AM13" s="51" t="s">
        <v>4173</v>
      </c>
      <c r="AN13" s="51" t="s">
        <v>4174</v>
      </c>
      <c r="AO13" s="51">
        <v>20250829</v>
      </c>
      <c r="AP13" s="51" t="s">
        <v>4175</v>
      </c>
      <c r="AQ13" s="51">
        <v>20240830</v>
      </c>
      <c r="AR13" s="51" t="s">
        <v>4176</v>
      </c>
      <c r="AS13" s="51" t="s">
        <v>4177</v>
      </c>
      <c r="AT13" s="51" t="s">
        <v>4178</v>
      </c>
      <c r="AU13" s="51" t="s">
        <v>4179</v>
      </c>
      <c r="AV13" s="51">
        <v>20240829</v>
      </c>
      <c r="AW13" s="51" t="s">
        <v>4180</v>
      </c>
      <c r="AX13" s="51" t="s">
        <v>4181</v>
      </c>
      <c r="AY13" s="51" t="s">
        <v>4182</v>
      </c>
      <c r="AZ13" s="51">
        <v>20240830</v>
      </c>
      <c r="BA13" s="51" t="s">
        <v>4183</v>
      </c>
      <c r="BB13" s="51">
        <v>281</v>
      </c>
      <c r="BC13" s="51" t="s">
        <v>4155</v>
      </c>
      <c r="BD13" s="51" t="s">
        <v>4156</v>
      </c>
      <c r="BE13" s="206" t="s">
        <v>4184</v>
      </c>
      <c r="BF13" s="206" t="s">
        <v>4185</v>
      </c>
      <c r="BG13" s="206" t="s">
        <v>4186</v>
      </c>
      <c r="BH13" s="51" t="s">
        <v>4155</v>
      </c>
      <c r="BI13" s="51" t="s">
        <v>4156</v>
      </c>
      <c r="BJ13" s="206" t="s">
        <v>4187</v>
      </c>
      <c r="BK13" s="206" t="s">
        <v>4188</v>
      </c>
      <c r="BL13" s="206" t="s">
        <v>4186</v>
      </c>
      <c r="BM13" s="51">
        <v>5</v>
      </c>
      <c r="BN13" s="51" t="s">
        <v>4189</v>
      </c>
      <c r="BO13" s="51" t="s">
        <v>4122</v>
      </c>
      <c r="BP13" s="119">
        <v>45534</v>
      </c>
      <c r="BQ13" s="51" t="s">
        <v>4190</v>
      </c>
    </row>
    <row r="14" spans="2:69" x14ac:dyDescent="0.25">
      <c r="B14" s="51" t="s">
        <v>3107</v>
      </c>
      <c r="C14" s="51">
        <v>12</v>
      </c>
      <c r="D14" s="51" t="s">
        <v>4191</v>
      </c>
      <c r="E14" s="119">
        <v>45534</v>
      </c>
      <c r="F14" s="51">
        <v>1</v>
      </c>
      <c r="G14" s="318" t="s">
        <v>4192</v>
      </c>
      <c r="H14" s="122" t="s">
        <v>3147</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x14ac:dyDescent="0.25">
      <c r="B15" s="51" t="s">
        <v>3109</v>
      </c>
      <c r="C15" s="51">
        <v>13</v>
      </c>
      <c r="D15" s="51" t="s">
        <v>4193</v>
      </c>
      <c r="E15" s="119">
        <v>45534</v>
      </c>
      <c r="F15" s="51">
        <v>1</v>
      </c>
      <c r="G15" s="318">
        <v>1</v>
      </c>
      <c r="H15" s="122" t="s">
        <v>3147</v>
      </c>
      <c r="I15" s="51" t="s">
        <v>3138</v>
      </c>
      <c r="J15" s="51" t="s">
        <v>3138</v>
      </c>
      <c r="K15" s="51" t="s">
        <v>3138</v>
      </c>
      <c r="L15" s="51" t="s">
        <v>3138</v>
      </c>
      <c r="M15" s="51" t="s">
        <v>3138</v>
      </c>
      <c r="N15" s="119" t="s">
        <v>3138</v>
      </c>
      <c r="O15" s="119" t="s">
        <v>3138</v>
      </c>
      <c r="P15" s="51" t="s">
        <v>3138</v>
      </c>
      <c r="Q15" s="51" t="s">
        <v>3138</v>
      </c>
      <c r="R15" s="51" t="s">
        <v>3138</v>
      </c>
      <c r="S15" s="51" t="s">
        <v>3138</v>
      </c>
      <c r="T15" s="51" t="s">
        <v>3138</v>
      </c>
      <c r="U15" s="51">
        <v>0</v>
      </c>
      <c r="V15" s="51">
        <v>0</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c r="AO15" s="51">
        <v>0</v>
      </c>
      <c r="AP15" s="51" t="s">
        <v>3138</v>
      </c>
      <c r="AQ15" s="51">
        <v>0</v>
      </c>
      <c r="AR15" s="51" t="s">
        <v>3138</v>
      </c>
      <c r="AS15" s="51" t="s">
        <v>3138</v>
      </c>
      <c r="AT15" s="51" t="s">
        <v>3138</v>
      </c>
      <c r="AU15" s="51" t="s">
        <v>3138</v>
      </c>
      <c r="AV15" s="51">
        <v>0</v>
      </c>
      <c r="AW15" s="51" t="s">
        <v>3138</v>
      </c>
      <c r="AX15" s="51" t="s">
        <v>3138</v>
      </c>
      <c r="AY15" s="51" t="s">
        <v>3138</v>
      </c>
      <c r="AZ15" s="51">
        <v>0</v>
      </c>
      <c r="BA15" s="51" t="s">
        <v>3138</v>
      </c>
      <c r="BB15" s="51" t="s">
        <v>3138</v>
      </c>
      <c r="BC15" s="51" t="s">
        <v>3138</v>
      </c>
      <c r="BD15" s="51" t="s">
        <v>3138</v>
      </c>
      <c r="BE15" s="51" t="s">
        <v>3138</v>
      </c>
      <c r="BF15" s="51" t="s">
        <v>3138</v>
      </c>
      <c r="BG15" s="51" t="s">
        <v>3138</v>
      </c>
      <c r="BH15" s="51" t="s">
        <v>3138</v>
      </c>
      <c r="BI15" s="51" t="s">
        <v>3138</v>
      </c>
      <c r="BJ15" s="51" t="s">
        <v>3138</v>
      </c>
      <c r="BK15" s="51" t="s">
        <v>3138</v>
      </c>
      <c r="BL15" s="51" t="s">
        <v>3138</v>
      </c>
      <c r="BM15" s="51" t="s">
        <v>3138</v>
      </c>
      <c r="BN15" s="51" t="s">
        <v>3138</v>
      </c>
      <c r="BO15" s="51" t="s">
        <v>3138</v>
      </c>
      <c r="BP15" s="51" t="s">
        <v>3138</v>
      </c>
      <c r="BQ15" s="51" t="s">
        <v>3138</v>
      </c>
    </row>
    <row r="16" spans="2:69" x14ac:dyDescent="0.25">
      <c r="B16" s="51" t="s">
        <v>3111</v>
      </c>
      <c r="C16" s="51">
        <v>14</v>
      </c>
      <c r="D16" s="51" t="s">
        <v>4194</v>
      </c>
      <c r="E16" s="119">
        <v>45534</v>
      </c>
      <c r="F16" s="51">
        <v>1</v>
      </c>
      <c r="G16" s="318">
        <v>1</v>
      </c>
      <c r="H16" s="122" t="s">
        <v>3147</v>
      </c>
      <c r="I16" s="51">
        <v>0</v>
      </c>
      <c r="J16" s="51">
        <v>0</v>
      </c>
      <c r="K16" s="51">
        <v>0</v>
      </c>
      <c r="L16" s="51" t="s">
        <v>3138</v>
      </c>
      <c r="M16" s="51">
        <v>0</v>
      </c>
      <c r="N16" s="51">
        <v>0</v>
      </c>
      <c r="O16" s="51">
        <v>0</v>
      </c>
      <c r="P16" s="51" t="s">
        <v>3138</v>
      </c>
      <c r="Q16" s="51" t="s">
        <v>3138</v>
      </c>
      <c r="R16" s="51">
        <v>0</v>
      </c>
      <c r="S16" s="51">
        <v>0</v>
      </c>
      <c r="T16" s="51" t="s">
        <v>3138</v>
      </c>
      <c r="U16" s="51" t="s">
        <v>3138</v>
      </c>
      <c r="V16" s="51" t="s">
        <v>3138</v>
      </c>
      <c r="W16" s="51">
        <v>0</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t="s">
        <v>3138</v>
      </c>
      <c r="AK16" s="51" t="s">
        <v>3138</v>
      </c>
      <c r="AL16" s="51" t="s">
        <v>3138</v>
      </c>
      <c r="AM16" s="51" t="s">
        <v>3138</v>
      </c>
      <c r="AN16" s="51" t="s">
        <v>3138</v>
      </c>
      <c r="AO16" s="51" t="s">
        <v>3138</v>
      </c>
      <c r="AP16" s="51" t="s">
        <v>3138</v>
      </c>
      <c r="AQ16" s="51" t="s">
        <v>3138</v>
      </c>
      <c r="AR16" s="51" t="s">
        <v>3138</v>
      </c>
      <c r="AS16" s="51" t="s">
        <v>3138</v>
      </c>
      <c r="AT16" s="51" t="s">
        <v>3138</v>
      </c>
      <c r="AU16" s="51" t="s">
        <v>3138</v>
      </c>
      <c r="AV16" s="51" t="s">
        <v>3138</v>
      </c>
      <c r="AW16" s="51" t="s">
        <v>3138</v>
      </c>
      <c r="AX16" s="51" t="s">
        <v>3138</v>
      </c>
      <c r="AY16" s="51" t="s">
        <v>3138</v>
      </c>
      <c r="AZ16" s="51" t="s">
        <v>3138</v>
      </c>
      <c r="BA16" s="51" t="s">
        <v>3138</v>
      </c>
      <c r="BB16" s="51" t="s">
        <v>3138</v>
      </c>
      <c r="BC16" s="51" t="s">
        <v>3138</v>
      </c>
      <c r="BD16" s="51" t="s">
        <v>3138</v>
      </c>
      <c r="BE16" s="51" t="s">
        <v>3138</v>
      </c>
      <c r="BF16" s="51" t="s">
        <v>3138</v>
      </c>
      <c r="BG16" s="51" t="s">
        <v>3138</v>
      </c>
      <c r="BH16" s="51">
        <v>0</v>
      </c>
      <c r="BI16" s="51" t="s">
        <v>3138</v>
      </c>
      <c r="BJ16" s="51" t="s">
        <v>3138</v>
      </c>
      <c r="BK16" s="51" t="s">
        <v>3138</v>
      </c>
      <c r="BL16" s="51" t="s">
        <v>3138</v>
      </c>
      <c r="BM16" s="51">
        <v>0</v>
      </c>
      <c r="BN16" s="51">
        <v>0</v>
      </c>
      <c r="BO16" s="51">
        <v>0</v>
      </c>
      <c r="BP16" s="51" t="s">
        <v>3138</v>
      </c>
      <c r="BQ16" s="51" t="s">
        <v>3138</v>
      </c>
    </row>
    <row r="17" spans="2:69" x14ac:dyDescent="0.25">
      <c r="B17" s="51" t="s">
        <v>3113</v>
      </c>
      <c r="C17" s="51">
        <v>15</v>
      </c>
      <c r="D17" s="51" t="s">
        <v>4195</v>
      </c>
      <c r="E17" s="119">
        <v>45534</v>
      </c>
      <c r="F17" s="51">
        <v>1</v>
      </c>
      <c r="G17" s="318">
        <v>1</v>
      </c>
      <c r="H17" s="122" t="s">
        <v>3147</v>
      </c>
      <c r="I17" s="51" t="s">
        <v>3138</v>
      </c>
      <c r="J17" s="51" t="s">
        <v>3138</v>
      </c>
      <c r="K17" s="51" t="s">
        <v>3138</v>
      </c>
      <c r="L17" s="51" t="s">
        <v>3138</v>
      </c>
      <c r="M17" s="51" t="s">
        <v>3138</v>
      </c>
      <c r="N17" s="121" t="s">
        <v>3138</v>
      </c>
      <c r="O17" s="12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c r="AZ17" s="51" t="s">
        <v>3138</v>
      </c>
      <c r="BA17" s="51" t="s">
        <v>3138</v>
      </c>
      <c r="BB17" s="51" t="s">
        <v>3138</v>
      </c>
      <c r="BC17" s="51" t="s">
        <v>3138</v>
      </c>
      <c r="BD17" s="51" t="s">
        <v>3138</v>
      </c>
      <c r="BE17" s="51" t="s">
        <v>3138</v>
      </c>
      <c r="BF17" s="51" t="s">
        <v>3138</v>
      </c>
      <c r="BG17" s="51" t="s">
        <v>3138</v>
      </c>
      <c r="BH17" s="51" t="s">
        <v>3138</v>
      </c>
      <c r="BI17" s="51" t="s">
        <v>3138</v>
      </c>
      <c r="BJ17" s="51" t="s">
        <v>3138</v>
      </c>
      <c r="BK17" s="51" t="s">
        <v>3138</v>
      </c>
      <c r="BL17" s="51" t="s">
        <v>3138</v>
      </c>
      <c r="BM17" s="51" t="s">
        <v>3138</v>
      </c>
      <c r="BN17" s="51" t="s">
        <v>3138</v>
      </c>
      <c r="BO17" s="51" t="s">
        <v>3138</v>
      </c>
      <c r="BP17" s="51" t="s">
        <v>3138</v>
      </c>
      <c r="BQ17" s="51" t="s">
        <v>3138</v>
      </c>
    </row>
    <row r="18" spans="2:69" x14ac:dyDescent="0.25">
      <c r="B18" s="51" t="s">
        <v>3115</v>
      </c>
      <c r="C18" s="51">
        <v>16</v>
      </c>
      <c r="D18" s="51" t="s">
        <v>4195</v>
      </c>
      <c r="E18" s="119">
        <v>45534</v>
      </c>
      <c r="F18" s="51">
        <v>1</v>
      </c>
      <c r="G18" s="318">
        <v>1</v>
      </c>
      <c r="H18" s="122" t="s">
        <v>3147</v>
      </c>
      <c r="I18" s="51" t="s">
        <v>3138</v>
      </c>
      <c r="J18" s="51" t="s">
        <v>3138</v>
      </c>
      <c r="K18" s="51" t="s">
        <v>3138</v>
      </c>
      <c r="L18" s="51" t="s">
        <v>3138</v>
      </c>
      <c r="M18" s="51" t="s">
        <v>3138</v>
      </c>
      <c r="N18" s="121" t="s">
        <v>3138</v>
      </c>
      <c r="O18" s="12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c r="AZ18" s="51" t="s">
        <v>3138</v>
      </c>
      <c r="BA18" s="51" t="s">
        <v>3138</v>
      </c>
      <c r="BB18" s="51" t="s">
        <v>3138</v>
      </c>
      <c r="BC18" s="51" t="s">
        <v>3138</v>
      </c>
      <c r="BD18" s="51" t="s">
        <v>3138</v>
      </c>
      <c r="BE18" s="51" t="s">
        <v>3138</v>
      </c>
      <c r="BF18" s="51" t="s">
        <v>3138</v>
      </c>
      <c r="BG18" s="51" t="s">
        <v>3138</v>
      </c>
      <c r="BH18" s="51" t="s">
        <v>3138</v>
      </c>
      <c r="BI18" s="51" t="s">
        <v>3138</v>
      </c>
      <c r="BJ18" s="51" t="s">
        <v>3138</v>
      </c>
      <c r="BK18" s="51" t="s">
        <v>3138</v>
      </c>
      <c r="BL18" s="51" t="s">
        <v>3138</v>
      </c>
      <c r="BM18" s="51" t="s">
        <v>3138</v>
      </c>
      <c r="BN18" s="51" t="s">
        <v>3138</v>
      </c>
      <c r="BO18" s="51" t="s">
        <v>3138</v>
      </c>
      <c r="BP18" s="51" t="s">
        <v>3138</v>
      </c>
      <c r="BQ18" s="51" t="s">
        <v>3138</v>
      </c>
    </row>
    <row r="19" spans="2:69" x14ac:dyDescent="0.25">
      <c r="B19" s="51" t="s">
        <v>3117</v>
      </c>
      <c r="C19" s="51">
        <v>17</v>
      </c>
      <c r="D19" s="51" t="s">
        <v>4196</v>
      </c>
      <c r="E19" s="119">
        <v>45534</v>
      </c>
      <c r="F19" s="51">
        <v>1</v>
      </c>
      <c r="G19" s="318" t="s">
        <v>4197</v>
      </c>
      <c r="H19" s="206" t="s">
        <v>4198</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c r="AT19" s="51" t="s">
        <v>3138</v>
      </c>
      <c r="AU19" s="51" t="s">
        <v>3138</v>
      </c>
      <c r="AV19" s="51" t="s">
        <v>3138</v>
      </c>
      <c r="AW19" s="51" t="s">
        <v>3138</v>
      </c>
      <c r="AX19" s="51" t="s">
        <v>3138</v>
      </c>
      <c r="AY19" s="51" t="s">
        <v>3138</v>
      </c>
      <c r="AZ19" s="51" t="s">
        <v>3138</v>
      </c>
      <c r="BA19" s="51" t="s">
        <v>3138</v>
      </c>
      <c r="BB19" s="51" t="s">
        <v>3138</v>
      </c>
      <c r="BC19" s="51" t="s">
        <v>3138</v>
      </c>
      <c r="BD19" s="51" t="s">
        <v>3138</v>
      </c>
      <c r="BE19" s="51" t="s">
        <v>3138</v>
      </c>
      <c r="BF19" s="51" t="s">
        <v>3138</v>
      </c>
      <c r="BG19" s="51" t="s">
        <v>3138</v>
      </c>
      <c r="BH19" s="51" t="s">
        <v>3138</v>
      </c>
      <c r="BI19" s="51" t="s">
        <v>3138</v>
      </c>
      <c r="BJ19" s="51" t="s">
        <v>3138</v>
      </c>
      <c r="BK19" s="51" t="s">
        <v>3138</v>
      </c>
      <c r="BL19" s="51" t="s">
        <v>3138</v>
      </c>
      <c r="BM19" s="51" t="s">
        <v>3138</v>
      </c>
      <c r="BN19" s="51" t="s">
        <v>3138</v>
      </c>
      <c r="BO19" s="51" t="s">
        <v>3138</v>
      </c>
      <c r="BP19" s="51" t="s">
        <v>3138</v>
      </c>
      <c r="BQ19" s="51" t="s">
        <v>3138</v>
      </c>
    </row>
    <row r="20" spans="2:69" x14ac:dyDescent="0.25">
      <c r="B20" s="51" t="s">
        <v>3119</v>
      </c>
      <c r="C20" s="51">
        <v>18</v>
      </c>
      <c r="D20" s="51" t="s">
        <v>4196</v>
      </c>
      <c r="E20" s="119">
        <v>45534</v>
      </c>
      <c r="F20" s="51">
        <v>1</v>
      </c>
      <c r="G20" s="318" t="s">
        <v>4199</v>
      </c>
      <c r="H20" s="206" t="s">
        <v>4200</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c r="AZ20" s="51" t="s">
        <v>3138</v>
      </c>
      <c r="BA20" s="51" t="s">
        <v>3138</v>
      </c>
      <c r="BB20" s="51" t="s">
        <v>3138</v>
      </c>
      <c r="BC20" s="51" t="s">
        <v>3138</v>
      </c>
      <c r="BD20" s="51" t="s">
        <v>3138</v>
      </c>
      <c r="BE20" s="51" t="s">
        <v>3138</v>
      </c>
      <c r="BF20" s="51" t="s">
        <v>3138</v>
      </c>
      <c r="BG20" s="51" t="s">
        <v>3138</v>
      </c>
      <c r="BH20" s="51" t="s">
        <v>3138</v>
      </c>
      <c r="BI20" s="51" t="s">
        <v>3138</v>
      </c>
      <c r="BJ20" s="51" t="s">
        <v>3138</v>
      </c>
      <c r="BK20" s="51" t="s">
        <v>3138</v>
      </c>
      <c r="BL20" s="51" t="s">
        <v>3138</v>
      </c>
      <c r="BM20" s="51" t="s">
        <v>3138</v>
      </c>
      <c r="BN20" s="51" t="s">
        <v>3138</v>
      </c>
      <c r="BO20" s="51" t="s">
        <v>3138</v>
      </c>
      <c r="BP20" s="51" t="s">
        <v>3138</v>
      </c>
      <c r="BQ20" s="51" t="s">
        <v>3138</v>
      </c>
    </row>
    <row r="21" spans="2:69" x14ac:dyDescent="0.25">
      <c r="B21" s="51" t="s">
        <v>3121</v>
      </c>
      <c r="C21" s="51">
        <v>19</v>
      </c>
      <c r="D21" s="51" t="s">
        <v>4201</v>
      </c>
      <c r="E21" s="119">
        <v>45534</v>
      </c>
      <c r="F21" s="51">
        <v>1</v>
      </c>
      <c r="G21" s="318" cm="1">
        <f t="array" ref="G21">SUMPRODUCT(--(ISNUMBER((SEARCH(I27:BQ27,I21:BQ21)))))/COUNTA(I21:BQ21)</f>
        <v>1</v>
      </c>
      <c r="H21" s="122"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3172</v>
      </c>
      <c r="W21" s="51" t="s">
        <v>3172</v>
      </c>
      <c r="X21" s="51" t="s">
        <v>3172</v>
      </c>
      <c r="Y21" s="51" t="s">
        <v>3556</v>
      </c>
      <c r="Z21" s="51" t="s">
        <v>3173</v>
      </c>
      <c r="AA21" s="51" t="s">
        <v>3173</v>
      </c>
      <c r="AB21" s="51" t="s">
        <v>3173</v>
      </c>
      <c r="AC21" s="51" t="s">
        <v>3173</v>
      </c>
      <c r="AD21" s="51" t="s">
        <v>3173</v>
      </c>
      <c r="AE21" s="51" t="s">
        <v>3173</v>
      </c>
      <c r="AF21" s="51" t="s">
        <v>3173</v>
      </c>
      <c r="AG21" s="51" t="s">
        <v>3173</v>
      </c>
      <c r="AH21" s="51" t="s">
        <v>3173</v>
      </c>
      <c r="AI21" s="51" t="s">
        <v>3173</v>
      </c>
      <c r="AJ21" s="51" t="s">
        <v>3173</v>
      </c>
      <c r="AK21" s="51" t="s">
        <v>3173</v>
      </c>
      <c r="AL21" s="51" t="s">
        <v>3173</v>
      </c>
      <c r="AM21" s="51" t="s">
        <v>3173</v>
      </c>
      <c r="AN21" s="51" t="s">
        <v>3173</v>
      </c>
      <c r="AO21" s="51" t="s">
        <v>3172</v>
      </c>
      <c r="AP21" s="51" t="s">
        <v>3173</v>
      </c>
      <c r="AQ21" s="51" t="s">
        <v>3172</v>
      </c>
      <c r="AR21" s="51" t="s">
        <v>3173</v>
      </c>
      <c r="AS21" s="51" t="s">
        <v>3173</v>
      </c>
      <c r="AT21" s="51" t="s">
        <v>3173</v>
      </c>
      <c r="AU21" s="51" t="s">
        <v>3173</v>
      </c>
      <c r="AV21" s="51" t="s">
        <v>3172</v>
      </c>
      <c r="AW21" s="51" t="s">
        <v>3173</v>
      </c>
      <c r="AX21" s="51" t="s">
        <v>3173</v>
      </c>
      <c r="AY21" s="51" t="s">
        <v>3173</v>
      </c>
      <c r="AZ21" s="51" t="s">
        <v>3172</v>
      </c>
      <c r="BA21" s="51" t="s">
        <v>3173</v>
      </c>
      <c r="BB21" s="51" t="s">
        <v>3556</v>
      </c>
      <c r="BC21" s="51" t="s">
        <v>3172</v>
      </c>
      <c r="BD21" s="51" t="s">
        <v>3172</v>
      </c>
      <c r="BE21" s="51" t="s">
        <v>3173</v>
      </c>
      <c r="BF21" s="51" t="s">
        <v>3173</v>
      </c>
      <c r="BG21" s="51" t="s">
        <v>3173</v>
      </c>
      <c r="BH21" s="51" t="s">
        <v>3172</v>
      </c>
      <c r="BI21" s="51" t="s">
        <v>3172</v>
      </c>
      <c r="BJ21" s="51" t="s">
        <v>3173</v>
      </c>
      <c r="BK21" s="51" t="s">
        <v>3173</v>
      </c>
      <c r="BL21" s="51" t="s">
        <v>3173</v>
      </c>
      <c r="BM21" s="51" t="s">
        <v>3172</v>
      </c>
      <c r="BN21" s="51" t="s">
        <v>3172</v>
      </c>
      <c r="BO21" s="51" t="s">
        <v>3172</v>
      </c>
      <c r="BP21" s="51" t="s">
        <v>3172</v>
      </c>
      <c r="BQ21" s="51" t="s">
        <v>3174</v>
      </c>
    </row>
    <row r="22" spans="2:69" x14ac:dyDescent="0.25">
      <c r="B22" s="51" t="s">
        <v>3124</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x14ac:dyDescent="0.25">
      <c r="B23" s="51" t="s">
        <v>3127</v>
      </c>
      <c r="C23" s="51">
        <v>21</v>
      </c>
      <c r="D23" s="51"/>
      <c r="E23" s="119"/>
      <c r="F23" s="51"/>
      <c r="G23" s="217" cm="1">
        <f t="array" ref="G23">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x14ac:dyDescent="0.25">
      <c r="B25" s="154" t="s">
        <v>3244</v>
      </c>
    </row>
    <row r="26" spans="2:69" x14ac:dyDescent="0.25">
      <c r="B26" s="152" t="s">
        <v>3130</v>
      </c>
      <c r="C26" s="153" t="s">
        <v>3131</v>
      </c>
      <c r="D26" s="153" t="s">
        <v>3132</v>
      </c>
      <c r="E26" s="153" t="s">
        <v>3133</v>
      </c>
      <c r="F26" s="153" t="s">
        <v>3134</v>
      </c>
      <c r="G26" s="153" t="s">
        <v>3135</v>
      </c>
      <c r="H26" s="153" t="s">
        <v>3136</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x14ac:dyDescent="0.25">
      <c r="B27" s="131" t="s">
        <v>3175</v>
      </c>
      <c r="C27" s="116">
        <v>21</v>
      </c>
      <c r="D27" s="115" t="s">
        <v>3176</v>
      </c>
      <c r="E27" t="s">
        <v>3177</v>
      </c>
      <c r="F27" t="s">
        <v>366</v>
      </c>
      <c r="G27" t="s">
        <v>366</v>
      </c>
      <c r="H27" t="s">
        <v>366</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9" t="str">
        <v>STRING</v>
      </c>
      <c r="U27" s="129" t="str">
        <v>STRING</v>
      </c>
      <c r="V27" s="129" t="str">
        <v>STRING</v>
      </c>
      <c r="W27" s="129" t="str">
        <v>STRING</v>
      </c>
      <c r="X27" s="129" t="str">
        <v>STRING</v>
      </c>
      <c r="Y27" s="129" t="str">
        <v>INT</v>
      </c>
      <c r="Z27" s="129" t="str">
        <v>DECIMAL</v>
      </c>
      <c r="AA27" s="129" t="str">
        <v>DECIMAL</v>
      </c>
      <c r="AB27" s="129" t="str">
        <v>DECIMAL</v>
      </c>
      <c r="AC27" s="129" t="str">
        <v>DECIMAL</v>
      </c>
      <c r="AD27" s="129" t="str">
        <v>DECIMAL</v>
      </c>
      <c r="AE27" s="129" t="str">
        <v>DECIMAL</v>
      </c>
      <c r="AF27" s="129" t="str">
        <v>DECIMAL</v>
      </c>
      <c r="AG27" s="129" t="str">
        <v>DECIMAL</v>
      </c>
      <c r="AH27" s="129" t="str">
        <v>DECIMAL</v>
      </c>
      <c r="AI27" s="129" t="str">
        <v>DECIMAL</v>
      </c>
      <c r="AJ27" s="129" t="str">
        <v>DECIMAL</v>
      </c>
      <c r="AK27" s="129" t="str">
        <v>DECIMAL</v>
      </c>
      <c r="AL27" s="129" t="str">
        <v>DECIMAL</v>
      </c>
      <c r="AM27" s="129" t="str">
        <v>DECIMAL</v>
      </c>
      <c r="AN27" s="129" t="str">
        <v>DECIMAL</v>
      </c>
      <c r="AO27" s="129" t="str">
        <v>STRING</v>
      </c>
      <c r="AP27" s="129" t="str">
        <v>DECIMAL</v>
      </c>
      <c r="AQ27" s="129" t="str">
        <v>STRING</v>
      </c>
      <c r="AR27" s="129" t="str">
        <v>DECIMAL</v>
      </c>
      <c r="AS27" s="129" t="str">
        <v>DECIMAL</v>
      </c>
      <c r="AT27" s="129" t="str">
        <v>DECIMAL</v>
      </c>
      <c r="AU27" s="129" t="str">
        <v>DECIMAL</v>
      </c>
      <c r="AV27" s="129" t="str">
        <v>STRING</v>
      </c>
      <c r="AW27" s="129" t="str">
        <v>DECIMAL</v>
      </c>
      <c r="AX27" s="129" t="str">
        <v>DECIMAL</v>
      </c>
      <c r="AY27" s="129" t="str">
        <v>DECIMAL</v>
      </c>
      <c r="AZ27" s="129" t="str">
        <v>STRING</v>
      </c>
      <c r="BA27" s="129" t="str">
        <v>DECIMAL</v>
      </c>
      <c r="BB27" s="129" t="str">
        <v>INT</v>
      </c>
      <c r="BC27" s="129" t="str">
        <v>STRING</v>
      </c>
      <c r="BD27" s="129" t="str">
        <v>STRING</v>
      </c>
      <c r="BE27" s="129" t="str">
        <v>DECIMAL</v>
      </c>
      <c r="BF27" s="129" t="str">
        <v>DECIMAL</v>
      </c>
      <c r="BG27" s="129" t="str">
        <v>DECIMAL</v>
      </c>
      <c r="BH27" s="129" t="str">
        <v>STRING</v>
      </c>
      <c r="BI27" s="129" t="str">
        <v>STRING</v>
      </c>
      <c r="BJ27" s="129" t="str">
        <v>DECIMAL</v>
      </c>
      <c r="BK27" s="129" t="str">
        <v>DECIMAL</v>
      </c>
      <c r="BL27" s="129" t="str">
        <v>DECIMAL</v>
      </c>
      <c r="BM27" s="129" t="str">
        <v>STRING</v>
      </c>
      <c r="BN27" s="129" t="str">
        <v>STRING</v>
      </c>
      <c r="BO27" s="129" t="str">
        <v>STRING</v>
      </c>
      <c r="BP27" s="129" t="str">
        <v>STRING</v>
      </c>
      <c r="BQ27" s="132" t="str">
        <v>TIMESTAMP</v>
      </c>
    </row>
    <row r="28" spans="2:69" x14ac:dyDescent="0.25">
      <c r="B28" s="131" t="s">
        <v>3178</v>
      </c>
      <c r="C28" s="175">
        <v>7</v>
      </c>
      <c r="D28" s="130" t="s">
        <v>3176</v>
      </c>
      <c r="E28" s="129" t="s">
        <v>3177</v>
      </c>
      <c r="F28" s="129" t="s">
        <v>366</v>
      </c>
      <c r="G28" s="129" t="s">
        <v>366</v>
      </c>
      <c r="H28" s="129" t="s">
        <v>366</v>
      </c>
      <c r="I28" s="175">
        <v>4</v>
      </c>
      <c r="J28" s="175">
        <v>30</v>
      </c>
      <c r="K28" s="175">
        <v>4</v>
      </c>
      <c r="L28" s="175">
        <v>4</v>
      </c>
      <c r="M28" s="175">
        <v>4</v>
      </c>
      <c r="N28" s="175">
        <v>4</v>
      </c>
      <c r="O28" s="175">
        <v>30</v>
      </c>
      <c r="P28" s="175">
        <v>25</v>
      </c>
      <c r="Q28" s="175">
        <v>21</v>
      </c>
      <c r="R28" s="175">
        <v>4</v>
      </c>
      <c r="S28" s="175">
        <v>4</v>
      </c>
      <c r="T28" s="175">
        <v>17</v>
      </c>
      <c r="U28" s="175">
        <v>10</v>
      </c>
      <c r="V28" s="175">
        <v>10</v>
      </c>
      <c r="W28" s="175">
        <v>4</v>
      </c>
      <c r="X28" s="175">
        <v>4</v>
      </c>
      <c r="Y28" s="175">
        <v>9999999</v>
      </c>
      <c r="Z28" s="175">
        <v>23</v>
      </c>
      <c r="AA28" s="175">
        <v>23</v>
      </c>
      <c r="AB28" s="175">
        <v>23</v>
      </c>
      <c r="AC28" s="175">
        <v>23</v>
      </c>
      <c r="AD28" s="175">
        <v>23</v>
      </c>
      <c r="AE28" s="175">
        <v>23</v>
      </c>
      <c r="AF28" s="175">
        <v>23</v>
      </c>
      <c r="AG28" s="175">
        <v>23</v>
      </c>
      <c r="AH28" s="175">
        <v>23</v>
      </c>
      <c r="AI28" s="175">
        <v>23</v>
      </c>
      <c r="AJ28" s="175">
        <v>23</v>
      </c>
      <c r="AK28" s="175">
        <v>23</v>
      </c>
      <c r="AL28" s="175">
        <v>23</v>
      </c>
      <c r="AM28" s="175">
        <v>23</v>
      </c>
      <c r="AN28" s="175">
        <v>23</v>
      </c>
      <c r="AO28" s="175">
        <v>10</v>
      </c>
      <c r="AP28" s="175">
        <v>23</v>
      </c>
      <c r="AQ28" s="175">
        <v>10</v>
      </c>
      <c r="AR28" s="175">
        <v>23</v>
      </c>
      <c r="AS28" s="175">
        <v>23</v>
      </c>
      <c r="AT28" s="175">
        <v>23</v>
      </c>
      <c r="AU28" s="175">
        <v>23</v>
      </c>
      <c r="AV28" s="175">
        <v>10</v>
      </c>
      <c r="AW28" s="175">
        <v>23</v>
      </c>
      <c r="AX28" s="175">
        <v>23</v>
      </c>
      <c r="AY28" s="175">
        <v>23</v>
      </c>
      <c r="AZ28" s="175">
        <v>10</v>
      </c>
      <c r="BA28" s="175">
        <v>23</v>
      </c>
      <c r="BB28" s="175">
        <v>9999999</v>
      </c>
      <c r="BC28" s="175">
        <v>4</v>
      </c>
      <c r="BD28" s="175">
        <v>4</v>
      </c>
      <c r="BE28" s="175">
        <v>23</v>
      </c>
      <c r="BF28" s="175">
        <v>23</v>
      </c>
      <c r="BG28" s="175">
        <v>23</v>
      </c>
      <c r="BH28" s="175">
        <v>4</v>
      </c>
      <c r="BI28" s="175">
        <v>4</v>
      </c>
      <c r="BJ28" s="175">
        <v>23</v>
      </c>
      <c r="BK28" s="175">
        <v>23</v>
      </c>
      <c r="BL28" s="175">
        <v>23</v>
      </c>
      <c r="BM28" s="175">
        <v>4</v>
      </c>
      <c r="BN28" s="175">
        <v>4</v>
      </c>
      <c r="BO28" s="175">
        <v>2</v>
      </c>
      <c r="BP28" s="175">
        <v>10</v>
      </c>
      <c r="BQ28" s="176">
        <v>23</v>
      </c>
    </row>
    <row r="30" spans="2:69" x14ac:dyDescent="0.25">
      <c r="B30" s="164" t="s">
        <v>3179</v>
      </c>
    </row>
    <row r="31" spans="2:69" x14ac:dyDescent="0.25">
      <c r="B31" s="158" t="s">
        <v>3180</v>
      </c>
      <c r="C31" s="158" t="s">
        <v>3181</v>
      </c>
      <c r="D31" s="159" t="s">
        <v>3182</v>
      </c>
      <c r="E31" s="158" t="s">
        <v>3183</v>
      </c>
      <c r="F31" s="158" t="s">
        <v>3184</v>
      </c>
    </row>
    <row r="32" spans="2:69" ht="30" x14ac:dyDescent="0.25">
      <c r="B32" s="135" t="s">
        <v>3288</v>
      </c>
      <c r="C32" s="139" t="s">
        <v>1670</v>
      </c>
      <c r="D32" s="54" t="s">
        <v>4202</v>
      </c>
      <c r="E32" s="177" t="s">
        <v>4203</v>
      </c>
      <c r="F32" s="160" t="s">
        <v>3191</v>
      </c>
    </row>
    <row r="33" spans="2:6" ht="30" x14ac:dyDescent="0.25">
      <c r="B33" s="161" t="s">
        <v>3185</v>
      </c>
      <c r="C33" s="162" t="s">
        <v>1670</v>
      </c>
      <c r="D33" s="163" t="s">
        <v>4204</v>
      </c>
      <c r="E33" s="121" t="s">
        <v>4205</v>
      </c>
      <c r="F33" s="213" t="s">
        <v>3191</v>
      </c>
    </row>
    <row r="34" spans="2:6" ht="30" x14ac:dyDescent="0.25">
      <c r="B34" s="161" t="s">
        <v>3185</v>
      </c>
      <c r="C34" s="162" t="s">
        <v>1969</v>
      </c>
      <c r="D34" s="163" t="s">
        <v>4204</v>
      </c>
      <c r="E34" s="121" t="s">
        <v>4206</v>
      </c>
      <c r="F34" s="213" t="s">
        <v>3191</v>
      </c>
    </row>
    <row r="35" spans="2:6" ht="30" x14ac:dyDescent="0.25">
      <c r="B35" s="161" t="s">
        <v>3185</v>
      </c>
      <c r="C35" s="162" t="s">
        <v>1986</v>
      </c>
      <c r="D35" s="163" t="s">
        <v>4204</v>
      </c>
      <c r="E35" s="121" t="s">
        <v>4206</v>
      </c>
      <c r="F35" s="213" t="s">
        <v>3191</v>
      </c>
    </row>
    <row r="36" spans="2:6" ht="30" x14ac:dyDescent="0.25">
      <c r="B36" s="161" t="s">
        <v>3185</v>
      </c>
      <c r="C36" s="162" t="s">
        <v>618</v>
      </c>
      <c r="D36" s="163" t="s">
        <v>4204</v>
      </c>
      <c r="E36" s="121" t="s">
        <v>4207</v>
      </c>
      <c r="F36" s="213" t="s">
        <v>3191</v>
      </c>
    </row>
    <row r="37" spans="2:6" ht="30" x14ac:dyDescent="0.25">
      <c r="B37" s="161" t="s">
        <v>3185</v>
      </c>
      <c r="C37" s="162" t="s">
        <v>1352</v>
      </c>
      <c r="D37" s="163" t="s">
        <v>4204</v>
      </c>
      <c r="E37" s="121" t="s">
        <v>4208</v>
      </c>
      <c r="F37" s="213" t="s">
        <v>3191</v>
      </c>
    </row>
    <row r="38" spans="2:6" ht="30" x14ac:dyDescent="0.25">
      <c r="B38" s="161" t="s">
        <v>3185</v>
      </c>
      <c r="C38" s="162" t="s">
        <v>1365</v>
      </c>
      <c r="D38" s="163" t="s">
        <v>4204</v>
      </c>
      <c r="E38" s="121" t="s">
        <v>4209</v>
      </c>
      <c r="F38" s="213" t="s">
        <v>3191</v>
      </c>
    </row>
    <row r="39" spans="2:6" ht="30" x14ac:dyDescent="0.25">
      <c r="B39" s="161" t="s">
        <v>3185</v>
      </c>
      <c r="C39" s="162" t="s">
        <v>2119</v>
      </c>
      <c r="D39" s="163" t="s">
        <v>4204</v>
      </c>
      <c r="E39" s="121" t="s">
        <v>4210</v>
      </c>
      <c r="F39" s="213" t="s">
        <v>3191</v>
      </c>
    </row>
    <row r="40" spans="2:6" ht="30" x14ac:dyDescent="0.25">
      <c r="B40" s="161" t="s">
        <v>3185</v>
      </c>
      <c r="C40" s="162" t="s">
        <v>1760</v>
      </c>
      <c r="D40" s="163" t="s">
        <v>4204</v>
      </c>
      <c r="E40" s="121" t="s">
        <v>4211</v>
      </c>
      <c r="F40" s="213" t="s">
        <v>3191</v>
      </c>
    </row>
    <row r="41" spans="2:6" ht="30" x14ac:dyDescent="0.25">
      <c r="B41" s="161" t="s">
        <v>3185</v>
      </c>
      <c r="C41" s="162" t="s">
        <v>655</v>
      </c>
      <c r="D41" s="163" t="s">
        <v>4204</v>
      </c>
      <c r="E41" s="121" t="s">
        <v>4211</v>
      </c>
      <c r="F41" s="213" t="s">
        <v>3191</v>
      </c>
    </row>
    <row r="42" spans="2:6" ht="45" x14ac:dyDescent="0.25">
      <c r="B42" s="161" t="s">
        <v>3185</v>
      </c>
      <c r="C42" s="162" t="s">
        <v>324</v>
      </c>
      <c r="D42" s="163" t="s">
        <v>4212</v>
      </c>
      <c r="E42" s="121" t="s">
        <v>4213</v>
      </c>
      <c r="F42" s="213" t="s">
        <v>3191</v>
      </c>
    </row>
    <row r="43" spans="2:6" ht="75" x14ac:dyDescent="0.25">
      <c r="B43" s="161" t="s">
        <v>3195</v>
      </c>
      <c r="C43" s="162" t="s">
        <v>3958</v>
      </c>
      <c r="D43" s="163" t="s">
        <v>4214</v>
      </c>
      <c r="E43" s="121" t="s">
        <v>4215</v>
      </c>
      <c r="F43" s="213" t="s">
        <v>3188</v>
      </c>
    </row>
    <row r="44" spans="2:6" ht="30" x14ac:dyDescent="0.25">
      <c r="B44" s="161" t="s">
        <v>3253</v>
      </c>
      <c r="C44" s="162" t="s">
        <v>3958</v>
      </c>
      <c r="D44" s="163" t="s">
        <v>4216</v>
      </c>
      <c r="E44" s="121" t="s">
        <v>4217</v>
      </c>
      <c r="F44" s="213" t="s">
        <v>3194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616260-F393-4FC3-B875-ACB378985E95}"/>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2024-11-26T14:52:47Z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