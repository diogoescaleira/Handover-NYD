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9A2435C9-D121-4680-ACF6-7BB942C0B62E}"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<sst xmlns="http://schemas.openxmlformats.org/spreadsheetml/2006/main" count="27940" uniqueCount="4711">
  <si>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</si>
  <si>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</si>
  <si>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</si>
  <si>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</si>
  <si>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</si>
  <si>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</si>
  <si>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</si>
  <si>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</si>
  <si>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</si>
  <si>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</si>
  <si>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</si>
  <si>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</si>
  <si>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</si>
  <si>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</si>
  <si>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</si>
  <si>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</si>
  <si>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</si>
  <si>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</si>
  <si>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</si>
  <si>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</si>
  <si>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</si>
  <si>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</si>
  <si>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</si>
  <si>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</si>
  <si>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</si>
  <si>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</si>
  <si>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</si>
  <si>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</si>
  <si>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</si>
  <si>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</si>
  <si>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</si>
  <si>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</si>
  <si>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</si>
  <si>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</si>
  <si>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</si>
  <si>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</si>
  <si>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</si>
  <si>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</si>
  <si>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</si>
  <si>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</si>
  <si>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</si>
  <si>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</si>
  <si>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</si>
  <si>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</si>
  <si>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</si>
  <si>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</si>
  <si>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</si>
  <si>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</si>
  <si>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</si>
  <si>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</si>
  <si>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</si>
  <si>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</si>
  <si>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</si>
  <si>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</si>
  <si>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</si>
  <si>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</si>
  <si>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</si>
  <si>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</si>
  <si>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</si>
  <si>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</si>
  <si>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</si>
  <si>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</si>
  <si>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</si>
  <si>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</si>
  <si>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</si>
  <si>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</si>
  <si>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</si>
  <si>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</si>
  <si>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</si>
  <si>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</si>
  <si>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</si>
  <si>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</si>
  <si>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</si>
  <si>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</si>
  <si>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</si>
  <si>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</si>
  <si>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</si>
  <si>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</si>
  <si>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</si>
  <si>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</si>
  <si>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</si>
  <si>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</si>
  <si>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</si>
  <si>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</si>
  <si>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</si>
  <si>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</si>
  <si>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</si>
  <si>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</si>
  <si>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</si>
  <si>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</si>
  <si>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</si>
  <si>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</si>
  <si>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</si>
  <si>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</si>
  <si>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</si>
  <si>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</si>
  <si>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</si>
  <si>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</si>
  <si>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</si>
  <si>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</si>
  <si>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</si>
  <si>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</si>
  <si>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</si>
  <si>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</si>
  <si>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</si>
  <si>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</si>
  <si>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</si>
  <si>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</si>
  <si>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</si>
  <si>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</si>
  <si>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</si>
  <si>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</si>
  <si>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</si>
  <si>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</si>
  <si>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</si>
  <si>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</si>
  <si>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</si>
  <si>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</si>
  <si>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</si>
  <si>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</si>
  <si>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</si>
  <si>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</si>
  <si>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</si>
  <si>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</si>
  <si>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</si>
  <si>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</si>
  <si>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</si>
  <si>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</si>
  <si>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</si>
  <si>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</si>
  <si>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</si>
  <si>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</si>
  <si>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</si>
  <si>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</si>
  <si>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</si>
  <si>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</si>
  <si>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</si>
  <si>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</si>
  <si>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</si>
  <si>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</si>
  <si>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</si>
  <si>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</si>
  <si>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</si>
  <si>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</si>
  <si>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</si>
  <si>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</si>
  <si>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</si>
  <si>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</si>
  <si>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</si>
  <si>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</si>
  <si>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</si>
  <si>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</si>
  <si>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</si>
  <si>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</si>
  <si>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</si>
  <si>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</si>
  <si>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</si>
  <si>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</si>
  <si>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</si>
  <si>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</si>
  <si>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</si>
  <si>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</si>
  <si>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</si>
  <si>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</si>
  <si>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</si>
  <si>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</si>
  <si>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</si>
  <si>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</si>
  <si>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</si>
  <si>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</si>
  <si>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</si>
  <si>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</si>
  <si>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</si>
  <si>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</si>
  <si>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</si>
  <si>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</si>
  <si>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</si>
  <si>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</si>
  <si>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</si>
  <si>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</si>
  <si>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</si>
  <si>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</si>
  <si>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</si>
  <si>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</si>
  <si>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</si>
  <si>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</si>
  <si>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</si>
  <si>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</si>
  <si>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</si>
  <si>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</si>
  <si>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</si>
  <si>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</si>
  <si>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</si>
  <si>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</si>
  <si>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</si>
  <si>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</si>
  <si>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</si>
  <si>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</si>
  <si>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</si>
  <si>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</si>
  <si>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</si>
  <si>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</si>
  <si>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</si>
  <si>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</si>
  <si>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</si>
  <si>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</si>
  <si>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</si>
  <si>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</si>
  <si>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</si>
  <si>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</si>
  <si>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</si>
  <si>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</si>
  <si>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</si>
  <si>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</si>
  <si>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</si>
  <si>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</si>
  <si>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</si>
  <si>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</si>
  <si>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</si>
  <si>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</si>
  <si>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</si>
  <si>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</si>
  <si>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</si>
  <si>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</si>
  <si>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</si>
  <si>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</si>
  <si>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</si>
  <si>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</si>
  <si>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</si>
  <si>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</si>
  <si>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</si>
  <si>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</si>
  <si>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</si>
  <si>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</si>
  <si>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</si>
  <si>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</si>
  <si>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</si>
  <si>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</si>
  <si>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</si>
  <si>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</si>
  <si>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</si>
  <si>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</si>
  <si>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</si>
  <si>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</si>
  <si>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</si>
  <si>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</si>
  <si>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</si>
  <si>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</si>
  <si>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</si>
  <si>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</si>
  <si>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</si>
  <si>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</si>
  <si>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</si>
  <si>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</si>
  <si>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</si>
  <si>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</si>
  <si>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</si>
  <si>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</si>
  <si>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</si>
  <si>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</si>
  <si>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</si>
  <si>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</si>
  <si>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</si>
  <si>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</si>
  <si>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</si>
  <si>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</si>
  <si>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</si>
  <si>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</si>
  <si>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</si>
  <si>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</si>
  <si>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</si>
  <si>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</si>
  <si>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</si>
  <si>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</si>
  <si>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</si>
  <si>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</si>
  <si>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</si>
  <si>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</si>
  <si>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</si>
  <si>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</si>
  <si>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</si>
  <si>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</si>
  <si>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</si>
  <si>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</si>
  <si>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</si>
  <si>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</si>
  <si>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</si>
  <si>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</si>
  <si>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</si>
  <si>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</si>
  <si>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</si>
  <si>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</si>
  <si>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</si>
  <si>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</si>
  <si>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</si>
  <si>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</si>
  <si>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</si>
  <si>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</si>
  <si>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</si>
  <si>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</si>
  <si>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</si>
  <si>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</si>
  <si>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</si>
  <si>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</si>
  <si>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</si>
  <si>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</si>
  <si>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</si>
  <si>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</si>
  <si>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</si>
  <si>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</si>
  <si>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</si>
  <si>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</si>
  <si>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</si>
  <si>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</si>
  <si>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</si>
  <si>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</si>
  <si>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</si>
  <si>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</si>
  <si>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</si>
  <si>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</si>
  <si>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</si>
  <si>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</si>
  <si>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</si>
  <si>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</si>
  <si>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</si>
  <si>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</si>
  <si>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</si>
  <si>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</si>
  <si>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</si>
  <si>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</si>
  <si>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</si>
  <si>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</si>
  <si>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</si>
  <si>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</si>
  <si>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</si>
  <si>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</si>
  <si>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</si>
  <si>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</si>
  <si>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</si>
  <si>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</si>
  <si>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</si>
  <si>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</si>
  <si>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</si>
  <si>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</si>
  <si>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</si>
  <si>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</si>
  <si>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</si>
  <si>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</si>
  <si>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</si>
  <si>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</si>
  <si>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</si>
  <si>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</si>
  <si>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</si>
  <si>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</si>
  <si>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</si>
  <si>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</si>
  <si>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</si>
  <si>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</si>
  <si>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</si>
  <si>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</si>
  <si>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</si>
  <si>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</si>
  <si>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</si>
  <si>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</si>
  <si>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</si>
  <si>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</si>
  <si>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</si>
  <si>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</si>
  <si>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</si>
  <si>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</si>
  <si>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</si>
  <si>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</si>
  <si>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</si>
  <si>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</si>
  <si>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</si>
  <si>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</si>
  <si>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</si>
  <si>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</si>
  <si>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</si>
  <si>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</si>
  <si>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</si>
  <si>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</si>
  <si>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</si>
  <si>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</si>
  <si>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</si>
  <si>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</si>
  <si>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</si>
  <si>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</si>
  <si>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</si>
  <si>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</si>
  <si>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</si>
  <si>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</si>
  <si>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</si>
  <si>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</si>
  <si>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</si>
  <si>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</si>
  <si>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</si>
  <si>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</si>
  <si>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</si>
  <si>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</si>
  <si>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</si>
  <si>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</si>
  <si>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</si>
  <si>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</si>
  <si>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</si>
  <si>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</si>
  <si>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</si>
  <si>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</si>
  <si>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</si>
  <si>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</si>
  <si>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</si>
  <si>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</si>
  <si>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</si>
  <si>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</si>
  <si>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</si>
  <si>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</si>
  <si>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</si>
  <si>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</si>
  <si>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</si>
  <si>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</si>
  <si>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</si>
  <si>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</si>
  <si>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</si>
  <si>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</si>
  <si>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</si>
  <si>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</si>
  <si>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</si>
  <si>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</si>
  <si>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</si>
  <si>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</si>
  <si>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</si>
  <si>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</si>
  <si>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</si>
  <si>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</si>
  <si>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</si>
  <si>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</si>
  <si>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</si>
  <si>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</si>
  <si>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</si>
  <si>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</si>
  <si>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</si>
  <si>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</si>
  <si>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</si>
  <si>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</si>
  <si>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</si>
  <si>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</si>
  <si>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</si>
  <si>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</si>
  <si>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</si>
  <si>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</si>
  <si>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</si>
  <si>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</si>
  <si>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</si>
  <si>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</si>
  <si>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</si>
  <si>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</si>
  <si>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</si>
  <si>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</si>
  <si>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</si>
  <si>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</si>
  <si>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</si>
  <si>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</si>
  <si>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</si>
  <si>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</si>
  <si>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</si>
  <si>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</si>
  <si>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</si>
  <si>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</si>
  <si>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</si>
  <si>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</si>
  <si>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</si>
  <si>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</si>
  <si>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</si>
  <si>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</si>
  <si>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</si>
  <si>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</si>
  <si>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</si>
  <si>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</si>
  <si>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</si>
  <si>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</si>
  <si>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</si>
  <si>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</si>
  <si>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</si>
  <si>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</si>
  <si>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</si>
  <si>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</si>
  <si>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</si>
  <si>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</si>
  <si>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</si>
  <si>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</si>
  <si>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</si>
  <si>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</si>
  <si>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</si>
  <si>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</si>
  <si>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</si>
  <si>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</si>
  <si>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</si>
  <si>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</si>
  <si>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</si>
  <si>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</si>
  <si>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</si>
  <si>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</si>
  <si>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</si>
  <si>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</si>
  <si>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</si>
  <si>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</si>
  <si>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</si>
  <si>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</si>
  <si>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</si>
  <si>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</si>
  <si>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</si>
  <si>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</si>
  <si>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</si>
  <si>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</si>
  <si>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</si>
  <si>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</si>
  <si>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</si>
  <si>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</si>
  <si>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</si>
  <si>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</si>
  <si>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</si>
  <si>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</si>
  <si>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</si>
  <si>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</si>
  <si>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</si>
  <si>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</si>
  <si>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</si>
  <si>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</si>
  <si>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</si>
  <si>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</si>
  <si>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</si>
  <si>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</si>
  <si>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</si>
  <si>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</si>
  <si>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</si>
  <si>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</si>
  <si>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</si>
  <si>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</si>
  <si>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</si>
  <si>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</si>
  <si>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</si>
  <si>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</si>
  <si>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</si>
  <si>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</si>
  <si>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</si>
  <si>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</si>
  <si>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</si>
  <si>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</si>
  <si>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</si>
  <si>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</si>
  <si>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</si>
  <si>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</si>
  <si>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</si>
  <si>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</si>
  <si>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</si>
  <si>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</si>
  <si>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</si>
  <si>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</si>
  <si>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</si>
  <si>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</si>
  <si>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</si>
  <si>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</si>
  <si>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</si>
  <si>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</si>
  <si>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</si>
  <si>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</si>
  <si>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</si>
  <si>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</si>
  <si>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</si>
  <si>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</si>
  <si>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</si>
  <si>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</si>
  <si>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</si>
  <si>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</si>
  <si>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</si>
  <si>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</si>
  <si>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</si>
  <si>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</si>
  <si>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</si>
  <si>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</si>
  <si>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</si>
  <si>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</si>
  <si>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</si>
  <si>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</si>
  <si>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</si>
  <si>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</si>
  <si>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</si>
  <si>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</si>
  <si>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</si>
  <si>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</si>
  <si>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</si>
  <si>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</si>
  <si>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</si>
  <si>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</si>
  <si>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</si>
  <si>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</si>
  <si>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</si>
  <si>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</si>
  <si>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</si>
  <si>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</si>
  <si>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</si>
  <si>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</si>
  <si>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</si>
  <si>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</si>
  <si>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</si>
  <si>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</si>
  <si>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</si>
  <si>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</si>
  <si>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</si>
  <si>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</si>
  <si>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</si>
  <si>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</si>
  <si>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</si>
  <si>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</si>
  <si>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</si>
  <si>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</si>
  <si>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</si>
  <si>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</si>
  <si>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</si>
  <si>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</si>
  <si>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</si>
  <si>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</si>
  <si>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</si>
  <si>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</si>
  <si>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</si>
  <si>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</si>
  <si>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</si>
  <si>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</si>
  <si>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</si>
  <si>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</si>
  <si>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</si>
  <si>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</si>
  <si>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</si>
  <si>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</si>
  <si>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</si>
  <si>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</si>
  <si>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</si>
  <si>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</si>
  <si>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</si>
  <si>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</si>
  <si>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</si>
  <si>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</si>
  <si>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</si>
  <si>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</si>
  <si>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</si>
  <si>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</si>
  <si>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</si>
  <si>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</si>
  <si>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</si>
  <si>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</si>
  <si>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</si>
  <si>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</si>
  <si>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</si>
  <si>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</si>
  <si>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</si>
  <si>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</si>
  <si>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</si>
  <si>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</si>
  <si>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</si>
  <si>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</si>
  <si>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</si>
  <si>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</si>
  <si>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</si>
  <si>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</si>
  <si>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</si>
  <si>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</si>
  <si>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</si>
  <si>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</si>
  <si>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</si>
  <si>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</si>
  <si>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</si>
  <si>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</si>
  <si>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</si>
  <si>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</si>
  <si>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</si>
  <si>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</si>
  <si>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</si>
  <si>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</si>
  <si>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</si>
  <si>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</si>
  <si>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</si>
  <si>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</si>
  <si>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</si>
  <si>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</si>
  <si>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</si>
  <si>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</si>
  <si>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</si>
  <si>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</si>
  <si>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t>SELECT CAST( IF( TCT09_OPERCN.CKBALCAO IS NULL,
    IF( EFT01_CONTEFTO.CKPRODUT != '092',
        IF( EFT02_CRTEFT.DLIMPAG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</si>
  <si>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</si>
  <si>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</si>
  <si>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</si>
  <si>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</si>
  <si>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</si>
  <si>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EFT02_CRTEFT.DLIMPAG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</si>
  <si>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</si>
  <si>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</si>
  <si>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</si>
  <si>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</si>
  <si>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</si>
  <si>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</si>
  <si>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</si>
  <si>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</si>
  <si>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</si>
  <si>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</si>
  <si>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</si>
  <si>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</si>
  <si>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</si>
  <si>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</si>
  <si>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</si>
  <si>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</si>
  <si>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</si>
  <si>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</si>
  <si>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</si>
  <si>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</si>
  <si>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</si>
  <si>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</si>
  <si>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</si>
  <si>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</si>
  <si>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</si>
  <si>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</si>
  <si>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</si>
  <si>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</si>
  <si>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</si>
  <si>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</si>
  <si>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</si>
  <si>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</si>
  <si>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</si>
  <si>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</si>
  <si>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</si>
  <si>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</si>
  <si>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</si>
  <si>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</si>
  <si>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</si>
  <si>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</si>
  <si>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</si>
  <si>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</si>
  <si>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</si>
  <si>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</si>
  <si>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</si>
  <si>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</si>
  <si>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</si>
  <si>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</si>
  <si>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</si>
  <si>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</si>
  <si>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</si>
  <si>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</si>
  <si>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</si>
  <si>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</si>
  <si>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</si>
  <si>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</si>
  <si>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</si>
  <si>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</si>
  <si>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</si>
  <si>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</si>
  <si>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</si>
  <si>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</si>
  <si>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</si>
  <si>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</si>
  <si>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</si>
  <si>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</si>
  <si>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</si>
  <si>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</si>
  <si>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</si>
  <si>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</si>
  <si>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</si>
  <si>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</si>
  <si>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</si>
  <si>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</si>
  <si>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</si>
  <si>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</si>
  <si>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</si>
  <si>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</si>
  <si>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</si>
  <si>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</si>
  <si>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</si>
  <si>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</si>
  <si>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</si>
  <si>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</si>
  <si>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</si>
  <si>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</si>
  <si>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</si>
  <si>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</si>
  <si>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</si>
  <si>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</si>
  <si>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</si>
  <si>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</si>
  <si>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</si>
  <si>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</si>
  <si>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</si>
  <si>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</si>
  <si>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</si>
  <si>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</si>
  <si>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</si>
  <si>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</si>
  <si>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</si>
  <si>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</si>
  <si>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</si>
  <si>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</si>
  <si>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</si>
  <si>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</si>
  <si>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</si>
  <si>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</si>
  <si>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</si>
  <si>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</si>
  <si>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</si>
  <si>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</si>
  <si>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</si>
  <si>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</si>
  <si>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</si>
  <si>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</si>
  <si>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</si>
  <si>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</si>
  <si>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</si>
  <si>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</si>
  <si>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</si>
  <si>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</si>
  <si>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</si>
  <si>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</si>
  <si>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</si>
  <si>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</si>
  <si>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</si>
  <si>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</si>
  <si>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</si>
  <si>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</si>
  <si>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</si>
  <si>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</si>
  <si>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</si>
  <si>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</si>
  <si>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</si>
  <si>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</si>
  <si>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</si>
  <si>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</si>
  <si>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</si>
  <si>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</si>
  <si>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</si>
  <si>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</si>
  <si>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</si>
  <si>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</si>
  <si>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</si>
  <si>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</si>
  <si>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</si>
  <si>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</si>
  <si>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</si>
  <si>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</si>
  <si>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</si>
  <si>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</si>
  <si>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</si>
  <si>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</si>
  <si>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</si>
  <si>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</si>
  <si>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</si>
  <si>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</si>
  <si>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</si>
  <si>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</si>
  <si>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</si>
  <si>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</si>
  <si>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</si>
  <si>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</si>
  <si>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</si>
  <si>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</si>
  <si>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</si>
  <si>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</si>
  <si>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</si>
  <si>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</si>
  <si>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</si>
  <si>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</si>
  <si>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</si>
  <si>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</si>
  <si>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</si>
  <si>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</si>
  <si>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</si>
  <si>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</si>
  <si>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</si>
  <si>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</si>
  <si>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</si>
  <si>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</si>
  <si>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</si>
  <si>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</si>
  <si>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</si>
  <si>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</si>
  <si>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</si>
  <si>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</si>
  <si>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</si>
  <si>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</si>
  <si>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</si>
  <si>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</si>
  <si>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</si>
  <si>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</si>
  <si>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</si>
  <si>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</si>
  <si>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</si>
  <si>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</si>
  <si>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</si>
  <si>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</si>
  <si>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</si>
  <si>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</si>
  <si>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</si>
  <si>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</si>
  <si>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</si>
  <si>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</si>
  <si>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</si>
  <si>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</si>
  <si>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</si>
  <si>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</si>
  <si>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</si>
  <si>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</si>
  <si>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</si>
  <si>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</si>
  <si>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</si>
  <si>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</si>
  <si>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</si>
  <si>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</si>
  <si>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</si>
  <si>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</si>
  <si>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</si>
  <si>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</si>
  <si>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</si>
  <si>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</si>
  <si>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</si>
  <si>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</si>
  <si>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</si>
  <si>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</si>
  <si>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</si>
  <si>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</si>
  <si>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</si>
  <si>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</si>
  <si>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</si>
  <si>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</si>
  <si>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</si>
  <si>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</si>
  <si>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</si>
  <si>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</si>
  <si>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</si>
  <si>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</si>
  <si>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</si>
  <si>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</si>
  <si>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</si>
  <si>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</si>
  <si>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</si>
  <si>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</si>
  <si>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</si>
  <si>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</si>
  <si>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</si>
  <si>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</si>
  <si>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</si>
  <si>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</si>
  <si>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</si>
  <si>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</si>
  <si>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</si>
  <si>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</si>
  <si>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</si>
  <si>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</si>
  <si>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</si>
  <si>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</si>
  <si>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</si>
  <si>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</si>
  <si>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</si>
  <si>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</si>
  <si>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</si>
  <si>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</si>
  <si>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</si>
  <si>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</si>
  <si>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</si>
  <si>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</si>
  <si>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</si>
  <si>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</si>
  <si>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</si>
  <si>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</si>
  <si>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</si>
  <si>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</si>
  <si>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</si>
  <si>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</si>
  <si>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</si>
  <si>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</si>
  <si>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</si>
  <si>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</si>
  <si>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</si>
  <si>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</si>
  <si>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</si>
  <si>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</si>
  <si>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</si>
  <si>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</si>
  <si>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</si>
  <si>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</si>
  <si>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</si>
  <si>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</si>
  <si>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</si>
  <si>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</si>
  <si>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</si>
  <si>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</si>
  <si>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</si>
  <si>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</si>
  <si>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</si>
  <si>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</si>
  <si>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</si>
  <si>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</si>
  <si>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</si>
  <si>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</si>
  <si>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</si>
  <si>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</si>
  <si>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</si>
  <si>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</si>
  <si>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</si>
  <si>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</si>
  <si>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</si>
  <si>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</si>
  <si>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</si>
  <si>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</si>
  <si>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</si>
  <si>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</si>
  <si>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</si>
  <si>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</si>
  <si>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</si>
  <si>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</si>
  <si>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</si>
  <si>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</si>
  <si>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</si>
  <si>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</si>
  <si>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</si>
  <si>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</si>
  <si>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</si>
  <si>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</si>
  <si>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</si>
  <si>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</si>
  <si>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</si>
  <si>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</si>
  <si>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</si>
  <si>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</si>
  <si>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</si>
  <si>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</si>
  <si>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</si>
  <si>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</si>
  <si>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</si>
  <si>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</si>
  <si>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</si>
  <si>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</si>
  <si>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</si>
  <si>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</si>
  <si>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</si>
  <si>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</si>
  <si>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</si>
  <si>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</si>
  <si>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</si>
  <si>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</si>
  <si>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</si>
  <si>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</si>
  <si>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</si>
  <si>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</si>
  <si>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</si>
  <si>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</si>
  <si>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</si>
  <si>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</si>
  <si>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</si>
  <si>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</si>
  <si>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</si>
  <si>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</si>
  <si>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</si>
  <si>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</si>
  <si>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</si>
  <si>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</si>
  <si>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</si>
  <si>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</si>
  <si>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</si>
  <si>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</si>
  <si>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</si>
  <si>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</si>
  <si>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</si>
  <si>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</si>
  <si>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</si>
  <si>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</si>
  <si>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</si>
  <si>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</si>
  <si>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</si>
  <si>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</si>
  <si>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</si>
  <si>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</si>
  <si>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</si>
  <si>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</si>
  <si>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</si>
  <si>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</si>
  <si>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</si>
  <si>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</si>
  <si>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</si>
  <si>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</si>
  <si>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</si>
  <si>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</si>
  <si>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</si>
  <si>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</si>
  <si>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</si>
  <si>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</si>
  <si>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</si>
  <si>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</si>
  <si>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</si>
  <si>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</si>
  <si>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</si>
  <si>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</si>
  <si>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</si>
  <si>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</si>
  <si>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</si>
  <si>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</si>
  <si>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</si>
  <si>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</si>
  <si>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</si>
  <si>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</si>
  <si>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</si>
  <si>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</si>
  <si>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</si>
  <si>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</si>
  <si>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</si>
  <si>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</si>
  <si>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</si>
  <si>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</si>
  <si>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</si>
  <si>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</si>
  <si>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</si>
  <si>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</si>
  <si>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</si>
  <si>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</si>
  <si>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</si>
  <si>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</si>
  <si>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</si>
  <si>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</si>
  <si>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</si>
  <si>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</si>
  <si>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</si>
  <si>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</si>
  <si>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</si>
  <si>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</si>
  <si>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</si>
  <si>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</si>
  <si>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</si>
  <si>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</si>
  <si>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</si>
  <si>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</si>
  <si>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</si>
  <si>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</si>
  <si>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</si>
  <si>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</si>
  <si>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</si>
  <si>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</si>
  <si>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</si>
  <si>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</si>
  <si>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</si>
  <si>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</si>
  <si>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</si>
  <si>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</si>
  <si>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</si>
  <si>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</si>
  <si>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</si>
  <si>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</si>
  <si>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</si>
  <si>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</si>
  <si>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</si>
  <si>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</si>
  <si>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</si>
  <si>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</si>
  <si>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</si>
  <si>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</si>
  <si>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</si>
  <si>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</si>
  <si>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</si>
  <si>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</si>
  <si>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</si>
  <si>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</si>
  <si>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</si>
  <si>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</si>
  <si>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</si>
  <si>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</si>
  <si>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</si>
  <si>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</si>
  <si>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</si>
  <si>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</si>
  <si>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</si>
  <si>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</si>
  <si>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</si>
  <si>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</si>
  <si>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</si>
  <si>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</si>
  <si>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</si>
  <si>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</si>
  <si>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</si>
  <si>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</si>
  <si>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</si>
  <si>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</si>
  <si>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</si>
  <si>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</si>
  <si>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</si>
  <si>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</si>
  <si>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</si>
  <si>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</si>
  <si>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</si>
  <si>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</si>
  <si>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</si>
  <si>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</si>
  <si>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</si>
  <si>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</si>
  <si>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</si>
  <si>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</si>
  <si>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</si>
  <si>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</si>
  <si>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</si>
  <si>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</si>
  <si>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</si>
  <si>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</si>
  <si>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</si>
  <si>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</si>
  <si>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</si>
  <si>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</si>
  <si>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</si>
  <si>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</si>
  <si>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</si>
  <si>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</si>
  <si>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</si>
  <si>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</si>
  <si>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</si>
  <si>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</si>
  <si>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</si>
  <si>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</si>
  <si>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</si>
  <si>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</si>
  <si>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</si>
  <si>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</si>
  <si>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</si>
  <si>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</si>
  <si>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</si>
  <si>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</si>
  <si>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</si>
  <si>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</si>
  <si>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</si>
  <si>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</si>
  <si>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</si>
  <si>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</si>
  <si>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</si>
  <si>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</si>
  <si>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</si>
  <si>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</si>
  <si>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</si>
  <si>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</si>
  <si>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</si>
  <si>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</si>
  <si>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</si>
  <si>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</si>
  <si>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</si>
  <si>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</si>
  <si>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</si>
  <si>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</si>
  <si>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</si>
  <si>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</si>
  <si>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</si>
  <si>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</si>
  <si>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</si>
  <si>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</si>
  <si>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</si>
  <si>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</si>
  <si>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</si>
  <si>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</si>
  <si>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</si>
  <si>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</si>
  <si>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</si>
  <si>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</si>
  <si>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</si>
  <si>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</si>
  <si>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</si>
  <si>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</si>
  <si>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</si>
  <si>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</si>
  <si>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</si>
  <si>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</si>
  <si>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</si>
  <si>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</si>
  <si>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</si>
  <si>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</si>
  <si>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</si>
  <si>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</si>
  <si>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</si>
  <si>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</si>
  <si>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</si>
  <si>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</si>
  <si>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</si>
  <si>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</si>
  <si>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</si>
  <si>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</si>
  <si>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</si>
  <si>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</si>
  <si>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</si>
  <si>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</si>
  <si>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</si>
  <si>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</si>
  <si>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</si>
  <si>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</si>
  <si>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</si>
  <si>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</si>
  <si>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</si>
  <si>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</si>
  <si>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</si>
  <si>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</si>
  <si>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</si>
  <si>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</si>
  <si>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</si>
  <si>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</si>
  <si>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</si>
  <si>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</si>
  <si>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</si>
  <si>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</si>
  <si>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</si>
  <si>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</si>
  <si>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</si>
  <si>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</si>
  <si>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</si>
  <si>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</si>
  <si>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</si>
  <si>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</si>
  <si>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</si>
  <si>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</si>
  <si>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</si>
  <si>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</si>
  <si>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</si>
  <si>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</si>
  <si>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</si>
  <si>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</si>
  <si>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</si>
  <si>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</si>
  <si>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</si>
  <si>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</si>
  <si>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</si>
  <si>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</si>
  <si>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</si>
  <si>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</si>
  <si>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</si>
  <si>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</si>
  <si>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</si>
  <si>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</si>
  <si>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</si>
  <si>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</si>
  <si>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</si>
  <si>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</si>
  <si>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</si>
  <si>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</si>
  <si>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</si>
  <si>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</si>
  <si>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</si>
  <si>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</si>
  <si>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</si>
  <si>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</si>
  <si>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</si>
  <si>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</si>
  <si>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</si>
  <si>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</si>
  <si>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</si>
  <si>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</si>
  <si>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</si>
  <si>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</si>
  <si>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</si>
  <si>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</si>
  <si>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</si>
  <si>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</si>
  <si>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</si>
  <si>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</si>
  <si>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</si>
  <si>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</si>
  <si>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</si>
  <si>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</si>
  <si>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</si>
  <si>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</si>
  <si>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</si>
  <si>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</si>
  <si>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</si>
  <si>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</si>
  <si>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</si>
  <si>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</si>
  <si>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</si>
  <si>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</si>
  <si>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</si>
  <si>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</si>
  <si>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</si>
  <si>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</si>
  <si>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</si>
  <si>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</si>
  <si>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</si>
  <si>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</si>
  <si>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</si>
  <si>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</si>
  <si>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</si>
  <si>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</si>
  <si>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</si>
  <si>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</si>
  <si>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</si>
  <si>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</si>
  <si>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</si>
  <si>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</si>
  <si>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</si>
  <si>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</si>
  <si>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</si>
  <si>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</si>
  <si>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</si>
  <si>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</si>
  <si>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</si>
  <si>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</si>
  <si>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</si>
  <si>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</si>
  <si>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</si>
  <si>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</si>
  <si>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</si>
  <si>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</si>
  <si>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</si>
  <si>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</si>
  <si>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</si>
  <si>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</si>
  <si>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</si>
  <si>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</si>
  <si>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</si>
  <si>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</si>
  <si>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</si>
  <si>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</si>
  <si>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</si>
  <si>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</si>
  <si>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</si>
  <si>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</si>
  <si>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</si>
  <si>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</si>
  <si>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</si>
  <si>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</si>
  <si>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</si>
  <si>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</si>
  <si>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</si>
  <si>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</si>
  <si>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</si>
  <si>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</si>
  <si>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</si>
  <si>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</si>
  <si>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</si>
  <si>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</si>
  <si>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</si>
  <si>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</si>
  <si>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</si>
  <si>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</si>
  <si>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</si>
  <si>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</si>
  <si>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</si>
  <si>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</si>
  <si>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</si>
  <si>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</si>
  <si>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</si>
  <si>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</si>
  <si>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</si>
  <si>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</si>
  <si>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</si>
  <si>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</si>
  <si>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</si>
  <si>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</si>
  <si>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</si>
  <si>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</si>
  <si>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</si>
  <si>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</si>
  <si>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</si>
  <si>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</si>
  <si>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</si>
  <si>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</si>
  <si>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</si>
  <si>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</si>
  <si>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</si>
  <si>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</si>
  <si>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</si>
  <si>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</si>
  <si>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</si>
  <si>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</si>
  <si>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</si>
  <si>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</si>
  <si>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</si>
  <si>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</si>
  <si>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</si>
  <si>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</si>
  <si>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</si>
  <si>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</si>
  <si>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</si>
  <si>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</si>
  <si>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</si>
  <si>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</si>
  <si>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</si>
  <si>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</si>
  <si>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</si>
  <si>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</si>
  <si>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</si>
  <si>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</si>
  <si>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</si>
  <si>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</si>
  <si>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</si>
  <si>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</si>
  <si>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</si>
  <si>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</si>
  <si>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</si>
  <si>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</si>
  <si>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</si>
  <si>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</si>
  <si>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</si>
  <si>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</si>
  <si>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</si>
  <si>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</si>
  <si>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</si>
  <si>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</si>
  <si>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</si>
  <si>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</si>
  <si>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</si>
  <si>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</si>
  <si>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</si>
  <si>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</si>
  <si>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</si>
  <si>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</si>
  <si>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</si>
  <si>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</si>
  <si>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</si>
  <si>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</si>
  <si>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</si>
  <si>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</si>
  <si>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</si>
  <si>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</si>
  <si>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</si>
  <si>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</si>
  <si>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</si>
  <si>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</si>
  <si>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</si>
  <si>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</si>
  <si>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</si>
  <si>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</si>
  <si>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</si>
  <si>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</si>
  <si>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</si>
  <si>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</si>
  <si>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</si>
  <si>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</si>
  <si>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</si>
  <si>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</si>
  <si>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</si>
  <si>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</si>
  <si>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</si>
  <si>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</si>
  <si>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</si>
  <si>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</si>
  <si>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</si>
  <si>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</si>
  <si>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</si>
  <si>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</si>
  <si>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</si>
  <si>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</si>
  <si>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</si>
  <si>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</si>
  <si>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</si>
  <si>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</si>
  <si>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</si>
  <si>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</si>
  <si>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</si>
  <si>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</si>
  <si>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</si>
  <si>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</si>
  <si>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</si>
  <si>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</si>
  <si>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</si>
  <si>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</si>
  <si>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</si>
  <si>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</si>
  <si>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</si>
  <si>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</si>
  <si>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</si>
  <si>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</si>
  <si>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</si>
  <si>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</si>
  <si>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</si>
  <si>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</si>
  <si>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</si>
  <si>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</si>
  <si>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</si>
  <si>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</si>
  <si>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</si>
  <si>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</si>
  <si>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</si>
  <si>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</si>
  <si>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</si>
  <si>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</si>
  <si>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</si>
  <si>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</si>
  <si>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</si>
  <si>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</si>
  <si>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</si>
  <si>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</si>
  <si>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</si>
  <si>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</si>
  <si>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</si>
  <si>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</si>
  <si>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</si>
  <si>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</si>
  <si>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</si>
  <si>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</si>
  <si>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</si>
  <si>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</si>
  <si>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</si>
  <si>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</si>
  <si>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</si>
  <si>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</si>
  <si>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</si>
  <si>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</si>
  <si>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</si>
  <si>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</si>
  <si>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</si>
  <si>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</si>
  <si>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</si>
  <si>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</si>
  <si>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</si>
  <si>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</si>
  <si>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</si>
  <si>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</si>
  <si>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</si>
  <si>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</si>
  <si>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</si>
  <si>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</si>
  <si>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</si>
  <si>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</si>
  <si>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</si>
  <si>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</si>
  <si>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</si>
  <si>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</si>
  <si>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</si>
  <si>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</si>
  <si>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</si>
  <si>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</si>
  <si>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</si>
  <si>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</si>
  <si>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</si>
  <si>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</si>
  <si>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</si>
  <si>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</si>
  <si>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</si>
  <si>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</si>
  <si>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</si>
  <si>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</si>
  <si>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</si>
  <si>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</si>
  <si>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</si>
  <si>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</si>
  <si>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</si>
  <si>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</si>
  <si>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</si>
  <si>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</si>
  <si>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</si>
  <si>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</si>
  <si>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</si>
  <si>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</si>
  <si>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</si>
  <si>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</si>
  <si>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</si>
  <si>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</si>
  <si>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</si>
  <si>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</si>
  <si>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</si>
  <si>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</si>
  <si>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</si>
  <si>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</si>
  <si>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</si>
  <si>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</si>
  <si>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</si>
  <si>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</si>
  <si>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</si>
  <si>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</si>
  <si>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</si>
  <si>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</si>
  <si>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</si>
  <si>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</si>
  <si>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</si>
  <si>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</si>
  <si>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</si>
  <si>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</si>
  <si>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</si>
  <si>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</si>
  <si>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</si>
  <si>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</si>
  <si>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</si>
  <si>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</si>
  <si>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</si>
  <si>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</si>
  <si>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</si>
  <si>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</si>
  <si>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</si>
  <si>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</si>
  <si>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</si>
  <si>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</si>
  <si>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</si>
  <si>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</si>
  <si>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</si>
  <si>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</si>
  <si>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</si>
  <si>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</si>
  <si>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</si>
  <si>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</si>
  <si>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</si>
  <si>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</si>
  <si>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</si>
  <si>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</si>
  <si>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</si>
  <si>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</si>
  <si>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</si>
  <si>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</si>
  <si>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</si>
  <si>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</si>
  <si>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</si>
  <si>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</si>
  <si>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</si>
  <si>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</si>
  <si>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</si>
  <si>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</si>
  <si>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</si>
  <si>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</si>
  <si>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</si>
  <si>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</si>
  <si>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</si>
  <si>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</si>
  <si>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</si>
  <si>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</si>
  <si>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</si>
  <si>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</si>
  <si>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</si>
  <si>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</si>
  <si>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</si>
  <si>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</si>
  <si>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</si>
  <si>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</si>
  <si>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</si>
  <si>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</si>
  <si>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</si>
  <si>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</si>
  <si>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</si>
  <si>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</si>
  <si>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</si>
  <si>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</si>
  <si>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</si>
  <si>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</si>
  <si>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</si>
  <si>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</si>
  <si>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</si>
  <si>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</si>
  <si>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</si>
  <si>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</si>
  <si>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</si>
  <si>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</si>
  <si>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</si>
  <si>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</si>
  <si>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</si>
  <si>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</si>
  <si>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</si>
  <si>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</si>
  <si>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</si>
  <si>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</si>
  <si>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</si>
  <si>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</si>
  <si>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</si>
  <si>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</si>
  <si>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</si>
  <si>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</si>
  <si>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</si>
  <si>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</si>
  <si>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</si>
  <si>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</si>
  <si>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</si>
  <si>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</si>
  <si>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</si>
  <si>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</si>
  <si>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</si>
  <si>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</si>
  <si>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</si>
  <si>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</si>
  <si>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</si>
  <si>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</si>
  <si>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</si>
  <si>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</si>
  <si>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</si>
  <si>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</si>
  <si>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</si>
  <si>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</si>
  <si>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</si>
  <si>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</si>
  <si>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</si>
  <si>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</si>
  <si>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</si>
  <si>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</si>
  <si>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</si>
  <si>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</si>
  <si>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</si>
  <si>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</si>
  <si>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</si>
  <si>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</si>
  <si>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</si>
  <si>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</si>
  <si>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</si>
  <si>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</si>
  <si>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</si>
  <si>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</si>
  <si>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</si>
  <si>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</si>
  <si>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</si>
  <si>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</si>
  <si>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</si>
  <si>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</si>
  <si>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</si>
  <si>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</si>
  <si>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</si>
  <si>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</si>
  <si>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</si>
  <si>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</si>
  <si>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</si>
  <si>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</si>
  <si>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</si>
  <si>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</si>
  <si>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</si>
  <si>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</si>
  <si>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</si>
  <si>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</si>
  <si>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</si>
  <si>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</si>
  <si>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</si>
  <si>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</si>
  <si>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</si>
  <si>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</si>
  <si>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</si>
  <si>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</si>
  <si>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</si>
  <si>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</si>
  <si>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</si>
  <si>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</si>
  <si>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</si>
  <si>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</si>
  <si>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</si>
  <si>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</si>
  <si>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</si>
  <si>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</si>
  <si>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</si>
  <si>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</si>
  <si>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</si>
  <si>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</si>
  <si>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</si>
  <si>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</si>
  <si>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</si>
  <si>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</si>
  <si>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</si>
  <si>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</si>
  <si>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</si>
  <si>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</si>
  <si>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</si>
  <si>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</si>
  <si>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</si>
  <si>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</si>
  <si>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</si>
  <si>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</si>
  <si>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</si>
  <si>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</si>
  <si>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</si>
  <si>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</si>
  <si>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</si>
  <si>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</si>
  <si>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</si>
  <si>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</si>
  <si>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</si>
  <si>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</si>
  <si>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</si>
  <si>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</si>
  <si>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</si>
  <si>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</si>
  <si>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</si>
  <si>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</si>
  <si>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</si>
  <si>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</si>
  <si>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</si>
  <si>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</si>
  <si>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</si>
  <si>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</si>
  <si>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</si>
  <si>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</si>
  <si>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</si>
  <si>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</si>
  <si>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</si>
  <si>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</si>
  <si>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</si>
  <si>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</si>
  <si>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</si>
  <si>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</si>
  <si>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</si>
  <si>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</si>
  <si>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</si>
  <si>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</si>
  <si>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</si>
  <si>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</si>
  <si>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</si>
  <si>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</si>
  <si>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</si>
  <si>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</si>
  <si>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</si>
  <si>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</si>
  <si>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</si>
  <si>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</si>
  <si>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</si>
  <si>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</si>
  <si>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</si>
  <si>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</si>
  <si>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</si>
  <si>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</si>
  <si>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</si>
  <si>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</si>
  <si>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</si>
  <si>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</si>
  <si>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</si>
  <si>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</si>
  <si>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</si>
  <si>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</si>
  <si>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</si>
  <si>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</si>
  <si>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</si>
  <si>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</si>
  <si>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</si>
  <si>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</si>
  <si>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</si>
  <si>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</si>
  <si>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</si>
  <si>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</si>
  <si>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</si>
  <si>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</si>
  <si>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</si>
  <si>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</si>
  <si>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</si>
  <si>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</si>
  <si>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</si>
  <si>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</si>
  <si>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</si>
  <si>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</si>
  <si>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</si>
  <si>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</si>
  <si>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</si>
  <si>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</si>
  <si>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</si>
  <si>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</si>
  <si>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</si>
  <si>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</si>
  <si>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</si>
  <si>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</si>
  <si>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</si>
  <si>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</si>
  <si>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</si>
  <si>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</si>
  <si>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</si>
  <si>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</si>
  <si>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</si>
  <si>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</si>
  <si>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</si>
  <si>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</si>
  <si>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</si>
  <si>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</si>
  <si>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</si>
  <si>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</si>
  <si>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</si>
  <si>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</si>
  <si>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</si>
  <si>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</si>
  <si>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</si>
  <si>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</si>
  <si>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</si>
  <si>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</si>
  <si>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</si>
  <si>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</si>
  <si>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</si>
  <si>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</si>
  <si>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</si>
  <si>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</si>
  <si>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</si>
  <si>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</si>
  <si>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</si>
  <si>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</si>
  <si>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</si>
  <si>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</si>
  <si>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</si>
  <si>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</si>
  <si>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</si>
  <si>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</si>
  <si>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</si>
  <si>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</si>
  <si>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</si>
  <si>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</si>
  <si>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</si>
  <si>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</si>
  <si>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</si>
  <si>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</si>
  <si>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</si>
  <si>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</si>
  <si>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</si>
  <si>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</si>
  <si>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</si>
  <si>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</si>
  <si>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</si>
  <si>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</si>
  <si>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</si>
  <si>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</si>
  <si>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</si>
  <si>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</si>
  <si>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</si>
  <si>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</si>
  <si>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</si>
  <si>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</si>
  <si>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</si>
  <si>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</si>
  <si>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</si>
  <si>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</si>
  <si>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</si>
  <si>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</si>
  <si>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</si>
  <si>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</si>
  <si>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</si>
  <si>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</si>
  <si>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</si>
  <si>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</si>
  <si>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</si>
  <si>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</si>
  <si>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</si>
  <si>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</si>
  <si>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</si>
  <si>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</si>
  <si>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</si>
  <si>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</si>
  <si>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</si>
  <si>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</si>
  <si>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</si>
  <si>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</si>
  <si>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</si>
  <si>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</si>
  <si>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</si>
  <si>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</si>
  <si>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</si>
  <si>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</si>
  <si>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</si>
  <si>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</si>
  <si>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</si>
  <si>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</si>
  <si>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</si>
  <si>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</si>
  <si>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</si>
  <si>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</si>
  <si>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</si>
  <si>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</si>
  <si>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</si>
  <si>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</si>
  <si>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</si>
  <si>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</si>
  <si>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</si>
  <si>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</si>
  <si>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</si>
  <si>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</si>
  <si>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</si>
  <si>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</si>
  <si>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</si>
  <si>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</si>
  <si>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</si>
  <si>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</si>
  <si>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</si>
  <si>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</si>
  <si>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</si>
  <si>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</si>
  <si>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</si>
  <si>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</si>
  <si>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</si>
  <si>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</si>
  <si>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</si>
  <si>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</si>
  <si>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</si>
  <si>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</si>
  <si>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</si>
  <si>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</si>
  <si>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</si>
  <si>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</si>
  <si>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</si>
  <si>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</si>
  <si>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</si>
  <si>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</si>
  <si>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</si>
  <si>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</si>
  <si>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</si>
  <si>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</si>
  <si>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</si>
  <si>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</si>
  <si>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</si>
  <si>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</si>
  <si>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</si>
  <si>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</si>
  <si>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</si>
  <si>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</si>
  <si>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</si>
  <si>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</si>
  <si>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</si>
  <si>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</si>
  <si>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</si>
  <si>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</si>
  <si>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</si>
  <si>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</si>
  <si>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</si>
  <si>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</si>
  <si>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</si>
  <si>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</si>
  <si>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</si>
  <si>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</si>
  <si>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</si>
  <si>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</si>
  <si>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</si>
  <si>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</si>
  <si>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</si>
  <si>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</si>
  <si>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</si>
  <si>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</si>
  <si>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</si>
  <si>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</si>
  <si>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</si>
  <si>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</si>
  <si>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</si>
  <si>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</si>
  <si>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</si>
  <si>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</si>
  <si>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</si>
  <si>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</si>
  <si>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</si>
  <si>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</si>
  <si>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</si>
  <si>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</si>
  <si>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</si>
  <si>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</si>
  <si>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</si>
  <si>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</si>
  <si>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</si>
  <si>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</si>
  <si>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</si>
  <si>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</si>
  <si>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</si>
  <si>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</si>
  <si>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</si>
  <si>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</si>
  <si>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</si>
  <si>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</si>
  <si>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</si>
  <si>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</si>
  <si>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</si>
  <si>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</si>
  <si>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</si>
  <si>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</si>
  <si>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</si>
  <si>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</si>
  <si>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</si>
  <si>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</si>
  <si>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</si>
  <si>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</si>
  <si>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</si>
  <si>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</si>
  <si>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</si>
  <si>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</si>
  <si>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</si>
  <si>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</si>
  <si>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</si>
  <si>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</si>
  <si>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</si>
  <si>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</si>
  <si>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</si>
  <si>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</si>
  <si>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</si>
  <si>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</si>
  <si>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</si>
  <si>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</si>
  <si>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</si>
  <si>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</si>
  <si>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</si>
  <si>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</si>
  <si>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</si>
  <si>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</si>
  <si>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</si>
  <si>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</si>
  <si>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</si>
  <si>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</si>
  <si>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</si>
  <si>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</si>
  <si>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</si>
  <si>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</si>
  <si>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</si>
  <si>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</si>
  <si>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</si>
  <si>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</si>
  <si>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</si>
  <si>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</si>
  <si>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</si>
  <si>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</si>
  <si>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</si>
  <si>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</si>
  <si>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</si>
  <si>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</si>
  <si>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</si>
  <si>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</si>
  <si>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</si>
  <si>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</si>
  <si>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</si>
  <si>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</si>
  <si>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</si>
  <si>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</si>
  <si>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</si>
  <si>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</si>
  <si>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</si>
  <si>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</si>
  <si>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</si>
  <si>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</si>
  <si>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</si>
  <si>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</si>
  <si>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</si>
  <si>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</si>
  <si>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</si>
  <si>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</si>
  <si>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</si>
  <si>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</si>
  <si>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</si>
  <si>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</si>
  <si>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</si>
  <si>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</si>
  <si>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</si>
  <si>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</si>
  <si>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</si>
  <si>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</si>
  <si>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</si>
  <si>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</si>
  <si>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</si>
  <si>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</si>
  <si>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</si>
  <si>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</si>
  <si>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</si>
  <si>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</si>
  <si>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</si>
  <si>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</si>
  <si>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</si>
  <si>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</si>
  <si>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</si>
  <si>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</si>
  <si>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</si>
  <si>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</si>
  <si>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</si>
  <si>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</si>
  <si>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</si>
  <si>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</si>
  <si>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</si>
  <si>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</si>
  <si>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</si>
  <si>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</si>
  <si>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</si>
  <si>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</si>
  <si>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</si>
  <si>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</si>
  <si>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</si>
  <si>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</si>
  <si>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</si>
  <si>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</si>
  <si>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</si>
  <si>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</si>
  <si>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</si>
  <si>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</si>
  <si>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</si>
  <si>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</si>
  <si>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</si>
  <si>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</si>
  <si>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</si>
  <si>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</si>
  <si>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</si>
  <si>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</si>
  <si>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</si>
  <si>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</si>
  <si>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</si>
  <si>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</si>
  <si>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</si>
  <si>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</si>
  <si>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</si>
  <si>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</si>
  <si>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</si>
  <si>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</si>
  <si>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</si>
  <si>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</si>
  <si>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</si>
  <si>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</si>
  <si>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</si>
  <si>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</si>
  <si>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</si>
  <si>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</si>
  <si>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</si>
  <si>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</si>
  <si>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</si>
  <si>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</si>
  <si>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</si>
  <si>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</si>
  <si>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</si>
  <si>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</si>
  <si>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</si>
  <si>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</si>
  <si>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</si>
  <si>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</si>
  <si>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</si>
  <si>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</si>
  <si>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</si>
  <si>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</si>
  <si>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</si>
  <si>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</si>
  <si>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</si>
  <si>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</si>
  <si>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</si>
  <si>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</si>
  <si>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</si>
  <si>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</si>
  <si>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</si>
  <si>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</si>
  <si>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</si>
  <si>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</si>
  <si>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</si>
  <si>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</si>
  <si>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</si>
  <si>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</si>
  <si>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</si>
  <si>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</si>
  <si>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</si>
  <si>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</si>
  <si>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</si>
  <si>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</si>
  <si>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</si>
  <si>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</si>
  <si>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</si>
  <si>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</si>
  <si>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</si>
  <si>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</si>
  <si>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</si>
  <si>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</si>
  <si>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</si>
  <si>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</si>
  <si>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</si>
  <si>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</si>
  <si>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</si>
  <si>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</si>
  <si>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</si>
  <si>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</si>
  <si>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</si>
  <si>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</si>
  <si>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</si>
  <si>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</si>
  <si>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</si>
  <si>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</si>
  <si>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</si>
  <si>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</si>
  <si>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</si>
  <si>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</si>
  <si>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</si>
  <si>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</si>
  <si>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</si>
  <si>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</si>
  <si>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</si>
  <si>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</si>
  <si>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</si>
  <si>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</si>
  <si>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</si>
  <si>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</si>
  <si>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</si>
  <si>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</si>
  <si>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</si>
  <si>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</si>
  <si>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</si>
  <si>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</si>
  <si>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</si>
  <si>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</si>
  <si>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</si>
  <si>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</si>
  <si>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</si>
  <si>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</si>
  <si>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</si>
  <si>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</si>
  <si>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</si>
  <si>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</si>
  <si>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</si>
  <si>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</si>
  <si>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</si>
  <si>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</si>
  <si>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</si>
  <si>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</si>
  <si>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</si>
  <si>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</si>
  <si>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</si>
  <si>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</si>
  <si>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</si>
  <si>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</si>
  <si>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</si>
  <si>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</si>
  <si>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</si>
  <si>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</si>
  <si>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</si>
  <si>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</si>
  <si>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</si>
  <si>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</si>
  <si>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</si>
  <si>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</si>
  <si>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</si>
  <si>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</si>
  <si>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</si>
  <si>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</si>
  <si>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</si>
  <si>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</si>
  <si>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</si>
  <si>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</si>
  <si>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</si>
  <si>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</si>
  <si>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</si>
  <si>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</si>
  <si>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</si>
  <si>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</si>
  <si>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</si>
  <si>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</si>
  <si>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</si>
  <si>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</si>
  <si>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</si>
  <si>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</si>
  <si>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</si>
  <si>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</si>
  <si>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</si>
  <si>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</si>
  <si>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</si>
  <si>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</si>
  <si>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</si>
  <si>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</si>
  <si>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</si>
  <si>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</si>
  <si>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</si>
  <si>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</si>
  <si>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</si>
  <si>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</si>
  <si>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</si>
  <si>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</si>
  <si>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</si>
  <si>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</si>
  <si>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</si>
  <si>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</si>
  <si>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</si>
  <si>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</si>
  <si>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</si>
  <si>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</si>
  <si>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</si>
  <si>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</si>
  <si>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</si>
  <si>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</si>
  <si>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</si>
  <si>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</si>
  <si>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</si>
  <si>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</si>
  <si>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</si>
  <si>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</si>
  <si>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</si>
  <si>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</si>
  <si>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</si>
  <si>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</si>
  <si>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</si>
  <si>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</si>
  <si>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</si>
  <si>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</si>
  <si>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</si>
  <si>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</si>
  <si>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</si>
  <si>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</si>
  <si>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</si>
  <si>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</si>
  <si>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</si>
  <si>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</si>
  <si>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</si>
  <si>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</si>
  <si>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</si>
  <si>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</si>
  <si>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</si>
  <si>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</si>
  <si>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</si>
  <si>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</si>
  <si>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</si>
  <si>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</si>
  <si>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</si>
  <si>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</si>
  <si>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</si>
  <si>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</si>
  <si>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</si>
  <si>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</si>
  <si>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</si>
  <si>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</si>
  <si>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</si>
  <si>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</si>
  <si>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</si>
  <si>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</si>
  <si>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</si>
  <si>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</si>
  <si>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</si>
  <si>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</si>
  <si>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</si>
  <si>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</si>
  <si>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</si>
  <si>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</si>
  <si>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</si>
  <si>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</si>
  <si>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</si>
  <si>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</si>
  <si>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</si>
  <si>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</si>
  <si>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</si>
  <si>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</si>
  <si>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</si>
  <si>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</si>
  <si>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</si>
  <si>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</si>
  <si>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</si>
  <si>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</si>
  <si>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</si>
  <si>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</si>
  <si>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</si>
  <si>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</si>
  <si>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</si>
  <si>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</si>
  <si>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</si>
  <si>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</si>
  <si>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</si>
  <si>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</si>
  <si>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</si>
  <si>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</si>
  <si>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</si>
  <si>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</si>
  <si>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</si>
  <si>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</si>
  <si>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</si>
  <si>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</si>
  <si>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</si>
  <si>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</si>
  <si>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</si>
  <si>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</si>
  <si>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</si>
  <si>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</si>
  <si>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</si>
  <si>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</si>
  <si>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</si>
  <si>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</si>
  <si>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</si>
  <si>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</si>
  <si>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</si>
  <si>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</si>
  <si>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</si>
  <si>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</si>
  <si>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</si>
  <si>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</si>
  <si>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</si>
  <si>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</si>
  <si>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</si>
  <si>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</si>
  <si>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</si>
  <si>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</si>
  <si>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</si>
  <si>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</si>
  <si>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</si>
  <si>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</si>
  <si>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</si>
  <si>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</si>
  <si>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</si>
  <si>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</si>
  <si>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</si>
  <si>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</si>
  <si>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</si>
  <si>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</si>
  <si>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</si>
  <si>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</si>
  <si>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</si>
  <si>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</si>
  <si>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</si>
  <si>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</si>
  <si>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</si>
  <si>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</si>
  <si>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</si>
  <si>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</si>
  <si>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</si>
  <si>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</si>
  <si>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</si>
  <si>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</si>
  <si>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</si>
  <si>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</si>
  <si>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</si>
  <si>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</si>
  <si>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</si>
  <si>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</si>
  <si>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</si>
  <si>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</si>
  <si>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</si>
  <si>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</si>
  <si>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</si>
  <si>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</si>
  <si>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</si>
  <si>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</si>
  <si>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</si>
  <si>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</si>
  <si>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</si>
  <si>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</si>
  <si>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</si>
  <si>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</si>
  <si>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</si>
  <si>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</si>
  <si>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</si>
  <si>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</si>
  <si>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</si>
  <si>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</si>
  <si>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</si>
  <si>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</si>
  <si>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</si>
  <si>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</si>
  <si>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</si>
  <si>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</si>
  <si>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</si>
  <si>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</si>
  <si>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</si>
  <si>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</si>
  <si>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</si>
  <si>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</si>
  <si>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</si>
  <si>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</si>
  <si>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</si>
  <si>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</si>
  <si>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</si>
  <si>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</si>
  <si>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</si>
  <si>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</si>
  <si>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</si>
  <si>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</si>
  <si>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</si>
  <si>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</si>
  <si>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</si>
  <si>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</si>
  <si>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</si>
  <si>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</si>
  <si>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</si>
  <si>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</si>
  <si>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</si>
  <si>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</si>
  <si>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</si>
  <si>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next_subsidized_reg_amort_amount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</si>
  <si>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</si>
  <si>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</si>
  <si>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</si>
  <si>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</si>
  <si>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</si>
  <si>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</si>
  <si>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</si>
  <si>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</si>
  <si>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</si>
  <si>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</si>
  <si>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</si>
  <si>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</si>
  <si>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</si>
  <si>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</si>
  <si>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</si>
  <si>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</si>
  <si>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</si>
  <si>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</si>
  <si>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</si>
  <si>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</si>
  <si>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</si>
  <si>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</si>
  <si>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</si>
  <si>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</si>
  <si>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</si>
  <si>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</si>
  <si>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</si>
  <si>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</si>
  <si>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</si>
  <si>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</si>
  <si>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</si>
  <si>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</si>
  <si>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</si>
  <si>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</si>
  <si>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</si>
  <si>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</si>
  <si>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</si>
  <si>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</si>
  <si>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</si>
  <si>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</si>
  <si>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</si>
  <si>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</si>
  <si>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</si>
  <si>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</si>
  <si>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</si>
  <si>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</si>
  <si>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</si>
  <si>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</si>
  <si>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</si>
  <si>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</si>
  <si>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</si>
  <si>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</si>
  <si>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</si>
  <si>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</si>
  <si>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</si>
  <si>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</si>
  <si>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</si>
  <si>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</si>
  <si>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</si>
  <si>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</si>
  <si>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</si>
  <si>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</si>
  <si>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</si>
  <si>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</si>
  <si>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</si>
  <si>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</si>
  <si>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</si>
  <si>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</si>
  <si>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</si>
  <si>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</si>
  <si>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</si>
  <si>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</si>
  <si>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</si>
  <si>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</si>
  <si>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</si>
  <si>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</si>
  <si>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</si>
  <si>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</si>
  <si>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</si>
  <si>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</si>
  <si>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</si>
  <si>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</si>
  <si>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</si>
  <si>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</si>
  <si>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</si>
  <si>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</si>
  <si>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</si>
  <si>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</si>
  <si>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</si>
  <si>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</si>
  <si>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</si>
  <si>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</si>
  <si>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</si>
  <si>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</si>
  <si>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</si>
  <si>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</si>
  <si>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</si>
  <si>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</si>
  <si>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</si>
  <si>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</si>
  <si>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</si>
  <si>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</si>
  <si>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</si>
  <si>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</si>
  <si>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</si>
  <si>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</si>
  <si>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</si>
  <si>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</si>
  <si>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</si>
  <si>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</si>
  <si>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</si>
  <si>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</si>
  <si>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</si>
  <si>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</si>
  <si>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</si>
  <si>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</si>
  <si>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</si>
  <si>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</si>
  <si>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</si>
  <si>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</si>
  <si>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</si>
  <si>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</si>
  <si>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</si>
  <si>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</si>
  <si>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</si>
  <si>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</si>
  <si>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</si>
  <si>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</si>
  <si>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</si>
  <si>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</si>
  <si>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</si>
  <si>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</si>
  <si>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</si>
  <si>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</si>
  <si>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</si>
  <si>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</si>
  <si>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</si>
  <si>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</si>
  <si>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</si>
  <si>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</si>
  <si>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</si>
  <si>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</si>
  <si>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</si>
  <si>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</si>
  <si>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</si>
  <si>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</si>
  <si>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</si>
  <si>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</si>
  <si>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</si>
  <si>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</si>
  <si>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</si>
  <si>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</si>
  <si>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</si>
  <si>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</si>
  <si>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</si>
  <si>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</si>
  <si>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</si>
  <si>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</si>
  <si>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</si>
  <si>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</si>
  <si>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</si>
  <si>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</si>
  <si>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</si>
  <si>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</si>
  <si>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</si>
  <si>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</si>
  <si>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</si>
  <si>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</si>
  <si>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</si>
  <si>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</si>
  <si>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</si>
  <si>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</si>
  <si>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</si>
  <si>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</si>
  <si>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</si>
  <si>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</si>
  <si>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</si>
  <si>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</si>
  <si>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</si>
  <si>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</si>
  <si>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</si>
  <si>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</si>
  <si>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</si>
  <si>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</si>
  <si>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</si>
  <si>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</si>
  <si>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</si>
  <si>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</si>
  <si>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</si>
  <si>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</si>
  <si>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</si>
  <si>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</si>
  <si>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</si>
  <si>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</si>
  <si>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</si>
  <si>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</si>
  <si>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</si>
  <si>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</si>
  <si>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</si>
  <si>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</si>
  <si>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</si>
  <si>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</si>
  <si>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</si>
  <si>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</si>
  <si>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</si>
  <si>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</si>
  <si>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</si>
  <si>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</si>
  <si>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</si>
  <si>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</si>
  <si>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</si>
  <si>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</si>
  <si>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</si>
  <si>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</si>
  <si>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</si>
  <si>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</si>
  <si>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</si>
  <si>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</si>
  <si>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</si>
  <si>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</si>
  <si>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</si>
  <si>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</si>
  <si>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</si>
  <si>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</si>
  <si>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</si>
  <si>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</si>
  <si>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</si>
  <si>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</si>
  <si>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</si>
  <si>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</si>
  <si>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</si>
  <si>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</si>
  <si>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</si>
  <si>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</si>
  <si>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</si>
  <si>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</si>
  <si>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</si>
  <si>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</si>
  <si>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</si>
  <si>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</si>
  <si>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</si>
  <si>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</si>
  <si>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</si>
  <si>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</si>
  <si>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</si>
  <si>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</si>
  <si>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</si>
  <si>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</si>
  <si>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</si>
  <si>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</si>
  <si>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</si>
  <si>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</si>
  <si>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</si>
  <si>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</si>
  <si>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</si>
  <si>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</si>
  <si>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</si>
  <si>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</si>
  <si>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</si>
  <si>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</si>
  <si>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</si>
  <si>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</si>
  <si>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</si>
  <si>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</si>
  <si>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</si>
  <si>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</si>
  <si>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</si>
  <si>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</si>
  <si>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</si>
  <si>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</si>
  <si>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</si>
  <si>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</si>
  <si>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</si>
  <si>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</si>
  <si>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</si>
  <si>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</si>
  <si>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</si>
  <si>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</si>
  <si>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</si>
  <si>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</si>
  <si>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</si>
  <si>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</si>
  <si>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</si>
  <si>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</si>
  <si>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</si>
  <si>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</si>
  <si>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</si>
  <si>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</si>
  <si>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</si>
  <si>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</si>
  <si>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</si>
  <si>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</si>
  <si>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</si>
  <si>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</si>
  <si>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</si>
  <si>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</si>
  <si>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</si>
  <si>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</si>
  <si>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</si>
  <si>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</si>
  <si>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</si>
  <si>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</si>
  <si>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</si>
  <si>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</si>
  <si>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</si>
  <si>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</si>
  <si>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</si>
  <si>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</si>
  <si>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</si>
  <si>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</si>
  <si>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</si>
  <si>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</si>
  <si>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</si>
  <si>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</si>
  <si>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</si>
  <si>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</si>
  <si>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</si>
  <si>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</si>
  <si>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</si>
  <si>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</si>
  <si>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</si>
  <si>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</si>
  <si>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</si>
  <si>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</si>
  <si>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</si>
  <si>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</si>
  <si>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</si>
  <si>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</si>
  <si>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</si>
  <si>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</si>
  <si>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</si>
  <si>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</si>
  <si>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</si>
  <si>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</si>
  <si>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</si>
  <si>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</si>
  <si>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</si>
  <si>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</si>
  <si>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</si>
  <si>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</si>
  <si>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</si>
  <si>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</si>
  <si>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</si>
  <si>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</si>
  <si>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</si>
  <si>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</si>
  <si>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</si>
  <si>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</si>
  <si>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</si>
  <si>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</si>
  <si>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</si>
  <si>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</si>
  <si>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</si>
  <si>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</si>
  <si>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</si>
  <si>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</si>
  <si>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</si>
  <si>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</si>
  <si>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</si>
  <si>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</si>
  <si>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</si>
  <si>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</si>
  <si>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</si>
  <si>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</si>
  <si>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</si>
  <si>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</si>
  <si>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</si>
  <si>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</si>
  <si>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</si>
  <si>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</si>
  <si>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</si>
  <si>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</si>
  <si>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</si>
  <si>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</si>
  <si>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</si>
  <si>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</si>
  <si>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</si>
  <si>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</si>
  <si>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</si>
  <si>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</si>
  <si>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</si>
  <si>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</si>
  <si>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</si>
  <si>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</si>
  <si>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</si>
  <si>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</si>
  <si>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</si>
  <si>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</si>
  <si>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</si>
  <si>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</si>
  <si>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</si>
  <si>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</si>
  <si>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</si>
  <si>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</si>
  <si>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</si>
  <si>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</si>
  <si>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</si>
  <si>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</si>
  <si>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</si>
  <si>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</si>
  <si>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</si>
  <si>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</si>
  <si>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</si>
  <si>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</si>
  <si>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</si>
  <si>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</si>
  <si>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</si>
  <si>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</si>
  <si>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</si>
  <si>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</si>
  <si>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</si>
  <si>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</si>
  <si>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</si>
  <si>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</si>
  <si>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</si>
  <si>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</si>
  <si>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</si>
  <si>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</si>
  <si>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</si>
  <si>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</si>
  <si>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</si>
  <si>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</si>
  <si>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</si>
  <si>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</si>
  <si>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</si>
  <si>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</si>
  <si>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</si>
  <si>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</si>
  <si>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 (INIT).MONTADI AS DECIMAL(23, 6))
END
WHERE EST78_REMEXP.ZSEQREM = '999' AND EST78_REMEXP (INIT).ZSEQREM = '001'
SELECT IF(EST85_CREIMP (INIT).CKREFEST IS NOT NULL,
      CAST(EST85_CREIMP (INIT).MONTAB AS DECIMAL(23, 6)),
      CAST(EST85_CREIMP.MONTCRE AS DECIMAL(23, 6)) 
    )
WHERE EST85_CREIMP.ZSEQREM = '999' AND EST85_CREIMP (INIT).ZSEQCRE = '001'
SELECT IF(EST85_CREIMP (INIT).CKREFEST IS NOT NULL,
      CAST(EST85_CREIMP (INIT).MONTAB AS DECIMAL(23, 6)),
      CAST(EST85_CREIMP.MONTAB AS DECIMAL(23, 6)) 
    )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</si>
  <si>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</si>
  <si>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</si>
  <si>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</si>
  <si>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</si>
  <si>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</si>
  <si>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</si>
  <si>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</si>
  <si>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</si>
  <si>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</si>
  <si>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</si>
  <si>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</si>
  <si>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</si>
  <si>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</si>
  <si>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</si>
  <si>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</si>
  <si>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</si>
  <si>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t xml:space="preserve">SELECT CAST(0 AS DECIMAL(23, 6))
WHERE MAX(EST54_REMIMP.ESYD54C0_ZSEQMOV) GROUP BY EST54_REMIMP.ESYD54C0_CKREFEST
SELECT CASE
      WHEN EST78_REMEXP.CKPRODUT = '035' AND EST78_REMEXP.CKSUBPRO IN ('001', 'K01') THEN CAST(0 AS DECIMAL(23, 6))
      WHEN EST78_REMEXP.CKPRODUT = '035' AND EST78_REMEXP.CKSUBPRO IN ('003', '005', '006') THEN CAST(EST78_REMEXP.MONTADAB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</si>
  <si>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</si>
  <si>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</si>
  <si>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</si>
  <si>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</si>
  <si>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</si>
  <si>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</si>
  <si>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</si>
  <si>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</si>
  <si>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</si>
  <si>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</si>
  <si>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</si>
  <si>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</si>
  <si>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SELECT CAST(EST54_REMIMP.ESYD54C0_MONTAB AS DECIMAL(23, 6))
WHERE MAX(EST54_REMIMP.ESYD54C0_ZSEQMOV) GROUP BY EST54_REMIMP.ESYD54C0_CKREFEST
SELECT CASE
        WHEN EST78_REMEXP.ckprodut = '035' AND EST78_REMEXP.cksubpro IN ('001', 'K01', '003') THEN CAST(EST78_REMEXP.montabe AS DECIMAL(23, 6))
        WHEN EST78_REMEXP.ckprodut = '035' AND EST78_REMEXP.cksubpro IN ( '005',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</si>
  <si>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SELECT CAST(EST54_REMIMP.ESYD54C0_MONTABE  / CBT02_CAMBIOS.TCMBME AS DECIMAL(23, 6))
WHERE MAX(EST54_REMIMP.ESYD54C0_ZSEQMOV) GROUP BY EST54_REMIMP.ESYD54C0_CKREFEST
SELECT CASE
        WHEN EST78_REMEXP.ckprodut = '035' AND EST78_REMEXP.cksubpro = '001' THEN CAST(EST78_REMEXP.montabe  / CBT02_CAMBIOS.TCMBME AS DECIMAL(23, 6))
        WHEN EST78_REMEXP.ckprodut = '035' AND EST78_REMEXP.cksubpro = '003' THEN CAST(EST78_REMEXP.montabe  / CBT02_CAMBIOS.TCMBME AS DECIMAL(23, 6))
        WHEN EST78_REMEXP.ckprodut = '035' AND EST78_REMEXP.cksubpro IN ('001', 'K01',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 CBT02_CAMBIOS.TCMBME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</si>
  <si>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</si>
  <si>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</si>
  <si>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TCT09_OPERCN.DENTRADA &lt;= TCT09_OPERCN.DATA_DATE_PART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</si>
  <si>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</si>
  <si>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</si>
  <si>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</si>
  <si>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</si>
  <si>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TCT09_OPERCN.DENTRADA &lt;= TCT09_OPERCN.DATA_DATE_PART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</si>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</sst>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50" totalsRowShown="0" headerRowDxfId="1182" dataDxfId="1181" tableBorderDxfId="1180">
  <autoFilter ref="B7:AA750" xr:uid="{00000000-0009-0000-0100-000003000000}">
    <filterColumn colId="1">
      <filters>
        <filter val="Bill &amp; Promissory Note Contract"/>
      </filters>
    </filterColumn>
  </autoFilter>
  <sortState xmlns:xlrd2="http://schemas.microsoft.com/office/spreadsheetml/2017/richdata2" ref="B8:AA750">
    <sortCondition ref="C8:C750"/>
    <sortCondition ref="I8:I750"/>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7" totalsRowShown="0" headerRowDxfId="1153" dataDxfId="1152" tableBorderDxfId="1151">
  <autoFilter ref="B2:I197" xr:uid="{00000000-0009-0000-0100-000005000000}">
    <filterColumn colId="1">
      <filters>
        <filter val="bills_promissory_notes_contract"/>
      </filters>
    </filterColumn>
  </autoFilter>
  <sortState xmlns:xlrd2="http://schemas.microsoft.com/office/spreadsheetml/2017/richdata2" ref="B3:I184">
    <sortCondition ref="C2:C18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5" zoomScale="115" zoomScaleNormal="115" workbookViewId="0">
      <selection activeCell="A9" sqref="A9:XF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4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50"/>
  <sheetViews>
    <sheetView showGridLines="0" tabSelected="1" topLeftCell="U119" zoomScale="85" zoomScaleNormal="85" workbookViewId="0">
      <selection activeCell="V122" sqref="V122"/>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7" t="s">
        <v>85</v>
      </c>
      <c r="C5" s="387"/>
      <c r="D5" s="387"/>
      <c r="E5" s="387"/>
      <c r="F5" s="387"/>
      <c r="G5" s="387"/>
      <c r="H5" s="387"/>
      <c r="I5" s="387"/>
      <c r="J5" s="387"/>
      <c r="K5" s="387"/>
      <c r="L5" s="387"/>
      <c r="M5" s="387"/>
      <c r="N5" s="387"/>
      <c r="O5" s="387"/>
      <c r="P5" s="387"/>
      <c r="Q5" s="388"/>
      <c r="R5" s="391" t="s">
        <v>86</v>
      </c>
      <c r="S5" s="391"/>
      <c r="T5" s="394" t="s">
        <v>87</v>
      </c>
      <c r="U5" s="395"/>
      <c r="V5" s="395"/>
      <c r="W5" s="396"/>
      <c r="X5" s="386" t="s">
        <v>88</v>
      </c>
      <c r="Y5" s="386"/>
      <c r="Z5" s="386"/>
      <c r="AA5" s="386"/>
    </row>
    <row r="6" spans="1:27" ht="30" customHeight="1">
      <c r="B6" s="389" t="s">
        <v>89</v>
      </c>
      <c r="C6" s="389"/>
      <c r="D6" s="389"/>
      <c r="E6" s="389"/>
      <c r="F6" s="389"/>
      <c r="G6" s="389"/>
      <c r="H6" s="389"/>
      <c r="I6" s="389"/>
      <c r="J6" s="389"/>
      <c r="K6" s="389"/>
      <c r="L6" s="389"/>
      <c r="M6" s="389"/>
      <c r="N6" s="389"/>
      <c r="O6" s="389"/>
      <c r="P6" s="389"/>
      <c r="Q6" s="390"/>
      <c r="R6" s="391" t="s">
        <v>90</v>
      </c>
      <c r="S6" s="391"/>
      <c r="T6" s="324"/>
      <c r="U6" s="392" t="s">
        <v>91</v>
      </c>
      <c r="V6" s="392"/>
      <c r="W6" s="393"/>
      <c r="X6" s="385" t="s">
        <v>92</v>
      </c>
      <c r="Y6" s="385"/>
      <c r="Z6" s="385"/>
      <c r="AA6" s="385"/>
    </row>
    <row r="7" spans="1:27"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customHeight="1">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customHeight="1">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customHeight="1">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80.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80.25"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customHeight="1">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customHeight="1">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80.25"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hidden="1" customHeight="1">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hidden="1" customHeight="1">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hidden="1" customHeight="1">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hidden="1" customHeight="1">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hidden="1" customHeight="1">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hidden="1" customHeight="1">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hidden="1" customHeight="1">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hidden="1" customHeight="1">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hidden="1" customHeight="1">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hidden="1" customHeight="1">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hidden="1" customHeight="1">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hidden="1" customHeight="1">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hidden="1" customHeight="1">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hidden="1" customHeight="1">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hidden="1" customHeight="1">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hidden="1" customHeight="1">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hidden="1" customHeight="1">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hidden="1" customHeight="1">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hidden="1" customHeight="1">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hidden="1" customHeight="1">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80.25" hidden="1" customHeight="1">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hidden="1" customHeight="1">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hidden="1" customHeight="1">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hidden="1" customHeight="1">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hidden="1" customHeight="1">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hidden="1" customHeight="1">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hidden="1" customHeight="1">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hidden="1" customHeight="1">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hidden="1" customHeight="1">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hidden="1" customHeight="1">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hidden="1" customHeight="1">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hidden="1" customHeight="1">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hidden="1" customHeight="1">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hidden="1" customHeight="1">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hidden="1" customHeight="1">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hidden="1" customHeight="1">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hidden="1" customHeight="1">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hidden="1" customHeight="1">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hidden="1" customHeight="1">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hidden="1" customHeight="1">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hidden="1" customHeight="1">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hidden="1" customHeight="1">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hidden="1" customHeight="1">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hidden="1" customHeight="1">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hidden="1" customHeight="1">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hidden="1" customHeight="1">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hidden="1" customHeight="1">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hidden="1" customHeight="1">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hidden="1" customHeight="1">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hidden="1" customHeight="1">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hidden="1" customHeight="1">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hidden="1" customHeight="1">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hidden="1" customHeight="1">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hidden="1" customHeight="1">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hidden="1" customHeight="1">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hidden="1" customHeight="1">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hidden="1" customHeight="1">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hidden="1" customHeight="1">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hidden="1" customHeight="1">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hidden="1" customHeight="1">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hidden="1" customHeight="1">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hidden="1" customHeight="1">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hidden="1" customHeight="1">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hidden="1" customHeight="1">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hidden="1" customHeight="1">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hidden="1" customHeight="1">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hidden="1" customHeight="1">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hidden="1" customHeight="1">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hidden="1" customHeight="1">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hidden="1" customHeight="1">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80.25" hidden="1" customHeight="1">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hidden="1" customHeight="1">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2815</v>
      </c>
      <c r="X619" s="51" t="s">
        <v>1585</v>
      </c>
      <c r="Y619" s="55" t="s">
        <v>372</v>
      </c>
      <c r="Z619" s="55" t="s">
        <v>372</v>
      </c>
      <c r="AA619" s="52" t="s">
        <v>462</v>
      </c>
    </row>
    <row r="620" spans="2:27" ht="80.25" hidden="1" customHeight="1">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2816</v>
      </c>
      <c r="X620" s="55" t="s">
        <v>1597</v>
      </c>
      <c r="Y620" s="55" t="s">
        <v>372</v>
      </c>
      <c r="Z620" s="55" t="s">
        <v>372</v>
      </c>
      <c r="AA620" s="52" t="s">
        <v>2817</v>
      </c>
    </row>
    <row r="621" spans="2:27" ht="80.25" hidden="1" customHeight="1">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2818</v>
      </c>
      <c r="X621" s="55" t="s">
        <v>372</v>
      </c>
      <c r="Y621" s="55" t="s">
        <v>372</v>
      </c>
      <c r="Z621" s="55" t="s">
        <v>372</v>
      </c>
      <c r="AA621" s="52" t="s">
        <v>372</v>
      </c>
    </row>
    <row r="622" spans="2:27" ht="80.25" hidden="1" customHeight="1">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2819</v>
      </c>
      <c r="X622" s="55" t="s">
        <v>372</v>
      </c>
      <c r="Y622" s="55" t="s">
        <v>372</v>
      </c>
      <c r="Z622" s="55" t="s">
        <v>372</v>
      </c>
      <c r="AA622" s="52" t="s">
        <v>372</v>
      </c>
    </row>
    <row r="623" spans="2:27" ht="80.25" hidden="1" customHeight="1">
      <c r="B623" s="51" t="s">
        <v>70</v>
      </c>
      <c r="C623" s="51" t="s">
        <v>2820</v>
      </c>
      <c r="D623" s="51" t="s">
        <v>71</v>
      </c>
      <c r="E623" s="52">
        <v>1</v>
      </c>
      <c r="F623" s="51" t="s">
        <v>120</v>
      </c>
      <c r="G623" s="51" t="s">
        <v>121</v>
      </c>
      <c r="H623" s="51" t="s">
        <v>122</v>
      </c>
      <c r="I623" s="52">
        <v>1</v>
      </c>
      <c r="J623" s="51" t="s">
        <v>123</v>
      </c>
      <c r="K623" s="52">
        <v>4</v>
      </c>
      <c r="L623" s="52"/>
      <c r="M623" s="52"/>
      <c r="N623" s="328" t="s">
        <v>124</v>
      </c>
      <c r="O623" s="53" t="s">
        <v>125</v>
      </c>
      <c r="P623" s="52" t="s">
        <v>126</v>
      </c>
      <c r="Q623" s="54"/>
      <c r="R623" s="55" t="s">
        <v>127</v>
      </c>
      <c r="S623" s="55" t="s">
        <v>2138</v>
      </c>
      <c r="T623" s="55" t="s">
        <v>1575</v>
      </c>
      <c r="U623" s="55" t="s">
        <v>1576</v>
      </c>
      <c r="V623" s="55" t="s">
        <v>555</v>
      </c>
      <c r="W623" s="370" t="s">
        <v>2821</v>
      </c>
      <c r="X623" s="51" t="s">
        <v>1585</v>
      </c>
      <c r="Y623" s="54" t="s">
        <v>372</v>
      </c>
      <c r="Z623" s="54" t="s">
        <v>372</v>
      </c>
      <c r="AA623" s="52" t="s">
        <v>373</v>
      </c>
    </row>
    <row r="624" spans="2:27" ht="80.25" hidden="1" customHeight="1">
      <c r="B624" s="51" t="s">
        <v>70</v>
      </c>
      <c r="C624" s="51" t="s">
        <v>2820</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2138</v>
      </c>
      <c r="T624" s="55" t="s">
        <v>1578</v>
      </c>
      <c r="U624" s="249" t="s">
        <v>1579</v>
      </c>
      <c r="V624" s="55" t="s">
        <v>1580</v>
      </c>
      <c r="W624" s="82" t="s">
        <v>2822</v>
      </c>
      <c r="X624" s="51" t="s">
        <v>1585</v>
      </c>
      <c r="Y624" s="54" t="s">
        <v>1582</v>
      </c>
      <c r="Z624" s="54" t="s">
        <v>1583</v>
      </c>
      <c r="AA624" s="52" t="s">
        <v>372</v>
      </c>
    </row>
    <row r="625" spans="2:27" ht="80.25" hidden="1" customHeight="1">
      <c r="B625" s="51" t="s">
        <v>70</v>
      </c>
      <c r="C625" s="51" t="s">
        <v>2820</v>
      </c>
      <c r="D625" s="51" t="s">
        <v>71</v>
      </c>
      <c r="E625" s="52">
        <v>1</v>
      </c>
      <c r="F625" s="51" t="s">
        <v>148</v>
      </c>
      <c r="G625" s="51" t="s">
        <v>149</v>
      </c>
      <c r="H625" s="51" t="s">
        <v>150</v>
      </c>
      <c r="I625" s="52">
        <v>3</v>
      </c>
      <c r="J625" s="51" t="s">
        <v>123</v>
      </c>
      <c r="K625" s="52">
        <v>4</v>
      </c>
      <c r="L625" s="52"/>
      <c r="M625" s="52"/>
      <c r="N625" s="53" t="s">
        <v>151</v>
      </c>
      <c r="O625" s="53" t="s">
        <v>152</v>
      </c>
      <c r="P625" s="52"/>
      <c r="Q625" s="53" t="s">
        <v>586</v>
      </c>
      <c r="R625" s="55"/>
      <c r="S625" s="51"/>
      <c r="T625" s="55" t="s">
        <v>1575</v>
      </c>
      <c r="U625" s="55" t="s">
        <v>1576</v>
      </c>
      <c r="V625" s="89" t="s">
        <v>555</v>
      </c>
      <c r="W625" s="82" t="s">
        <v>2823</v>
      </c>
      <c r="X625" s="55" t="s">
        <v>1585</v>
      </c>
      <c r="Y625" s="53" t="s">
        <v>1582</v>
      </c>
      <c r="Z625" s="55" t="s">
        <v>1586</v>
      </c>
      <c r="AA625" s="52" t="s">
        <v>372</v>
      </c>
    </row>
    <row r="626" spans="2:27" ht="80.25" hidden="1" customHeight="1">
      <c r="B626" s="51" t="s">
        <v>70</v>
      </c>
      <c r="C626" s="51" t="s">
        <v>2820</v>
      </c>
      <c r="D626" s="51" t="s">
        <v>71</v>
      </c>
      <c r="E626" s="52">
        <v>1</v>
      </c>
      <c r="F626" s="51" t="s">
        <v>155</v>
      </c>
      <c r="G626" s="51" t="s">
        <v>156</v>
      </c>
      <c r="H626" s="51" t="s">
        <v>150</v>
      </c>
      <c r="I626" s="52">
        <v>3</v>
      </c>
      <c r="J626" s="51" t="s">
        <v>123</v>
      </c>
      <c r="K626" s="52">
        <v>4</v>
      </c>
      <c r="L626" s="52"/>
      <c r="M626" s="52"/>
      <c r="N626" s="53" t="s">
        <v>157</v>
      </c>
      <c r="O626" s="53" t="s">
        <v>158</v>
      </c>
      <c r="P626" s="52"/>
      <c r="Q626" s="55" t="s">
        <v>2769</v>
      </c>
      <c r="R626" s="55" t="s">
        <v>160</v>
      </c>
      <c r="S626" s="55" t="s">
        <v>161</v>
      </c>
      <c r="T626" s="55" t="s">
        <v>1578</v>
      </c>
      <c r="U626" s="55" t="s">
        <v>1579</v>
      </c>
      <c r="V626" s="55" t="s">
        <v>2230</v>
      </c>
      <c r="W626" s="82" t="s">
        <v>2824</v>
      </c>
      <c r="X626" s="51" t="s">
        <v>1585</v>
      </c>
      <c r="Y626" s="54" t="s">
        <v>1582</v>
      </c>
      <c r="Z626" s="54" t="s">
        <v>590</v>
      </c>
      <c r="AA626" s="52" t="s">
        <v>372</v>
      </c>
    </row>
    <row r="627" spans="2:27" ht="80.25" hidden="1" customHeight="1">
      <c r="B627" s="51" t="s">
        <v>70</v>
      </c>
      <c r="C627" s="51" t="s">
        <v>2820</v>
      </c>
      <c r="D627" s="51" t="s">
        <v>71</v>
      </c>
      <c r="E627" s="52">
        <v>1</v>
      </c>
      <c r="F627" s="51" t="s">
        <v>167</v>
      </c>
      <c r="G627" s="51" t="s">
        <v>168</v>
      </c>
      <c r="H627" s="51" t="s">
        <v>150</v>
      </c>
      <c r="I627" s="52">
        <v>3</v>
      </c>
      <c r="J627" s="51" t="s">
        <v>123</v>
      </c>
      <c r="K627" s="52">
        <v>4</v>
      </c>
      <c r="L627" s="52"/>
      <c r="M627" s="52"/>
      <c r="N627" s="53" t="s">
        <v>169</v>
      </c>
      <c r="O627" s="53" t="s">
        <v>170</v>
      </c>
      <c r="P627" s="52"/>
      <c r="Q627" s="55" t="s">
        <v>2771</v>
      </c>
      <c r="R627" s="55" t="s">
        <v>160</v>
      </c>
      <c r="S627" s="55" t="s">
        <v>172</v>
      </c>
      <c r="T627" s="55" t="s">
        <v>1578</v>
      </c>
      <c r="U627" s="55" t="s">
        <v>1579</v>
      </c>
      <c r="V627" s="55" t="s">
        <v>1591</v>
      </c>
      <c r="W627" s="82" t="s">
        <v>2825</v>
      </c>
      <c r="X627" s="51" t="s">
        <v>1585</v>
      </c>
      <c r="Y627" s="54" t="s">
        <v>1582</v>
      </c>
      <c r="Z627" s="54" t="s">
        <v>593</v>
      </c>
      <c r="AA627" s="52" t="s">
        <v>372</v>
      </c>
    </row>
    <row r="628" spans="2:27" ht="80.25" hidden="1" customHeight="1">
      <c r="B628" s="51" t="s">
        <v>70</v>
      </c>
      <c r="C628" s="51" t="s">
        <v>2820</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1578</v>
      </c>
      <c r="U628" s="55" t="s">
        <v>1579</v>
      </c>
      <c r="V628" s="55" t="s">
        <v>1593</v>
      </c>
      <c r="W628" s="82" t="s">
        <v>2826</v>
      </c>
      <c r="X628" s="51" t="s">
        <v>1585</v>
      </c>
      <c r="Y628" s="54" t="s">
        <v>1582</v>
      </c>
      <c r="Z628" s="54" t="s">
        <v>630</v>
      </c>
      <c r="AA628" s="52" t="s">
        <v>372</v>
      </c>
    </row>
    <row r="629" spans="2:27" ht="80.25" hidden="1" customHeight="1">
      <c r="B629" s="51" t="s">
        <v>70</v>
      </c>
      <c r="C629" s="51" t="s">
        <v>2820</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89" t="s">
        <v>1578</v>
      </c>
      <c r="U629" s="55" t="s">
        <v>1579</v>
      </c>
      <c r="V629" s="55" t="s">
        <v>1595</v>
      </c>
      <c r="W629" s="82" t="s">
        <v>2827</v>
      </c>
      <c r="X629" s="55" t="s">
        <v>1597</v>
      </c>
      <c r="Y629" s="53" t="s">
        <v>2828</v>
      </c>
      <c r="Z629" s="53" t="s">
        <v>2781</v>
      </c>
      <c r="AA629" s="64" t="s">
        <v>647</v>
      </c>
    </row>
    <row r="630" spans="2:27" ht="80.25" hidden="1" customHeight="1">
      <c r="B630" s="51" t="s">
        <v>70</v>
      </c>
      <c r="C630" s="51" t="s">
        <v>2820</v>
      </c>
      <c r="D630" s="51" t="s">
        <v>71</v>
      </c>
      <c r="E630" s="52">
        <v>1</v>
      </c>
      <c r="F630" s="51" t="s">
        <v>222</v>
      </c>
      <c r="G630" s="51" t="s">
        <v>223</v>
      </c>
      <c r="H630" s="51" t="s">
        <v>224</v>
      </c>
      <c r="I630" s="52">
        <v>8</v>
      </c>
      <c r="J630" s="51" t="s">
        <v>123</v>
      </c>
      <c r="K630" s="52">
        <v>4</v>
      </c>
      <c r="L630" s="52"/>
      <c r="M630" s="52"/>
      <c r="N630" s="53" t="s">
        <v>225</v>
      </c>
      <c r="O630" s="53" t="s">
        <v>226</v>
      </c>
      <c r="P630" s="52"/>
      <c r="Q630" s="55" t="s">
        <v>1277</v>
      </c>
      <c r="R630" s="55" t="s">
        <v>654</v>
      </c>
      <c r="S630" s="55" t="s">
        <v>229</v>
      </c>
      <c r="T630" s="55" t="s">
        <v>1578</v>
      </c>
      <c r="U630" s="55" t="s">
        <v>1579</v>
      </c>
      <c r="V630" s="55" t="s">
        <v>1601</v>
      </c>
      <c r="W630" s="82" t="s">
        <v>2829</v>
      </c>
      <c r="X630" s="51" t="s">
        <v>1585</v>
      </c>
      <c r="Y630" s="54" t="s">
        <v>1582</v>
      </c>
      <c r="Z630" s="54" t="s">
        <v>427</v>
      </c>
      <c r="AA630" s="52" t="s">
        <v>372</v>
      </c>
    </row>
    <row r="631" spans="2:27" ht="80.25" hidden="1" customHeight="1">
      <c r="B631" s="51" t="s">
        <v>70</v>
      </c>
      <c r="C631" s="51" t="s">
        <v>2820</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1578</v>
      </c>
      <c r="U631" s="55" t="s">
        <v>1579</v>
      </c>
      <c r="V631" s="63" t="s">
        <v>351</v>
      </c>
      <c r="W631" s="82" t="s">
        <v>2830</v>
      </c>
      <c r="X631" s="55" t="s">
        <v>1597</v>
      </c>
      <c r="Y631" s="53" t="s">
        <v>647</v>
      </c>
      <c r="Z631" s="53" t="s">
        <v>647</v>
      </c>
      <c r="AA631" s="60" t="s">
        <v>665</v>
      </c>
    </row>
    <row r="632" spans="2:27" ht="80.25" hidden="1" customHeight="1">
      <c r="B632" s="51" t="s">
        <v>70</v>
      </c>
      <c r="C632" s="51" t="s">
        <v>2820</v>
      </c>
      <c r="D632" s="51" t="s">
        <v>71</v>
      </c>
      <c r="E632" s="52">
        <v>1</v>
      </c>
      <c r="F632" s="51" t="s">
        <v>1604</v>
      </c>
      <c r="G632" s="51" t="s">
        <v>1605</v>
      </c>
      <c r="H632" s="54" t="s">
        <v>249</v>
      </c>
      <c r="I632" s="52">
        <v>10</v>
      </c>
      <c r="J632" s="51" t="s">
        <v>250</v>
      </c>
      <c r="K632" s="52">
        <v>23</v>
      </c>
      <c r="L632" s="52">
        <v>6</v>
      </c>
      <c r="M632" s="52"/>
      <c r="N632" s="53" t="s">
        <v>1606</v>
      </c>
      <c r="O632" s="53" t="s">
        <v>1607</v>
      </c>
      <c r="P632" s="52"/>
      <c r="Q632" s="54"/>
      <c r="R632" s="53"/>
      <c r="S632" s="54"/>
      <c r="T632" s="55" t="s">
        <v>1578</v>
      </c>
      <c r="U632" s="55" t="s">
        <v>1579</v>
      </c>
      <c r="V632" s="55" t="s">
        <v>1608</v>
      </c>
      <c r="W632" s="82" t="s">
        <v>2831</v>
      </c>
      <c r="X632" s="51" t="s">
        <v>1585</v>
      </c>
      <c r="Y632" s="54" t="s">
        <v>1582</v>
      </c>
      <c r="Z632" s="54" t="s">
        <v>652</v>
      </c>
      <c r="AA632" s="52" t="s">
        <v>372</v>
      </c>
    </row>
    <row r="633" spans="2:27" ht="80.25" hidden="1" customHeight="1">
      <c r="B633" s="51" t="s">
        <v>70</v>
      </c>
      <c r="C633" s="51" t="s">
        <v>2820</v>
      </c>
      <c r="D633" s="51" t="s">
        <v>71</v>
      </c>
      <c r="E633" s="52">
        <v>1</v>
      </c>
      <c r="F633" s="51" t="s">
        <v>1610</v>
      </c>
      <c r="G633" s="51" t="s">
        <v>1611</v>
      </c>
      <c r="H633" s="54" t="s">
        <v>249</v>
      </c>
      <c r="I633" s="52">
        <v>11</v>
      </c>
      <c r="J633" s="51" t="s">
        <v>250</v>
      </c>
      <c r="K633" s="52">
        <v>23</v>
      </c>
      <c r="L633" s="52">
        <v>6</v>
      </c>
      <c r="M633" s="52"/>
      <c r="N633" s="53" t="s">
        <v>1612</v>
      </c>
      <c r="O633" s="53" t="s">
        <v>1613</v>
      </c>
      <c r="P633" s="52"/>
      <c r="Q633" s="51"/>
      <c r="R633" s="53"/>
      <c r="S633" s="54"/>
      <c r="T633" s="55" t="s">
        <v>1578</v>
      </c>
      <c r="U633" s="55" t="s">
        <v>1579</v>
      </c>
      <c r="V633" s="65" t="s">
        <v>1614</v>
      </c>
      <c r="W633" s="82" t="s">
        <v>2832</v>
      </c>
      <c r="X633" s="55" t="s">
        <v>1585</v>
      </c>
      <c r="Y633" s="53" t="s">
        <v>1582</v>
      </c>
      <c r="Z633" s="51" t="s">
        <v>1616</v>
      </c>
      <c r="AA633" s="60" t="s">
        <v>372</v>
      </c>
    </row>
    <row r="634" spans="2:27" ht="80.25" hidden="1" customHeight="1">
      <c r="B634" s="51" t="s">
        <v>70</v>
      </c>
      <c r="C634" s="51" t="s">
        <v>2820</v>
      </c>
      <c r="D634" s="51" t="s">
        <v>71</v>
      </c>
      <c r="E634" s="52">
        <v>1</v>
      </c>
      <c r="F634" s="51" t="s">
        <v>1617</v>
      </c>
      <c r="G634" s="51" t="s">
        <v>1618</v>
      </c>
      <c r="H634" s="54" t="s">
        <v>249</v>
      </c>
      <c r="I634" s="52">
        <v>12</v>
      </c>
      <c r="J634" s="51" t="s">
        <v>250</v>
      </c>
      <c r="K634" s="52">
        <v>23</v>
      </c>
      <c r="L634" s="52">
        <v>6</v>
      </c>
      <c r="M634" s="52"/>
      <c r="N634" s="53" t="s">
        <v>1619</v>
      </c>
      <c r="O634" s="53" t="s">
        <v>1620</v>
      </c>
      <c r="P634" s="52"/>
      <c r="Q634" s="54"/>
      <c r="R634" s="53" t="s">
        <v>275</v>
      </c>
      <c r="S634" s="54" t="s">
        <v>276</v>
      </c>
      <c r="T634" s="55" t="s">
        <v>1578</v>
      </c>
      <c r="U634" s="55" t="s">
        <v>1579</v>
      </c>
      <c r="V634" s="55" t="s">
        <v>2239</v>
      </c>
      <c r="W634" s="82" t="s">
        <v>2833</v>
      </c>
      <c r="X634" s="51" t="s">
        <v>1585</v>
      </c>
      <c r="Y634" s="54" t="s">
        <v>1582</v>
      </c>
      <c r="Z634" s="54" t="s">
        <v>1623</v>
      </c>
      <c r="AA634" s="52" t="s">
        <v>372</v>
      </c>
    </row>
    <row r="635" spans="2:27" ht="80.25" hidden="1" customHeight="1">
      <c r="B635" s="51" t="s">
        <v>70</v>
      </c>
      <c r="C635" s="51" t="s">
        <v>2820</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1661</v>
      </c>
      <c r="U635" s="55" t="s">
        <v>1662</v>
      </c>
      <c r="V635" s="63" t="s">
        <v>1663</v>
      </c>
      <c r="W635" s="82" t="s">
        <v>2834</v>
      </c>
      <c r="X635" s="55" t="s">
        <v>1597</v>
      </c>
      <c r="Y635" s="68" t="s">
        <v>741</v>
      </c>
      <c r="Z635" s="53" t="s">
        <v>2800</v>
      </c>
      <c r="AA635" s="60" t="s">
        <v>743</v>
      </c>
    </row>
    <row r="636" spans="2:27" ht="80.25" hidden="1" customHeight="1">
      <c r="B636" s="66" t="s">
        <v>70</v>
      </c>
      <c r="C636" s="66" t="s">
        <v>2820</v>
      </c>
      <c r="D636" s="66" t="s">
        <v>71</v>
      </c>
      <c r="E636" s="77">
        <v>1</v>
      </c>
      <c r="F636" s="51" t="s">
        <v>2241</v>
      </c>
      <c r="G636" s="51" t="s">
        <v>2242</v>
      </c>
      <c r="H636" s="74" t="s">
        <v>1509</v>
      </c>
      <c r="I636" s="77">
        <v>14</v>
      </c>
      <c r="J636" s="51" t="s">
        <v>123</v>
      </c>
      <c r="K636" s="52">
        <v>4</v>
      </c>
      <c r="L636" s="77"/>
      <c r="M636" s="77"/>
      <c r="N636" s="53" t="s">
        <v>2173</v>
      </c>
      <c r="O636" s="53" t="s">
        <v>1511</v>
      </c>
      <c r="P636" s="77"/>
      <c r="Q636" s="72"/>
      <c r="R636" s="72"/>
      <c r="S636" s="74"/>
      <c r="T636" s="66"/>
      <c r="U636" s="74"/>
      <c r="V636" s="74"/>
      <c r="W636" s="77"/>
      <c r="X636" s="66" t="s">
        <v>2801</v>
      </c>
      <c r="Y636" s="72" t="s">
        <v>2835</v>
      </c>
      <c r="Z636" s="72" t="s">
        <v>2803</v>
      </c>
      <c r="AA636" s="75" t="s">
        <v>647</v>
      </c>
    </row>
    <row r="637" spans="2:27" ht="80.25" hidden="1" customHeight="1">
      <c r="B637" s="66" t="s">
        <v>70</v>
      </c>
      <c r="C637" s="66" t="s">
        <v>2820</v>
      </c>
      <c r="D637" s="66" t="s">
        <v>71</v>
      </c>
      <c r="E637" s="77">
        <v>1</v>
      </c>
      <c r="F637" s="66" t="s">
        <v>2243</v>
      </c>
      <c r="G637" s="66" t="s">
        <v>2244</v>
      </c>
      <c r="H637" s="74" t="s">
        <v>746</v>
      </c>
      <c r="I637" s="77">
        <v>15</v>
      </c>
      <c r="J637" s="66" t="s">
        <v>123</v>
      </c>
      <c r="K637" s="77">
        <v>4</v>
      </c>
      <c r="L637" s="77"/>
      <c r="M637" s="77"/>
      <c r="N637" s="72" t="s">
        <v>1677</v>
      </c>
      <c r="O637" s="53" t="s">
        <v>1979</v>
      </c>
      <c r="P637" s="77"/>
      <c r="Q637" s="72" t="s">
        <v>1679</v>
      </c>
      <c r="R637" s="72"/>
      <c r="S637" s="74"/>
      <c r="T637" s="66"/>
      <c r="U637" s="74"/>
      <c r="V637" s="74"/>
      <c r="W637" s="77"/>
      <c r="X637" s="66" t="s">
        <v>2804</v>
      </c>
      <c r="Y637" s="72" t="s">
        <v>2836</v>
      </c>
      <c r="Z637" s="72" t="s">
        <v>2806</v>
      </c>
      <c r="AA637" s="75" t="s">
        <v>2807</v>
      </c>
    </row>
    <row r="638" spans="2:27" ht="80.25" hidden="1" customHeight="1">
      <c r="B638" s="66" t="s">
        <v>70</v>
      </c>
      <c r="C638" s="66" t="s">
        <v>2820</v>
      </c>
      <c r="D638" s="66" t="s">
        <v>71</v>
      </c>
      <c r="E638" s="77">
        <v>1</v>
      </c>
      <c r="F638" s="66" t="s">
        <v>2245</v>
      </c>
      <c r="G638" s="66" t="s">
        <v>2246</v>
      </c>
      <c r="H638" s="74" t="s">
        <v>767</v>
      </c>
      <c r="I638" s="77">
        <v>16</v>
      </c>
      <c r="J638" s="66" t="s">
        <v>250</v>
      </c>
      <c r="K638" s="77">
        <v>23</v>
      </c>
      <c r="L638" s="77">
        <v>6</v>
      </c>
      <c r="M638" s="77"/>
      <c r="N638" s="72" t="s">
        <v>2180</v>
      </c>
      <c r="O638" s="53" t="s">
        <v>1990</v>
      </c>
      <c r="P638" s="77"/>
      <c r="Q638" s="74"/>
      <c r="R638" s="72"/>
      <c r="S638" s="74"/>
      <c r="T638" s="66"/>
      <c r="U638" s="74"/>
      <c r="V638" s="74"/>
      <c r="W638" s="77"/>
      <c r="X638" s="66" t="s">
        <v>1585</v>
      </c>
      <c r="Y638" s="84" t="s">
        <v>2808</v>
      </c>
      <c r="Z638" s="84" t="s">
        <v>2809</v>
      </c>
      <c r="AA638" s="75" t="s">
        <v>372</v>
      </c>
    </row>
    <row r="639" spans="2:27" ht="80.25" hidden="1" customHeight="1">
      <c r="B639" s="66" t="s">
        <v>70</v>
      </c>
      <c r="C639" s="66" t="s">
        <v>2820</v>
      </c>
      <c r="D639" s="66" t="s">
        <v>71</v>
      </c>
      <c r="E639" s="77">
        <v>1</v>
      </c>
      <c r="F639" s="66" t="s">
        <v>2247</v>
      </c>
      <c r="G639" s="66" t="s">
        <v>2248</v>
      </c>
      <c r="H639" s="74" t="s">
        <v>767</v>
      </c>
      <c r="I639" s="77">
        <v>17</v>
      </c>
      <c r="J639" s="66" t="s">
        <v>250</v>
      </c>
      <c r="K639" s="77">
        <v>23</v>
      </c>
      <c r="L639" s="77">
        <v>6</v>
      </c>
      <c r="M639" s="77"/>
      <c r="N639" s="72" t="s">
        <v>1686</v>
      </c>
      <c r="O639" s="53" t="s">
        <v>2000</v>
      </c>
      <c r="P639" s="77"/>
      <c r="Q639" s="74"/>
      <c r="R639" s="72"/>
      <c r="S639" s="74"/>
      <c r="T639" s="66"/>
      <c r="U639" s="74"/>
      <c r="V639" s="74"/>
      <c r="W639" s="77"/>
      <c r="X639" s="66" t="s">
        <v>1585</v>
      </c>
      <c r="Y639" s="72" t="s">
        <v>2835</v>
      </c>
      <c r="Z639" s="72" t="s">
        <v>2810</v>
      </c>
      <c r="AA639" s="75" t="s">
        <v>647</v>
      </c>
    </row>
    <row r="640" spans="2:27" ht="80.25" hidden="1" customHeight="1">
      <c r="B640" s="66" t="s">
        <v>70</v>
      </c>
      <c r="C640" s="66" t="s">
        <v>2820</v>
      </c>
      <c r="D640" s="66" t="s">
        <v>71</v>
      </c>
      <c r="E640" s="77">
        <v>1</v>
      </c>
      <c r="F640" s="66" t="s">
        <v>2249</v>
      </c>
      <c r="G640" s="66" t="s">
        <v>2250</v>
      </c>
      <c r="H640" s="74" t="s">
        <v>767</v>
      </c>
      <c r="I640" s="77">
        <v>18</v>
      </c>
      <c r="J640" s="66" t="s">
        <v>250</v>
      </c>
      <c r="K640" s="77">
        <v>23</v>
      </c>
      <c r="L640" s="77">
        <v>6</v>
      </c>
      <c r="M640" s="77"/>
      <c r="N640" s="72" t="s">
        <v>2187</v>
      </c>
      <c r="O640" s="53" t="s">
        <v>1517</v>
      </c>
      <c r="P640" s="77"/>
      <c r="Q640" s="66"/>
      <c r="R640" s="67" t="s">
        <v>788</v>
      </c>
      <c r="S640" s="66" t="s">
        <v>1518</v>
      </c>
      <c r="T640" s="77"/>
      <c r="U640" s="77"/>
      <c r="V640" s="77"/>
      <c r="W640" s="77"/>
      <c r="X640" s="66" t="s">
        <v>1585</v>
      </c>
      <c r="Y640" s="107" t="s">
        <v>2837</v>
      </c>
      <c r="Z640" s="84" t="s">
        <v>2812</v>
      </c>
      <c r="AA640" s="75" t="s">
        <v>647</v>
      </c>
    </row>
    <row r="641" spans="2:27" ht="80.25" hidden="1" customHeight="1">
      <c r="B641" s="66" t="s">
        <v>70</v>
      </c>
      <c r="C641" s="66" t="s">
        <v>2820</v>
      </c>
      <c r="D641" s="66" t="s">
        <v>71</v>
      </c>
      <c r="E641" s="77">
        <v>1</v>
      </c>
      <c r="F641" s="66" t="s">
        <v>2251</v>
      </c>
      <c r="G641" s="66" t="s">
        <v>2252</v>
      </c>
      <c r="H641" s="74" t="s">
        <v>746</v>
      </c>
      <c r="I641" s="77">
        <v>19</v>
      </c>
      <c r="J641" s="66" t="s">
        <v>123</v>
      </c>
      <c r="K641" s="77">
        <v>4</v>
      </c>
      <c r="L641" s="77"/>
      <c r="M641" s="77"/>
      <c r="N641" s="72" t="s">
        <v>2191</v>
      </c>
      <c r="O641" s="53" t="s">
        <v>748</v>
      </c>
      <c r="P641" s="77"/>
      <c r="Q641" s="72" t="s">
        <v>1673</v>
      </c>
      <c r="R641" s="72"/>
      <c r="S641" s="74"/>
      <c r="T641" s="66"/>
      <c r="U641" s="74"/>
      <c r="V641" s="74"/>
      <c r="W641" s="77"/>
      <c r="X641" s="66" t="s">
        <v>2804</v>
      </c>
      <c r="Y641" s="72" t="s">
        <v>2835</v>
      </c>
      <c r="Z641" s="72" t="s">
        <v>2803</v>
      </c>
      <c r="AA641" s="75" t="s">
        <v>647</v>
      </c>
    </row>
    <row r="642" spans="2:27" ht="80.25" hidden="1" customHeight="1">
      <c r="B642" s="66" t="s">
        <v>70</v>
      </c>
      <c r="C642" s="66" t="s">
        <v>2820</v>
      </c>
      <c r="D642" s="66" t="s">
        <v>71</v>
      </c>
      <c r="E642" s="77">
        <v>1</v>
      </c>
      <c r="F642" s="66" t="s">
        <v>2253</v>
      </c>
      <c r="G642" s="66" t="s">
        <v>2254</v>
      </c>
      <c r="H642" s="74" t="s">
        <v>746</v>
      </c>
      <c r="I642" s="77">
        <v>20</v>
      </c>
      <c r="J642" s="66" t="s">
        <v>123</v>
      </c>
      <c r="K642" s="77">
        <v>4</v>
      </c>
      <c r="L642" s="77"/>
      <c r="M642" s="77"/>
      <c r="N642" s="72" t="s">
        <v>1698</v>
      </c>
      <c r="O642" s="53" t="s">
        <v>758</v>
      </c>
      <c r="P642" s="77"/>
      <c r="Q642" s="72" t="s">
        <v>1700</v>
      </c>
      <c r="R642" s="72"/>
      <c r="S642" s="74"/>
      <c r="T642" s="66"/>
      <c r="U642" s="74"/>
      <c r="V642" s="74"/>
      <c r="W642" s="77"/>
      <c r="X642" s="66" t="s">
        <v>2804</v>
      </c>
      <c r="Y642" s="72" t="s">
        <v>2836</v>
      </c>
      <c r="Z642" s="72" t="s">
        <v>2806</v>
      </c>
      <c r="AA642" s="75" t="s">
        <v>2807</v>
      </c>
    </row>
    <row r="643" spans="2:27" ht="80.25" hidden="1" customHeight="1">
      <c r="B643" s="66" t="s">
        <v>70</v>
      </c>
      <c r="C643" s="66" t="s">
        <v>2820</v>
      </c>
      <c r="D643" s="66" t="s">
        <v>71</v>
      </c>
      <c r="E643" s="77">
        <v>1</v>
      </c>
      <c r="F643" s="66" t="s">
        <v>2256</v>
      </c>
      <c r="G643" s="66" t="s">
        <v>2257</v>
      </c>
      <c r="H643" s="74" t="s">
        <v>767</v>
      </c>
      <c r="I643" s="77">
        <v>27</v>
      </c>
      <c r="J643" s="66" t="s">
        <v>250</v>
      </c>
      <c r="K643" s="77">
        <v>23</v>
      </c>
      <c r="L643" s="77">
        <v>6</v>
      </c>
      <c r="M643" s="77"/>
      <c r="N643" s="72" t="s">
        <v>2198</v>
      </c>
      <c r="O643" s="53" t="s">
        <v>769</v>
      </c>
      <c r="P643" s="77"/>
      <c r="Q643" s="74"/>
      <c r="R643" s="72"/>
      <c r="S643" s="74"/>
      <c r="T643" s="66"/>
      <c r="U643" s="74"/>
      <c r="V643" s="74"/>
      <c r="W643" s="77"/>
      <c r="X643" s="66" t="s">
        <v>1585</v>
      </c>
      <c r="Y643" s="84" t="s">
        <v>2808</v>
      </c>
      <c r="Z643" s="84" t="s">
        <v>2809</v>
      </c>
      <c r="AA643" s="75" t="s">
        <v>372</v>
      </c>
    </row>
    <row r="644" spans="2:27" ht="80.25" hidden="1" customHeight="1">
      <c r="B644" s="66" t="s">
        <v>70</v>
      </c>
      <c r="C644" s="66" t="s">
        <v>2820</v>
      </c>
      <c r="D644" s="66" t="s">
        <v>71</v>
      </c>
      <c r="E644" s="77">
        <v>1</v>
      </c>
      <c r="F644" s="66" t="s">
        <v>2838</v>
      </c>
      <c r="G644" s="66" t="s">
        <v>2259</v>
      </c>
      <c r="H644" s="74" t="s">
        <v>767</v>
      </c>
      <c r="I644" s="77">
        <v>28</v>
      </c>
      <c r="J644" s="66" t="s">
        <v>250</v>
      </c>
      <c r="K644" s="77">
        <v>23</v>
      </c>
      <c r="L644" s="77">
        <v>6</v>
      </c>
      <c r="M644" s="77"/>
      <c r="N644" s="72" t="s">
        <v>777</v>
      </c>
      <c r="O644" s="53" t="s">
        <v>778</v>
      </c>
      <c r="P644" s="77"/>
      <c r="Q644" s="74"/>
      <c r="R644" s="72"/>
      <c r="S644" s="74"/>
      <c r="T644" s="66"/>
      <c r="U644" s="74"/>
      <c r="V644" s="74"/>
      <c r="W644" s="77"/>
      <c r="X644" s="66" t="s">
        <v>1585</v>
      </c>
      <c r="Y644" s="72" t="s">
        <v>2835</v>
      </c>
      <c r="Z644" s="72" t="s">
        <v>2810</v>
      </c>
      <c r="AA644" s="75" t="s">
        <v>647</v>
      </c>
    </row>
    <row r="645" spans="2:27" ht="80.25" hidden="1" customHeight="1">
      <c r="B645" s="66" t="s">
        <v>70</v>
      </c>
      <c r="C645" s="66" t="s">
        <v>2820</v>
      </c>
      <c r="D645" s="66" t="s">
        <v>71</v>
      </c>
      <c r="E645" s="77">
        <v>1</v>
      </c>
      <c r="F645" s="66" t="s">
        <v>2260</v>
      </c>
      <c r="G645" s="369" t="s">
        <v>2261</v>
      </c>
      <c r="H645" s="74" t="s">
        <v>767</v>
      </c>
      <c r="I645" s="77">
        <v>29</v>
      </c>
      <c r="J645" s="66" t="s">
        <v>250</v>
      </c>
      <c r="K645" s="77">
        <v>23</v>
      </c>
      <c r="L645" s="77">
        <v>6</v>
      </c>
      <c r="M645" s="77"/>
      <c r="N645" s="72" t="s">
        <v>2205</v>
      </c>
      <c r="O645" s="53" t="s">
        <v>787</v>
      </c>
      <c r="P645" s="77"/>
      <c r="Q645" s="66"/>
      <c r="R645" s="67" t="s">
        <v>1712</v>
      </c>
      <c r="S645" s="67" t="s">
        <v>1713</v>
      </c>
      <c r="T645" s="77"/>
      <c r="U645" s="77"/>
      <c r="V645" s="77"/>
      <c r="W645" s="77"/>
      <c r="X645" s="66" t="s">
        <v>1585</v>
      </c>
      <c r="Y645" s="72" t="s">
        <v>2837</v>
      </c>
      <c r="Z645" s="84" t="s">
        <v>2812</v>
      </c>
      <c r="AA645" s="75" t="s">
        <v>647</v>
      </c>
    </row>
    <row r="646" spans="2:27" ht="80.25" hidden="1" customHeight="1">
      <c r="B646" s="51" t="s">
        <v>70</v>
      </c>
      <c r="C646" s="51" t="s">
        <v>2820</v>
      </c>
      <c r="D646" s="51" t="s">
        <v>71</v>
      </c>
      <c r="E646" s="52">
        <v>1</v>
      </c>
      <c r="F646" s="51" t="s">
        <v>293</v>
      </c>
      <c r="G646" s="220" t="s">
        <v>294</v>
      </c>
      <c r="H646" s="51" t="s">
        <v>295</v>
      </c>
      <c r="I646" s="52">
        <v>30</v>
      </c>
      <c r="J646" s="51" t="s">
        <v>123</v>
      </c>
      <c r="K646" s="52">
        <v>4</v>
      </c>
      <c r="L646" s="52"/>
      <c r="M646" s="52"/>
      <c r="N646" s="53" t="s">
        <v>296</v>
      </c>
      <c r="O646" s="53" t="s">
        <v>297</v>
      </c>
      <c r="P646" s="52"/>
      <c r="Q646" s="53" t="s">
        <v>2813</v>
      </c>
      <c r="R646" s="55" t="s">
        <v>299</v>
      </c>
      <c r="S646" s="55" t="s">
        <v>300</v>
      </c>
      <c r="T646" s="55" t="s">
        <v>1575</v>
      </c>
      <c r="U646" s="55" t="s">
        <v>1576</v>
      </c>
      <c r="V646" s="55" t="s">
        <v>555</v>
      </c>
      <c r="W646" s="82" t="s">
        <v>2839</v>
      </c>
      <c r="X646" s="51" t="s">
        <v>1585</v>
      </c>
      <c r="Y646" s="54" t="s">
        <v>1582</v>
      </c>
      <c r="Z646" s="54" t="s">
        <v>1042</v>
      </c>
      <c r="AA646" s="52" t="s">
        <v>372</v>
      </c>
    </row>
    <row r="647" spans="2:27" ht="80.25" hidden="1" customHeight="1">
      <c r="B647" s="51" t="s">
        <v>70</v>
      </c>
      <c r="C647" s="51" t="s">
        <v>2820</v>
      </c>
      <c r="D647" s="51" t="s">
        <v>71</v>
      </c>
      <c r="E647" s="52">
        <v>1</v>
      </c>
      <c r="F647" s="51" t="s">
        <v>304</v>
      </c>
      <c r="G647" s="51" t="s">
        <v>305</v>
      </c>
      <c r="H647" s="51" t="s">
        <v>295</v>
      </c>
      <c r="I647" s="52">
        <v>31</v>
      </c>
      <c r="J647" s="51" t="s">
        <v>123</v>
      </c>
      <c r="K647" s="52">
        <v>4</v>
      </c>
      <c r="L647" s="52"/>
      <c r="M647" s="52"/>
      <c r="N647" s="53" t="s">
        <v>306</v>
      </c>
      <c r="O647" s="53" t="s">
        <v>307</v>
      </c>
      <c r="P647" s="52"/>
      <c r="Q647" s="55" t="s">
        <v>459</v>
      </c>
      <c r="R647" s="55" t="s">
        <v>203</v>
      </c>
      <c r="S647" s="51" t="s">
        <v>309</v>
      </c>
      <c r="T647" s="55" t="s">
        <v>1575</v>
      </c>
      <c r="U647" s="55" t="s">
        <v>1576</v>
      </c>
      <c r="V647" s="55" t="s">
        <v>555</v>
      </c>
      <c r="W647" s="82" t="s">
        <v>2840</v>
      </c>
      <c r="X647" s="51" t="s">
        <v>1585</v>
      </c>
      <c r="Y647" s="55" t="s">
        <v>372</v>
      </c>
      <c r="Z647" s="55" t="s">
        <v>372</v>
      </c>
      <c r="AA647" s="52" t="s">
        <v>462</v>
      </c>
    </row>
    <row r="648" spans="2:27" ht="80.25" hidden="1" customHeight="1">
      <c r="B648" s="51" t="s">
        <v>70</v>
      </c>
      <c r="C648" s="51" t="s">
        <v>2820</v>
      </c>
      <c r="D648" s="51" t="s">
        <v>71</v>
      </c>
      <c r="E648" s="52">
        <v>1</v>
      </c>
      <c r="F648" s="51" t="s">
        <v>317</v>
      </c>
      <c r="G648" s="51" t="s">
        <v>318</v>
      </c>
      <c r="H648" s="51" t="s">
        <v>319</v>
      </c>
      <c r="I648" s="52">
        <v>32</v>
      </c>
      <c r="J648" s="51" t="s">
        <v>123</v>
      </c>
      <c r="K648" s="52">
        <v>2</v>
      </c>
      <c r="L648" s="52"/>
      <c r="M648" s="52"/>
      <c r="N648" s="53" t="s">
        <v>320</v>
      </c>
      <c r="O648" s="53" t="s">
        <v>321</v>
      </c>
      <c r="P648" s="52"/>
      <c r="Q648" s="53" t="s">
        <v>463</v>
      </c>
      <c r="R648" s="55"/>
      <c r="S648" s="51"/>
      <c r="T648" s="55" t="s">
        <v>1578</v>
      </c>
      <c r="U648" s="55" t="s">
        <v>1579</v>
      </c>
      <c r="V648" s="55" t="s">
        <v>351</v>
      </c>
      <c r="W648" s="82" t="s">
        <v>2841</v>
      </c>
      <c r="X648" s="55" t="s">
        <v>1597</v>
      </c>
      <c r="Y648" s="55" t="s">
        <v>372</v>
      </c>
      <c r="Z648" s="55" t="s">
        <v>372</v>
      </c>
      <c r="AA648" s="52" t="s">
        <v>2817</v>
      </c>
    </row>
    <row r="649" spans="2:27" ht="80.25" hidden="1" customHeight="1">
      <c r="B649" s="51" t="s">
        <v>70</v>
      </c>
      <c r="C649" s="51" t="s">
        <v>2820</v>
      </c>
      <c r="D649" s="51" t="s">
        <v>71</v>
      </c>
      <c r="E649" s="52">
        <v>1</v>
      </c>
      <c r="F649" s="51" t="s">
        <v>326</v>
      </c>
      <c r="G649" s="51" t="s">
        <v>327</v>
      </c>
      <c r="H649" s="51" t="s">
        <v>328</v>
      </c>
      <c r="I649" s="52">
        <v>33</v>
      </c>
      <c r="J649" s="51" t="s">
        <v>123</v>
      </c>
      <c r="K649" s="52">
        <v>10</v>
      </c>
      <c r="L649" s="52"/>
      <c r="M649" s="52"/>
      <c r="N649" s="53" t="s">
        <v>329</v>
      </c>
      <c r="O649" s="53" t="s">
        <v>361</v>
      </c>
      <c r="P649" s="52" t="s">
        <v>126</v>
      </c>
      <c r="Q649" s="54"/>
      <c r="R649" s="55" t="s">
        <v>275</v>
      </c>
      <c r="S649" s="51" t="s">
        <v>803</v>
      </c>
      <c r="T649" s="55" t="s">
        <v>1578</v>
      </c>
      <c r="U649" s="55" t="s">
        <v>1579</v>
      </c>
      <c r="V649" s="55" t="s">
        <v>804</v>
      </c>
      <c r="W649" s="82" t="s">
        <v>2842</v>
      </c>
      <c r="X649" s="55" t="s">
        <v>372</v>
      </c>
      <c r="Y649" s="55" t="s">
        <v>372</v>
      </c>
      <c r="Z649" s="55" t="s">
        <v>372</v>
      </c>
      <c r="AA649" s="52" t="s">
        <v>372</v>
      </c>
    </row>
    <row r="650" spans="2:27" ht="80.25" hidden="1" customHeight="1">
      <c r="B650" s="51" t="s">
        <v>70</v>
      </c>
      <c r="C650" s="51" t="s">
        <v>2820</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1578</v>
      </c>
      <c r="U650" s="55" t="s">
        <v>1579</v>
      </c>
      <c r="V650" s="55" t="s">
        <v>351</v>
      </c>
      <c r="W650" s="82" t="s">
        <v>2843</v>
      </c>
      <c r="X650" s="55" t="s">
        <v>372</v>
      </c>
      <c r="Y650" s="55" t="s">
        <v>372</v>
      </c>
      <c r="Z650" s="55" t="s">
        <v>372</v>
      </c>
      <c r="AA650" s="52" t="s">
        <v>372</v>
      </c>
    </row>
    <row r="651" spans="2:27" ht="80.25" hidden="1" customHeight="1">
      <c r="B651" s="51" t="s">
        <v>73</v>
      </c>
      <c r="C651" s="51" t="s">
        <v>2844</v>
      </c>
      <c r="D651" s="51" t="s">
        <v>74</v>
      </c>
      <c r="E651" s="52">
        <v>2</v>
      </c>
      <c r="F651" s="51" t="s">
        <v>1155</v>
      </c>
      <c r="G651" s="51" t="s">
        <v>1156</v>
      </c>
      <c r="H651" s="54" t="s">
        <v>1157</v>
      </c>
      <c r="I651" s="52">
        <v>1</v>
      </c>
      <c r="J651" s="51" t="s">
        <v>123</v>
      </c>
      <c r="K651" s="52">
        <v>16</v>
      </c>
      <c r="L651" s="52"/>
      <c r="M651" s="52"/>
      <c r="N651" s="329" t="s">
        <v>1158</v>
      </c>
      <c r="O651" s="54" t="s">
        <v>1159</v>
      </c>
      <c r="P651" s="52" t="s">
        <v>126</v>
      </c>
      <c r="Q651" s="54"/>
      <c r="R651" s="55" t="s">
        <v>1160</v>
      </c>
      <c r="S651" s="51" t="s">
        <v>1155</v>
      </c>
      <c r="T651" s="53" t="s">
        <v>1161</v>
      </c>
      <c r="U651" s="53" t="s">
        <v>1728</v>
      </c>
      <c r="V651" s="53" t="s">
        <v>1163</v>
      </c>
      <c r="W651" s="319" t="s">
        <v>2845</v>
      </c>
      <c r="X651" s="51" t="s">
        <v>1165</v>
      </c>
      <c r="Y651" s="69" t="s">
        <v>1166</v>
      </c>
      <c r="Z651" s="69" t="s">
        <v>1167</v>
      </c>
      <c r="AA651" s="52" t="s">
        <v>372</v>
      </c>
    </row>
    <row r="652" spans="2:27" ht="80.25" hidden="1" customHeight="1">
      <c r="B652" s="51" t="s">
        <v>73</v>
      </c>
      <c r="C652" s="51" t="s">
        <v>2844</v>
      </c>
      <c r="D652" s="51" t="s">
        <v>74</v>
      </c>
      <c r="E652" s="52">
        <v>2</v>
      </c>
      <c r="F652" s="51" t="s">
        <v>120</v>
      </c>
      <c r="G652" s="51" t="s">
        <v>121</v>
      </c>
      <c r="H652" s="54" t="s">
        <v>150</v>
      </c>
      <c r="I652" s="52">
        <v>2</v>
      </c>
      <c r="J652" s="51" t="s">
        <v>123</v>
      </c>
      <c r="K652" s="52">
        <v>4</v>
      </c>
      <c r="L652" s="52"/>
      <c r="M652" s="52"/>
      <c r="N652" s="328" t="s">
        <v>124</v>
      </c>
      <c r="O652" s="53" t="s">
        <v>125</v>
      </c>
      <c r="P652" s="52"/>
      <c r="Q652" s="54"/>
      <c r="R652" s="55" t="s">
        <v>1160</v>
      </c>
      <c r="S652" s="51" t="s">
        <v>136</v>
      </c>
      <c r="T652" s="55" t="s">
        <v>1170</v>
      </c>
      <c r="U652" s="55" t="s">
        <v>1730</v>
      </c>
      <c r="V652" s="55" t="s">
        <v>555</v>
      </c>
      <c r="W652" s="355" t="s">
        <v>2846</v>
      </c>
      <c r="X652" s="51" t="s">
        <v>1165</v>
      </c>
      <c r="Y652" s="54" t="s">
        <v>372</v>
      </c>
      <c r="Z652" s="54" t="s">
        <v>372</v>
      </c>
      <c r="AA652" s="52" t="s">
        <v>373</v>
      </c>
    </row>
    <row r="653" spans="2:27" ht="80.25" hidden="1" customHeight="1">
      <c r="B653" s="51" t="s">
        <v>73</v>
      </c>
      <c r="C653" s="51" t="s">
        <v>2844</v>
      </c>
      <c r="D653" s="51" t="s">
        <v>74</v>
      </c>
      <c r="E653" s="52">
        <v>2</v>
      </c>
      <c r="F653" s="51" t="s">
        <v>136</v>
      </c>
      <c r="G653" s="51" t="s">
        <v>137</v>
      </c>
      <c r="H653" s="54" t="s">
        <v>150</v>
      </c>
      <c r="I653" s="52">
        <v>3</v>
      </c>
      <c r="J653" s="51" t="s">
        <v>123</v>
      </c>
      <c r="K653" s="52">
        <v>30</v>
      </c>
      <c r="L653" s="52"/>
      <c r="M653" s="52"/>
      <c r="N653" s="53" t="s">
        <v>1732</v>
      </c>
      <c r="O653" s="53" t="s">
        <v>1733</v>
      </c>
      <c r="P653" s="52"/>
      <c r="Q653" s="54"/>
      <c r="R653" s="55" t="s">
        <v>1160</v>
      </c>
      <c r="S653" s="51" t="s">
        <v>136</v>
      </c>
      <c r="T653" s="53" t="s">
        <v>1178</v>
      </c>
      <c r="U653" s="53" t="s">
        <v>1734</v>
      </c>
      <c r="V653" s="53" t="s">
        <v>1180</v>
      </c>
      <c r="W653" s="319" t="s">
        <v>2847</v>
      </c>
      <c r="X653" s="51" t="s">
        <v>1165</v>
      </c>
      <c r="Y653" s="54" t="s">
        <v>1182</v>
      </c>
      <c r="Z653" s="54" t="s">
        <v>1029</v>
      </c>
      <c r="AA653" s="52" t="s">
        <v>372</v>
      </c>
    </row>
    <row r="654" spans="2:27" ht="80.25" hidden="1" customHeight="1">
      <c r="B654" s="51" t="s">
        <v>73</v>
      </c>
      <c r="C654" s="51" t="s">
        <v>2844</v>
      </c>
      <c r="D654" s="51" t="s">
        <v>74</v>
      </c>
      <c r="E654" s="52">
        <v>2</v>
      </c>
      <c r="F654" s="51" t="s">
        <v>1183</v>
      </c>
      <c r="G654" s="51" t="s">
        <v>1184</v>
      </c>
      <c r="H654" s="54" t="s">
        <v>150</v>
      </c>
      <c r="I654" s="52">
        <v>4</v>
      </c>
      <c r="J654" s="51" t="s">
        <v>123</v>
      </c>
      <c r="K654" s="52">
        <v>4</v>
      </c>
      <c r="L654" s="52"/>
      <c r="M654" s="52"/>
      <c r="N654" s="53" t="s">
        <v>1737</v>
      </c>
      <c r="O654" s="53" t="s">
        <v>1186</v>
      </c>
      <c r="P654" s="52"/>
      <c r="Q654" s="54"/>
      <c r="R654" s="55"/>
      <c r="S654" s="51"/>
      <c r="T654" s="53" t="s">
        <v>1161</v>
      </c>
      <c r="U654" s="53" t="s">
        <v>1728</v>
      </c>
      <c r="V654" s="53" t="s">
        <v>1188</v>
      </c>
      <c r="W654" s="319" t="s">
        <v>1738</v>
      </c>
      <c r="X654" s="51" t="s">
        <v>1165</v>
      </c>
      <c r="Y654" s="54" t="s">
        <v>1166</v>
      </c>
      <c r="Z654" s="54" t="s">
        <v>1190</v>
      </c>
      <c r="AA654" s="52" t="s">
        <v>372</v>
      </c>
    </row>
    <row r="655" spans="2:27" ht="80.25" hidden="1" customHeight="1">
      <c r="B655" s="51" t="s">
        <v>73</v>
      </c>
      <c r="C655" s="51" t="s">
        <v>2844</v>
      </c>
      <c r="D655" s="51" t="s">
        <v>74</v>
      </c>
      <c r="E655" s="52">
        <v>2</v>
      </c>
      <c r="F655" s="51" t="s">
        <v>1191</v>
      </c>
      <c r="G655" s="51" t="s">
        <v>1192</v>
      </c>
      <c r="H655" s="54" t="s">
        <v>150</v>
      </c>
      <c r="I655" s="52">
        <v>5</v>
      </c>
      <c r="J655" s="51" t="s">
        <v>1136</v>
      </c>
      <c r="K655" s="52"/>
      <c r="L655" s="52"/>
      <c r="M655" s="52"/>
      <c r="N655" s="53" t="s">
        <v>1193</v>
      </c>
      <c r="O655" s="53" t="s">
        <v>1194</v>
      </c>
      <c r="P655" s="52"/>
      <c r="Q655" s="51"/>
      <c r="R655" s="55"/>
      <c r="S655" s="51"/>
      <c r="T655" s="53" t="s">
        <v>1195</v>
      </c>
      <c r="U655" s="53" t="s">
        <v>1739</v>
      </c>
      <c r="V655" s="53" t="s">
        <v>1197</v>
      </c>
      <c r="W655" s="319" t="s">
        <v>1740</v>
      </c>
      <c r="X655" s="51" t="s">
        <v>1165</v>
      </c>
      <c r="Y655" s="54" t="s">
        <v>1166</v>
      </c>
      <c r="Z655" s="54" t="s">
        <v>1190</v>
      </c>
      <c r="AA655" s="52" t="s">
        <v>372</v>
      </c>
    </row>
    <row r="656" spans="2:27" ht="80.25" hidden="1" customHeight="1">
      <c r="B656" s="51" t="s">
        <v>73</v>
      </c>
      <c r="C656" s="51" t="s">
        <v>2844</v>
      </c>
      <c r="D656" s="51" t="s">
        <v>74</v>
      </c>
      <c r="E656" s="52">
        <v>2</v>
      </c>
      <c r="F656" s="51" t="s">
        <v>1199</v>
      </c>
      <c r="G656" s="51" t="s">
        <v>1200</v>
      </c>
      <c r="H656" s="54" t="s">
        <v>200</v>
      </c>
      <c r="I656" s="52">
        <v>6</v>
      </c>
      <c r="J656" s="51" t="s">
        <v>123</v>
      </c>
      <c r="K656" s="52">
        <v>10</v>
      </c>
      <c r="L656" s="52"/>
      <c r="M656" s="52"/>
      <c r="N656" s="53" t="s">
        <v>1201</v>
      </c>
      <c r="O656" s="53" t="s">
        <v>1202</v>
      </c>
      <c r="P656" s="52"/>
      <c r="Q656" s="54"/>
      <c r="R656" s="55" t="s">
        <v>1160</v>
      </c>
      <c r="S656" s="51" t="s">
        <v>1203</v>
      </c>
      <c r="T656" s="53" t="s">
        <v>1161</v>
      </c>
      <c r="U656" s="53" t="s">
        <v>1728</v>
      </c>
      <c r="V656" s="53" t="s">
        <v>1204</v>
      </c>
      <c r="W656" s="319" t="s">
        <v>2848</v>
      </c>
      <c r="X656" s="51" t="s">
        <v>1165</v>
      </c>
      <c r="Y656" s="69" t="s">
        <v>1166</v>
      </c>
      <c r="Z656" s="69" t="s">
        <v>1206</v>
      </c>
      <c r="AA656" s="52" t="s">
        <v>372</v>
      </c>
    </row>
    <row r="657" spans="2:27" ht="80.25" hidden="1" customHeight="1">
      <c r="B657" s="51" t="s">
        <v>73</v>
      </c>
      <c r="C657" s="51" t="s">
        <v>2844</v>
      </c>
      <c r="D657" s="51" t="s">
        <v>74</v>
      </c>
      <c r="E657" s="52">
        <v>2</v>
      </c>
      <c r="F657" s="51" t="s">
        <v>1207</v>
      </c>
      <c r="G657" s="51" t="s">
        <v>1208</v>
      </c>
      <c r="H657" s="54" t="s">
        <v>200</v>
      </c>
      <c r="I657" s="52">
        <v>7</v>
      </c>
      <c r="J657" s="51" t="s">
        <v>123</v>
      </c>
      <c r="K657" s="52">
        <v>10</v>
      </c>
      <c r="L657" s="52"/>
      <c r="M657" s="52"/>
      <c r="N657" s="53" t="s">
        <v>1209</v>
      </c>
      <c r="O657" s="53" t="s">
        <v>1210</v>
      </c>
      <c r="P657" s="52"/>
      <c r="Q657" s="54"/>
      <c r="R657" s="55" t="s">
        <v>1160</v>
      </c>
      <c r="S657" s="51" t="s">
        <v>1211</v>
      </c>
      <c r="T657" s="53" t="s">
        <v>1161</v>
      </c>
      <c r="U657" s="53" t="s">
        <v>1728</v>
      </c>
      <c r="V657" s="53" t="s">
        <v>1212</v>
      </c>
      <c r="W657" s="319" t="s">
        <v>2849</v>
      </c>
      <c r="X657" s="51" t="s">
        <v>1165</v>
      </c>
      <c r="Y657" s="69" t="s">
        <v>1166</v>
      </c>
      <c r="Z657" s="69" t="s">
        <v>1214</v>
      </c>
      <c r="AA657" s="52" t="s">
        <v>372</v>
      </c>
    </row>
    <row r="658" spans="2:27" ht="80.25" hidden="1" customHeight="1">
      <c r="B658" s="51" t="s">
        <v>73</v>
      </c>
      <c r="C658" s="51" t="s">
        <v>2844</v>
      </c>
      <c r="D658" s="51" t="s">
        <v>74</v>
      </c>
      <c r="E658" s="52">
        <v>2</v>
      </c>
      <c r="F658" s="51" t="s">
        <v>1215</v>
      </c>
      <c r="G658" s="51" t="s">
        <v>1216</v>
      </c>
      <c r="H658" s="54" t="s">
        <v>1217</v>
      </c>
      <c r="I658" s="52">
        <v>8</v>
      </c>
      <c r="J658" s="51" t="s">
        <v>250</v>
      </c>
      <c r="K658" s="52">
        <v>23</v>
      </c>
      <c r="L658" s="52">
        <v>6</v>
      </c>
      <c r="M658" s="52"/>
      <c r="N658" s="53" t="s">
        <v>1218</v>
      </c>
      <c r="O658" s="53" t="s">
        <v>1219</v>
      </c>
      <c r="P658" s="52"/>
      <c r="Q658" s="54"/>
      <c r="R658" s="55" t="s">
        <v>1160</v>
      </c>
      <c r="S658" s="51" t="s">
        <v>1220</v>
      </c>
      <c r="T658" s="53" t="s">
        <v>1161</v>
      </c>
      <c r="U658" s="53" t="s">
        <v>1743</v>
      </c>
      <c r="V658" s="53" t="s">
        <v>1222</v>
      </c>
      <c r="W658" s="319" t="s">
        <v>2850</v>
      </c>
      <c r="X658" s="51" t="s">
        <v>1165</v>
      </c>
      <c r="Y658" s="69" t="s">
        <v>1224</v>
      </c>
      <c r="Z658" s="69" t="s">
        <v>1225</v>
      </c>
      <c r="AA658" s="52" t="s">
        <v>372</v>
      </c>
    </row>
    <row r="659" spans="2:27" ht="80.25" hidden="1" customHeight="1">
      <c r="B659" s="51" t="s">
        <v>73</v>
      </c>
      <c r="C659" s="51" t="s">
        <v>2844</v>
      </c>
      <c r="D659" s="51" t="s">
        <v>74</v>
      </c>
      <c r="E659" s="52">
        <v>2</v>
      </c>
      <c r="F659" s="51" t="s">
        <v>1226</v>
      </c>
      <c r="G659" s="51" t="s">
        <v>1227</v>
      </c>
      <c r="H659" s="54" t="s">
        <v>1217</v>
      </c>
      <c r="I659" s="52">
        <v>9</v>
      </c>
      <c r="J659" s="51" t="s">
        <v>250</v>
      </c>
      <c r="K659" s="52">
        <v>23</v>
      </c>
      <c r="L659" s="52">
        <v>6</v>
      </c>
      <c r="M659" s="52"/>
      <c r="N659" s="53" t="s">
        <v>1228</v>
      </c>
      <c r="O659" s="53" t="s">
        <v>1229</v>
      </c>
      <c r="P659" s="52"/>
      <c r="Q659" s="54"/>
      <c r="R659" s="55" t="s">
        <v>1160</v>
      </c>
      <c r="S659" s="51" t="s">
        <v>1230</v>
      </c>
      <c r="T659" s="53" t="s">
        <v>1161</v>
      </c>
      <c r="U659" s="53" t="s">
        <v>1743</v>
      </c>
      <c r="V659" s="53" t="s">
        <v>1231</v>
      </c>
      <c r="W659" s="319" t="s">
        <v>2851</v>
      </c>
      <c r="X659" s="51" t="s">
        <v>1165</v>
      </c>
      <c r="Y659" s="69" t="s">
        <v>1224</v>
      </c>
      <c r="Z659" s="69" t="s">
        <v>1233</v>
      </c>
      <c r="AA659" s="52" t="s">
        <v>372</v>
      </c>
    </row>
    <row r="660" spans="2:27" ht="80.25" hidden="1" customHeight="1">
      <c r="B660" s="51" t="s">
        <v>73</v>
      </c>
      <c r="C660" s="51" t="s">
        <v>2844</v>
      </c>
      <c r="D660" s="51" t="s">
        <v>74</v>
      </c>
      <c r="E660" s="52">
        <v>2</v>
      </c>
      <c r="F660" s="51" t="s">
        <v>1234</v>
      </c>
      <c r="G660" s="51" t="s">
        <v>1235</v>
      </c>
      <c r="H660" s="54" t="s">
        <v>295</v>
      </c>
      <c r="I660" s="52">
        <v>10</v>
      </c>
      <c r="J660" s="51" t="s">
        <v>123</v>
      </c>
      <c r="K660" s="52">
        <v>4</v>
      </c>
      <c r="L660" s="52"/>
      <c r="M660" s="52"/>
      <c r="N660" s="53" t="s">
        <v>1236</v>
      </c>
      <c r="O660" s="53" t="s">
        <v>1237</v>
      </c>
      <c r="P660" s="52"/>
      <c r="Q660" s="53" t="s">
        <v>1238</v>
      </c>
      <c r="R660" s="55" t="s">
        <v>1160</v>
      </c>
      <c r="S660" s="51" t="s">
        <v>1239</v>
      </c>
      <c r="T660" s="55" t="s">
        <v>1170</v>
      </c>
      <c r="U660" s="55" t="s">
        <v>1730</v>
      </c>
      <c r="V660" s="55" t="s">
        <v>2530</v>
      </c>
      <c r="W660" s="355" t="s">
        <v>2852</v>
      </c>
      <c r="X660" s="51" t="s">
        <v>1165</v>
      </c>
      <c r="Y660" s="69" t="s">
        <v>1166</v>
      </c>
      <c r="Z660" s="69" t="s">
        <v>1241</v>
      </c>
      <c r="AA660" s="52" t="s">
        <v>372</v>
      </c>
    </row>
    <row r="661" spans="2:27" ht="80.25" hidden="1" customHeight="1">
      <c r="B661" s="51" t="s">
        <v>73</v>
      </c>
      <c r="C661" s="51" t="s">
        <v>2844</v>
      </c>
      <c r="D661" s="51" t="s">
        <v>74</v>
      </c>
      <c r="E661" s="52">
        <v>2</v>
      </c>
      <c r="F661" s="51" t="s">
        <v>326</v>
      </c>
      <c r="G661" s="51" t="s">
        <v>327</v>
      </c>
      <c r="H661" s="51" t="s">
        <v>328</v>
      </c>
      <c r="I661" s="52">
        <v>11</v>
      </c>
      <c r="J661" s="51" t="s">
        <v>123</v>
      </c>
      <c r="K661" s="52">
        <v>10</v>
      </c>
      <c r="L661" s="52"/>
      <c r="M661" s="52"/>
      <c r="N661" s="53" t="s">
        <v>329</v>
      </c>
      <c r="O661" s="53" t="s">
        <v>361</v>
      </c>
      <c r="P661" s="52" t="s">
        <v>126</v>
      </c>
      <c r="Q661" s="54"/>
      <c r="R661" s="55"/>
      <c r="S661" s="51"/>
      <c r="T661" s="53" t="s">
        <v>1161</v>
      </c>
      <c r="U661" s="53" t="s">
        <v>1728</v>
      </c>
      <c r="V661" s="53" t="s">
        <v>804</v>
      </c>
      <c r="W661" s="319" t="s">
        <v>2853</v>
      </c>
      <c r="X661" s="51" t="s">
        <v>372</v>
      </c>
      <c r="Y661" s="51" t="s">
        <v>372</v>
      </c>
      <c r="Z661" s="51" t="s">
        <v>372</v>
      </c>
      <c r="AA661" s="52" t="s">
        <v>372</v>
      </c>
    </row>
    <row r="662" spans="2:27" ht="80.25" hidden="1" customHeight="1">
      <c r="B662" s="51" t="s">
        <v>73</v>
      </c>
      <c r="C662" s="51" t="s">
        <v>2844</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1161</v>
      </c>
      <c r="U662" s="53" t="s">
        <v>1728</v>
      </c>
      <c r="V662" s="53" t="s">
        <v>351</v>
      </c>
      <c r="W662" s="319" t="s">
        <v>2854</v>
      </c>
      <c r="X662" s="51" t="s">
        <v>372</v>
      </c>
      <c r="Y662" s="51" t="s">
        <v>372</v>
      </c>
      <c r="Z662" s="51" t="s">
        <v>372</v>
      </c>
      <c r="AA662" s="52" t="s">
        <v>372</v>
      </c>
    </row>
    <row r="663" spans="2:27" ht="80.25" hidden="1" customHeight="1">
      <c r="B663" s="51" t="s">
        <v>73</v>
      </c>
      <c r="C663" s="51" t="s">
        <v>2855</v>
      </c>
      <c r="D663" s="51" t="s">
        <v>76</v>
      </c>
      <c r="E663" s="52">
        <v>1</v>
      </c>
      <c r="F663" s="51" t="s">
        <v>120</v>
      </c>
      <c r="G663" s="51" t="s">
        <v>121</v>
      </c>
      <c r="H663" s="51" t="s">
        <v>122</v>
      </c>
      <c r="I663" s="52">
        <v>1</v>
      </c>
      <c r="J663" s="51" t="s">
        <v>123</v>
      </c>
      <c r="K663" s="52">
        <v>4</v>
      </c>
      <c r="L663" s="52"/>
      <c r="M663" s="52"/>
      <c r="N663" s="328" t="s">
        <v>124</v>
      </c>
      <c r="O663" s="53" t="s">
        <v>125</v>
      </c>
      <c r="P663" s="52" t="s">
        <v>126</v>
      </c>
      <c r="Q663" s="54"/>
      <c r="R663" s="55" t="s">
        <v>1750</v>
      </c>
      <c r="S663" s="55" t="s">
        <v>1327</v>
      </c>
      <c r="T663" s="53" t="s">
        <v>1170</v>
      </c>
      <c r="U663" s="53" t="s">
        <v>1751</v>
      </c>
      <c r="V663" s="53" t="s">
        <v>555</v>
      </c>
      <c r="W663" s="326" t="s">
        <v>2856</v>
      </c>
      <c r="X663" s="51" t="s">
        <v>1165</v>
      </c>
      <c r="Y663" s="54" t="s">
        <v>372</v>
      </c>
      <c r="Z663" s="54" t="s">
        <v>372</v>
      </c>
      <c r="AA663" s="52" t="s">
        <v>373</v>
      </c>
    </row>
    <row r="664" spans="2:27" ht="80.25" hidden="1" customHeight="1">
      <c r="B664" s="51" t="s">
        <v>73</v>
      </c>
      <c r="C664" s="51" t="s">
        <v>2855</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1750</v>
      </c>
      <c r="S664" s="55" t="s">
        <v>1327</v>
      </c>
      <c r="T664" s="53" t="s">
        <v>1161</v>
      </c>
      <c r="U664" s="53" t="s">
        <v>1753</v>
      </c>
      <c r="V664" s="53" t="s">
        <v>633</v>
      </c>
      <c r="W664" s="319" t="s">
        <v>2857</v>
      </c>
      <c r="X664" s="51" t="s">
        <v>1165</v>
      </c>
      <c r="Y664" s="54" t="s">
        <v>1182</v>
      </c>
      <c r="Z664" s="54" t="s">
        <v>1029</v>
      </c>
      <c r="AA664" s="52" t="s">
        <v>372</v>
      </c>
    </row>
    <row r="665" spans="2:27" ht="80.25" hidden="1" customHeight="1">
      <c r="B665" s="51" t="s">
        <v>73</v>
      </c>
      <c r="C665" s="51" t="s">
        <v>2855</v>
      </c>
      <c r="D665" s="51" t="s">
        <v>76</v>
      </c>
      <c r="E665" s="52">
        <v>1</v>
      </c>
      <c r="F665" s="51" t="s">
        <v>148</v>
      </c>
      <c r="G665" s="51" t="s">
        <v>149</v>
      </c>
      <c r="H665" s="54" t="s">
        <v>150</v>
      </c>
      <c r="I665" s="52">
        <v>3</v>
      </c>
      <c r="J665" s="51" t="s">
        <v>123</v>
      </c>
      <c r="K665" s="52">
        <v>4</v>
      </c>
      <c r="L665" s="52"/>
      <c r="M665" s="52"/>
      <c r="N665" s="53" t="s">
        <v>151</v>
      </c>
      <c r="O665" s="53" t="s">
        <v>152</v>
      </c>
      <c r="P665" s="52"/>
      <c r="Q665" s="53" t="s">
        <v>586</v>
      </c>
      <c r="R665" s="55"/>
      <c r="S665" s="51"/>
      <c r="T665" s="53" t="s">
        <v>1170</v>
      </c>
      <c r="U665" s="53" t="s">
        <v>1751</v>
      </c>
      <c r="V665" s="53" t="s">
        <v>555</v>
      </c>
      <c r="W665" s="319" t="s">
        <v>2858</v>
      </c>
      <c r="X665" s="51" t="s">
        <v>372</v>
      </c>
      <c r="Y665" s="54" t="s">
        <v>372</v>
      </c>
      <c r="Z665" s="54" t="s">
        <v>372</v>
      </c>
      <c r="AA665" s="52" t="s">
        <v>372</v>
      </c>
    </row>
    <row r="666" spans="2:27" ht="80.25" hidden="1" customHeight="1">
      <c r="B666" s="51" t="s">
        <v>73</v>
      </c>
      <c r="C666" s="51" t="s">
        <v>2855</v>
      </c>
      <c r="D666" s="51" t="s">
        <v>76</v>
      </c>
      <c r="E666" s="52">
        <v>1</v>
      </c>
      <c r="F666" s="51" t="s">
        <v>155</v>
      </c>
      <c r="G666" s="51" t="s">
        <v>156</v>
      </c>
      <c r="H666" s="54" t="s">
        <v>150</v>
      </c>
      <c r="I666" s="52">
        <v>3</v>
      </c>
      <c r="J666" s="51" t="s">
        <v>123</v>
      </c>
      <c r="K666" s="52">
        <v>4</v>
      </c>
      <c r="L666" s="52"/>
      <c r="M666" s="52"/>
      <c r="N666" s="53" t="s">
        <v>157</v>
      </c>
      <c r="O666" s="53" t="s">
        <v>158</v>
      </c>
      <c r="P666" s="52"/>
      <c r="Q666" s="53" t="s">
        <v>1252</v>
      </c>
      <c r="R666" s="55" t="s">
        <v>203</v>
      </c>
      <c r="S666" s="51" t="s">
        <v>1756</v>
      </c>
      <c r="T666" s="53" t="s">
        <v>1178</v>
      </c>
      <c r="U666" s="53" t="s">
        <v>1757</v>
      </c>
      <c r="V666" s="53" t="s">
        <v>1254</v>
      </c>
      <c r="W666" s="319" t="s">
        <v>2859</v>
      </c>
      <c r="X666" s="51" t="s">
        <v>1165</v>
      </c>
      <c r="Y666" s="65" t="s">
        <v>1256</v>
      </c>
      <c r="Z666" s="65" t="s">
        <v>590</v>
      </c>
      <c r="AA666" s="52" t="s">
        <v>372</v>
      </c>
    </row>
    <row r="667" spans="2:27" ht="80.25" hidden="1" customHeight="1">
      <c r="B667" s="51" t="s">
        <v>73</v>
      </c>
      <c r="C667" s="51" t="s">
        <v>2855</v>
      </c>
      <c r="D667" s="51" t="s">
        <v>76</v>
      </c>
      <c r="E667" s="52">
        <v>1</v>
      </c>
      <c r="F667" s="51" t="s">
        <v>167</v>
      </c>
      <c r="G667" s="51" t="s">
        <v>168</v>
      </c>
      <c r="H667" s="54" t="s">
        <v>150</v>
      </c>
      <c r="I667" s="52">
        <v>3</v>
      </c>
      <c r="J667" s="51" t="s">
        <v>123</v>
      </c>
      <c r="K667" s="52">
        <v>4</v>
      </c>
      <c r="L667" s="52"/>
      <c r="M667" s="52"/>
      <c r="N667" s="53" t="s">
        <v>169</v>
      </c>
      <c r="O667" s="53" t="s">
        <v>170</v>
      </c>
      <c r="P667" s="52"/>
      <c r="Q667" s="53" t="s">
        <v>1257</v>
      </c>
      <c r="R667" s="55" t="s">
        <v>203</v>
      </c>
      <c r="S667" s="51" t="s">
        <v>1759</v>
      </c>
      <c r="T667" s="53" t="s">
        <v>1178</v>
      </c>
      <c r="U667" s="53" t="s">
        <v>1757</v>
      </c>
      <c r="V667" s="53" t="s">
        <v>1258</v>
      </c>
      <c r="W667" s="319" t="s">
        <v>2860</v>
      </c>
      <c r="X667" s="51" t="s">
        <v>1165</v>
      </c>
      <c r="Y667" s="65" t="s">
        <v>1256</v>
      </c>
      <c r="Z667" s="65" t="s">
        <v>593</v>
      </c>
      <c r="AA667" s="52" t="s">
        <v>372</v>
      </c>
    </row>
    <row r="668" spans="2:27" ht="80.25" hidden="1" customHeight="1">
      <c r="B668" s="51" t="s">
        <v>73</v>
      </c>
      <c r="C668" s="51" t="s">
        <v>2855</v>
      </c>
      <c r="D668" s="51" t="s">
        <v>76</v>
      </c>
      <c r="E668" s="52">
        <v>1</v>
      </c>
      <c r="F668" s="51" t="s">
        <v>176</v>
      </c>
      <c r="G668" s="51" t="s">
        <v>177</v>
      </c>
      <c r="H668" s="54" t="s">
        <v>150</v>
      </c>
      <c r="I668" s="52">
        <v>6</v>
      </c>
      <c r="J668" s="51" t="s">
        <v>123</v>
      </c>
      <c r="K668" s="52">
        <v>4</v>
      </c>
      <c r="L668" s="52"/>
      <c r="M668" s="52"/>
      <c r="N668" s="76" t="s">
        <v>1761</v>
      </c>
      <c r="O668" s="53" t="s">
        <v>179</v>
      </c>
      <c r="P668" s="52"/>
      <c r="Q668" s="54"/>
      <c r="R668" s="53" t="s">
        <v>1393</v>
      </c>
      <c r="S668" s="53" t="s">
        <v>181</v>
      </c>
      <c r="T668" s="53" t="s">
        <v>1170</v>
      </c>
      <c r="U668" s="53" t="s">
        <v>1751</v>
      </c>
      <c r="V668" s="53" t="s">
        <v>555</v>
      </c>
      <c r="W668" s="326" t="s">
        <v>2861</v>
      </c>
      <c r="X668" s="51" t="s">
        <v>1165</v>
      </c>
      <c r="Y668" s="54" t="s">
        <v>372</v>
      </c>
      <c r="Z668" s="54" t="s">
        <v>372</v>
      </c>
      <c r="AA668" s="52" t="s">
        <v>373</v>
      </c>
    </row>
    <row r="669" spans="2:27" ht="80.25" hidden="1" customHeight="1">
      <c r="B669" s="51" t="s">
        <v>73</v>
      </c>
      <c r="C669" s="51" t="s">
        <v>2855</v>
      </c>
      <c r="D669" s="51" t="s">
        <v>76</v>
      </c>
      <c r="E669" s="52">
        <v>1</v>
      </c>
      <c r="F669" s="51" t="s">
        <v>187</v>
      </c>
      <c r="G669" s="51" t="s">
        <v>188</v>
      </c>
      <c r="H669" s="54" t="s">
        <v>150</v>
      </c>
      <c r="I669" s="52">
        <v>7</v>
      </c>
      <c r="J669" s="51" t="s">
        <v>123</v>
      </c>
      <c r="K669" s="52">
        <v>30</v>
      </c>
      <c r="L669" s="52"/>
      <c r="M669" s="52"/>
      <c r="N669" s="53" t="s">
        <v>1763</v>
      </c>
      <c r="O669" s="53" t="s">
        <v>190</v>
      </c>
      <c r="P669" s="52"/>
      <c r="Q669" s="54"/>
      <c r="R669" s="53" t="s">
        <v>1393</v>
      </c>
      <c r="S669" s="53" t="s">
        <v>181</v>
      </c>
      <c r="T669" s="53" t="s">
        <v>1178</v>
      </c>
      <c r="U669" s="53" t="s">
        <v>1764</v>
      </c>
      <c r="V669" s="53" t="s">
        <v>1265</v>
      </c>
      <c r="W669" s="319" t="s">
        <v>2862</v>
      </c>
      <c r="X669" s="51" t="s">
        <v>1165</v>
      </c>
      <c r="Y669" s="65" t="s">
        <v>1267</v>
      </c>
      <c r="Z669" s="69" t="s">
        <v>1766</v>
      </c>
      <c r="AA669" s="52" t="s">
        <v>372</v>
      </c>
    </row>
    <row r="670" spans="2:27" ht="80.25" hidden="1" customHeight="1">
      <c r="B670" s="51" t="s">
        <v>73</v>
      </c>
      <c r="C670" s="51" t="s">
        <v>2855</v>
      </c>
      <c r="D670" s="51" t="s">
        <v>76</v>
      </c>
      <c r="E670" s="52">
        <v>1</v>
      </c>
      <c r="F670" s="51" t="s">
        <v>198</v>
      </c>
      <c r="G670" s="51" t="s">
        <v>199</v>
      </c>
      <c r="H670" s="54" t="s">
        <v>200</v>
      </c>
      <c r="I670" s="52">
        <v>8</v>
      </c>
      <c r="J670" s="51" t="s">
        <v>123</v>
      </c>
      <c r="K670" s="52">
        <v>10</v>
      </c>
      <c r="L670" s="52"/>
      <c r="M670" s="52"/>
      <c r="N670" s="53" t="s">
        <v>1767</v>
      </c>
      <c r="O670" s="53" t="s">
        <v>202</v>
      </c>
      <c r="P670" s="52"/>
      <c r="Q670" s="54"/>
      <c r="R670" s="55" t="s">
        <v>203</v>
      </c>
      <c r="S670" s="51" t="s">
        <v>198</v>
      </c>
      <c r="T670" s="53" t="s">
        <v>1161</v>
      </c>
      <c r="U670" s="53" t="s">
        <v>1753</v>
      </c>
      <c r="V670" s="53" t="s">
        <v>1271</v>
      </c>
      <c r="W670" s="319" t="s">
        <v>2863</v>
      </c>
      <c r="X670" s="51" t="s">
        <v>1165</v>
      </c>
      <c r="Y670" s="54" t="s">
        <v>1182</v>
      </c>
      <c r="Z670" s="54" t="s">
        <v>1273</v>
      </c>
      <c r="AA670" s="52" t="s">
        <v>372</v>
      </c>
    </row>
    <row r="671" spans="2:27" ht="80.25" hidden="1" customHeight="1">
      <c r="B671" s="51" t="s">
        <v>73</v>
      </c>
      <c r="C671" s="51" t="s">
        <v>2855</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1170</v>
      </c>
      <c r="U671" s="53" t="s">
        <v>1751</v>
      </c>
      <c r="V671" s="53" t="s">
        <v>351</v>
      </c>
      <c r="W671" s="319" t="s">
        <v>2864</v>
      </c>
      <c r="X671" s="51" t="s">
        <v>1165</v>
      </c>
      <c r="Y671" s="54" t="s">
        <v>372</v>
      </c>
      <c r="Z671" s="54" t="s">
        <v>372</v>
      </c>
      <c r="AA671" s="64" t="s">
        <v>636</v>
      </c>
    </row>
    <row r="672" spans="2:27" ht="80.25" hidden="1" customHeight="1">
      <c r="B672" s="51" t="s">
        <v>73</v>
      </c>
      <c r="C672" s="51" t="s">
        <v>2855</v>
      </c>
      <c r="D672" s="51" t="s">
        <v>76</v>
      </c>
      <c r="E672" s="52">
        <v>1</v>
      </c>
      <c r="F672" s="51" t="s">
        <v>222</v>
      </c>
      <c r="G672" s="51" t="s">
        <v>223</v>
      </c>
      <c r="H672" s="54" t="s">
        <v>224</v>
      </c>
      <c r="I672" s="52">
        <v>10</v>
      </c>
      <c r="J672" s="51" t="s">
        <v>123</v>
      </c>
      <c r="K672" s="52">
        <v>4</v>
      </c>
      <c r="L672" s="52"/>
      <c r="M672" s="52"/>
      <c r="N672" s="53" t="s">
        <v>1770</v>
      </c>
      <c r="O672" s="53" t="s">
        <v>226</v>
      </c>
      <c r="P672" s="52"/>
      <c r="Q672" s="53" t="s">
        <v>1277</v>
      </c>
      <c r="R672" s="55" t="s">
        <v>654</v>
      </c>
      <c r="S672" s="55" t="s">
        <v>229</v>
      </c>
      <c r="T672" s="53" t="s">
        <v>1161</v>
      </c>
      <c r="U672" s="53" t="s">
        <v>1753</v>
      </c>
      <c r="V672" s="53" t="s">
        <v>1278</v>
      </c>
      <c r="W672" s="319" t="s">
        <v>2865</v>
      </c>
      <c r="X672" s="51" t="s">
        <v>1165</v>
      </c>
      <c r="Y672" s="54" t="s">
        <v>1182</v>
      </c>
      <c r="Z672" s="54" t="s">
        <v>1280</v>
      </c>
      <c r="AA672" s="52" t="s">
        <v>372</v>
      </c>
    </row>
    <row r="673" spans="2:27" ht="80.25" hidden="1" customHeight="1">
      <c r="B673" s="51" t="s">
        <v>73</v>
      </c>
      <c r="C673" s="51" t="s">
        <v>2855</v>
      </c>
      <c r="D673" s="51" t="s">
        <v>76</v>
      </c>
      <c r="E673" s="52">
        <v>1</v>
      </c>
      <c r="F673" s="51" t="s">
        <v>293</v>
      </c>
      <c r="G673" s="51" t="s">
        <v>294</v>
      </c>
      <c r="H673" s="54" t="s">
        <v>295</v>
      </c>
      <c r="I673" s="52">
        <v>12</v>
      </c>
      <c r="J673" s="51" t="s">
        <v>123</v>
      </c>
      <c r="K673" s="52">
        <v>4</v>
      </c>
      <c r="L673" s="52"/>
      <c r="M673" s="52"/>
      <c r="N673" s="53" t="s">
        <v>1772</v>
      </c>
      <c r="O673" s="53" t="s">
        <v>297</v>
      </c>
      <c r="P673" s="52"/>
      <c r="Q673" s="53" t="s">
        <v>1285</v>
      </c>
      <c r="R673" s="53" t="s">
        <v>299</v>
      </c>
      <c r="S673" s="54" t="s">
        <v>300</v>
      </c>
      <c r="T673" s="55" t="s">
        <v>1170</v>
      </c>
      <c r="U673" s="55" t="s">
        <v>1751</v>
      </c>
      <c r="V673" s="55" t="s">
        <v>555</v>
      </c>
      <c r="W673" s="355" t="s">
        <v>2866</v>
      </c>
      <c r="X673" s="51" t="s">
        <v>1165</v>
      </c>
      <c r="Y673" s="54" t="s">
        <v>1182</v>
      </c>
      <c r="Z673" s="54" t="s">
        <v>1288</v>
      </c>
      <c r="AA673" s="52" t="s">
        <v>372</v>
      </c>
    </row>
    <row r="674" spans="2:27" ht="80.25" hidden="1" customHeight="1">
      <c r="B674" s="51" t="s">
        <v>73</v>
      </c>
      <c r="C674" s="51" t="s">
        <v>2855</v>
      </c>
      <c r="D674" s="51" t="s">
        <v>76</v>
      </c>
      <c r="E674" s="52">
        <v>1</v>
      </c>
      <c r="F674" s="51" t="s">
        <v>304</v>
      </c>
      <c r="G674" s="51" t="s">
        <v>305</v>
      </c>
      <c r="H674" s="54" t="s">
        <v>295</v>
      </c>
      <c r="I674" s="52">
        <v>13</v>
      </c>
      <c r="J674" s="51" t="s">
        <v>123</v>
      </c>
      <c r="K674" s="52">
        <v>4</v>
      </c>
      <c r="L674" s="52"/>
      <c r="M674" s="52"/>
      <c r="N674" s="53" t="s">
        <v>306</v>
      </c>
      <c r="O674" s="53" t="s">
        <v>307</v>
      </c>
      <c r="P674" s="52"/>
      <c r="Q674" s="53" t="s">
        <v>1774</v>
      </c>
      <c r="R674" s="55" t="s">
        <v>203</v>
      </c>
      <c r="S674" s="51" t="s">
        <v>309</v>
      </c>
      <c r="T674" s="55" t="s">
        <v>1775</v>
      </c>
      <c r="U674" s="55" t="s">
        <v>1776</v>
      </c>
      <c r="V674" s="55" t="s">
        <v>1777</v>
      </c>
      <c r="W674" s="355" t="s">
        <v>2867</v>
      </c>
      <c r="X674" s="51" t="s">
        <v>1165</v>
      </c>
      <c r="Y674" s="65" t="s">
        <v>1779</v>
      </c>
      <c r="Z674" s="65" t="s">
        <v>1780</v>
      </c>
      <c r="AA674" s="52" t="s">
        <v>1781</v>
      </c>
    </row>
    <row r="675" spans="2:27" ht="80.25" hidden="1" customHeight="1">
      <c r="B675" s="51" t="s">
        <v>73</v>
      </c>
      <c r="C675" s="51" t="s">
        <v>2855</v>
      </c>
      <c r="D675" s="51" t="s">
        <v>76</v>
      </c>
      <c r="E675" s="52">
        <v>1</v>
      </c>
      <c r="F675" s="51" t="s">
        <v>317</v>
      </c>
      <c r="G675" s="51" t="s">
        <v>318</v>
      </c>
      <c r="H675" s="51" t="s">
        <v>319</v>
      </c>
      <c r="I675" s="52">
        <v>14</v>
      </c>
      <c r="J675" s="51" t="s">
        <v>123</v>
      </c>
      <c r="K675" s="52">
        <v>2</v>
      </c>
      <c r="L675" s="52"/>
      <c r="M675" s="52"/>
      <c r="N675" s="53" t="s">
        <v>320</v>
      </c>
      <c r="O675" s="53" t="s">
        <v>321</v>
      </c>
      <c r="P675" s="52"/>
      <c r="Q675" s="53" t="s">
        <v>463</v>
      </c>
      <c r="R675" s="55"/>
      <c r="S675" s="51"/>
      <c r="T675" s="53" t="s">
        <v>1161</v>
      </c>
      <c r="U675" s="53" t="s">
        <v>1753</v>
      </c>
      <c r="V675" s="90" t="s">
        <v>351</v>
      </c>
      <c r="W675" s="321" t="s">
        <v>2868</v>
      </c>
      <c r="X675" s="51" t="s">
        <v>1165</v>
      </c>
      <c r="Y675" s="54" t="s">
        <v>372</v>
      </c>
      <c r="Z675" s="54" t="s">
        <v>372</v>
      </c>
      <c r="AA675" s="52" t="s">
        <v>1783</v>
      </c>
    </row>
    <row r="676" spans="2:27" ht="80.25" hidden="1" customHeight="1">
      <c r="B676" s="51" t="s">
        <v>73</v>
      </c>
      <c r="C676" s="51" t="s">
        <v>2855</v>
      </c>
      <c r="D676" s="51" t="s">
        <v>76</v>
      </c>
      <c r="E676" s="52">
        <v>1</v>
      </c>
      <c r="F676" s="51" t="s">
        <v>326</v>
      </c>
      <c r="G676" s="51" t="s">
        <v>327</v>
      </c>
      <c r="H676" s="51" t="s">
        <v>328</v>
      </c>
      <c r="I676" s="52">
        <v>15</v>
      </c>
      <c r="J676" s="51" t="s">
        <v>123</v>
      </c>
      <c r="K676" s="52">
        <v>10</v>
      </c>
      <c r="L676" s="52"/>
      <c r="M676" s="52"/>
      <c r="N676" s="53" t="s">
        <v>329</v>
      </c>
      <c r="O676" s="53" t="s">
        <v>361</v>
      </c>
      <c r="P676" s="52" t="s">
        <v>126</v>
      </c>
      <c r="Q676" s="54"/>
      <c r="R676" s="55" t="s">
        <v>275</v>
      </c>
      <c r="S676" s="51" t="s">
        <v>803</v>
      </c>
      <c r="T676" s="53" t="s">
        <v>1161</v>
      </c>
      <c r="U676" s="53" t="s">
        <v>1753</v>
      </c>
      <c r="V676" s="53" t="s">
        <v>804</v>
      </c>
      <c r="W676" s="319" t="s">
        <v>2869</v>
      </c>
      <c r="X676" s="51" t="s">
        <v>372</v>
      </c>
      <c r="Y676" s="54" t="s">
        <v>372</v>
      </c>
      <c r="Z676" s="54" t="s">
        <v>372</v>
      </c>
      <c r="AA676" s="52" t="s">
        <v>372</v>
      </c>
    </row>
    <row r="677" spans="2:27" ht="80.25" hidden="1" customHeight="1">
      <c r="B677" s="51" t="s">
        <v>73</v>
      </c>
      <c r="C677" s="51" t="s">
        <v>2855</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1161</v>
      </c>
      <c r="U677" s="53" t="s">
        <v>1753</v>
      </c>
      <c r="V677" s="53" t="s">
        <v>351</v>
      </c>
      <c r="W677" s="319" t="s">
        <v>2870</v>
      </c>
      <c r="X677" s="51" t="s">
        <v>372</v>
      </c>
      <c r="Y677" s="54" t="s">
        <v>372</v>
      </c>
      <c r="Z677" s="54" t="s">
        <v>372</v>
      </c>
      <c r="AA677" s="52" t="s">
        <v>372</v>
      </c>
    </row>
    <row r="678" spans="2:27" ht="80.25" hidden="1" customHeight="1">
      <c r="B678" s="51" t="s">
        <v>78</v>
      </c>
      <c r="C678" s="51" t="s">
        <v>2871</v>
      </c>
      <c r="D678" s="51" t="s">
        <v>79</v>
      </c>
      <c r="E678" s="52">
        <v>1</v>
      </c>
      <c r="F678" s="51" t="s">
        <v>120</v>
      </c>
      <c r="G678" s="51" t="s">
        <v>121</v>
      </c>
      <c r="H678" s="51" t="s">
        <v>122</v>
      </c>
      <c r="I678" s="52">
        <v>1</v>
      </c>
      <c r="J678" s="51" t="s">
        <v>123</v>
      </c>
      <c r="K678" s="52">
        <v>4</v>
      </c>
      <c r="L678" s="52"/>
      <c r="M678" s="52"/>
      <c r="N678" s="328" t="s">
        <v>124</v>
      </c>
      <c r="O678" s="53" t="s">
        <v>125</v>
      </c>
      <c r="P678" s="52" t="s">
        <v>126</v>
      </c>
      <c r="Q678" s="54"/>
      <c r="R678" s="55" t="s">
        <v>2872</v>
      </c>
      <c r="S678" s="55" t="s">
        <v>2873</v>
      </c>
      <c r="T678" s="53" t="s">
        <v>2874</v>
      </c>
      <c r="U678" s="53" t="s">
        <v>2875</v>
      </c>
      <c r="V678" s="53" t="s">
        <v>369</v>
      </c>
      <c r="W678" s="82" t="s">
        <v>2876</v>
      </c>
      <c r="X678" s="51" t="s">
        <v>2877</v>
      </c>
      <c r="Y678" s="54" t="s">
        <v>372</v>
      </c>
      <c r="Z678" s="54" t="s">
        <v>372</v>
      </c>
      <c r="AA678" s="52" t="s">
        <v>373</v>
      </c>
    </row>
    <row r="679" spans="2:27" ht="80.25" hidden="1" customHeight="1">
      <c r="B679" s="51" t="s">
        <v>78</v>
      </c>
      <c r="C679" s="51" t="s">
        <v>2871</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2872</v>
      </c>
      <c r="S679" s="55" t="s">
        <v>2873</v>
      </c>
      <c r="T679" s="53" t="s">
        <v>2878</v>
      </c>
      <c r="U679" s="53" t="s">
        <v>2879</v>
      </c>
      <c r="V679" s="53" t="s">
        <v>2283</v>
      </c>
      <c r="W679" s="82" t="s">
        <v>2880</v>
      </c>
      <c r="X679" s="51" t="s">
        <v>2877</v>
      </c>
      <c r="Y679" s="53" t="s">
        <v>2881</v>
      </c>
      <c r="Z679" s="54" t="s">
        <v>2882</v>
      </c>
      <c r="AA679" s="52" t="s">
        <v>372</v>
      </c>
    </row>
    <row r="680" spans="2:27" ht="80.25" hidden="1" customHeight="1">
      <c r="B680" s="51" t="s">
        <v>78</v>
      </c>
      <c r="C680" s="51" t="s">
        <v>2871</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2878</v>
      </c>
      <c r="U680" s="53" t="s">
        <v>2879</v>
      </c>
      <c r="V680" s="51" t="s">
        <v>630</v>
      </c>
      <c r="W680" s="82" t="s">
        <v>2883</v>
      </c>
      <c r="X680" s="51" t="s">
        <v>2877</v>
      </c>
      <c r="Y680" s="53" t="s">
        <v>2881</v>
      </c>
      <c r="Z680" s="53" t="s">
        <v>630</v>
      </c>
      <c r="AA680" s="52" t="s">
        <v>372</v>
      </c>
    </row>
    <row r="681" spans="2:27" ht="80.25" hidden="1" customHeight="1">
      <c r="B681" s="51" t="s">
        <v>78</v>
      </c>
      <c r="C681" s="51" t="s">
        <v>2871</v>
      </c>
      <c r="D681" s="51" t="s">
        <v>79</v>
      </c>
      <c r="E681" s="52">
        <v>1</v>
      </c>
      <c r="F681" s="51" t="s">
        <v>148</v>
      </c>
      <c r="G681" s="51" t="s">
        <v>149</v>
      </c>
      <c r="H681" s="54" t="s">
        <v>150</v>
      </c>
      <c r="I681" s="52">
        <v>4</v>
      </c>
      <c r="J681" s="51" t="s">
        <v>123</v>
      </c>
      <c r="K681" s="52">
        <v>4</v>
      </c>
      <c r="L681" s="52"/>
      <c r="M681" s="52"/>
      <c r="N681" s="53" t="s">
        <v>151</v>
      </c>
      <c r="O681" s="53" t="s">
        <v>152</v>
      </c>
      <c r="P681" s="52"/>
      <c r="Q681" s="53" t="s">
        <v>586</v>
      </c>
      <c r="R681" s="55"/>
      <c r="S681" s="51"/>
      <c r="T681" s="53" t="s">
        <v>2874</v>
      </c>
      <c r="U681" s="53" t="s">
        <v>2875</v>
      </c>
      <c r="V681" s="53" t="s">
        <v>369</v>
      </c>
      <c r="W681" s="355" t="s">
        <v>2884</v>
      </c>
      <c r="X681" s="51" t="s">
        <v>372</v>
      </c>
      <c r="Y681" s="51" t="s">
        <v>372</v>
      </c>
      <c r="Z681" s="51" t="s">
        <v>372</v>
      </c>
      <c r="AA681" s="52" t="s">
        <v>372</v>
      </c>
    </row>
    <row r="682" spans="2:27" ht="80.25" hidden="1" customHeight="1">
      <c r="B682" s="51" t="s">
        <v>78</v>
      </c>
      <c r="C682" s="51" t="s">
        <v>2871</v>
      </c>
      <c r="D682" s="51" t="s">
        <v>79</v>
      </c>
      <c r="E682" s="52">
        <v>1</v>
      </c>
      <c r="F682" s="51" t="s">
        <v>155</v>
      </c>
      <c r="G682" s="51" t="s">
        <v>156</v>
      </c>
      <c r="H682" s="54" t="s">
        <v>150</v>
      </c>
      <c r="I682" s="52">
        <v>5</v>
      </c>
      <c r="J682" s="51" t="s">
        <v>123</v>
      </c>
      <c r="K682" s="52">
        <v>4</v>
      </c>
      <c r="L682" s="52"/>
      <c r="M682" s="52"/>
      <c r="N682" s="53" t="s">
        <v>157</v>
      </c>
      <c r="O682" s="53" t="s">
        <v>158</v>
      </c>
      <c r="P682" s="52"/>
      <c r="Q682" s="55" t="s">
        <v>2769</v>
      </c>
      <c r="R682" s="55" t="s">
        <v>160</v>
      </c>
      <c r="S682" s="55" t="s">
        <v>161</v>
      </c>
      <c r="T682" s="53" t="s">
        <v>2878</v>
      </c>
      <c r="U682" s="53" t="s">
        <v>2879</v>
      </c>
      <c r="V682" s="53" t="s">
        <v>590</v>
      </c>
      <c r="W682" s="321" t="s">
        <v>2885</v>
      </c>
      <c r="X682" s="51" t="s">
        <v>2877</v>
      </c>
      <c r="Y682" s="53" t="s">
        <v>2881</v>
      </c>
      <c r="Z682" s="53" t="s">
        <v>590</v>
      </c>
      <c r="AA682" s="52" t="s">
        <v>372</v>
      </c>
    </row>
    <row r="683" spans="2:27" ht="80.25" hidden="1" customHeight="1">
      <c r="B683" s="51" t="s">
        <v>78</v>
      </c>
      <c r="C683" s="51" t="s">
        <v>2871</v>
      </c>
      <c r="D683" s="51" t="s">
        <v>79</v>
      </c>
      <c r="E683" s="52">
        <v>1</v>
      </c>
      <c r="F683" s="51" t="s">
        <v>167</v>
      </c>
      <c r="G683" s="51" t="s">
        <v>168</v>
      </c>
      <c r="H683" s="54" t="s">
        <v>150</v>
      </c>
      <c r="I683" s="52">
        <v>6</v>
      </c>
      <c r="J683" s="51" t="s">
        <v>123</v>
      </c>
      <c r="K683" s="52">
        <v>4</v>
      </c>
      <c r="L683" s="52"/>
      <c r="M683" s="52"/>
      <c r="N683" s="53" t="s">
        <v>169</v>
      </c>
      <c r="O683" s="53" t="s">
        <v>170</v>
      </c>
      <c r="P683" s="52"/>
      <c r="Q683" s="55" t="s">
        <v>2771</v>
      </c>
      <c r="R683" s="55" t="s">
        <v>160</v>
      </c>
      <c r="S683" s="55" t="s">
        <v>172</v>
      </c>
      <c r="T683" s="53" t="s">
        <v>2878</v>
      </c>
      <c r="U683" s="53" t="s">
        <v>2879</v>
      </c>
      <c r="V683" s="53" t="s">
        <v>593</v>
      </c>
      <c r="W683" s="321" t="s">
        <v>2886</v>
      </c>
      <c r="X683" s="51" t="s">
        <v>2877</v>
      </c>
      <c r="Y683" s="53" t="s">
        <v>2881</v>
      </c>
      <c r="Z683" s="53" t="s">
        <v>593</v>
      </c>
      <c r="AA683" s="52" t="s">
        <v>372</v>
      </c>
    </row>
    <row r="684" spans="2:27" ht="80.25" hidden="1" customHeight="1">
      <c r="B684" s="51" t="s">
        <v>78</v>
      </c>
      <c r="C684" s="51" t="s">
        <v>2871</v>
      </c>
      <c r="D684" s="51" t="s">
        <v>79</v>
      </c>
      <c r="E684" s="52">
        <v>1</v>
      </c>
      <c r="F684" s="51" t="s">
        <v>176</v>
      </c>
      <c r="G684" s="51" t="s">
        <v>177</v>
      </c>
      <c r="H684" s="54" t="s">
        <v>150</v>
      </c>
      <c r="I684" s="52">
        <v>7</v>
      </c>
      <c r="J684" s="51" t="s">
        <v>123</v>
      </c>
      <c r="K684" s="52">
        <v>4</v>
      </c>
      <c r="L684" s="52"/>
      <c r="M684" s="52"/>
      <c r="N684" s="76" t="s">
        <v>2150</v>
      </c>
      <c r="O684" s="53" t="s">
        <v>179</v>
      </c>
      <c r="P684" s="52"/>
      <c r="Q684" s="51"/>
      <c r="R684" s="55" t="s">
        <v>2887</v>
      </c>
      <c r="S684" s="55" t="s">
        <v>181</v>
      </c>
      <c r="T684" s="53" t="s">
        <v>2874</v>
      </c>
      <c r="U684" s="53" t="s">
        <v>2875</v>
      </c>
      <c r="V684" s="53" t="s">
        <v>369</v>
      </c>
      <c r="W684" s="82" t="s">
        <v>2888</v>
      </c>
      <c r="X684" s="51" t="s">
        <v>2877</v>
      </c>
      <c r="Y684" s="62" t="s">
        <v>372</v>
      </c>
      <c r="Z684" s="62" t="s">
        <v>372</v>
      </c>
      <c r="AA684" s="52" t="s">
        <v>373</v>
      </c>
    </row>
    <row r="685" spans="2:27" ht="80.25" hidden="1" customHeight="1">
      <c r="B685" s="51" t="s">
        <v>78</v>
      </c>
      <c r="C685" s="51" t="s">
        <v>2871</v>
      </c>
      <c r="D685" s="51" t="s">
        <v>79</v>
      </c>
      <c r="E685" s="52">
        <v>1</v>
      </c>
      <c r="F685" s="51" t="s">
        <v>187</v>
      </c>
      <c r="G685" s="51" t="s">
        <v>188</v>
      </c>
      <c r="H685" s="54" t="s">
        <v>150</v>
      </c>
      <c r="I685" s="52">
        <v>8</v>
      </c>
      <c r="J685" s="51" t="s">
        <v>123</v>
      </c>
      <c r="K685" s="52">
        <v>30</v>
      </c>
      <c r="L685" s="52"/>
      <c r="M685" s="52"/>
      <c r="N685" s="53" t="s">
        <v>2889</v>
      </c>
      <c r="O685" s="53" t="s">
        <v>190</v>
      </c>
      <c r="P685" s="52"/>
      <c r="Q685" s="51"/>
      <c r="R685" s="55" t="s">
        <v>2887</v>
      </c>
      <c r="S685" s="55" t="s">
        <v>181</v>
      </c>
      <c r="T685" s="53" t="s">
        <v>2890</v>
      </c>
      <c r="U685" s="53" t="s">
        <v>2891</v>
      </c>
      <c r="V685" s="53" t="s">
        <v>2892</v>
      </c>
      <c r="W685" s="82" t="s">
        <v>2893</v>
      </c>
      <c r="X685" s="55" t="s">
        <v>2156</v>
      </c>
      <c r="Y685" s="53" t="s">
        <v>2157</v>
      </c>
      <c r="Z685" s="53" t="s">
        <v>2158</v>
      </c>
      <c r="AA685" s="52" t="s">
        <v>372</v>
      </c>
    </row>
    <row r="686" spans="2:27" ht="80.25" hidden="1" customHeight="1">
      <c r="B686" s="51" t="s">
        <v>78</v>
      </c>
      <c r="C686" s="51" t="s">
        <v>2871</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2894</v>
      </c>
      <c r="S686" s="55" t="s">
        <v>2895</v>
      </c>
      <c r="T686" s="53" t="s">
        <v>2878</v>
      </c>
      <c r="U686" s="53" t="s">
        <v>2879</v>
      </c>
      <c r="V686" s="51" t="s">
        <v>2896</v>
      </c>
      <c r="W686" s="82" t="s">
        <v>2897</v>
      </c>
      <c r="X686" s="51" t="s">
        <v>2877</v>
      </c>
      <c r="Y686" s="53" t="s">
        <v>2881</v>
      </c>
      <c r="Z686" s="53" t="s">
        <v>2896</v>
      </c>
      <c r="AA686" s="52" t="s">
        <v>372</v>
      </c>
    </row>
    <row r="687" spans="2:27" ht="80.25" hidden="1" customHeight="1">
      <c r="B687" s="51" t="s">
        <v>78</v>
      </c>
      <c r="C687" s="51" t="s">
        <v>2871</v>
      </c>
      <c r="D687" s="51" t="s">
        <v>79</v>
      </c>
      <c r="E687" s="52">
        <v>1</v>
      </c>
      <c r="F687" s="51" t="s">
        <v>222</v>
      </c>
      <c r="G687" s="51" t="s">
        <v>223</v>
      </c>
      <c r="H687" s="54" t="s">
        <v>224</v>
      </c>
      <c r="I687" s="52">
        <v>10</v>
      </c>
      <c r="J687" s="51" t="s">
        <v>123</v>
      </c>
      <c r="K687" s="52">
        <v>4</v>
      </c>
      <c r="L687" s="52"/>
      <c r="M687" s="52"/>
      <c r="N687" s="53" t="s">
        <v>225</v>
      </c>
      <c r="O687" s="53" t="s">
        <v>226</v>
      </c>
      <c r="P687" s="52"/>
      <c r="Q687" s="53" t="s">
        <v>1277</v>
      </c>
      <c r="R687" s="55" t="s">
        <v>2898</v>
      </c>
      <c r="S687" s="82" t="s">
        <v>864</v>
      </c>
      <c r="T687" s="53" t="s">
        <v>2899</v>
      </c>
      <c r="U687" s="53" t="s">
        <v>2900</v>
      </c>
      <c r="V687" s="55" t="s">
        <v>2901</v>
      </c>
      <c r="W687" s="82" t="s">
        <v>2902</v>
      </c>
      <c r="X687" s="51" t="s">
        <v>2877</v>
      </c>
      <c r="Y687" s="53" t="s">
        <v>2903</v>
      </c>
      <c r="Z687" s="53" t="s">
        <v>2904</v>
      </c>
      <c r="AA687" s="52" t="s">
        <v>372</v>
      </c>
    </row>
    <row r="688" spans="2:27" ht="80.25" hidden="1" customHeight="1">
      <c r="B688" s="51" t="s">
        <v>78</v>
      </c>
      <c r="C688" s="51" t="s">
        <v>2871</v>
      </c>
      <c r="D688" s="51" t="s">
        <v>79</v>
      </c>
      <c r="E688" s="52">
        <v>1</v>
      </c>
      <c r="F688" s="51" t="s">
        <v>2905</v>
      </c>
      <c r="G688" s="51" t="s">
        <v>2906</v>
      </c>
      <c r="H688" s="54" t="s">
        <v>2907</v>
      </c>
      <c r="I688" s="52">
        <v>11</v>
      </c>
      <c r="J688" s="51" t="s">
        <v>250</v>
      </c>
      <c r="K688" s="52">
        <v>23</v>
      </c>
      <c r="L688" s="52">
        <v>6</v>
      </c>
      <c r="M688" s="52"/>
      <c r="N688" s="53" t="s">
        <v>2908</v>
      </c>
      <c r="O688" s="53" t="s">
        <v>2909</v>
      </c>
      <c r="P688" s="52"/>
      <c r="Q688" s="54"/>
      <c r="R688" s="55" t="s">
        <v>2910</v>
      </c>
      <c r="S688" s="51" t="s">
        <v>2911</v>
      </c>
      <c r="T688" s="53" t="s">
        <v>2899</v>
      </c>
      <c r="U688" s="53" t="s">
        <v>2900</v>
      </c>
      <c r="V688" s="55" t="s">
        <v>2912</v>
      </c>
      <c r="W688" s="82" t="s">
        <v>2913</v>
      </c>
      <c r="X688" s="51" t="s">
        <v>2877</v>
      </c>
      <c r="Y688" s="53" t="s">
        <v>2914</v>
      </c>
      <c r="Z688" s="54" t="s">
        <v>677</v>
      </c>
      <c r="AA688" s="52" t="s">
        <v>372</v>
      </c>
    </row>
    <row r="689" spans="2:27" ht="80.25" hidden="1" customHeight="1">
      <c r="B689" s="51" t="s">
        <v>78</v>
      </c>
      <c r="C689" s="51" t="s">
        <v>2871</v>
      </c>
      <c r="D689" s="51" t="s">
        <v>79</v>
      </c>
      <c r="E689" s="52">
        <v>1</v>
      </c>
      <c r="F689" s="51" t="s">
        <v>1604</v>
      </c>
      <c r="G689" s="51" t="s">
        <v>1605</v>
      </c>
      <c r="H689" s="54" t="s">
        <v>249</v>
      </c>
      <c r="I689" s="52">
        <v>12</v>
      </c>
      <c r="J689" s="51" t="s">
        <v>250</v>
      </c>
      <c r="K689" s="52">
        <v>23</v>
      </c>
      <c r="L689" s="52">
        <v>6</v>
      </c>
      <c r="M689" s="52"/>
      <c r="N689" s="53" t="s">
        <v>1619</v>
      </c>
      <c r="O689" s="53" t="s">
        <v>1607</v>
      </c>
      <c r="P689" s="52"/>
      <c r="Q689" s="54"/>
      <c r="R689" s="53" t="s">
        <v>275</v>
      </c>
      <c r="S689" s="53" t="s">
        <v>276</v>
      </c>
      <c r="T689" s="53" t="s">
        <v>2899</v>
      </c>
      <c r="U689" s="53" t="s">
        <v>2900</v>
      </c>
      <c r="V689" s="55" t="s">
        <v>2912</v>
      </c>
      <c r="W689" s="82" t="s">
        <v>2915</v>
      </c>
      <c r="X689" s="51" t="s">
        <v>2877</v>
      </c>
      <c r="Y689" s="54" t="s">
        <v>2903</v>
      </c>
      <c r="Z689" s="54" t="s">
        <v>652</v>
      </c>
      <c r="AA689" s="52" t="s">
        <v>372</v>
      </c>
    </row>
    <row r="690" spans="2:27" ht="80.25" hidden="1" customHeight="1">
      <c r="B690" s="66" t="s">
        <v>78</v>
      </c>
      <c r="C690" s="66" t="s">
        <v>2871</v>
      </c>
      <c r="D690" s="66" t="s">
        <v>79</v>
      </c>
      <c r="E690" s="77">
        <v>1</v>
      </c>
      <c r="F690" s="66" t="s">
        <v>2916</v>
      </c>
      <c r="G690" s="66" t="s">
        <v>2917</v>
      </c>
      <c r="H690" s="66" t="s">
        <v>2907</v>
      </c>
      <c r="I690" s="77">
        <v>13</v>
      </c>
      <c r="J690" s="66" t="s">
        <v>250</v>
      </c>
      <c r="K690" s="77">
        <v>23</v>
      </c>
      <c r="L690" s="77">
        <v>6</v>
      </c>
      <c r="M690" s="77"/>
      <c r="N690" s="72" t="s">
        <v>2918</v>
      </c>
      <c r="O690" s="72" t="s">
        <v>2919</v>
      </c>
      <c r="P690" s="77"/>
      <c r="Q690" s="74"/>
      <c r="R690" s="67" t="s">
        <v>2910</v>
      </c>
      <c r="S690" s="66" t="s">
        <v>2920</v>
      </c>
      <c r="T690" s="77"/>
      <c r="U690" s="77"/>
      <c r="V690" s="77"/>
      <c r="W690" s="66"/>
      <c r="X690" s="66" t="s">
        <v>1674</v>
      </c>
      <c r="Y690" s="66" t="s">
        <v>1674</v>
      </c>
      <c r="Z690" s="66" t="s">
        <v>1674</v>
      </c>
      <c r="AA690" s="77" t="s">
        <v>1674</v>
      </c>
    </row>
    <row r="691" spans="2:27" ht="80.25" hidden="1" customHeight="1">
      <c r="B691" s="66" t="s">
        <v>78</v>
      </c>
      <c r="C691" s="66" t="s">
        <v>2871</v>
      </c>
      <c r="D691" s="66" t="s">
        <v>79</v>
      </c>
      <c r="E691" s="77">
        <v>1</v>
      </c>
      <c r="F691" s="66" t="s">
        <v>2171</v>
      </c>
      <c r="G691" s="66" t="s">
        <v>2172</v>
      </c>
      <c r="H691" s="74" t="s">
        <v>746</v>
      </c>
      <c r="I691" s="77">
        <v>14</v>
      </c>
      <c r="J691" s="66" t="s">
        <v>123</v>
      </c>
      <c r="K691" s="77">
        <v>4</v>
      </c>
      <c r="L691" s="77"/>
      <c r="M691" s="77"/>
      <c r="N691" s="72" t="s">
        <v>2173</v>
      </c>
      <c r="O691" s="53" t="s">
        <v>2174</v>
      </c>
      <c r="P691" s="77"/>
      <c r="Q691" s="72" t="s">
        <v>1673</v>
      </c>
      <c r="R691" s="72"/>
      <c r="S691" s="74"/>
      <c r="T691" s="66"/>
      <c r="U691" s="74"/>
      <c r="V691" s="74"/>
      <c r="W691" s="66"/>
      <c r="X691" s="66" t="s">
        <v>1674</v>
      </c>
      <c r="Y691" s="66" t="s">
        <v>1674</v>
      </c>
      <c r="Z691" s="66" t="s">
        <v>1674</v>
      </c>
      <c r="AA691" s="75" t="s">
        <v>1674</v>
      </c>
    </row>
    <row r="692" spans="2:27" ht="80.25" hidden="1" customHeight="1">
      <c r="B692" s="66" t="s">
        <v>78</v>
      </c>
      <c r="C692" s="66" t="s">
        <v>2871</v>
      </c>
      <c r="D692" s="66" t="s">
        <v>79</v>
      </c>
      <c r="E692" s="77">
        <v>1</v>
      </c>
      <c r="F692" s="66" t="s">
        <v>2175</v>
      </c>
      <c r="G692" s="66" t="s">
        <v>2176</v>
      </c>
      <c r="H692" s="74" t="s">
        <v>746</v>
      </c>
      <c r="I692" s="77">
        <v>15</v>
      </c>
      <c r="J692" s="66" t="s">
        <v>123</v>
      </c>
      <c r="K692" s="77">
        <v>20</v>
      </c>
      <c r="L692" s="77"/>
      <c r="M692" s="77"/>
      <c r="N692" s="72" t="s">
        <v>1677</v>
      </c>
      <c r="O692" s="53" t="s">
        <v>2177</v>
      </c>
      <c r="P692" s="77"/>
      <c r="Q692" s="72" t="s">
        <v>1679</v>
      </c>
      <c r="R692" s="72"/>
      <c r="S692" s="74"/>
      <c r="T692" s="66"/>
      <c r="U692" s="74"/>
      <c r="V692" s="74"/>
      <c r="W692" s="66"/>
      <c r="X692" s="66" t="s">
        <v>1674</v>
      </c>
      <c r="Y692" s="66" t="s">
        <v>1674</v>
      </c>
      <c r="Z692" s="66" t="s">
        <v>1674</v>
      </c>
      <c r="AA692" s="75" t="s">
        <v>1674</v>
      </c>
    </row>
    <row r="693" spans="2:27" ht="80.25" hidden="1" customHeight="1">
      <c r="B693" s="66" t="s">
        <v>78</v>
      </c>
      <c r="C693" s="66" t="s">
        <v>2871</v>
      </c>
      <c r="D693" s="66" t="s">
        <v>79</v>
      </c>
      <c r="E693" s="77">
        <v>1</v>
      </c>
      <c r="F693" s="66" t="s">
        <v>2178</v>
      </c>
      <c r="G693" s="66" t="s">
        <v>2179</v>
      </c>
      <c r="H693" s="74" t="s">
        <v>767</v>
      </c>
      <c r="I693" s="77">
        <v>16</v>
      </c>
      <c r="J693" s="66" t="s">
        <v>250</v>
      </c>
      <c r="K693" s="77">
        <v>23</v>
      </c>
      <c r="L693" s="77">
        <v>6</v>
      </c>
      <c r="M693" s="77"/>
      <c r="N693" s="72" t="s">
        <v>2180</v>
      </c>
      <c r="O693" s="53" t="s">
        <v>2181</v>
      </c>
      <c r="P693" s="77"/>
      <c r="Q693" s="74"/>
      <c r="R693" s="72"/>
      <c r="S693" s="74"/>
      <c r="T693" s="66"/>
      <c r="U693" s="74"/>
      <c r="V693" s="74"/>
      <c r="W693" s="66"/>
      <c r="X693" s="66" t="s">
        <v>1674</v>
      </c>
      <c r="Y693" s="66" t="s">
        <v>1674</v>
      </c>
      <c r="Z693" s="66" t="s">
        <v>1674</v>
      </c>
      <c r="AA693" s="75" t="s">
        <v>1674</v>
      </c>
    </row>
    <row r="694" spans="2:27" ht="80.25" hidden="1" customHeight="1">
      <c r="B694" s="66" t="s">
        <v>78</v>
      </c>
      <c r="C694" s="66" t="s">
        <v>2871</v>
      </c>
      <c r="D694" s="66" t="s">
        <v>79</v>
      </c>
      <c r="E694" s="77">
        <v>1</v>
      </c>
      <c r="F694" s="66" t="s">
        <v>2182</v>
      </c>
      <c r="G694" s="66" t="s">
        <v>2183</v>
      </c>
      <c r="H694" s="74" t="s">
        <v>767</v>
      </c>
      <c r="I694" s="77">
        <v>17</v>
      </c>
      <c r="J694" s="66" t="s">
        <v>250</v>
      </c>
      <c r="K694" s="77">
        <v>23</v>
      </c>
      <c r="L694" s="77">
        <v>6</v>
      </c>
      <c r="M694" s="77"/>
      <c r="N694" s="72" t="s">
        <v>1686</v>
      </c>
      <c r="O694" s="53" t="s">
        <v>2184</v>
      </c>
      <c r="P694" s="77"/>
      <c r="Q694" s="74"/>
      <c r="R694" s="72"/>
      <c r="S694" s="74"/>
      <c r="T694" s="66"/>
      <c r="U694" s="74"/>
      <c r="V694" s="74"/>
      <c r="W694" s="66"/>
      <c r="X694" s="66" t="s">
        <v>1674</v>
      </c>
      <c r="Y694" s="66" t="s">
        <v>1674</v>
      </c>
      <c r="Z694" s="66" t="s">
        <v>1674</v>
      </c>
      <c r="AA694" s="75" t="s">
        <v>1674</v>
      </c>
    </row>
    <row r="695" spans="2:27" ht="80.25" hidden="1" customHeight="1">
      <c r="B695" s="66" t="s">
        <v>78</v>
      </c>
      <c r="C695" s="66" t="s">
        <v>2871</v>
      </c>
      <c r="D695" s="66" t="s">
        <v>79</v>
      </c>
      <c r="E695" s="77">
        <v>1</v>
      </c>
      <c r="F695" s="66" t="s">
        <v>2185</v>
      </c>
      <c r="G695" s="66" t="s">
        <v>2186</v>
      </c>
      <c r="H695" s="74" t="s">
        <v>767</v>
      </c>
      <c r="I695" s="77">
        <v>18</v>
      </c>
      <c r="J695" s="66" t="s">
        <v>250</v>
      </c>
      <c r="K695" s="77">
        <v>23</v>
      </c>
      <c r="L695" s="77">
        <v>6</v>
      </c>
      <c r="M695" s="77"/>
      <c r="N695" s="72" t="s">
        <v>2187</v>
      </c>
      <c r="O695" s="53" t="s">
        <v>2188</v>
      </c>
      <c r="P695" s="77"/>
      <c r="Q695" s="66"/>
      <c r="R695" s="67" t="s">
        <v>788</v>
      </c>
      <c r="S695" s="66" t="s">
        <v>1518</v>
      </c>
      <c r="T695" s="77"/>
      <c r="U695" s="77"/>
      <c r="V695" s="77"/>
      <c r="W695" s="66"/>
      <c r="X695" s="66" t="s">
        <v>1674</v>
      </c>
      <c r="Y695" s="66" t="s">
        <v>1674</v>
      </c>
      <c r="Z695" s="66" t="s">
        <v>1674</v>
      </c>
      <c r="AA695" s="75" t="s">
        <v>1674</v>
      </c>
    </row>
    <row r="696" spans="2:27" ht="80.25" hidden="1" customHeight="1">
      <c r="B696" s="66" t="s">
        <v>78</v>
      </c>
      <c r="C696" s="66" t="s">
        <v>2871</v>
      </c>
      <c r="D696" s="66" t="s">
        <v>79</v>
      </c>
      <c r="E696" s="77">
        <v>1</v>
      </c>
      <c r="F696" s="66" t="s">
        <v>2189</v>
      </c>
      <c r="G696" s="66" t="s">
        <v>2190</v>
      </c>
      <c r="H696" s="74" t="s">
        <v>746</v>
      </c>
      <c r="I696" s="77">
        <v>19</v>
      </c>
      <c r="J696" s="66" t="s">
        <v>123</v>
      </c>
      <c r="K696" s="77">
        <v>4</v>
      </c>
      <c r="L696" s="77"/>
      <c r="M696" s="77"/>
      <c r="N696" s="72" t="s">
        <v>2191</v>
      </c>
      <c r="O696" s="53" t="s">
        <v>2192</v>
      </c>
      <c r="P696" s="77"/>
      <c r="Q696" s="72" t="s">
        <v>1673</v>
      </c>
      <c r="R696" s="72"/>
      <c r="S696" s="74"/>
      <c r="T696" s="66"/>
      <c r="U696" s="74"/>
      <c r="V696" s="74"/>
      <c r="W696" s="66"/>
      <c r="X696" s="66" t="s">
        <v>1674</v>
      </c>
      <c r="Y696" s="66" t="s">
        <v>1674</v>
      </c>
      <c r="Z696" s="66" t="s">
        <v>1674</v>
      </c>
      <c r="AA696" s="75" t="s">
        <v>1674</v>
      </c>
    </row>
    <row r="697" spans="2:27" ht="80.25" hidden="1" customHeight="1">
      <c r="B697" s="66" t="s">
        <v>78</v>
      </c>
      <c r="C697" s="66" t="s">
        <v>2871</v>
      </c>
      <c r="D697" s="66" t="s">
        <v>79</v>
      </c>
      <c r="E697" s="77">
        <v>1</v>
      </c>
      <c r="F697" s="66" t="s">
        <v>2193</v>
      </c>
      <c r="G697" s="66" t="s">
        <v>2194</v>
      </c>
      <c r="H697" s="74" t="s">
        <v>746</v>
      </c>
      <c r="I697" s="77">
        <v>20</v>
      </c>
      <c r="J697" s="66" t="s">
        <v>123</v>
      </c>
      <c r="K697" s="77">
        <v>20</v>
      </c>
      <c r="L697" s="77"/>
      <c r="M697" s="77"/>
      <c r="N697" s="72" t="s">
        <v>1698</v>
      </c>
      <c r="O697" s="53" t="s">
        <v>2255</v>
      </c>
      <c r="P697" s="77"/>
      <c r="Q697" s="72" t="s">
        <v>1700</v>
      </c>
      <c r="R697" s="72"/>
      <c r="S697" s="74"/>
      <c r="T697" s="66"/>
      <c r="U697" s="74"/>
      <c r="V697" s="74"/>
      <c r="W697" s="66"/>
      <c r="X697" s="66" t="s">
        <v>1674</v>
      </c>
      <c r="Y697" s="66" t="s">
        <v>1674</v>
      </c>
      <c r="Z697" s="66" t="s">
        <v>1674</v>
      </c>
      <c r="AA697" s="75" t="s">
        <v>1674</v>
      </c>
    </row>
    <row r="698" spans="2:27" ht="80.25" hidden="1" customHeight="1">
      <c r="B698" s="66" t="s">
        <v>78</v>
      </c>
      <c r="C698" s="66" t="s">
        <v>2871</v>
      </c>
      <c r="D698" s="66" t="s">
        <v>79</v>
      </c>
      <c r="E698" s="77">
        <v>1</v>
      </c>
      <c r="F698" s="66" t="s">
        <v>2196</v>
      </c>
      <c r="G698" s="66" t="s">
        <v>2197</v>
      </c>
      <c r="H698" s="74" t="s">
        <v>767</v>
      </c>
      <c r="I698" s="77">
        <v>21</v>
      </c>
      <c r="J698" s="66" t="s">
        <v>250</v>
      </c>
      <c r="K698" s="77">
        <v>23</v>
      </c>
      <c r="L698" s="77">
        <v>6</v>
      </c>
      <c r="M698" s="77"/>
      <c r="N698" s="72" t="s">
        <v>2198</v>
      </c>
      <c r="O698" s="53" t="s">
        <v>2199</v>
      </c>
      <c r="P698" s="77"/>
      <c r="Q698" s="74"/>
      <c r="R698" s="72"/>
      <c r="S698" s="74"/>
      <c r="T698" s="66"/>
      <c r="U698" s="74"/>
      <c r="V698" s="74"/>
      <c r="W698" s="66"/>
      <c r="X698" s="66" t="s">
        <v>1674</v>
      </c>
      <c r="Y698" s="66" t="s">
        <v>1674</v>
      </c>
      <c r="Z698" s="66" t="s">
        <v>1674</v>
      </c>
      <c r="AA698" s="75" t="s">
        <v>1674</v>
      </c>
    </row>
    <row r="699" spans="2:27" ht="80.25" hidden="1" customHeight="1">
      <c r="B699" s="66" t="s">
        <v>78</v>
      </c>
      <c r="C699" s="66" t="s">
        <v>2871</v>
      </c>
      <c r="D699" s="66" t="s">
        <v>79</v>
      </c>
      <c r="E699" s="77">
        <v>1</v>
      </c>
      <c r="F699" s="66" t="s">
        <v>2200</v>
      </c>
      <c r="G699" s="66" t="s">
        <v>2201</v>
      </c>
      <c r="H699" s="74" t="s">
        <v>767</v>
      </c>
      <c r="I699" s="77">
        <v>22</v>
      </c>
      <c r="J699" s="66" t="s">
        <v>250</v>
      </c>
      <c r="K699" s="77">
        <v>23</v>
      </c>
      <c r="L699" s="77">
        <v>6</v>
      </c>
      <c r="M699" s="77"/>
      <c r="N699" s="72" t="s">
        <v>777</v>
      </c>
      <c r="O699" s="53" t="s">
        <v>2202</v>
      </c>
      <c r="P699" s="77"/>
      <c r="Q699" s="74"/>
      <c r="R699" s="72"/>
      <c r="S699" s="74"/>
      <c r="T699" s="66"/>
      <c r="U699" s="74"/>
      <c r="V699" s="74"/>
      <c r="W699" s="66"/>
      <c r="X699" s="66" t="s">
        <v>1674</v>
      </c>
      <c r="Y699" s="66" t="s">
        <v>1674</v>
      </c>
      <c r="Z699" s="66" t="s">
        <v>1674</v>
      </c>
      <c r="AA699" s="75" t="s">
        <v>1674</v>
      </c>
    </row>
    <row r="700" spans="2:27" ht="80.25" hidden="1" customHeight="1">
      <c r="B700" s="66" t="s">
        <v>78</v>
      </c>
      <c r="C700" s="66" t="s">
        <v>2871</v>
      </c>
      <c r="D700" s="66" t="s">
        <v>79</v>
      </c>
      <c r="E700" s="77">
        <v>1</v>
      </c>
      <c r="F700" s="66" t="s">
        <v>2203</v>
      </c>
      <c r="G700" s="66" t="s">
        <v>2204</v>
      </c>
      <c r="H700" s="74" t="s">
        <v>767</v>
      </c>
      <c r="I700" s="77">
        <v>23</v>
      </c>
      <c r="J700" s="66" t="s">
        <v>250</v>
      </c>
      <c r="K700" s="77">
        <v>23</v>
      </c>
      <c r="L700" s="77">
        <v>6</v>
      </c>
      <c r="M700" s="77"/>
      <c r="N700" s="72" t="s">
        <v>2205</v>
      </c>
      <c r="O700" s="53" t="s">
        <v>2206</v>
      </c>
      <c r="P700" s="77"/>
      <c r="Q700" s="66"/>
      <c r="R700" s="67" t="s">
        <v>1712</v>
      </c>
      <c r="S700" s="67" t="s">
        <v>1713</v>
      </c>
      <c r="T700" s="77"/>
      <c r="U700" s="77"/>
      <c r="V700" s="77"/>
      <c r="W700" s="66"/>
      <c r="X700" s="66" t="s">
        <v>1674</v>
      </c>
      <c r="Y700" s="66" t="s">
        <v>1674</v>
      </c>
      <c r="Z700" s="66" t="s">
        <v>1674</v>
      </c>
      <c r="AA700" s="75" t="s">
        <v>1674</v>
      </c>
    </row>
    <row r="701" spans="2:27" ht="80.25" hidden="1" customHeight="1">
      <c r="B701" s="51" t="s">
        <v>78</v>
      </c>
      <c r="C701" s="51" t="s">
        <v>2871</v>
      </c>
      <c r="D701" s="51" t="s">
        <v>79</v>
      </c>
      <c r="E701" s="52">
        <v>1</v>
      </c>
      <c r="F701" s="51" t="s">
        <v>293</v>
      </c>
      <c r="G701" s="51" t="s">
        <v>294</v>
      </c>
      <c r="H701" s="54" t="s">
        <v>295</v>
      </c>
      <c r="I701" s="52">
        <v>24</v>
      </c>
      <c r="J701" s="51" t="s">
        <v>123</v>
      </c>
      <c r="K701" s="52">
        <v>4</v>
      </c>
      <c r="L701" s="52"/>
      <c r="M701" s="52"/>
      <c r="N701" s="53" t="s">
        <v>296</v>
      </c>
      <c r="O701" s="53" t="s">
        <v>297</v>
      </c>
      <c r="P701" s="52"/>
      <c r="Q701" s="53" t="s">
        <v>2921</v>
      </c>
      <c r="R701" s="55" t="s">
        <v>2922</v>
      </c>
      <c r="S701" s="55" t="s">
        <v>1716</v>
      </c>
      <c r="T701" s="53" t="s">
        <v>2874</v>
      </c>
      <c r="U701" s="53" t="s">
        <v>2875</v>
      </c>
      <c r="V701" s="53" t="s">
        <v>369</v>
      </c>
      <c r="W701" s="355" t="s">
        <v>2923</v>
      </c>
      <c r="X701" s="51" t="s">
        <v>2877</v>
      </c>
      <c r="Y701" s="53" t="s">
        <v>2881</v>
      </c>
      <c r="Z701" s="53" t="s">
        <v>1042</v>
      </c>
      <c r="AA701" s="60" t="s">
        <v>372</v>
      </c>
    </row>
    <row r="702" spans="2:27" ht="80.25" hidden="1" customHeight="1">
      <c r="B702" s="51" t="s">
        <v>78</v>
      </c>
      <c r="C702" s="51" t="s">
        <v>2871</v>
      </c>
      <c r="D702" s="51" t="s">
        <v>79</v>
      </c>
      <c r="E702" s="52">
        <v>1</v>
      </c>
      <c r="F702" s="51" t="s">
        <v>304</v>
      </c>
      <c r="G702" s="51" t="s">
        <v>305</v>
      </c>
      <c r="H702" s="54" t="s">
        <v>295</v>
      </c>
      <c r="I702" s="52">
        <v>25</v>
      </c>
      <c r="J702" s="51" t="s">
        <v>123</v>
      </c>
      <c r="K702" s="52">
        <v>4</v>
      </c>
      <c r="L702" s="52"/>
      <c r="M702" s="52"/>
      <c r="N702" s="53" t="s">
        <v>306</v>
      </c>
      <c r="O702" s="53" t="s">
        <v>307</v>
      </c>
      <c r="P702" s="52"/>
      <c r="Q702" s="55" t="s">
        <v>1774</v>
      </c>
      <c r="R702" s="55" t="s">
        <v>203</v>
      </c>
      <c r="S702" s="51" t="s">
        <v>309</v>
      </c>
      <c r="T702" s="53" t="s">
        <v>2924</v>
      </c>
      <c r="U702" s="53" t="s">
        <v>2925</v>
      </c>
      <c r="V702" s="53" t="s">
        <v>2530</v>
      </c>
      <c r="W702" s="355" t="s">
        <v>2926</v>
      </c>
      <c r="X702" s="51" t="s">
        <v>2927</v>
      </c>
      <c r="Y702" s="51" t="s">
        <v>2928</v>
      </c>
      <c r="Z702" s="51" t="s">
        <v>2929</v>
      </c>
      <c r="AA702" s="60" t="s">
        <v>1781</v>
      </c>
    </row>
    <row r="703" spans="2:27" ht="80.25" hidden="1" customHeight="1">
      <c r="B703" s="51" t="s">
        <v>78</v>
      </c>
      <c r="C703" s="51" t="s">
        <v>2871</v>
      </c>
      <c r="D703" s="51" t="s">
        <v>79</v>
      </c>
      <c r="E703" s="52">
        <v>1</v>
      </c>
      <c r="F703" s="51" t="s">
        <v>317</v>
      </c>
      <c r="G703" s="51" t="s">
        <v>318</v>
      </c>
      <c r="H703" s="51" t="s">
        <v>319</v>
      </c>
      <c r="I703" s="52">
        <v>26</v>
      </c>
      <c r="J703" s="51" t="s">
        <v>123</v>
      </c>
      <c r="K703" s="52">
        <v>2</v>
      </c>
      <c r="L703" s="52"/>
      <c r="M703" s="52"/>
      <c r="N703" s="53" t="s">
        <v>320</v>
      </c>
      <c r="O703" s="53" t="s">
        <v>321</v>
      </c>
      <c r="P703" s="52"/>
      <c r="Q703" s="53" t="s">
        <v>463</v>
      </c>
      <c r="R703" s="55"/>
      <c r="S703" s="51"/>
      <c r="T703" s="53" t="s">
        <v>2878</v>
      </c>
      <c r="U703" s="53" t="s">
        <v>2879</v>
      </c>
      <c r="V703" s="51" t="s">
        <v>372</v>
      </c>
      <c r="W703" s="82" t="s">
        <v>2930</v>
      </c>
      <c r="X703" s="51" t="s">
        <v>2877</v>
      </c>
      <c r="Y703" s="54" t="s">
        <v>372</v>
      </c>
      <c r="Z703" s="54" t="s">
        <v>372</v>
      </c>
      <c r="AA703" s="52" t="s">
        <v>2931</v>
      </c>
    </row>
    <row r="704" spans="2:27" ht="80.25" hidden="1" customHeight="1">
      <c r="B704" s="51" t="s">
        <v>78</v>
      </c>
      <c r="C704" s="51" t="s">
        <v>2871</v>
      </c>
      <c r="D704" s="51" t="s">
        <v>79</v>
      </c>
      <c r="E704" s="52">
        <v>1</v>
      </c>
      <c r="F704" s="51" t="s">
        <v>326</v>
      </c>
      <c r="G704" s="51" t="s">
        <v>327</v>
      </c>
      <c r="H704" s="51" t="s">
        <v>328</v>
      </c>
      <c r="I704" s="52">
        <v>27</v>
      </c>
      <c r="J704" s="51" t="s">
        <v>123</v>
      </c>
      <c r="K704" s="52">
        <v>27</v>
      </c>
      <c r="L704" s="52"/>
      <c r="M704" s="52"/>
      <c r="N704" s="53" t="s">
        <v>329</v>
      </c>
      <c r="O704" s="53" t="s">
        <v>361</v>
      </c>
      <c r="P704" s="52" t="s">
        <v>126</v>
      </c>
      <c r="Q704" s="51"/>
      <c r="R704" s="55" t="s">
        <v>275</v>
      </c>
      <c r="S704" s="51" t="s">
        <v>803</v>
      </c>
      <c r="T704" s="53" t="s">
        <v>2878</v>
      </c>
      <c r="U704" s="53" t="s">
        <v>2879</v>
      </c>
      <c r="V704" s="51" t="s">
        <v>678</v>
      </c>
      <c r="W704" s="82" t="s">
        <v>2932</v>
      </c>
      <c r="X704" s="54" t="s">
        <v>372</v>
      </c>
      <c r="Y704" s="54" t="s">
        <v>372</v>
      </c>
      <c r="Z704" s="54" t="s">
        <v>372</v>
      </c>
      <c r="AA704" s="60" t="s">
        <v>372</v>
      </c>
    </row>
    <row r="705" spans="2:27" ht="80.25" hidden="1" customHeight="1">
      <c r="B705" s="51" t="s">
        <v>78</v>
      </c>
      <c r="C705" s="51" t="s">
        <v>2871</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2878</v>
      </c>
      <c r="U705" s="53" t="s">
        <v>2879</v>
      </c>
      <c r="V705" s="51" t="s">
        <v>372</v>
      </c>
      <c r="W705" s="82" t="s">
        <v>2933</v>
      </c>
      <c r="X705" s="54" t="s">
        <v>372</v>
      </c>
      <c r="Y705" s="54" t="s">
        <v>372</v>
      </c>
      <c r="Z705" s="54" t="s">
        <v>372</v>
      </c>
      <c r="AA705" s="60" t="s">
        <v>372</v>
      </c>
    </row>
    <row r="706" spans="2:27" ht="80.25" hidden="1" customHeight="1">
      <c r="B706" s="51" t="s">
        <v>81</v>
      </c>
      <c r="C706" s="51" t="s">
        <v>2934</v>
      </c>
      <c r="D706" s="51" t="s">
        <v>82</v>
      </c>
      <c r="E706" s="52">
        <v>1</v>
      </c>
      <c r="F706" s="51" t="s">
        <v>120</v>
      </c>
      <c r="G706" s="51" t="s">
        <v>121</v>
      </c>
      <c r="H706" s="51" t="s">
        <v>122</v>
      </c>
      <c r="I706" s="52">
        <v>1</v>
      </c>
      <c r="J706" s="51" t="s">
        <v>123</v>
      </c>
      <c r="K706" s="52">
        <v>4</v>
      </c>
      <c r="L706" s="52"/>
      <c r="M706" s="52"/>
      <c r="N706" s="328" t="s">
        <v>124</v>
      </c>
      <c r="O706" s="53" t="s">
        <v>125</v>
      </c>
      <c r="P706" s="52" t="s">
        <v>126</v>
      </c>
      <c r="Q706" s="54"/>
      <c r="R706" s="55" t="s">
        <v>2935</v>
      </c>
      <c r="S706" s="55" t="s">
        <v>2138</v>
      </c>
      <c r="T706" s="55" t="s">
        <v>2936</v>
      </c>
      <c r="U706" s="55" t="s">
        <v>2937</v>
      </c>
      <c r="V706" s="55" t="s">
        <v>2938</v>
      </c>
      <c r="W706" s="82" t="s">
        <v>2939</v>
      </c>
      <c r="X706" s="63" t="s">
        <v>2940</v>
      </c>
      <c r="Y706" s="53" t="s">
        <v>939</v>
      </c>
      <c r="Z706" s="53" t="s">
        <v>939</v>
      </c>
      <c r="AA706" s="60" t="s">
        <v>2941</v>
      </c>
    </row>
    <row r="707" spans="2:27" ht="80.25" hidden="1" customHeight="1">
      <c r="B707" s="51" t="s">
        <v>81</v>
      </c>
      <c r="C707" s="51" t="s">
        <v>2934</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2935</v>
      </c>
      <c r="S707" s="55" t="s">
        <v>2138</v>
      </c>
      <c r="T707" s="55" t="s">
        <v>2942</v>
      </c>
      <c r="U707" s="55" t="s">
        <v>2943</v>
      </c>
      <c r="V707" s="55" t="s">
        <v>2944</v>
      </c>
      <c r="W707" s="82" t="s">
        <v>2945</v>
      </c>
      <c r="X707" s="63" t="s">
        <v>2940</v>
      </c>
      <c r="Y707" s="65" t="s">
        <v>2946</v>
      </c>
      <c r="Z707" s="65" t="s">
        <v>2947</v>
      </c>
      <c r="AA707" s="60" t="s">
        <v>939</v>
      </c>
    </row>
    <row r="708" spans="2:27" ht="80.25" hidden="1" customHeight="1">
      <c r="B708" s="51" t="s">
        <v>81</v>
      </c>
      <c r="C708" s="51" t="s">
        <v>2934</v>
      </c>
      <c r="D708" s="51" t="s">
        <v>82</v>
      </c>
      <c r="E708" s="52">
        <v>1</v>
      </c>
      <c r="F708" s="51" t="s">
        <v>148</v>
      </c>
      <c r="G708" s="51" t="s">
        <v>149</v>
      </c>
      <c r="H708" s="54" t="s">
        <v>150</v>
      </c>
      <c r="I708" s="52">
        <v>3</v>
      </c>
      <c r="J708" s="51" t="s">
        <v>123</v>
      </c>
      <c r="K708" s="52">
        <v>3</v>
      </c>
      <c r="L708" s="52"/>
      <c r="M708" s="52"/>
      <c r="N708" s="53" t="s">
        <v>151</v>
      </c>
      <c r="O708" s="53" t="s">
        <v>152</v>
      </c>
      <c r="P708" s="52"/>
      <c r="Q708" s="53" t="s">
        <v>2948</v>
      </c>
      <c r="R708" s="55"/>
      <c r="S708" s="51"/>
      <c r="T708" s="55" t="s">
        <v>2949</v>
      </c>
      <c r="U708" s="55" t="s">
        <v>2950</v>
      </c>
      <c r="V708" s="55" t="s">
        <v>2938</v>
      </c>
      <c r="W708" s="355" t="s">
        <v>2951</v>
      </c>
      <c r="X708" s="53" t="s">
        <v>939</v>
      </c>
      <c r="Y708" s="53" t="s">
        <v>939</v>
      </c>
      <c r="Z708" s="53" t="s">
        <v>939</v>
      </c>
      <c r="AA708" s="60" t="s">
        <v>939</v>
      </c>
    </row>
    <row r="709" spans="2:27" ht="80.25" hidden="1" customHeight="1">
      <c r="B709" s="51" t="s">
        <v>81</v>
      </c>
      <c r="C709" s="51" t="s">
        <v>2934</v>
      </c>
      <c r="D709" s="51" t="s">
        <v>82</v>
      </c>
      <c r="E709" s="52">
        <v>1</v>
      </c>
      <c r="F709" s="51" t="s">
        <v>155</v>
      </c>
      <c r="G709" s="51" t="s">
        <v>156</v>
      </c>
      <c r="H709" s="54" t="s">
        <v>150</v>
      </c>
      <c r="I709" s="52">
        <v>4</v>
      </c>
      <c r="J709" s="51" t="s">
        <v>123</v>
      </c>
      <c r="K709" s="52">
        <v>20</v>
      </c>
      <c r="L709" s="52"/>
      <c r="M709" s="52"/>
      <c r="N709" s="53" t="s">
        <v>157</v>
      </c>
      <c r="O709" s="53" t="s">
        <v>158</v>
      </c>
      <c r="P709" s="52"/>
      <c r="Q709" s="53" t="s">
        <v>2952</v>
      </c>
      <c r="R709" s="55" t="s">
        <v>160</v>
      </c>
      <c r="S709" s="55" t="s">
        <v>161</v>
      </c>
      <c r="T709" s="55" t="s">
        <v>2942</v>
      </c>
      <c r="U709" s="55" t="s">
        <v>2953</v>
      </c>
      <c r="V709" s="55" t="s">
        <v>2954</v>
      </c>
      <c r="W709" s="82" t="s">
        <v>2955</v>
      </c>
      <c r="X709" s="63" t="s">
        <v>2940</v>
      </c>
      <c r="Y709" s="65" t="s">
        <v>2956</v>
      </c>
      <c r="Z709" s="53" t="s">
        <v>2957</v>
      </c>
      <c r="AA709" s="60" t="s">
        <v>939</v>
      </c>
    </row>
    <row r="710" spans="2:27" ht="80.25" hidden="1" customHeight="1">
      <c r="B710" s="51" t="s">
        <v>81</v>
      </c>
      <c r="C710" s="51" t="s">
        <v>2934</v>
      </c>
      <c r="D710" s="51" t="s">
        <v>82</v>
      </c>
      <c r="E710" s="52">
        <v>1</v>
      </c>
      <c r="F710" s="51" t="s">
        <v>167</v>
      </c>
      <c r="G710" s="51" t="s">
        <v>168</v>
      </c>
      <c r="H710" s="54" t="s">
        <v>150</v>
      </c>
      <c r="I710" s="52">
        <v>5</v>
      </c>
      <c r="J710" s="51" t="s">
        <v>123</v>
      </c>
      <c r="K710" s="52">
        <v>20</v>
      </c>
      <c r="L710" s="52"/>
      <c r="M710" s="52"/>
      <c r="N710" s="53" t="s">
        <v>169</v>
      </c>
      <c r="O710" s="53" t="s">
        <v>170</v>
      </c>
      <c r="P710" s="52"/>
      <c r="Q710" s="53" t="s">
        <v>2958</v>
      </c>
      <c r="R710" s="55" t="s">
        <v>160</v>
      </c>
      <c r="S710" s="55" t="s">
        <v>172</v>
      </c>
      <c r="T710" s="55" t="s">
        <v>2942</v>
      </c>
      <c r="U710" s="55" t="s">
        <v>2953</v>
      </c>
      <c r="V710" s="55" t="s">
        <v>2959</v>
      </c>
      <c r="W710" s="82" t="s">
        <v>2960</v>
      </c>
      <c r="X710" s="63" t="s">
        <v>2940</v>
      </c>
      <c r="Y710" s="65" t="s">
        <v>2956</v>
      </c>
      <c r="Z710" s="65" t="s">
        <v>2961</v>
      </c>
      <c r="AA710" s="60" t="s">
        <v>939</v>
      </c>
    </row>
    <row r="711" spans="2:27" ht="80.25" hidden="1" customHeight="1">
      <c r="B711" s="51" t="s">
        <v>81</v>
      </c>
      <c r="C711" s="51" t="s">
        <v>2934</v>
      </c>
      <c r="D711" s="51" t="s">
        <v>82</v>
      </c>
      <c r="E711" s="52">
        <v>1</v>
      </c>
      <c r="F711" s="51" t="s">
        <v>176</v>
      </c>
      <c r="G711" s="51" t="s">
        <v>177</v>
      </c>
      <c r="H711" s="54" t="s">
        <v>150</v>
      </c>
      <c r="I711" s="52">
        <v>6</v>
      </c>
      <c r="J711" s="51" t="s">
        <v>123</v>
      </c>
      <c r="K711" s="52">
        <v>4</v>
      </c>
      <c r="L711" s="52"/>
      <c r="M711" s="52"/>
      <c r="N711" s="76" t="s">
        <v>2962</v>
      </c>
      <c r="O711" s="53" t="s">
        <v>179</v>
      </c>
      <c r="P711" s="52"/>
      <c r="Q711" s="54"/>
      <c r="R711" s="55" t="s">
        <v>2963</v>
      </c>
      <c r="S711" s="55" t="s">
        <v>181</v>
      </c>
      <c r="T711" s="55" t="s">
        <v>2964</v>
      </c>
      <c r="U711" s="55" t="s">
        <v>2950</v>
      </c>
      <c r="V711" s="55" t="s">
        <v>2965</v>
      </c>
      <c r="W711" s="82" t="s">
        <v>2966</v>
      </c>
      <c r="X711" s="63" t="s">
        <v>2940</v>
      </c>
      <c r="Y711" s="53" t="s">
        <v>939</v>
      </c>
      <c r="Z711" s="53" t="s">
        <v>939</v>
      </c>
      <c r="AA711" s="60" t="s">
        <v>2967</v>
      </c>
    </row>
    <row r="712" spans="2:27" ht="80.25" hidden="1" customHeight="1">
      <c r="B712" s="51" t="s">
        <v>81</v>
      </c>
      <c r="C712" s="51" t="s">
        <v>2934</v>
      </c>
      <c r="D712" s="51" t="s">
        <v>82</v>
      </c>
      <c r="E712" s="52">
        <v>1</v>
      </c>
      <c r="F712" s="51" t="s">
        <v>187</v>
      </c>
      <c r="G712" s="51" t="s">
        <v>188</v>
      </c>
      <c r="H712" s="54" t="s">
        <v>150</v>
      </c>
      <c r="I712" s="52">
        <v>7</v>
      </c>
      <c r="J712" s="51" t="s">
        <v>123</v>
      </c>
      <c r="K712" s="52">
        <v>30</v>
      </c>
      <c r="L712" s="52"/>
      <c r="M712" s="52"/>
      <c r="N712" s="53" t="s">
        <v>2968</v>
      </c>
      <c r="O712" s="53" t="s">
        <v>190</v>
      </c>
      <c r="P712" s="52"/>
      <c r="Q712" s="54"/>
      <c r="R712" s="55" t="s">
        <v>2963</v>
      </c>
      <c r="S712" s="55" t="s">
        <v>181</v>
      </c>
      <c r="T712" s="55" t="s">
        <v>2942</v>
      </c>
      <c r="U712" s="286" t="s">
        <v>2953</v>
      </c>
      <c r="V712" s="55" t="s">
        <v>2969</v>
      </c>
      <c r="W712" s="82" t="s">
        <v>2970</v>
      </c>
      <c r="X712" s="63" t="s">
        <v>2940</v>
      </c>
      <c r="Y712" s="65" t="s">
        <v>2971</v>
      </c>
      <c r="Z712" s="65" t="s">
        <v>2972</v>
      </c>
      <c r="AA712" s="60" t="s">
        <v>2973</v>
      </c>
    </row>
    <row r="713" spans="2:27" ht="80.25" hidden="1" customHeight="1">
      <c r="B713" s="51" t="s">
        <v>81</v>
      </c>
      <c r="C713" s="51" t="s">
        <v>2934</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2942</v>
      </c>
      <c r="U713" s="55" t="s">
        <v>2943</v>
      </c>
      <c r="V713" s="55" t="s">
        <v>2974</v>
      </c>
      <c r="W713" s="82" t="s">
        <v>2975</v>
      </c>
      <c r="X713" s="63" t="s">
        <v>2940</v>
      </c>
      <c r="Y713" s="65" t="s">
        <v>2976</v>
      </c>
      <c r="Z713" s="65" t="s">
        <v>2977</v>
      </c>
      <c r="AA713" s="60" t="s">
        <v>2978</v>
      </c>
    </row>
    <row r="714" spans="2:27" ht="80.25" hidden="1" customHeight="1">
      <c r="B714" s="51" t="s">
        <v>81</v>
      </c>
      <c r="C714" s="51" t="s">
        <v>2934</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2942</v>
      </c>
      <c r="U714" s="55" t="s">
        <v>2943</v>
      </c>
      <c r="V714" s="55" t="s">
        <v>2979</v>
      </c>
      <c r="W714" s="82" t="s">
        <v>2980</v>
      </c>
      <c r="X714" s="63" t="s">
        <v>2940</v>
      </c>
      <c r="Y714" s="65" t="s">
        <v>2981</v>
      </c>
      <c r="Z714" s="65" t="s">
        <v>2982</v>
      </c>
      <c r="AA714" s="60" t="s">
        <v>2983</v>
      </c>
    </row>
    <row r="715" spans="2:27" ht="80.25" hidden="1" customHeight="1">
      <c r="B715" s="51" t="s">
        <v>81</v>
      </c>
      <c r="C715" s="51" t="s">
        <v>2934</v>
      </c>
      <c r="D715" s="51" t="s">
        <v>82</v>
      </c>
      <c r="E715" s="52">
        <v>1</v>
      </c>
      <c r="F715" s="51" t="s">
        <v>222</v>
      </c>
      <c r="G715" s="51" t="s">
        <v>223</v>
      </c>
      <c r="H715" s="54" t="s">
        <v>224</v>
      </c>
      <c r="I715" s="52">
        <v>10</v>
      </c>
      <c r="J715" s="51" t="s">
        <v>123</v>
      </c>
      <c r="K715" s="52">
        <v>3</v>
      </c>
      <c r="L715" s="52"/>
      <c r="M715" s="52"/>
      <c r="N715" s="53" t="s">
        <v>225</v>
      </c>
      <c r="O715" s="53" t="s">
        <v>226</v>
      </c>
      <c r="P715" s="52"/>
      <c r="Q715" s="53" t="s">
        <v>2984</v>
      </c>
      <c r="R715" s="55" t="s">
        <v>2985</v>
      </c>
      <c r="S715" s="55" t="s">
        <v>864</v>
      </c>
      <c r="T715" s="55" t="s">
        <v>2986</v>
      </c>
      <c r="U715" s="55" t="s">
        <v>2987</v>
      </c>
      <c r="V715" s="55" t="s">
        <v>2988</v>
      </c>
      <c r="W715" s="82" t="s">
        <v>2989</v>
      </c>
      <c r="X715" s="63" t="s">
        <v>2990</v>
      </c>
      <c r="Y715" s="65" t="s">
        <v>2991</v>
      </c>
      <c r="Z715" s="65" t="s">
        <v>2992</v>
      </c>
      <c r="AA715" s="60" t="s">
        <v>2993</v>
      </c>
    </row>
    <row r="716" spans="2:27" ht="80.25" hidden="1" customHeight="1">
      <c r="B716" s="51" t="s">
        <v>81</v>
      </c>
      <c r="C716" s="51" t="s">
        <v>2934</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2994</v>
      </c>
      <c r="U716" s="55" t="s">
        <v>2953</v>
      </c>
      <c r="V716" s="63" t="s">
        <v>2995</v>
      </c>
      <c r="W716" s="82" t="s">
        <v>2996</v>
      </c>
      <c r="X716" s="63" t="s">
        <v>2940</v>
      </c>
      <c r="Y716" s="53" t="s">
        <v>939</v>
      </c>
      <c r="Z716" s="53" t="s">
        <v>939</v>
      </c>
      <c r="AA716" s="60" t="s">
        <v>2997</v>
      </c>
    </row>
    <row r="717" spans="2:27" ht="80.25" hidden="1" customHeight="1">
      <c r="B717" s="51" t="s">
        <v>81</v>
      </c>
      <c r="C717" s="51" t="s">
        <v>2934</v>
      </c>
      <c r="D717" s="51" t="s">
        <v>82</v>
      </c>
      <c r="E717" s="52">
        <v>1</v>
      </c>
      <c r="F717" s="51" t="s">
        <v>2998</v>
      </c>
      <c r="G717" s="51" t="s">
        <v>2999</v>
      </c>
      <c r="H717" s="54" t="s">
        <v>3000</v>
      </c>
      <c r="I717" s="52">
        <v>12</v>
      </c>
      <c r="J717" s="51" t="s">
        <v>123</v>
      </c>
      <c r="K717" s="52">
        <v>4</v>
      </c>
      <c r="L717" s="52"/>
      <c r="M717" s="52"/>
      <c r="N717" s="53" t="s">
        <v>3001</v>
      </c>
      <c r="O717" s="53" t="s">
        <v>3002</v>
      </c>
      <c r="P717" s="52"/>
      <c r="Q717" s="54"/>
      <c r="R717" s="55" t="s">
        <v>3003</v>
      </c>
      <c r="S717" s="51" t="s">
        <v>3004</v>
      </c>
      <c r="T717" s="55" t="s">
        <v>2994</v>
      </c>
      <c r="U717" s="55" t="s">
        <v>2953</v>
      </c>
      <c r="V717" s="63" t="s">
        <v>2995</v>
      </c>
      <c r="W717" s="82" t="s">
        <v>3005</v>
      </c>
      <c r="X717" s="63" t="s">
        <v>2940</v>
      </c>
      <c r="Y717" s="65" t="s">
        <v>3006</v>
      </c>
      <c r="Z717" s="65" t="s">
        <v>939</v>
      </c>
      <c r="AA717" s="60" t="s">
        <v>3007</v>
      </c>
    </row>
    <row r="718" spans="2:27" ht="80.25" hidden="1" customHeight="1">
      <c r="B718" s="51" t="s">
        <v>81</v>
      </c>
      <c r="C718" s="51" t="s">
        <v>2934</v>
      </c>
      <c r="D718" s="51" t="s">
        <v>82</v>
      </c>
      <c r="E718" s="52">
        <v>1</v>
      </c>
      <c r="F718" s="51" t="s">
        <v>3008</v>
      </c>
      <c r="G718" s="51" t="s">
        <v>3009</v>
      </c>
      <c r="H718" s="54" t="s">
        <v>3010</v>
      </c>
      <c r="I718" s="52">
        <v>13</v>
      </c>
      <c r="J718" s="51" t="s">
        <v>123</v>
      </c>
      <c r="K718" s="52">
        <v>4</v>
      </c>
      <c r="L718" s="52"/>
      <c r="M718" s="52"/>
      <c r="N718" s="53" t="s">
        <v>3011</v>
      </c>
      <c r="O718" s="53" t="s">
        <v>3012</v>
      </c>
      <c r="P718" s="52"/>
      <c r="Q718" s="55" t="s">
        <v>3013</v>
      </c>
      <c r="R718" s="55"/>
      <c r="S718" s="55"/>
      <c r="T718" s="55" t="s">
        <v>2994</v>
      </c>
      <c r="U718" s="55" t="s">
        <v>2953</v>
      </c>
      <c r="V718" s="55" t="s">
        <v>3014</v>
      </c>
      <c r="W718" s="82" t="s">
        <v>3015</v>
      </c>
      <c r="X718" s="63" t="s">
        <v>2940</v>
      </c>
      <c r="Y718" s="65" t="s">
        <v>2971</v>
      </c>
      <c r="Z718" s="63" t="s">
        <v>3016</v>
      </c>
      <c r="AA718" s="60" t="s">
        <v>3017</v>
      </c>
    </row>
    <row r="719" spans="2:27" ht="80.25" hidden="1" customHeight="1">
      <c r="B719" s="51" t="s">
        <v>81</v>
      </c>
      <c r="C719" s="51" t="s">
        <v>2934</v>
      </c>
      <c r="D719" s="51" t="s">
        <v>82</v>
      </c>
      <c r="E719" s="52">
        <v>1</v>
      </c>
      <c r="F719" s="51" t="s">
        <v>3018</v>
      </c>
      <c r="G719" s="51" t="s">
        <v>3019</v>
      </c>
      <c r="H719" s="54" t="s">
        <v>3020</v>
      </c>
      <c r="I719" s="52">
        <v>14</v>
      </c>
      <c r="J719" s="51" t="s">
        <v>123</v>
      </c>
      <c r="K719" s="52">
        <v>10</v>
      </c>
      <c r="L719" s="52"/>
      <c r="M719" s="52"/>
      <c r="N719" s="53" t="s">
        <v>3021</v>
      </c>
      <c r="O719" s="53" t="s">
        <v>3022</v>
      </c>
      <c r="P719" s="52"/>
      <c r="Q719" s="53" t="s">
        <v>3023</v>
      </c>
      <c r="R719" s="53" t="s">
        <v>3003</v>
      </c>
      <c r="S719" s="53" t="s">
        <v>3024</v>
      </c>
      <c r="T719" s="55" t="s">
        <v>2942</v>
      </c>
      <c r="U719" s="55" t="s">
        <v>2953</v>
      </c>
      <c r="V719" s="63" t="s">
        <v>3025</v>
      </c>
      <c r="W719" s="82" t="s">
        <v>3026</v>
      </c>
      <c r="X719" s="63" t="s">
        <v>2940</v>
      </c>
      <c r="Y719" s="65" t="s">
        <v>3027</v>
      </c>
      <c r="Z719" s="65" t="s">
        <v>3025</v>
      </c>
      <c r="AA719" s="71" t="s">
        <v>3028</v>
      </c>
    </row>
    <row r="720" spans="2:27" ht="80.25" hidden="1" customHeight="1">
      <c r="B720" s="51" t="s">
        <v>81</v>
      </c>
      <c r="C720" s="51" t="s">
        <v>2934</v>
      </c>
      <c r="D720" s="51" t="s">
        <v>82</v>
      </c>
      <c r="E720" s="52">
        <v>1</v>
      </c>
      <c r="F720" s="51" t="s">
        <v>3029</v>
      </c>
      <c r="G720" s="51" t="s">
        <v>3030</v>
      </c>
      <c r="H720" s="54" t="s">
        <v>3031</v>
      </c>
      <c r="I720" s="52">
        <v>15</v>
      </c>
      <c r="J720" s="51" t="s">
        <v>123</v>
      </c>
      <c r="K720" s="52">
        <v>10</v>
      </c>
      <c r="L720" s="52"/>
      <c r="M720" s="52"/>
      <c r="N720" s="53" t="s">
        <v>3032</v>
      </c>
      <c r="O720" s="53" t="s">
        <v>3033</v>
      </c>
      <c r="P720" s="52"/>
      <c r="Q720" s="53" t="s">
        <v>3034</v>
      </c>
      <c r="R720" s="55" t="s">
        <v>3003</v>
      </c>
      <c r="S720" s="51" t="s">
        <v>3035</v>
      </c>
      <c r="T720" s="55" t="s">
        <v>2942</v>
      </c>
      <c r="U720" s="55" t="s">
        <v>2953</v>
      </c>
      <c r="V720" s="63" t="s">
        <v>3036</v>
      </c>
      <c r="W720" s="82" t="s">
        <v>3037</v>
      </c>
      <c r="X720" s="63" t="s">
        <v>2940</v>
      </c>
      <c r="Y720" s="65" t="s">
        <v>3027</v>
      </c>
      <c r="Z720" s="65" t="s">
        <v>3036</v>
      </c>
      <c r="AA720" s="71" t="s">
        <v>3028</v>
      </c>
    </row>
    <row r="721" spans="2:27" ht="80.25" hidden="1" customHeight="1">
      <c r="B721" s="51" t="s">
        <v>81</v>
      </c>
      <c r="C721" s="51" t="s">
        <v>2934</v>
      </c>
      <c r="D721" s="51" t="s">
        <v>82</v>
      </c>
      <c r="E721" s="52">
        <v>1</v>
      </c>
      <c r="F721" s="51" t="s">
        <v>3038</v>
      </c>
      <c r="G721" s="51" t="s">
        <v>3039</v>
      </c>
      <c r="H721" s="54" t="s">
        <v>3040</v>
      </c>
      <c r="I721" s="52">
        <v>16</v>
      </c>
      <c r="J721" s="51" t="s">
        <v>123</v>
      </c>
      <c r="K721" s="52">
        <v>10</v>
      </c>
      <c r="L721" s="52"/>
      <c r="M721" s="52"/>
      <c r="N721" s="53" t="s">
        <v>3041</v>
      </c>
      <c r="O721" s="53" t="s">
        <v>3042</v>
      </c>
      <c r="P721" s="52"/>
      <c r="Q721" s="54"/>
      <c r="R721" s="55" t="s">
        <v>3003</v>
      </c>
      <c r="S721" s="51" t="s">
        <v>3043</v>
      </c>
      <c r="T721" s="55" t="s">
        <v>2942</v>
      </c>
      <c r="U721" s="55" t="s">
        <v>2953</v>
      </c>
      <c r="V721" s="63" t="s">
        <v>3044</v>
      </c>
      <c r="W721" s="355" t="s">
        <v>3045</v>
      </c>
      <c r="X721" s="63" t="s">
        <v>2940</v>
      </c>
      <c r="Y721" s="65" t="s">
        <v>3027</v>
      </c>
      <c r="Z721" s="65" t="s">
        <v>3044</v>
      </c>
      <c r="AA721" s="71" t="s">
        <v>3046</v>
      </c>
    </row>
    <row r="722" spans="2:27" ht="80.25" hidden="1" customHeight="1">
      <c r="B722" s="51" t="s">
        <v>81</v>
      </c>
      <c r="C722" s="51" t="s">
        <v>2934</v>
      </c>
      <c r="D722" s="51" t="s">
        <v>82</v>
      </c>
      <c r="E722" s="52">
        <v>1</v>
      </c>
      <c r="F722" s="51" t="s">
        <v>3047</v>
      </c>
      <c r="G722" s="51" t="s">
        <v>3048</v>
      </c>
      <c r="H722" s="54" t="s">
        <v>3040</v>
      </c>
      <c r="I722" s="52">
        <v>17</v>
      </c>
      <c r="J722" s="51" t="s">
        <v>123</v>
      </c>
      <c r="K722" s="52">
        <v>10</v>
      </c>
      <c r="L722" s="52"/>
      <c r="M722" s="52"/>
      <c r="N722" s="53" t="s">
        <v>3049</v>
      </c>
      <c r="O722" s="53" t="s">
        <v>3050</v>
      </c>
      <c r="P722" s="52"/>
      <c r="Q722" s="54"/>
      <c r="R722" s="55" t="s">
        <v>3003</v>
      </c>
      <c r="S722" s="51" t="s">
        <v>3051</v>
      </c>
      <c r="T722" s="55" t="s">
        <v>2942</v>
      </c>
      <c r="U722" s="55" t="s">
        <v>2953</v>
      </c>
      <c r="V722" s="63" t="s">
        <v>3052</v>
      </c>
      <c r="W722" s="355" t="s">
        <v>3053</v>
      </c>
      <c r="X722" s="63" t="s">
        <v>2940</v>
      </c>
      <c r="Y722" s="65" t="s">
        <v>3027</v>
      </c>
      <c r="Z722" s="65" t="s">
        <v>3052</v>
      </c>
      <c r="AA722" s="60" t="s">
        <v>3054</v>
      </c>
    </row>
    <row r="723" spans="2:27" ht="80.25" hidden="1" customHeight="1">
      <c r="B723" s="51" t="s">
        <v>81</v>
      </c>
      <c r="C723" s="51" t="s">
        <v>2934</v>
      </c>
      <c r="D723" s="51" t="s">
        <v>82</v>
      </c>
      <c r="E723" s="52">
        <v>1</v>
      </c>
      <c r="F723" s="51" t="s">
        <v>3055</v>
      </c>
      <c r="G723" s="51" t="s">
        <v>3056</v>
      </c>
      <c r="H723" s="54" t="s">
        <v>3057</v>
      </c>
      <c r="I723" s="52">
        <v>18</v>
      </c>
      <c r="J723" s="51" t="s">
        <v>123</v>
      </c>
      <c r="K723" s="52">
        <v>20</v>
      </c>
      <c r="L723" s="52"/>
      <c r="M723" s="52"/>
      <c r="N723" s="53" t="s">
        <v>3058</v>
      </c>
      <c r="O723" s="53" t="s">
        <v>3059</v>
      </c>
      <c r="P723" s="52"/>
      <c r="Q723" s="53" t="s">
        <v>3060</v>
      </c>
      <c r="R723" s="55" t="s">
        <v>3003</v>
      </c>
      <c r="S723" s="51" t="s">
        <v>3061</v>
      </c>
      <c r="T723" s="55" t="s">
        <v>2942</v>
      </c>
      <c r="U723" s="55" t="s">
        <v>2953</v>
      </c>
      <c r="V723" s="63" t="s">
        <v>3062</v>
      </c>
      <c r="W723" s="355" t="s">
        <v>3063</v>
      </c>
      <c r="X723" s="63" t="s">
        <v>2940</v>
      </c>
      <c r="Y723" s="65" t="s">
        <v>3027</v>
      </c>
      <c r="Z723" s="65" t="s">
        <v>3062</v>
      </c>
      <c r="AA723" s="71" t="s">
        <v>3028</v>
      </c>
    </row>
    <row r="724" spans="2:27" ht="80.25" hidden="1" customHeight="1">
      <c r="B724" s="51" t="s">
        <v>81</v>
      </c>
      <c r="C724" s="51" t="s">
        <v>2934</v>
      </c>
      <c r="D724" s="51" t="s">
        <v>82</v>
      </c>
      <c r="E724" s="52">
        <v>1</v>
      </c>
      <c r="F724" s="51" t="s">
        <v>247</v>
      </c>
      <c r="G724" s="51" t="s">
        <v>248</v>
      </c>
      <c r="H724" s="51" t="s">
        <v>249</v>
      </c>
      <c r="I724" s="52">
        <v>19</v>
      </c>
      <c r="J724" s="51" t="s">
        <v>250</v>
      </c>
      <c r="K724" s="52">
        <v>23</v>
      </c>
      <c r="L724" s="52">
        <v>6</v>
      </c>
      <c r="M724" s="52"/>
      <c r="N724" s="53" t="s">
        <v>3064</v>
      </c>
      <c r="O724" s="53" t="s">
        <v>252</v>
      </c>
      <c r="P724" s="52"/>
      <c r="Q724" s="54"/>
      <c r="R724" s="55" t="s">
        <v>203</v>
      </c>
      <c r="S724" s="55" t="s">
        <v>253</v>
      </c>
      <c r="T724" s="55" t="s">
        <v>2994</v>
      </c>
      <c r="U724" s="55" t="s">
        <v>3065</v>
      </c>
      <c r="V724" s="55" t="s">
        <v>3066</v>
      </c>
      <c r="W724" s="355" t="s">
        <v>3067</v>
      </c>
      <c r="X724" s="63" t="s">
        <v>2940</v>
      </c>
      <c r="Y724" s="65" t="s">
        <v>3068</v>
      </c>
      <c r="Z724" s="65" t="s">
        <v>3069</v>
      </c>
      <c r="AA724" s="60" t="s">
        <v>3070</v>
      </c>
    </row>
    <row r="725" spans="2:27" ht="80.25" hidden="1" customHeight="1">
      <c r="B725" s="51" t="s">
        <v>81</v>
      </c>
      <c r="C725" s="51" t="s">
        <v>2934</v>
      </c>
      <c r="D725" s="51" t="s">
        <v>82</v>
      </c>
      <c r="E725" s="52">
        <v>1</v>
      </c>
      <c r="F725" s="51" t="s">
        <v>260</v>
      </c>
      <c r="G725" s="51" t="s">
        <v>261</v>
      </c>
      <c r="H725" s="51" t="s">
        <v>249</v>
      </c>
      <c r="I725" s="52">
        <v>20</v>
      </c>
      <c r="J725" s="51" t="s">
        <v>250</v>
      </c>
      <c r="K725" s="52">
        <v>23</v>
      </c>
      <c r="L725" s="52">
        <v>6</v>
      </c>
      <c r="M725" s="52"/>
      <c r="N725" s="53" t="s">
        <v>3071</v>
      </c>
      <c r="O725" s="53" t="s">
        <v>263</v>
      </c>
      <c r="P725" s="52"/>
      <c r="Q725" s="54"/>
      <c r="R725" s="55"/>
      <c r="S725" s="51"/>
      <c r="T725" s="55" t="s">
        <v>2942</v>
      </c>
      <c r="U725" s="55" t="s">
        <v>3006</v>
      </c>
      <c r="V725" s="55" t="s">
        <v>3072</v>
      </c>
      <c r="W725" s="355" t="s">
        <v>3073</v>
      </c>
      <c r="X725" s="63" t="s">
        <v>2940</v>
      </c>
      <c r="Y725" s="53" t="s">
        <v>3068</v>
      </c>
      <c r="Z725" s="53" t="s">
        <v>3069</v>
      </c>
      <c r="AA725" s="60" t="s">
        <v>3070</v>
      </c>
    </row>
    <row r="726" spans="2:27" ht="80.25" hidden="1" customHeight="1">
      <c r="B726" s="51" t="s">
        <v>81</v>
      </c>
      <c r="C726" s="56" t="s">
        <v>2934</v>
      </c>
      <c r="D726" s="56" t="s">
        <v>82</v>
      </c>
      <c r="E726" s="335">
        <v>1</v>
      </c>
      <c r="F726" s="51" t="s">
        <v>1908</v>
      </c>
      <c r="G726" s="51" t="s">
        <v>1909</v>
      </c>
      <c r="H726" s="56" t="s">
        <v>249</v>
      </c>
      <c r="I726" s="335">
        <v>21</v>
      </c>
      <c r="J726" s="56" t="s">
        <v>250</v>
      </c>
      <c r="K726" s="335">
        <v>23</v>
      </c>
      <c r="L726" s="335">
        <v>6</v>
      </c>
      <c r="M726" s="335"/>
      <c r="N726" s="53" t="s">
        <v>3074</v>
      </c>
      <c r="O726" s="53" t="s">
        <v>3075</v>
      </c>
      <c r="P726" s="335"/>
      <c r="Q726" s="200"/>
      <c r="R726" s="155"/>
      <c r="S726" s="154"/>
      <c r="T726" s="55" t="s">
        <v>2942</v>
      </c>
      <c r="U726" s="55" t="s">
        <v>2953</v>
      </c>
      <c r="V726" s="55" t="s">
        <v>3076</v>
      </c>
      <c r="W726" s="355" t="s">
        <v>3077</v>
      </c>
      <c r="X726" s="345" t="s">
        <v>2940</v>
      </c>
      <c r="Y726" s="155" t="s">
        <v>3006</v>
      </c>
      <c r="Z726" s="155" t="s">
        <v>3076</v>
      </c>
      <c r="AA726" s="341" t="s">
        <v>3078</v>
      </c>
    </row>
    <row r="727" spans="2:27" ht="80.25" hidden="1" customHeight="1">
      <c r="B727" s="56" t="s">
        <v>81</v>
      </c>
      <c r="C727" s="56" t="s">
        <v>2934</v>
      </c>
      <c r="D727" s="56" t="s">
        <v>82</v>
      </c>
      <c r="E727" s="335">
        <v>1</v>
      </c>
      <c r="F727" s="56" t="s">
        <v>879</v>
      </c>
      <c r="G727" s="56" t="s">
        <v>880</v>
      </c>
      <c r="H727" s="56" t="s">
        <v>249</v>
      </c>
      <c r="I727" s="335">
        <v>22</v>
      </c>
      <c r="J727" s="56" t="s">
        <v>250</v>
      </c>
      <c r="K727" s="335">
        <v>23</v>
      </c>
      <c r="L727" s="335">
        <v>6</v>
      </c>
      <c r="M727" s="335"/>
      <c r="N727" s="53" t="s">
        <v>3079</v>
      </c>
      <c r="O727" s="53"/>
      <c r="P727" s="335"/>
      <c r="Q727" s="56"/>
      <c r="R727" s="155"/>
      <c r="S727" s="154"/>
      <c r="T727" s="55" t="s">
        <v>2942</v>
      </c>
      <c r="U727" s="55" t="s">
        <v>3006</v>
      </c>
      <c r="V727" s="55" t="s">
        <v>244</v>
      </c>
      <c r="W727" s="355" t="s">
        <v>3080</v>
      </c>
      <c r="X727" s="345" t="s">
        <v>2940</v>
      </c>
      <c r="Y727" s="155" t="s">
        <v>3068</v>
      </c>
      <c r="Z727" s="339" t="s">
        <v>3081</v>
      </c>
      <c r="AA727" s="60" t="s">
        <v>3082</v>
      </c>
    </row>
    <row r="728" spans="2:27" ht="80.25" hidden="1" customHeight="1">
      <c r="B728" s="56" t="s">
        <v>81</v>
      </c>
      <c r="C728" s="56" t="s">
        <v>2934</v>
      </c>
      <c r="D728" s="56" t="s">
        <v>82</v>
      </c>
      <c r="E728" s="335">
        <v>1</v>
      </c>
      <c r="F728" s="56" t="s">
        <v>648</v>
      </c>
      <c r="G728" s="56" t="s">
        <v>649</v>
      </c>
      <c r="H728" s="51" t="s">
        <v>249</v>
      </c>
      <c r="I728" s="335">
        <v>24</v>
      </c>
      <c r="J728" s="56" t="s">
        <v>250</v>
      </c>
      <c r="K728" s="335">
        <v>23</v>
      </c>
      <c r="L728" s="335">
        <v>6</v>
      </c>
      <c r="M728" s="335"/>
      <c r="N728" s="53" t="s">
        <v>650</v>
      </c>
      <c r="O728" s="53" t="s">
        <v>651</v>
      </c>
      <c r="P728" s="335"/>
      <c r="Q728" s="200"/>
      <c r="R728" s="155" t="s">
        <v>685</v>
      </c>
      <c r="S728" s="155" t="s">
        <v>686</v>
      </c>
      <c r="T728" s="55" t="s">
        <v>2942</v>
      </c>
      <c r="U728" s="55" t="s">
        <v>2953</v>
      </c>
      <c r="V728" s="55" t="s">
        <v>3083</v>
      </c>
      <c r="W728" s="355" t="s">
        <v>3084</v>
      </c>
      <c r="X728" s="63" t="s">
        <v>2940</v>
      </c>
      <c r="Y728" s="339" t="s">
        <v>3068</v>
      </c>
      <c r="Z728" s="339" t="s">
        <v>3085</v>
      </c>
      <c r="AA728" s="341" t="s">
        <v>3086</v>
      </c>
    </row>
    <row r="729" spans="2:27" ht="80.25" hidden="1" customHeight="1">
      <c r="B729" s="371" t="s">
        <v>81</v>
      </c>
      <c r="C729" s="371" t="s">
        <v>2934</v>
      </c>
      <c r="D729" s="371" t="s">
        <v>82</v>
      </c>
      <c r="E729" s="372">
        <v>1</v>
      </c>
      <c r="F729" s="356" t="s">
        <v>271</v>
      </c>
      <c r="G729" s="356" t="s">
        <v>272</v>
      </c>
      <c r="H729" s="356" t="s">
        <v>249</v>
      </c>
      <c r="I729" s="372">
        <v>25</v>
      </c>
      <c r="J729" s="371" t="s">
        <v>250</v>
      </c>
      <c r="K729" s="357">
        <v>23</v>
      </c>
      <c r="L729" s="357">
        <v>6</v>
      </c>
      <c r="M729" s="357"/>
      <c r="N729" s="191" t="s">
        <v>273</v>
      </c>
      <c r="O729" s="191" t="s">
        <v>274</v>
      </c>
      <c r="P729" s="357"/>
      <c r="Q729" s="374"/>
      <c r="R729" s="373" t="s">
        <v>275</v>
      </c>
      <c r="S729" s="374" t="s">
        <v>276</v>
      </c>
      <c r="T729" s="286" t="s">
        <v>2942</v>
      </c>
      <c r="U729" s="286" t="s">
        <v>2953</v>
      </c>
      <c r="V729" s="286" t="s">
        <v>3087</v>
      </c>
      <c r="W729" s="362" t="s">
        <v>3088</v>
      </c>
      <c r="X729" s="360" t="s">
        <v>2940</v>
      </c>
      <c r="Y729" s="378" t="s">
        <v>3089</v>
      </c>
      <c r="Z729" s="378" t="s">
        <v>3087</v>
      </c>
      <c r="AA729" s="379" t="s">
        <v>3090</v>
      </c>
    </row>
    <row r="730" spans="2:27" ht="80.25" hidden="1" customHeight="1">
      <c r="B730" s="56" t="s">
        <v>81</v>
      </c>
      <c r="C730" s="56" t="s">
        <v>2934</v>
      </c>
      <c r="D730" s="56" t="s">
        <v>82</v>
      </c>
      <c r="E730" s="335">
        <v>1</v>
      </c>
      <c r="F730" s="56" t="s">
        <v>282</v>
      </c>
      <c r="G730" s="56" t="s">
        <v>283</v>
      </c>
      <c r="H730" s="51" t="s">
        <v>249</v>
      </c>
      <c r="I730" s="335">
        <v>26</v>
      </c>
      <c r="J730" s="56" t="s">
        <v>250</v>
      </c>
      <c r="K730" s="335">
        <v>23</v>
      </c>
      <c r="L730" s="335">
        <v>6</v>
      </c>
      <c r="M730" s="335"/>
      <c r="N730" s="155" t="s">
        <v>284</v>
      </c>
      <c r="O730" s="53" t="s">
        <v>285</v>
      </c>
      <c r="P730" s="335"/>
      <c r="Q730" s="200"/>
      <c r="R730" s="346"/>
      <c r="S730" s="375"/>
      <c r="T730" s="55" t="s">
        <v>3091</v>
      </c>
      <c r="U730" s="55" t="s">
        <v>3092</v>
      </c>
      <c r="V730" s="63" t="s">
        <v>3093</v>
      </c>
      <c r="W730" s="355" t="s">
        <v>3094</v>
      </c>
      <c r="X730" s="63" t="s">
        <v>2940</v>
      </c>
      <c r="Y730" s="155" t="s">
        <v>3095</v>
      </c>
      <c r="Z730" s="155" t="s">
        <v>1932</v>
      </c>
      <c r="AA730" s="60" t="s">
        <v>3096</v>
      </c>
    </row>
    <row r="731" spans="2:27" ht="80.25" hidden="1" customHeight="1">
      <c r="B731" s="56" t="s">
        <v>81</v>
      </c>
      <c r="C731" s="56" t="s">
        <v>2934</v>
      </c>
      <c r="D731" s="56" t="s">
        <v>82</v>
      </c>
      <c r="E731" s="335">
        <v>1</v>
      </c>
      <c r="F731" s="51" t="s">
        <v>703</v>
      </c>
      <c r="G731" s="51" t="s">
        <v>704</v>
      </c>
      <c r="H731" s="51" t="s">
        <v>249</v>
      </c>
      <c r="I731" s="52">
        <v>27</v>
      </c>
      <c r="J731" s="56" t="s">
        <v>250</v>
      </c>
      <c r="K731" s="335">
        <v>23</v>
      </c>
      <c r="L731" s="335">
        <v>6</v>
      </c>
      <c r="M731" s="350"/>
      <c r="N731" s="53" t="s">
        <v>705</v>
      </c>
      <c r="O731" s="53" t="s">
        <v>706</v>
      </c>
      <c r="P731" s="52"/>
      <c r="Q731" s="51"/>
      <c r="R731" s="63"/>
      <c r="S731" s="61"/>
      <c r="T731" s="286" t="s">
        <v>2942</v>
      </c>
      <c r="U731" s="286" t="s">
        <v>2953</v>
      </c>
      <c r="V731" s="286" t="s">
        <v>3087</v>
      </c>
      <c r="W731" s="362" t="s">
        <v>3097</v>
      </c>
      <c r="X731" s="360" t="s">
        <v>2940</v>
      </c>
      <c r="Y731" s="51"/>
      <c r="Z731" s="51"/>
      <c r="AA731" s="52"/>
    </row>
    <row r="732" spans="2:27" ht="80.25" hidden="1" customHeight="1">
      <c r="B732" s="56" t="s">
        <v>81</v>
      </c>
      <c r="C732" s="56" t="s">
        <v>2934</v>
      </c>
      <c r="D732" s="56" t="s">
        <v>82</v>
      </c>
      <c r="E732" s="335">
        <v>1</v>
      </c>
      <c r="F732" s="51" t="s">
        <v>708</v>
      </c>
      <c r="G732" s="51" t="s">
        <v>709</v>
      </c>
      <c r="H732" s="51" t="s">
        <v>249</v>
      </c>
      <c r="I732" s="52">
        <v>28</v>
      </c>
      <c r="J732" s="56" t="s">
        <v>250</v>
      </c>
      <c r="K732" s="335">
        <v>23</v>
      </c>
      <c r="L732" s="335">
        <v>6</v>
      </c>
      <c r="M732" s="350"/>
      <c r="N732" s="53" t="s">
        <v>705</v>
      </c>
      <c r="O732" s="53" t="s">
        <v>706</v>
      </c>
      <c r="P732" s="52"/>
      <c r="Q732" s="51"/>
      <c r="R732" s="63"/>
      <c r="S732" s="61"/>
      <c r="T732" s="286" t="s">
        <v>2942</v>
      </c>
      <c r="U732" s="286" t="s">
        <v>2953</v>
      </c>
      <c r="V732" s="286" t="s">
        <v>3087</v>
      </c>
      <c r="W732" s="362" t="s">
        <v>3098</v>
      </c>
      <c r="X732" s="360" t="s">
        <v>2940</v>
      </c>
      <c r="Y732" s="51"/>
      <c r="Z732" s="51"/>
      <c r="AA732" s="52"/>
    </row>
    <row r="733" spans="2:27" ht="80.25" hidden="1" customHeight="1">
      <c r="B733" s="371" t="s">
        <v>81</v>
      </c>
      <c r="C733" s="371" t="s">
        <v>2934</v>
      </c>
      <c r="D733" s="371" t="s">
        <v>82</v>
      </c>
      <c r="E733" s="372">
        <v>1</v>
      </c>
      <c r="F733" s="356" t="s">
        <v>1514</v>
      </c>
      <c r="G733" s="356" t="s">
        <v>1515</v>
      </c>
      <c r="H733" s="358" t="s">
        <v>767</v>
      </c>
      <c r="I733" s="372">
        <v>29</v>
      </c>
      <c r="J733" s="356" t="s">
        <v>250</v>
      </c>
      <c r="K733" s="357">
        <v>23</v>
      </c>
      <c r="L733" s="357">
        <v>6</v>
      </c>
      <c r="M733" s="372"/>
      <c r="N733" s="373" t="s">
        <v>2187</v>
      </c>
      <c r="O733" s="191" t="s">
        <v>1517</v>
      </c>
      <c r="P733" s="372"/>
      <c r="Q733" s="371"/>
      <c r="R733" s="289" t="s">
        <v>788</v>
      </c>
      <c r="S733" s="371" t="s">
        <v>1518</v>
      </c>
      <c r="T733" s="286" t="s">
        <v>2964</v>
      </c>
      <c r="U733" s="286" t="s">
        <v>3099</v>
      </c>
      <c r="V733" s="286" t="s">
        <v>3100</v>
      </c>
      <c r="W733" s="359" t="s">
        <v>3101</v>
      </c>
      <c r="X733" s="360" t="s">
        <v>2940</v>
      </c>
      <c r="Y733" s="373" t="s">
        <v>3102</v>
      </c>
      <c r="Z733" s="373" t="s">
        <v>3103</v>
      </c>
      <c r="AA733" s="361" t="s">
        <v>3104</v>
      </c>
    </row>
    <row r="734" spans="2:27" ht="80.25" hidden="1" customHeight="1">
      <c r="B734" s="371" t="s">
        <v>81</v>
      </c>
      <c r="C734" s="371" t="s">
        <v>2934</v>
      </c>
      <c r="D734" s="371" t="s">
        <v>82</v>
      </c>
      <c r="E734" s="372">
        <v>1</v>
      </c>
      <c r="F734" s="356" t="s">
        <v>784</v>
      </c>
      <c r="G734" s="356" t="s">
        <v>785</v>
      </c>
      <c r="H734" s="358" t="s">
        <v>767</v>
      </c>
      <c r="I734" s="357">
        <v>30</v>
      </c>
      <c r="J734" s="356" t="s">
        <v>250</v>
      </c>
      <c r="K734" s="357">
        <v>23</v>
      </c>
      <c r="L734" s="357">
        <v>6</v>
      </c>
      <c r="M734" s="357"/>
      <c r="N734" s="191" t="s">
        <v>2205</v>
      </c>
      <c r="O734" s="191" t="s">
        <v>787</v>
      </c>
      <c r="P734" s="357"/>
      <c r="Q734" s="356"/>
      <c r="R734" s="286" t="s">
        <v>788</v>
      </c>
      <c r="S734" s="356" t="s">
        <v>789</v>
      </c>
      <c r="T734" s="286" t="s">
        <v>2942</v>
      </c>
      <c r="U734" s="286" t="s">
        <v>2953</v>
      </c>
      <c r="V734" s="289" t="s">
        <v>3105</v>
      </c>
      <c r="W734" s="359" t="s">
        <v>3106</v>
      </c>
      <c r="X734" s="360" t="s">
        <v>2940</v>
      </c>
      <c r="Y734" s="373" t="s">
        <v>3107</v>
      </c>
      <c r="Z734" s="373" t="s">
        <v>3108</v>
      </c>
      <c r="AA734" s="361" t="s">
        <v>3104</v>
      </c>
    </row>
    <row r="735" spans="2:27" ht="80.25" hidden="1" customHeight="1">
      <c r="B735" s="56" t="s">
        <v>81</v>
      </c>
      <c r="C735" s="56" t="s">
        <v>2934</v>
      </c>
      <c r="D735" s="56" t="s">
        <v>82</v>
      </c>
      <c r="E735" s="335">
        <v>1</v>
      </c>
      <c r="F735" s="51" t="s">
        <v>3109</v>
      </c>
      <c r="G735" s="51" t="s">
        <v>3110</v>
      </c>
      <c r="H735" s="200" t="s">
        <v>3111</v>
      </c>
      <c r="I735" s="335">
        <v>31</v>
      </c>
      <c r="J735" s="56" t="s">
        <v>123</v>
      </c>
      <c r="K735" s="335">
        <v>4</v>
      </c>
      <c r="L735" s="335"/>
      <c r="M735" s="335"/>
      <c r="N735" s="53" t="s">
        <v>3112</v>
      </c>
      <c r="O735" s="53" t="s">
        <v>3113</v>
      </c>
      <c r="P735" s="335"/>
      <c r="Q735" s="200"/>
      <c r="R735" s="57" t="s">
        <v>3003</v>
      </c>
      <c r="S735" s="56" t="s">
        <v>3109</v>
      </c>
      <c r="T735" s="55" t="s">
        <v>2994</v>
      </c>
      <c r="U735" s="55" t="s">
        <v>3114</v>
      </c>
      <c r="V735" s="55" t="s">
        <v>3115</v>
      </c>
      <c r="W735" s="355" t="s">
        <v>3116</v>
      </c>
      <c r="X735" s="346" t="s">
        <v>2940</v>
      </c>
      <c r="Y735" s="65" t="s">
        <v>3117</v>
      </c>
      <c r="Z735" s="65" t="s">
        <v>3118</v>
      </c>
      <c r="AA735" s="341" t="s">
        <v>3017</v>
      </c>
    </row>
    <row r="736" spans="2:27" ht="80.25" hidden="1" customHeight="1">
      <c r="B736" s="56" t="s">
        <v>81</v>
      </c>
      <c r="C736" s="56" t="s">
        <v>2934</v>
      </c>
      <c r="D736" s="56" t="s">
        <v>82</v>
      </c>
      <c r="E736" s="335">
        <v>1</v>
      </c>
      <c r="F736" s="56" t="s">
        <v>3119</v>
      </c>
      <c r="G736" s="56" t="s">
        <v>3120</v>
      </c>
      <c r="H736" s="200" t="s">
        <v>3121</v>
      </c>
      <c r="I736" s="335">
        <v>32</v>
      </c>
      <c r="J736" s="56" t="s">
        <v>123</v>
      </c>
      <c r="K736" s="335">
        <v>10</v>
      </c>
      <c r="L736" s="52"/>
      <c r="M736" s="52"/>
      <c r="N736" s="53" t="s">
        <v>3122</v>
      </c>
      <c r="O736" s="53" t="s">
        <v>3123</v>
      </c>
      <c r="P736" s="335"/>
      <c r="Q736" s="54"/>
      <c r="R736" s="55" t="s">
        <v>3003</v>
      </c>
      <c r="S736" s="51" t="s">
        <v>3119</v>
      </c>
      <c r="T736" s="55" t="s">
        <v>2942</v>
      </c>
      <c r="U736" s="55" t="s">
        <v>2953</v>
      </c>
      <c r="V736" s="55" t="s">
        <v>3124</v>
      </c>
      <c r="W736" s="355" t="s">
        <v>3125</v>
      </c>
      <c r="X736" s="63" t="s">
        <v>2940</v>
      </c>
      <c r="Y736" s="65" t="s">
        <v>3027</v>
      </c>
      <c r="Z736" s="65" t="s">
        <v>3124</v>
      </c>
      <c r="AA736" s="60" t="s">
        <v>3054</v>
      </c>
    </row>
    <row r="737" spans="2:27" ht="80.25" hidden="1" customHeight="1">
      <c r="B737" s="56" t="s">
        <v>81</v>
      </c>
      <c r="C737" s="56" t="s">
        <v>2934</v>
      </c>
      <c r="D737" s="56" t="s">
        <v>82</v>
      </c>
      <c r="E737" s="335">
        <v>1</v>
      </c>
      <c r="F737" s="56" t="s">
        <v>3126</v>
      </c>
      <c r="G737" s="56" t="s">
        <v>3127</v>
      </c>
      <c r="H737" s="54" t="s">
        <v>3128</v>
      </c>
      <c r="I737" s="335">
        <v>33</v>
      </c>
      <c r="J737" s="56" t="s">
        <v>123</v>
      </c>
      <c r="K737" s="335"/>
      <c r="L737" s="52"/>
      <c r="M737" s="52"/>
      <c r="N737" s="53" t="s">
        <v>3129</v>
      </c>
      <c r="O737" s="53" t="s">
        <v>3130</v>
      </c>
      <c r="P737" s="52"/>
      <c r="Q737" s="53" t="s">
        <v>3131</v>
      </c>
      <c r="R737" s="55" t="s">
        <v>3003</v>
      </c>
      <c r="S737" s="51" t="s">
        <v>3132</v>
      </c>
      <c r="T737" s="55" t="s">
        <v>2994</v>
      </c>
      <c r="U737" s="55" t="s">
        <v>3114</v>
      </c>
      <c r="V737" s="55" t="s">
        <v>3115</v>
      </c>
      <c r="W737" s="355" t="s">
        <v>3133</v>
      </c>
      <c r="X737" s="63" t="s">
        <v>2940</v>
      </c>
      <c r="Y737" s="65" t="s">
        <v>3117</v>
      </c>
      <c r="Z737" s="65" t="s">
        <v>3118</v>
      </c>
      <c r="AA737" s="60" t="s">
        <v>3017</v>
      </c>
    </row>
    <row r="738" spans="2:27" ht="80.25" hidden="1" customHeight="1">
      <c r="B738" s="56" t="s">
        <v>81</v>
      </c>
      <c r="C738" s="56" t="s">
        <v>2934</v>
      </c>
      <c r="D738" s="56" t="s">
        <v>82</v>
      </c>
      <c r="E738" s="335">
        <v>1</v>
      </c>
      <c r="F738" s="56" t="s">
        <v>3134</v>
      </c>
      <c r="G738" s="56" t="s">
        <v>3135</v>
      </c>
      <c r="H738" s="200" t="s">
        <v>3128</v>
      </c>
      <c r="I738" s="335">
        <v>34</v>
      </c>
      <c r="J738" s="56" t="s">
        <v>123</v>
      </c>
      <c r="K738" s="335"/>
      <c r="L738" s="335"/>
      <c r="M738" s="335"/>
      <c r="N738" s="155" t="s">
        <v>3136</v>
      </c>
      <c r="O738" s="155" t="s">
        <v>3137</v>
      </c>
      <c r="P738" s="335"/>
      <c r="Q738" s="155" t="s">
        <v>3131</v>
      </c>
      <c r="R738" s="57" t="s">
        <v>3003</v>
      </c>
      <c r="S738" s="56" t="s">
        <v>3132</v>
      </c>
      <c r="T738" s="57" t="s">
        <v>2994</v>
      </c>
      <c r="U738" s="57" t="s">
        <v>3114</v>
      </c>
      <c r="V738" s="57" t="s">
        <v>3115</v>
      </c>
      <c r="W738" s="376" t="s">
        <v>3138</v>
      </c>
      <c r="X738" s="346" t="s">
        <v>2940</v>
      </c>
      <c r="Y738" s="339" t="s">
        <v>3117</v>
      </c>
      <c r="Z738" s="339" t="s">
        <v>3118</v>
      </c>
      <c r="AA738" s="341" t="s">
        <v>3017</v>
      </c>
    </row>
    <row r="739" spans="2:27" ht="80.25" hidden="1" customHeight="1">
      <c r="B739" s="51" t="s">
        <v>81</v>
      </c>
      <c r="C739" s="51" t="s">
        <v>2934</v>
      </c>
      <c r="D739" s="51" t="s">
        <v>82</v>
      </c>
      <c r="E739" s="52">
        <v>1</v>
      </c>
      <c r="F739" s="51" t="s">
        <v>3139</v>
      </c>
      <c r="G739" s="51" t="s">
        <v>3140</v>
      </c>
      <c r="H739" s="54" t="s">
        <v>3128</v>
      </c>
      <c r="I739" s="52">
        <v>35</v>
      </c>
      <c r="J739" s="51" t="s">
        <v>123</v>
      </c>
      <c r="K739" s="52"/>
      <c r="L739" s="52"/>
      <c r="M739" s="52"/>
      <c r="N739" s="53" t="s">
        <v>3141</v>
      </c>
      <c r="O739" s="53" t="s">
        <v>3142</v>
      </c>
      <c r="P739" s="52"/>
      <c r="Q739" s="54"/>
      <c r="R739" s="55" t="s">
        <v>3003</v>
      </c>
      <c r="S739" s="51" t="s">
        <v>3139</v>
      </c>
      <c r="T739" s="55" t="s">
        <v>2964</v>
      </c>
      <c r="U739" s="55" t="s">
        <v>3143</v>
      </c>
      <c r="V739" s="55" t="s">
        <v>3144</v>
      </c>
      <c r="W739" s="355" t="s">
        <v>3145</v>
      </c>
      <c r="X739" s="63" t="s">
        <v>2940</v>
      </c>
      <c r="Y739" s="53" t="s">
        <v>3146</v>
      </c>
      <c r="Z739" s="53" t="s">
        <v>3147</v>
      </c>
      <c r="AA739" s="71" t="s">
        <v>3054</v>
      </c>
    </row>
    <row r="740" spans="2:27" ht="80.25" hidden="1" customHeight="1">
      <c r="B740" s="51" t="s">
        <v>81</v>
      </c>
      <c r="C740" s="51" t="s">
        <v>2934</v>
      </c>
      <c r="D740" s="51" t="s">
        <v>82</v>
      </c>
      <c r="E740" s="52">
        <v>1</v>
      </c>
      <c r="F740" s="51" t="s">
        <v>293</v>
      </c>
      <c r="G740" s="51" t="s">
        <v>294</v>
      </c>
      <c r="H740" s="54" t="s">
        <v>295</v>
      </c>
      <c r="I740" s="52">
        <v>36</v>
      </c>
      <c r="J740" s="51" t="s">
        <v>123</v>
      </c>
      <c r="K740" s="52">
        <v>3</v>
      </c>
      <c r="L740" s="52"/>
      <c r="M740" s="52"/>
      <c r="N740" s="53" t="s">
        <v>296</v>
      </c>
      <c r="O740" s="53" t="s">
        <v>297</v>
      </c>
      <c r="P740" s="52"/>
      <c r="Q740" s="53" t="s">
        <v>3148</v>
      </c>
      <c r="R740" s="55" t="s">
        <v>299</v>
      </c>
      <c r="S740" s="51" t="s">
        <v>300</v>
      </c>
      <c r="T740" s="55" t="s">
        <v>3149</v>
      </c>
      <c r="U740" s="55" t="s">
        <v>2950</v>
      </c>
      <c r="V740" s="55" t="s">
        <v>3150</v>
      </c>
      <c r="W740" s="355" t="s">
        <v>3151</v>
      </c>
      <c r="X740" s="63" t="s">
        <v>2940</v>
      </c>
      <c r="Y740" s="65" t="s">
        <v>2956</v>
      </c>
      <c r="Z740" s="53" t="s">
        <v>3152</v>
      </c>
      <c r="AA740" s="60" t="s">
        <v>939</v>
      </c>
    </row>
    <row r="741" spans="2:27" ht="80.25" hidden="1" customHeight="1">
      <c r="B741" s="51" t="s">
        <v>81</v>
      </c>
      <c r="C741" s="51" t="s">
        <v>2934</v>
      </c>
      <c r="D741" s="51" t="s">
        <v>82</v>
      </c>
      <c r="E741" s="52">
        <v>1</v>
      </c>
      <c r="F741" s="51" t="s">
        <v>304</v>
      </c>
      <c r="G741" s="51" t="s">
        <v>305</v>
      </c>
      <c r="H741" s="54" t="s">
        <v>295</v>
      </c>
      <c r="I741" s="52">
        <v>37</v>
      </c>
      <c r="J741" s="51" t="s">
        <v>123</v>
      </c>
      <c r="K741" s="52">
        <v>3</v>
      </c>
      <c r="L741" s="52"/>
      <c r="M741" s="52"/>
      <c r="N741" s="53" t="s">
        <v>306</v>
      </c>
      <c r="O741" s="53" t="s">
        <v>307</v>
      </c>
      <c r="P741" s="52"/>
      <c r="Q741" s="53" t="s">
        <v>3153</v>
      </c>
      <c r="R741" s="55" t="s">
        <v>203</v>
      </c>
      <c r="S741" s="51" t="s">
        <v>309</v>
      </c>
      <c r="T741" s="55" t="s">
        <v>3154</v>
      </c>
      <c r="U741" s="55" t="s">
        <v>3155</v>
      </c>
      <c r="V741" s="55" t="s">
        <v>1777</v>
      </c>
      <c r="W741" s="355" t="s">
        <v>3156</v>
      </c>
      <c r="X741" s="63" t="s">
        <v>2940</v>
      </c>
      <c r="Y741" s="65" t="s">
        <v>3157</v>
      </c>
      <c r="Z741" s="63" t="s">
        <v>3158</v>
      </c>
      <c r="AA741" s="60" t="s">
        <v>3159</v>
      </c>
    </row>
    <row r="742" spans="2:27" ht="80.25" hidden="1" customHeight="1">
      <c r="B742" s="51" t="s">
        <v>81</v>
      </c>
      <c r="C742" s="51" t="s">
        <v>2934</v>
      </c>
      <c r="D742" s="51" t="s">
        <v>82</v>
      </c>
      <c r="E742" s="52">
        <v>1</v>
      </c>
      <c r="F742" s="51" t="s">
        <v>317</v>
      </c>
      <c r="G742" s="51" t="s">
        <v>318</v>
      </c>
      <c r="H742" s="51" t="s">
        <v>319</v>
      </c>
      <c r="I742" s="52">
        <v>38</v>
      </c>
      <c r="J742" s="51" t="s">
        <v>123</v>
      </c>
      <c r="K742" s="52">
        <v>2</v>
      </c>
      <c r="L742" s="52"/>
      <c r="M742" s="52"/>
      <c r="N742" s="53" t="s">
        <v>320</v>
      </c>
      <c r="O742" s="53" t="s">
        <v>321</v>
      </c>
      <c r="P742" s="52"/>
      <c r="Q742" s="53" t="s">
        <v>3160</v>
      </c>
      <c r="R742" s="55"/>
      <c r="S742" s="51"/>
      <c r="T742" s="55" t="s">
        <v>2942</v>
      </c>
      <c r="U742" s="55" t="s">
        <v>2953</v>
      </c>
      <c r="V742" s="55" t="s">
        <v>939</v>
      </c>
      <c r="W742" s="355" t="s">
        <v>3161</v>
      </c>
      <c r="X742" s="63" t="s">
        <v>2940</v>
      </c>
      <c r="Y742" s="53" t="s">
        <v>939</v>
      </c>
      <c r="Z742" s="53" t="s">
        <v>939</v>
      </c>
      <c r="AA742" s="60" t="s">
        <v>3162</v>
      </c>
    </row>
    <row r="743" spans="2:27" ht="80.25" hidden="1" customHeight="1">
      <c r="B743" s="56" t="s">
        <v>81</v>
      </c>
      <c r="C743" s="51" t="s">
        <v>2934</v>
      </c>
      <c r="D743" s="56" t="s">
        <v>82</v>
      </c>
      <c r="E743" s="335">
        <v>1</v>
      </c>
      <c r="F743" s="51" t="s">
        <v>326</v>
      </c>
      <c r="G743" s="51" t="s">
        <v>327</v>
      </c>
      <c r="H743" s="56" t="s">
        <v>328</v>
      </c>
      <c r="I743" s="335">
        <v>39</v>
      </c>
      <c r="J743" s="56" t="s">
        <v>123</v>
      </c>
      <c r="K743" s="335">
        <v>10</v>
      </c>
      <c r="L743" s="335"/>
      <c r="M743" s="335"/>
      <c r="N743" s="155" t="s">
        <v>329</v>
      </c>
      <c r="O743" s="53" t="s">
        <v>361</v>
      </c>
      <c r="P743" s="335" t="s">
        <v>126</v>
      </c>
      <c r="Q743" s="200"/>
      <c r="R743" s="57" t="s">
        <v>275</v>
      </c>
      <c r="S743" s="56" t="s">
        <v>803</v>
      </c>
      <c r="T743" s="55" t="s">
        <v>2942</v>
      </c>
      <c r="U743" s="55" t="s">
        <v>2953</v>
      </c>
      <c r="V743" s="55" t="s">
        <v>3163</v>
      </c>
      <c r="W743" s="376" t="s">
        <v>3164</v>
      </c>
      <c r="X743" s="53" t="s">
        <v>939</v>
      </c>
      <c r="Y743" s="155" t="s">
        <v>939</v>
      </c>
      <c r="Z743" s="155" t="s">
        <v>939</v>
      </c>
      <c r="AA743" s="341" t="s">
        <v>939</v>
      </c>
    </row>
    <row r="744" spans="2:27" ht="80.25" hidden="1" customHeight="1">
      <c r="B744" s="56" t="s">
        <v>81</v>
      </c>
      <c r="C744" s="51" t="s">
        <v>2934</v>
      </c>
      <c r="D744" s="56" t="s">
        <v>82</v>
      </c>
      <c r="E744" s="335">
        <v>1</v>
      </c>
      <c r="F744" s="51" t="s">
        <v>333</v>
      </c>
      <c r="G744" s="51" t="s">
        <v>334</v>
      </c>
      <c r="H744" s="56" t="s">
        <v>335</v>
      </c>
      <c r="I744" s="335">
        <v>40</v>
      </c>
      <c r="J744" s="56" t="s">
        <v>336</v>
      </c>
      <c r="K744" s="335">
        <v>23</v>
      </c>
      <c r="L744" s="335"/>
      <c r="M744" s="335"/>
      <c r="N744" s="155" t="s">
        <v>337</v>
      </c>
      <c r="O744" s="53" t="s">
        <v>338</v>
      </c>
      <c r="P744" s="335"/>
      <c r="Q744" s="200"/>
      <c r="R744" s="57"/>
      <c r="S744" s="56"/>
      <c r="T744" s="55" t="s">
        <v>2942</v>
      </c>
      <c r="U744" s="55" t="s">
        <v>2953</v>
      </c>
      <c r="V744" s="55" t="s">
        <v>244</v>
      </c>
      <c r="W744" s="376" t="s">
        <v>3165</v>
      </c>
      <c r="X744" s="53" t="s">
        <v>939</v>
      </c>
      <c r="Y744" s="155" t="s">
        <v>939</v>
      </c>
      <c r="Z744" s="155" t="s">
        <v>939</v>
      </c>
      <c r="AA744" s="341" t="s">
        <v>939</v>
      </c>
    </row>
    <row r="745" spans="2:27" ht="80.25" hidden="1" customHeight="1">
      <c r="B745" s="62" t="s">
        <v>81</v>
      </c>
      <c r="C745" s="62" t="s">
        <v>3166</v>
      </c>
      <c r="D745" s="62" t="s">
        <v>3167</v>
      </c>
      <c r="E745" s="325">
        <v>0</v>
      </c>
      <c r="F745" s="51" t="s">
        <v>120</v>
      </c>
      <c r="G745" s="51" t="s">
        <v>121</v>
      </c>
      <c r="H745" s="79"/>
      <c r="I745" s="325">
        <v>1</v>
      </c>
      <c r="J745" s="62"/>
      <c r="K745" s="325"/>
      <c r="L745" s="325"/>
      <c r="M745" s="325"/>
      <c r="N745" s="90"/>
      <c r="O745" s="53" t="s">
        <v>125</v>
      </c>
      <c r="P745" s="325" t="s">
        <v>126</v>
      </c>
      <c r="Q745" s="62"/>
      <c r="R745" s="175"/>
      <c r="S745" s="79"/>
      <c r="T745" s="90" t="s">
        <v>2964</v>
      </c>
      <c r="U745" s="90" t="s">
        <v>3168</v>
      </c>
      <c r="V745" s="90" t="s">
        <v>3169</v>
      </c>
      <c r="W745" s="384" t="s">
        <v>3170</v>
      </c>
      <c r="X745" s="62"/>
      <c r="Y745" s="62"/>
      <c r="Z745" s="62"/>
      <c r="AA745" s="325"/>
    </row>
    <row r="746" spans="2:27" ht="80.25" hidden="1" customHeight="1">
      <c r="B746" s="62" t="s">
        <v>81</v>
      </c>
      <c r="C746" s="62" t="s">
        <v>3166</v>
      </c>
      <c r="D746" s="62" t="s">
        <v>3167</v>
      </c>
      <c r="E746" s="325">
        <v>0</v>
      </c>
      <c r="F746" s="62" t="s">
        <v>136</v>
      </c>
      <c r="G746" s="62" t="s">
        <v>137</v>
      </c>
      <c r="H746" s="79"/>
      <c r="I746" s="325">
        <v>2</v>
      </c>
      <c r="J746" s="62"/>
      <c r="K746" s="325"/>
      <c r="L746" s="325"/>
      <c r="M746" s="325"/>
      <c r="N746" s="90"/>
      <c r="O746" s="53" t="s">
        <v>139</v>
      </c>
      <c r="P746" s="325" t="s">
        <v>126</v>
      </c>
      <c r="Q746" s="62"/>
      <c r="R746" s="175"/>
      <c r="S746" s="79"/>
      <c r="T746" s="90" t="s">
        <v>3171</v>
      </c>
      <c r="U746" s="90" t="s">
        <v>3172</v>
      </c>
      <c r="V746" s="90" t="s">
        <v>3173</v>
      </c>
      <c r="W746" s="384" t="s">
        <v>3174</v>
      </c>
      <c r="X746" s="62"/>
      <c r="Y746" s="62"/>
      <c r="Z746" s="62"/>
      <c r="AA746" s="325"/>
    </row>
    <row r="747" spans="2:27" ht="80.25" hidden="1" customHeight="1">
      <c r="B747" s="349" t="s">
        <v>81</v>
      </c>
      <c r="C747" s="62" t="s">
        <v>3166</v>
      </c>
      <c r="D747" s="62" t="s">
        <v>3167</v>
      </c>
      <c r="E747" s="350">
        <v>0</v>
      </c>
      <c r="F747" s="349" t="s">
        <v>352</v>
      </c>
      <c r="G747" s="349" t="s">
        <v>353</v>
      </c>
      <c r="H747" s="332" t="s">
        <v>240</v>
      </c>
      <c r="I747" s="350">
        <v>3</v>
      </c>
      <c r="J747" s="330" t="s">
        <v>123</v>
      </c>
      <c r="K747" s="350"/>
      <c r="L747" s="350"/>
      <c r="M747" s="350"/>
      <c r="N747" s="87" t="s">
        <v>354</v>
      </c>
      <c r="O747" s="155" t="s">
        <v>355</v>
      </c>
      <c r="P747" s="350"/>
      <c r="Q747" s="349"/>
      <c r="R747" s="353"/>
      <c r="S747" s="351"/>
      <c r="T747" s="90" t="s">
        <v>2964</v>
      </c>
      <c r="U747" s="90" t="s">
        <v>3175</v>
      </c>
      <c r="V747" s="352" t="s">
        <v>3169</v>
      </c>
      <c r="W747" s="384" t="s">
        <v>3176</v>
      </c>
      <c r="X747" s="349"/>
      <c r="Y747" s="349"/>
      <c r="Z747" s="349"/>
      <c r="AA747" s="350"/>
    </row>
    <row r="748" spans="2:27" ht="80.25" hidden="1" customHeight="1">
      <c r="B748" s="349" t="s">
        <v>81</v>
      </c>
      <c r="C748" s="62" t="s">
        <v>3166</v>
      </c>
      <c r="D748" s="62" t="s">
        <v>3167</v>
      </c>
      <c r="E748" s="350">
        <v>0</v>
      </c>
      <c r="F748" s="62" t="s">
        <v>317</v>
      </c>
      <c r="G748" s="62" t="s">
        <v>318</v>
      </c>
      <c r="H748" s="79"/>
      <c r="I748" s="325">
        <v>4</v>
      </c>
      <c r="J748" s="62"/>
      <c r="K748" s="325"/>
      <c r="L748" s="325"/>
      <c r="M748" s="325"/>
      <c r="N748" s="90"/>
      <c r="O748" s="53" t="s">
        <v>321</v>
      </c>
      <c r="P748" s="325" t="s">
        <v>126</v>
      </c>
      <c r="Q748" s="62"/>
      <c r="R748" s="175"/>
      <c r="S748" s="79"/>
      <c r="T748" s="90" t="s">
        <v>2994</v>
      </c>
      <c r="U748" s="90" t="s">
        <v>3175</v>
      </c>
      <c r="V748" s="90" t="s">
        <v>3169</v>
      </c>
      <c r="W748" s="384" t="s">
        <v>3177</v>
      </c>
      <c r="X748" s="62"/>
      <c r="Y748" s="62"/>
      <c r="Z748" s="62"/>
      <c r="AA748" s="325"/>
    </row>
    <row r="749" spans="2:27" ht="80.25" hidden="1" customHeight="1">
      <c r="B749" s="349" t="s">
        <v>81</v>
      </c>
      <c r="C749" s="62" t="s">
        <v>3166</v>
      </c>
      <c r="D749" s="62" t="s">
        <v>3167</v>
      </c>
      <c r="E749" s="350">
        <v>0</v>
      </c>
      <c r="F749" s="51" t="s">
        <v>326</v>
      </c>
      <c r="G749" s="51" t="s">
        <v>327</v>
      </c>
      <c r="H749" s="351"/>
      <c r="I749" s="350">
        <v>5</v>
      </c>
      <c r="J749" s="349"/>
      <c r="K749" s="350"/>
      <c r="L749" s="350"/>
      <c r="M749" s="350"/>
      <c r="N749" s="352"/>
      <c r="O749" s="53" t="s">
        <v>361</v>
      </c>
      <c r="P749" s="350"/>
      <c r="Q749" s="62"/>
      <c r="R749" s="175"/>
      <c r="S749" s="79"/>
      <c r="T749" s="90" t="s">
        <v>2964</v>
      </c>
      <c r="U749" s="90" t="s">
        <v>3175</v>
      </c>
      <c r="V749" s="90" t="s">
        <v>3178</v>
      </c>
      <c r="W749" s="384" t="s">
        <v>3179</v>
      </c>
      <c r="X749" s="62"/>
      <c r="Y749" s="62"/>
      <c r="Z749" s="62"/>
      <c r="AA749" s="325"/>
    </row>
    <row r="750" spans="2:27" ht="80.25" hidden="1" customHeight="1">
      <c r="B750" s="349" t="s">
        <v>81</v>
      </c>
      <c r="C750" s="62" t="s">
        <v>3166</v>
      </c>
      <c r="D750" s="62" t="s">
        <v>3167</v>
      </c>
      <c r="E750" s="350">
        <v>0</v>
      </c>
      <c r="F750" s="51" t="s">
        <v>333</v>
      </c>
      <c r="G750" s="51" t="s">
        <v>334</v>
      </c>
      <c r="H750" s="351"/>
      <c r="I750" s="350">
        <v>6</v>
      </c>
      <c r="J750" s="349"/>
      <c r="K750" s="350"/>
      <c r="L750" s="350"/>
      <c r="M750" s="350"/>
      <c r="N750" s="352"/>
      <c r="O750" s="53" t="s">
        <v>338</v>
      </c>
      <c r="P750" s="350"/>
      <c r="Q750" s="349"/>
      <c r="R750" s="353"/>
      <c r="S750" s="351"/>
      <c r="T750" s="90" t="s">
        <v>2942</v>
      </c>
      <c r="U750" s="90" t="s">
        <v>2953</v>
      </c>
      <c r="V750" s="90" t="s">
        <v>2995</v>
      </c>
      <c r="W750" s="384" t="s">
        <v>3180</v>
      </c>
      <c r="X750" s="349"/>
      <c r="Y750" s="349"/>
      <c r="Z750" s="349"/>
      <c r="AA750" s="350"/>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4"/>
  <sheetViews>
    <sheetView showGridLines="0" topLeftCell="E1" workbookViewId="0">
      <selection activeCell="H24" sqref="H24"/>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3181</v>
      </c>
      <c r="C2" s="58" t="s">
        <v>95</v>
      </c>
      <c r="D2" s="58" t="s">
        <v>3182</v>
      </c>
      <c r="E2" s="58" t="s">
        <v>3183</v>
      </c>
      <c r="F2" s="58" t="s">
        <v>3184</v>
      </c>
      <c r="G2" s="58" t="s">
        <v>3185</v>
      </c>
      <c r="H2" s="59" t="s">
        <v>3186</v>
      </c>
      <c r="I2" s="116" t="s">
        <v>3187</v>
      </c>
    </row>
    <row r="3" spans="2:9" ht="30" hidden="1" customHeight="1">
      <c r="B3" s="51" t="s">
        <v>4</v>
      </c>
      <c r="C3" s="51" t="s">
        <v>5</v>
      </c>
      <c r="D3" s="51" t="s">
        <v>3188</v>
      </c>
      <c r="E3" s="51" t="s">
        <v>3189</v>
      </c>
      <c r="F3" s="51" t="s">
        <v>3188</v>
      </c>
      <c r="G3" s="51" t="s">
        <v>3190</v>
      </c>
      <c r="H3" s="55" t="s">
        <v>3191</v>
      </c>
      <c r="I3" s="55" t="s">
        <v>3192</v>
      </c>
    </row>
    <row r="4" spans="2:9" ht="30" hidden="1" customHeight="1">
      <c r="B4" s="51" t="s">
        <v>4</v>
      </c>
      <c r="C4" s="51" t="s">
        <v>5</v>
      </c>
      <c r="D4" s="51" t="s">
        <v>3188</v>
      </c>
      <c r="E4" s="51" t="s">
        <v>3189</v>
      </c>
      <c r="F4" s="51" t="s">
        <v>3188</v>
      </c>
      <c r="G4" s="51" t="s">
        <v>3193</v>
      </c>
      <c r="H4" s="55" t="s">
        <v>3194</v>
      </c>
      <c r="I4" s="55" t="s">
        <v>3192</v>
      </c>
    </row>
    <row r="5" spans="2:9" ht="30" hidden="1" customHeight="1">
      <c r="B5" s="51" t="s">
        <v>4</v>
      </c>
      <c r="C5" s="51" t="s">
        <v>5</v>
      </c>
      <c r="D5" s="51" t="s">
        <v>3188</v>
      </c>
      <c r="E5" s="51" t="s">
        <v>3189</v>
      </c>
      <c r="F5" s="51" t="s">
        <v>3188</v>
      </c>
      <c r="G5" s="51" t="s">
        <v>3195</v>
      </c>
      <c r="H5" s="55" t="s">
        <v>3196</v>
      </c>
      <c r="I5" s="55" t="s">
        <v>3192</v>
      </c>
    </row>
    <row r="6" spans="2:9" ht="30" hidden="1" customHeight="1">
      <c r="B6" s="51" t="s">
        <v>4</v>
      </c>
      <c r="C6" s="51" t="s">
        <v>5</v>
      </c>
      <c r="D6" s="51" t="s">
        <v>3188</v>
      </c>
      <c r="E6" s="51" t="s">
        <v>3189</v>
      </c>
      <c r="F6" s="51" t="s">
        <v>3197</v>
      </c>
      <c r="G6" s="51" t="s">
        <v>3198</v>
      </c>
      <c r="H6" s="55" t="s">
        <v>3199</v>
      </c>
      <c r="I6" s="55" t="s">
        <v>3200</v>
      </c>
    </row>
    <row r="7" spans="2:9" ht="30" hidden="1" customHeight="1">
      <c r="B7" s="51" t="s">
        <v>4</v>
      </c>
      <c r="C7" s="51" t="s">
        <v>5</v>
      </c>
      <c r="D7" s="51" t="s">
        <v>3188</v>
      </c>
      <c r="E7" s="51" t="s">
        <v>3189</v>
      </c>
      <c r="F7" s="51" t="s">
        <v>3197</v>
      </c>
      <c r="G7" s="51" t="s">
        <v>3201</v>
      </c>
      <c r="H7" s="55" t="s">
        <v>3202</v>
      </c>
      <c r="I7" s="55" t="s">
        <v>3192</v>
      </c>
    </row>
    <row r="8" spans="2:9" ht="30" hidden="1" customHeight="1">
      <c r="B8" s="51" t="s">
        <v>4</v>
      </c>
      <c r="C8" s="51" t="s">
        <v>5</v>
      </c>
      <c r="D8" s="51" t="s">
        <v>3188</v>
      </c>
      <c r="E8" s="51" t="s">
        <v>3189</v>
      </c>
      <c r="F8" s="51" t="s">
        <v>3197</v>
      </c>
      <c r="G8" s="51" t="s">
        <v>3203</v>
      </c>
      <c r="H8" s="55" t="s">
        <v>3204</v>
      </c>
      <c r="I8" s="55" t="s">
        <v>3192</v>
      </c>
    </row>
    <row r="9" spans="2:9" ht="30" hidden="1" customHeight="1">
      <c r="B9" s="51" t="s">
        <v>4</v>
      </c>
      <c r="C9" s="51" t="s">
        <v>5</v>
      </c>
      <c r="D9" s="51" t="s">
        <v>3188</v>
      </c>
      <c r="E9" s="51" t="s">
        <v>3189</v>
      </c>
      <c r="F9" s="51" t="s">
        <v>3197</v>
      </c>
      <c r="G9" s="51" t="s">
        <v>3205</v>
      </c>
      <c r="H9" s="55" t="s">
        <v>3206</v>
      </c>
      <c r="I9" s="55" t="s">
        <v>3192</v>
      </c>
    </row>
    <row r="10" spans="2:9" ht="30" hidden="1" customHeight="1">
      <c r="B10" s="51" t="s">
        <v>4</v>
      </c>
      <c r="C10" s="51" t="s">
        <v>5</v>
      </c>
      <c r="D10" s="51" t="s">
        <v>3197</v>
      </c>
      <c r="E10" s="110" t="s">
        <v>3207</v>
      </c>
      <c r="F10" s="51" t="s">
        <v>3197</v>
      </c>
      <c r="G10" s="51" t="s">
        <v>3198</v>
      </c>
      <c r="H10" s="55" t="s">
        <v>3208</v>
      </c>
      <c r="I10" s="55" t="s">
        <v>3192</v>
      </c>
    </row>
    <row r="11" spans="2:9" ht="30" hidden="1" customHeight="1">
      <c r="B11" s="51" t="s">
        <v>4</v>
      </c>
      <c r="C11" s="51" t="s">
        <v>5</v>
      </c>
      <c r="D11" s="51" t="s">
        <v>3209</v>
      </c>
      <c r="E11" s="51" t="s">
        <v>3210</v>
      </c>
      <c r="F11" s="51" t="s">
        <v>3209</v>
      </c>
      <c r="G11" s="51" t="s">
        <v>3211</v>
      </c>
      <c r="H11" s="55" t="s">
        <v>3212</v>
      </c>
      <c r="I11" s="55" t="s">
        <v>3192</v>
      </c>
    </row>
    <row r="12" spans="2:9" ht="30" hidden="1" customHeight="1">
      <c r="B12" s="51" t="s">
        <v>4</v>
      </c>
      <c r="C12" s="51" t="s">
        <v>5</v>
      </c>
      <c r="D12" s="51" t="s">
        <v>3209</v>
      </c>
      <c r="E12" s="51" t="s">
        <v>3210</v>
      </c>
      <c r="F12" s="51" t="s">
        <v>3197</v>
      </c>
      <c r="G12" s="51" t="s">
        <v>3213</v>
      </c>
      <c r="H12" s="55" t="s">
        <v>3214</v>
      </c>
      <c r="I12" s="55" t="s">
        <v>3192</v>
      </c>
    </row>
    <row r="13" spans="2:9" ht="30" hidden="1" customHeight="1">
      <c r="B13" s="51" t="s">
        <v>4</v>
      </c>
      <c r="C13" s="51" t="s">
        <v>5</v>
      </c>
      <c r="D13" s="51" t="s">
        <v>3188</v>
      </c>
      <c r="E13" s="50" t="s">
        <v>3189</v>
      </c>
      <c r="F13" s="51" t="s">
        <v>3197</v>
      </c>
      <c r="G13" s="51" t="s">
        <v>3215</v>
      </c>
      <c r="H13" s="55" t="s">
        <v>3216</v>
      </c>
      <c r="I13" s="55" t="s">
        <v>3192</v>
      </c>
    </row>
    <row r="14" spans="2:9" ht="30" hidden="1" customHeight="1">
      <c r="B14" s="51" t="s">
        <v>4</v>
      </c>
      <c r="C14" s="51" t="s">
        <v>5</v>
      </c>
      <c r="D14" s="56" t="s">
        <v>3197</v>
      </c>
      <c r="E14" s="56" t="s">
        <v>3215</v>
      </c>
      <c r="F14" s="56" t="s">
        <v>3197</v>
      </c>
      <c r="G14" s="56" t="s">
        <v>3213</v>
      </c>
      <c r="H14" s="57" t="s">
        <v>3217</v>
      </c>
      <c r="I14" s="55" t="s">
        <v>3192</v>
      </c>
    </row>
    <row r="15" spans="2:9" ht="30" hidden="1" customHeight="1">
      <c r="B15" s="51" t="s">
        <v>4</v>
      </c>
      <c r="C15" s="51" t="s">
        <v>5</v>
      </c>
      <c r="D15" s="56" t="s">
        <v>3197</v>
      </c>
      <c r="E15" s="56" t="s">
        <v>3198</v>
      </c>
      <c r="F15" s="397" t="s">
        <v>340</v>
      </c>
      <c r="G15" s="397" t="s">
        <v>7</v>
      </c>
      <c r="H15" s="398" t="s">
        <v>3218</v>
      </c>
      <c r="I15" s="397" t="s">
        <v>3200</v>
      </c>
    </row>
    <row r="16" spans="2:9" ht="30" hidden="1" customHeight="1">
      <c r="B16" s="51" t="s">
        <v>4</v>
      </c>
      <c r="C16" s="51" t="s">
        <v>5</v>
      </c>
      <c r="D16" s="399" t="s">
        <v>3219</v>
      </c>
      <c r="E16" s="399" t="s">
        <v>3220</v>
      </c>
      <c r="F16" s="399" t="s">
        <v>340</v>
      </c>
      <c r="G16" s="399" t="s">
        <v>7</v>
      </c>
      <c r="H16" s="400" t="s">
        <v>3221</v>
      </c>
      <c r="I16" s="397" t="s">
        <v>3200</v>
      </c>
    </row>
    <row r="17" spans="2:9" ht="30" hidden="1" customHeight="1">
      <c r="B17" s="51" t="s">
        <v>4</v>
      </c>
      <c r="C17" s="51" t="s">
        <v>5</v>
      </c>
      <c r="D17" s="399" t="s">
        <v>3209</v>
      </c>
      <c r="E17" s="399" t="s">
        <v>3210</v>
      </c>
      <c r="F17" s="399" t="s">
        <v>340</v>
      </c>
      <c r="G17" s="399" t="s">
        <v>7</v>
      </c>
      <c r="H17" s="400" t="s">
        <v>3222</v>
      </c>
      <c r="I17" s="397" t="s">
        <v>3200</v>
      </c>
    </row>
    <row r="18" spans="2:9" ht="30" hidden="1" customHeight="1">
      <c r="B18" s="51" t="s">
        <v>9</v>
      </c>
      <c r="C18" s="51" t="s">
        <v>10</v>
      </c>
      <c r="D18" s="51" t="s">
        <v>3223</v>
      </c>
      <c r="E18" s="51" t="s">
        <v>3224</v>
      </c>
      <c r="F18" s="51" t="s">
        <v>3223</v>
      </c>
      <c r="G18" s="51" t="s">
        <v>3225</v>
      </c>
      <c r="H18" s="55" t="s">
        <v>3226</v>
      </c>
      <c r="I18" s="55" t="s">
        <v>3192</v>
      </c>
    </row>
    <row r="19" spans="2:9" ht="30" hidden="1" customHeight="1">
      <c r="B19" s="51" t="s">
        <v>9</v>
      </c>
      <c r="C19" s="51" t="s">
        <v>10</v>
      </c>
      <c r="D19" s="51" t="s">
        <v>3223</v>
      </c>
      <c r="E19" s="51" t="s">
        <v>3224</v>
      </c>
      <c r="F19" s="51" t="s">
        <v>3223</v>
      </c>
      <c r="G19" s="51" t="s">
        <v>3227</v>
      </c>
      <c r="H19" s="55" t="s">
        <v>3228</v>
      </c>
      <c r="I19" s="55" t="s">
        <v>3192</v>
      </c>
    </row>
    <row r="20" spans="2:9" ht="30" hidden="1" customHeight="1">
      <c r="B20" s="51" t="s">
        <v>9</v>
      </c>
      <c r="C20" s="51" t="s">
        <v>10</v>
      </c>
      <c r="D20" s="51" t="s">
        <v>3223</v>
      </c>
      <c r="E20" s="51" t="s">
        <v>3224</v>
      </c>
      <c r="F20" s="51" t="s">
        <v>3219</v>
      </c>
      <c r="G20" s="51" t="s">
        <v>3220</v>
      </c>
      <c r="H20" s="55" t="s">
        <v>3229</v>
      </c>
      <c r="I20" s="55" t="s">
        <v>3192</v>
      </c>
    </row>
    <row r="21" spans="2:9" ht="30" hidden="1" customHeight="1">
      <c r="B21" s="51" t="s">
        <v>9</v>
      </c>
      <c r="C21" s="51" t="s">
        <v>12</v>
      </c>
      <c r="D21" s="51" t="s">
        <v>3223</v>
      </c>
      <c r="E21" s="51" t="s">
        <v>3230</v>
      </c>
      <c r="F21" s="51" t="s">
        <v>3223</v>
      </c>
      <c r="G21" s="51" t="s">
        <v>3224</v>
      </c>
      <c r="H21" s="55" t="s">
        <v>3231</v>
      </c>
      <c r="I21" s="55" t="s">
        <v>3200</v>
      </c>
    </row>
    <row r="22" spans="2:9" ht="30" hidden="1" customHeight="1">
      <c r="B22" s="56" t="s">
        <v>9</v>
      </c>
      <c r="C22" s="51" t="s">
        <v>12</v>
      </c>
      <c r="D22" s="51" t="s">
        <v>3223</v>
      </c>
      <c r="E22" s="51" t="s">
        <v>3230</v>
      </c>
      <c r="F22" s="51" t="s">
        <v>3232</v>
      </c>
      <c r="G22" s="56" t="s">
        <v>3233</v>
      </c>
      <c r="H22" s="57" t="s">
        <v>3234</v>
      </c>
      <c r="I22" s="55" t="s">
        <v>3192</v>
      </c>
    </row>
    <row r="23" spans="2:9" ht="30" hidden="1" customHeight="1">
      <c r="B23" s="51" t="s">
        <v>9</v>
      </c>
      <c r="C23" s="51" t="s">
        <v>12</v>
      </c>
      <c r="D23" s="51" t="s">
        <v>3223</v>
      </c>
      <c r="E23" s="51" t="s">
        <v>3230</v>
      </c>
      <c r="F23" s="51" t="s">
        <v>3232</v>
      </c>
      <c r="G23" s="51" t="s">
        <v>3233</v>
      </c>
      <c r="H23" s="57" t="s">
        <v>3235</v>
      </c>
      <c r="I23" s="55" t="s">
        <v>3192</v>
      </c>
    </row>
    <row r="24" spans="2:9" ht="30" customHeight="1">
      <c r="B24" s="56" t="s">
        <v>14</v>
      </c>
      <c r="C24" s="56" t="s">
        <v>15</v>
      </c>
      <c r="D24" s="57" t="s">
        <v>3236</v>
      </c>
      <c r="E24" s="56" t="s">
        <v>3237</v>
      </c>
      <c r="F24" s="57" t="s">
        <v>3236</v>
      </c>
      <c r="G24" s="56" t="s">
        <v>3238</v>
      </c>
      <c r="H24" s="57" t="s">
        <v>3239</v>
      </c>
      <c r="I24" s="117" t="s">
        <v>3192</v>
      </c>
    </row>
    <row r="25" spans="2:9" ht="30" customHeight="1">
      <c r="B25" s="56" t="s">
        <v>14</v>
      </c>
      <c r="C25" s="56" t="s">
        <v>15</v>
      </c>
      <c r="D25" s="57" t="s">
        <v>3236</v>
      </c>
      <c r="E25" s="57" t="s">
        <v>3240</v>
      </c>
      <c r="F25" s="56" t="s">
        <v>3209</v>
      </c>
      <c r="G25" s="51" t="s">
        <v>3241</v>
      </c>
      <c r="H25" s="82" t="s">
        <v>3242</v>
      </c>
      <c r="I25" s="117" t="s">
        <v>3192</v>
      </c>
    </row>
    <row r="26" spans="2:9" ht="30" customHeight="1">
      <c r="B26" s="56" t="s">
        <v>14</v>
      </c>
      <c r="C26" s="56" t="s">
        <v>15</v>
      </c>
      <c r="D26" s="57" t="s">
        <v>3236</v>
      </c>
      <c r="E26" s="57" t="s">
        <v>3240</v>
      </c>
      <c r="F26" s="55" t="s">
        <v>3236</v>
      </c>
      <c r="G26" s="51" t="s">
        <v>3237</v>
      </c>
      <c r="H26" s="82" t="s">
        <v>3243</v>
      </c>
      <c r="I26" s="117" t="s">
        <v>3192</v>
      </c>
    </row>
    <row r="27" spans="2:9" ht="30" customHeight="1">
      <c r="B27" s="56" t="s">
        <v>14</v>
      </c>
      <c r="C27" s="56" t="s">
        <v>15</v>
      </c>
      <c r="D27" s="55" t="s">
        <v>3236</v>
      </c>
      <c r="E27" s="55" t="s">
        <v>3240</v>
      </c>
      <c r="F27" s="55" t="s">
        <v>3236</v>
      </c>
      <c r="G27" s="51" t="s">
        <v>3244</v>
      </c>
      <c r="H27" s="55" t="s">
        <v>3245</v>
      </c>
      <c r="I27" s="117" t="s">
        <v>3192</v>
      </c>
    </row>
    <row r="28" spans="2:9" ht="30" customHeight="1">
      <c r="B28" s="56" t="s">
        <v>14</v>
      </c>
      <c r="C28" s="56" t="s">
        <v>15</v>
      </c>
      <c r="D28" s="51" t="s">
        <v>3209</v>
      </c>
      <c r="E28" s="51" t="s">
        <v>3210</v>
      </c>
      <c r="F28" s="51" t="s">
        <v>3209</v>
      </c>
      <c r="G28" s="51" t="s">
        <v>3211</v>
      </c>
      <c r="H28" s="55" t="s">
        <v>3212</v>
      </c>
      <c r="I28" s="117" t="s">
        <v>3192</v>
      </c>
    </row>
    <row r="29" spans="2:9" ht="30" customHeight="1">
      <c r="B29" s="397" t="s">
        <v>14</v>
      </c>
      <c r="C29" s="397" t="s">
        <v>15</v>
      </c>
      <c r="D29" s="55" t="s">
        <v>3236</v>
      </c>
      <c r="E29" s="55" t="s">
        <v>3240</v>
      </c>
      <c r="F29" s="399" t="s">
        <v>340</v>
      </c>
      <c r="G29" s="399" t="s">
        <v>19</v>
      </c>
      <c r="H29" s="401" t="s">
        <v>3246</v>
      </c>
      <c r="I29" s="399" t="s">
        <v>3200</v>
      </c>
    </row>
    <row r="30" spans="2:9" ht="30" hidden="1" customHeight="1">
      <c r="B30" s="56" t="s">
        <v>14</v>
      </c>
      <c r="C30" s="56" t="s">
        <v>17</v>
      </c>
      <c r="D30" s="56" t="s">
        <v>3236</v>
      </c>
      <c r="E30" s="56" t="s">
        <v>3237</v>
      </c>
      <c r="F30" s="51" t="s">
        <v>372</v>
      </c>
      <c r="G30" s="51" t="s">
        <v>372</v>
      </c>
      <c r="H30" s="51" t="s">
        <v>372</v>
      </c>
      <c r="I30" s="51" t="s">
        <v>372</v>
      </c>
    </row>
    <row r="31" spans="2:9" ht="30" customHeight="1">
      <c r="B31" s="56" t="s">
        <v>14</v>
      </c>
      <c r="C31" s="56" t="s">
        <v>15</v>
      </c>
      <c r="D31" s="56" t="s">
        <v>3236</v>
      </c>
      <c r="E31" s="56" t="s">
        <v>3237</v>
      </c>
      <c r="F31" s="399" t="s">
        <v>3247</v>
      </c>
      <c r="G31" s="399" t="s">
        <v>3248</v>
      </c>
      <c r="H31" s="400" t="s">
        <v>3249</v>
      </c>
      <c r="I31" s="397" t="s">
        <v>3192</v>
      </c>
    </row>
    <row r="32" spans="2:9" ht="30" hidden="1" customHeight="1">
      <c r="B32" s="397" t="s">
        <v>340</v>
      </c>
      <c r="C32" s="397" t="s">
        <v>19</v>
      </c>
      <c r="D32" s="56" t="s">
        <v>3209</v>
      </c>
      <c r="E32" s="56" t="s">
        <v>3241</v>
      </c>
      <c r="F32" s="57" t="s">
        <v>3236</v>
      </c>
      <c r="G32" s="57" t="s">
        <v>3240</v>
      </c>
      <c r="H32" s="305" t="s">
        <v>3250</v>
      </c>
      <c r="I32" s="397" t="s">
        <v>3200</v>
      </c>
    </row>
    <row r="33" spans="2:9" ht="30" hidden="1" customHeight="1">
      <c r="B33" s="56" t="s">
        <v>21</v>
      </c>
      <c r="C33" s="56" t="s">
        <v>22</v>
      </c>
      <c r="D33" s="56" t="s">
        <v>3251</v>
      </c>
      <c r="E33" s="56" t="s">
        <v>3252</v>
      </c>
      <c r="F33" s="56" t="s">
        <v>3251</v>
      </c>
      <c r="G33" s="56" t="s">
        <v>3253</v>
      </c>
      <c r="H33" s="57" t="s">
        <v>3254</v>
      </c>
      <c r="I33" s="55" t="s">
        <v>3192</v>
      </c>
    </row>
    <row r="34" spans="2:9" ht="30" hidden="1" customHeight="1">
      <c r="B34" s="56" t="s">
        <v>21</v>
      </c>
      <c r="C34" s="56" t="s">
        <v>22</v>
      </c>
      <c r="D34" s="56" t="s">
        <v>3251</v>
      </c>
      <c r="E34" s="56" t="s">
        <v>3252</v>
      </c>
      <c r="F34" s="56" t="s">
        <v>3251</v>
      </c>
      <c r="G34" s="56" t="s">
        <v>3255</v>
      </c>
      <c r="H34" s="57" t="s">
        <v>3256</v>
      </c>
      <c r="I34" s="55" t="s">
        <v>3192</v>
      </c>
    </row>
    <row r="35" spans="2:9" ht="30" hidden="1" customHeight="1">
      <c r="B35" s="56" t="s">
        <v>21</v>
      </c>
      <c r="C35" s="56" t="s">
        <v>22</v>
      </c>
      <c r="D35" s="56" t="s">
        <v>3251</v>
      </c>
      <c r="E35" s="56" t="s">
        <v>3252</v>
      </c>
      <c r="F35" s="56" t="s">
        <v>3219</v>
      </c>
      <c r="G35" s="56" t="s">
        <v>3257</v>
      </c>
      <c r="H35" s="57" t="s">
        <v>3258</v>
      </c>
      <c r="I35" s="55" t="s">
        <v>3192</v>
      </c>
    </row>
    <row r="36" spans="2:9" ht="30" hidden="1" customHeight="1">
      <c r="B36" s="56" t="s">
        <v>21</v>
      </c>
      <c r="C36" s="56" t="s">
        <v>22</v>
      </c>
      <c r="D36" s="56" t="s">
        <v>3251</v>
      </c>
      <c r="E36" s="56" t="s">
        <v>3252</v>
      </c>
      <c r="F36" s="56" t="s">
        <v>3251</v>
      </c>
      <c r="G36" s="399" t="s">
        <v>3259</v>
      </c>
      <c r="H36" s="400" t="s">
        <v>3260</v>
      </c>
      <c r="I36" s="399" t="s">
        <v>3192</v>
      </c>
    </row>
    <row r="37" spans="2:9" ht="30" hidden="1" customHeight="1">
      <c r="B37" s="56" t="s">
        <v>21</v>
      </c>
      <c r="C37" s="56" t="s">
        <v>22</v>
      </c>
      <c r="D37" s="56" t="s">
        <v>3251</v>
      </c>
      <c r="E37" s="56" t="s">
        <v>3253</v>
      </c>
      <c r="F37" s="51" t="s">
        <v>3219</v>
      </c>
      <c r="G37" s="51" t="s">
        <v>3257</v>
      </c>
      <c r="H37" s="57" t="s">
        <v>3261</v>
      </c>
      <c r="I37" s="55" t="s">
        <v>3192</v>
      </c>
    </row>
    <row r="38" spans="2:9" ht="30" hidden="1" customHeight="1">
      <c r="B38" s="56" t="s">
        <v>21</v>
      </c>
      <c r="C38" s="56" t="s">
        <v>22</v>
      </c>
      <c r="D38" s="51" t="s">
        <v>3251</v>
      </c>
      <c r="E38" s="51" t="s">
        <v>3253</v>
      </c>
      <c r="F38" s="51" t="s">
        <v>3262</v>
      </c>
      <c r="G38" s="51" t="s">
        <v>3263</v>
      </c>
      <c r="H38" s="57" t="s">
        <v>3264</v>
      </c>
      <c r="I38" s="55" t="s">
        <v>3192</v>
      </c>
    </row>
    <row r="39" spans="2:9" ht="30" hidden="1" customHeight="1">
      <c r="B39" s="56" t="s">
        <v>21</v>
      </c>
      <c r="C39" s="56" t="s">
        <v>22</v>
      </c>
      <c r="D39" s="56" t="s">
        <v>3209</v>
      </c>
      <c r="E39" s="56" t="s">
        <v>3210</v>
      </c>
      <c r="F39" s="56" t="s">
        <v>3209</v>
      </c>
      <c r="G39" s="56" t="s">
        <v>3211</v>
      </c>
      <c r="H39" s="57" t="s">
        <v>3212</v>
      </c>
      <c r="I39" s="55" t="s">
        <v>3192</v>
      </c>
    </row>
    <row r="40" spans="2:9" ht="30" hidden="1" customHeight="1">
      <c r="B40" s="56" t="s">
        <v>21</v>
      </c>
      <c r="C40" s="56" t="s">
        <v>22</v>
      </c>
      <c r="D40" s="56" t="s">
        <v>3209</v>
      </c>
      <c r="E40" s="56" t="s">
        <v>3210</v>
      </c>
      <c r="F40" s="56" t="s">
        <v>3197</v>
      </c>
      <c r="G40" s="56" t="s">
        <v>3213</v>
      </c>
      <c r="H40" s="57" t="s">
        <v>3214</v>
      </c>
      <c r="I40" s="51" t="s">
        <v>3192</v>
      </c>
    </row>
    <row r="41" spans="2:9" ht="30" hidden="1" customHeight="1">
      <c r="B41" s="397" t="s">
        <v>21</v>
      </c>
      <c r="C41" s="397" t="s">
        <v>22</v>
      </c>
      <c r="D41" s="397" t="s">
        <v>3209</v>
      </c>
      <c r="E41" s="56" t="s">
        <v>3241</v>
      </c>
      <c r="F41" s="397" t="s">
        <v>340</v>
      </c>
      <c r="G41" s="397" t="s">
        <v>26</v>
      </c>
      <c r="H41" s="398" t="s">
        <v>3265</v>
      </c>
      <c r="I41" s="399" t="s">
        <v>3200</v>
      </c>
    </row>
    <row r="42" spans="2:9" ht="30" hidden="1" customHeight="1">
      <c r="B42" s="397" t="s">
        <v>21</v>
      </c>
      <c r="C42" s="397" t="s">
        <v>22</v>
      </c>
      <c r="D42" s="397" t="s">
        <v>3219</v>
      </c>
      <c r="E42" s="397" t="s">
        <v>3220</v>
      </c>
      <c r="F42" s="397" t="s">
        <v>340</v>
      </c>
      <c r="G42" s="397" t="s">
        <v>26</v>
      </c>
      <c r="H42" s="398" t="s">
        <v>3266</v>
      </c>
      <c r="I42" s="399" t="s">
        <v>3200</v>
      </c>
    </row>
    <row r="43" spans="2:9" ht="30" hidden="1" customHeight="1">
      <c r="B43" s="397" t="s">
        <v>21</v>
      </c>
      <c r="C43" s="397" t="s">
        <v>22</v>
      </c>
      <c r="D43" s="397" t="s">
        <v>3251</v>
      </c>
      <c r="E43" s="397" t="s">
        <v>3253</v>
      </c>
      <c r="F43" s="397" t="s">
        <v>340</v>
      </c>
      <c r="G43" s="397" t="s">
        <v>26</v>
      </c>
      <c r="H43" s="398" t="s">
        <v>3267</v>
      </c>
      <c r="I43" s="399" t="s">
        <v>3200</v>
      </c>
    </row>
    <row r="44" spans="2:9" ht="30" hidden="1" customHeight="1">
      <c r="B44" s="397" t="s">
        <v>21</v>
      </c>
      <c r="C44" s="397" t="s">
        <v>22</v>
      </c>
      <c r="D44" s="397" t="s">
        <v>3251</v>
      </c>
      <c r="E44" s="397" t="s">
        <v>3252</v>
      </c>
      <c r="F44" s="399" t="s">
        <v>340</v>
      </c>
      <c r="G44" s="399" t="s">
        <v>26</v>
      </c>
      <c r="H44" s="400" t="s">
        <v>3268</v>
      </c>
      <c r="I44" s="399" t="s">
        <v>3200</v>
      </c>
    </row>
    <row r="45" spans="2:9" ht="30" hidden="1" customHeight="1">
      <c r="B45" s="51" t="s">
        <v>21</v>
      </c>
      <c r="C45" s="51" t="s">
        <v>24</v>
      </c>
      <c r="D45" s="51" t="s">
        <v>3251</v>
      </c>
      <c r="E45" s="51" t="s">
        <v>3253</v>
      </c>
      <c r="F45" s="51" t="s">
        <v>3219</v>
      </c>
      <c r="G45" s="51" t="s">
        <v>3257</v>
      </c>
      <c r="H45" s="55" t="s">
        <v>3261</v>
      </c>
      <c r="I45" s="55" t="s">
        <v>3192</v>
      </c>
    </row>
    <row r="46" spans="2:9" ht="30" hidden="1" customHeight="1">
      <c r="B46" s="399" t="s">
        <v>340</v>
      </c>
      <c r="C46" s="399" t="s">
        <v>26</v>
      </c>
      <c r="D46" s="399" t="s">
        <v>3219</v>
      </c>
      <c r="E46" s="399" t="s">
        <v>3220</v>
      </c>
      <c r="F46" s="399" t="s">
        <v>340</v>
      </c>
      <c r="G46" s="399" t="s">
        <v>3269</v>
      </c>
      <c r="H46" s="400" t="s">
        <v>3270</v>
      </c>
      <c r="I46" s="399" t="s">
        <v>3200</v>
      </c>
    </row>
    <row r="47" spans="2:9" ht="30" hidden="1" customHeight="1">
      <c r="B47" s="399" t="s">
        <v>340</v>
      </c>
      <c r="C47" s="399" t="s">
        <v>26</v>
      </c>
      <c r="D47" s="399" t="s">
        <v>3209</v>
      </c>
      <c r="E47" s="51" t="s">
        <v>3241</v>
      </c>
      <c r="F47" s="399" t="s">
        <v>340</v>
      </c>
      <c r="G47" s="399" t="s">
        <v>3269</v>
      </c>
      <c r="H47" s="400" t="s">
        <v>3271</v>
      </c>
      <c r="I47" s="399" t="s">
        <v>3200</v>
      </c>
    </row>
    <row r="48" spans="2:9" ht="30" hidden="1" customHeight="1">
      <c r="B48" s="51" t="s">
        <v>28</v>
      </c>
      <c r="C48" s="51" t="s">
        <v>3272</v>
      </c>
      <c r="D48" s="56" t="s">
        <v>3273</v>
      </c>
      <c r="E48" s="56" t="s">
        <v>3274</v>
      </c>
      <c r="F48" s="56" t="s">
        <v>372</v>
      </c>
      <c r="G48" s="56" t="s">
        <v>372</v>
      </c>
      <c r="H48" s="56" t="s">
        <v>372</v>
      </c>
      <c r="I48" s="56" t="s">
        <v>372</v>
      </c>
    </row>
    <row r="49" spans="2:9" ht="30" hidden="1" customHeight="1">
      <c r="B49" s="51" t="s">
        <v>33</v>
      </c>
      <c r="C49" s="51" t="s">
        <v>34</v>
      </c>
      <c r="D49" s="51" t="s">
        <v>3275</v>
      </c>
      <c r="E49" s="51" t="s">
        <v>3276</v>
      </c>
      <c r="F49" s="51" t="s">
        <v>3275</v>
      </c>
      <c r="G49" s="51" t="s">
        <v>3277</v>
      </c>
      <c r="H49" s="55" t="s">
        <v>3278</v>
      </c>
      <c r="I49" s="55" t="s">
        <v>3200</v>
      </c>
    </row>
    <row r="50" spans="2:9" ht="30" hidden="1" customHeight="1">
      <c r="B50" s="51" t="s">
        <v>33</v>
      </c>
      <c r="C50" s="51" t="s">
        <v>34</v>
      </c>
      <c r="D50" s="51" t="s">
        <v>3275</v>
      </c>
      <c r="E50" s="51" t="s">
        <v>3276</v>
      </c>
      <c r="F50" s="51" t="s">
        <v>3275</v>
      </c>
      <c r="G50" s="51" t="s">
        <v>3279</v>
      </c>
      <c r="H50" s="55" t="s">
        <v>3280</v>
      </c>
      <c r="I50" s="55" t="s">
        <v>3192</v>
      </c>
    </row>
    <row r="51" spans="2:9" ht="30" hidden="1" customHeight="1">
      <c r="B51" s="51" t="s">
        <v>33</v>
      </c>
      <c r="C51" s="51" t="s">
        <v>34</v>
      </c>
      <c r="D51" s="51" t="s">
        <v>3275</v>
      </c>
      <c r="E51" s="51" t="s">
        <v>3279</v>
      </c>
      <c r="F51" s="399" t="s">
        <v>3197</v>
      </c>
      <c r="G51" s="51" t="s">
        <v>3213</v>
      </c>
      <c r="H51" s="55" t="s">
        <v>3281</v>
      </c>
      <c r="I51" s="55" t="s">
        <v>3200</v>
      </c>
    </row>
    <row r="52" spans="2:9" ht="30" hidden="1" customHeight="1">
      <c r="B52" s="51" t="s">
        <v>33</v>
      </c>
      <c r="C52" s="51" t="s">
        <v>34</v>
      </c>
      <c r="D52" s="51" t="s">
        <v>3275</v>
      </c>
      <c r="E52" s="51" t="s">
        <v>3279</v>
      </c>
      <c r="F52" s="51" t="s">
        <v>3282</v>
      </c>
      <c r="G52" s="51" t="s">
        <v>3283</v>
      </c>
      <c r="H52" s="400" t="s">
        <v>3284</v>
      </c>
      <c r="I52" s="51" t="s">
        <v>3192</v>
      </c>
    </row>
    <row r="53" spans="2:9" ht="30" hidden="1" customHeight="1">
      <c r="B53" s="51" t="s">
        <v>33</v>
      </c>
      <c r="C53" s="51" t="s">
        <v>36</v>
      </c>
      <c r="D53" s="56" t="s">
        <v>3275</v>
      </c>
      <c r="E53" s="56" t="s">
        <v>3279</v>
      </c>
      <c r="F53" s="56" t="s">
        <v>3197</v>
      </c>
      <c r="G53" s="56" t="s">
        <v>3213</v>
      </c>
      <c r="H53" s="57" t="s">
        <v>3281</v>
      </c>
      <c r="I53" s="56" t="s">
        <v>3200</v>
      </c>
    </row>
    <row r="54" spans="2:9" ht="30" hidden="1" customHeight="1">
      <c r="B54" s="56" t="s">
        <v>33</v>
      </c>
      <c r="C54" s="56" t="s">
        <v>36</v>
      </c>
      <c r="D54" s="56" t="s">
        <v>3275</v>
      </c>
      <c r="E54" s="56" t="s">
        <v>3279</v>
      </c>
      <c r="F54" s="56" t="s">
        <v>3275</v>
      </c>
      <c r="G54" s="56" t="s">
        <v>3285</v>
      </c>
      <c r="H54" s="57" t="s">
        <v>3286</v>
      </c>
      <c r="I54" s="56" t="s">
        <v>3192</v>
      </c>
    </row>
    <row r="55" spans="2:9" ht="30" hidden="1" customHeight="1">
      <c r="B55" s="56" t="s">
        <v>33</v>
      </c>
      <c r="C55" s="56" t="s">
        <v>36</v>
      </c>
      <c r="D55" s="56" t="s">
        <v>3275</v>
      </c>
      <c r="E55" s="56" t="s">
        <v>3279</v>
      </c>
      <c r="F55" s="397" t="s">
        <v>3275</v>
      </c>
      <c r="G55" s="56" t="s">
        <v>3287</v>
      </c>
      <c r="H55" s="57" t="s">
        <v>3288</v>
      </c>
      <c r="I55" s="51" t="s">
        <v>3192</v>
      </c>
    </row>
    <row r="56" spans="2:9" ht="30" hidden="1" customHeight="1">
      <c r="B56" s="56" t="s">
        <v>33</v>
      </c>
      <c r="C56" s="56" t="s">
        <v>38</v>
      </c>
      <c r="D56" s="56" t="s">
        <v>3275</v>
      </c>
      <c r="E56" s="56" t="s">
        <v>3279</v>
      </c>
      <c r="F56" s="56" t="s">
        <v>3262</v>
      </c>
      <c r="G56" s="56" t="s">
        <v>3263</v>
      </c>
      <c r="H56" s="57" t="s">
        <v>3289</v>
      </c>
      <c r="I56" s="51" t="s">
        <v>3192</v>
      </c>
    </row>
    <row r="57" spans="2:9" ht="30" hidden="1" customHeight="1">
      <c r="B57" s="56" t="s">
        <v>33</v>
      </c>
      <c r="C57" s="51" t="s">
        <v>38</v>
      </c>
      <c r="D57" s="56" t="s">
        <v>3275</v>
      </c>
      <c r="E57" s="56" t="s">
        <v>3279</v>
      </c>
      <c r="F57" s="56" t="s">
        <v>3275</v>
      </c>
      <c r="G57" s="56" t="s">
        <v>3290</v>
      </c>
      <c r="H57" s="57" t="s">
        <v>3291</v>
      </c>
      <c r="I57" s="56" t="s">
        <v>3192</v>
      </c>
    </row>
    <row r="58" spans="2:9" ht="30" hidden="1" customHeight="1">
      <c r="B58" s="56" t="s">
        <v>33</v>
      </c>
      <c r="C58" s="56" t="s">
        <v>38</v>
      </c>
      <c r="D58" s="56" t="s">
        <v>3275</v>
      </c>
      <c r="E58" s="56" t="s">
        <v>3279</v>
      </c>
      <c r="F58" s="56" t="s">
        <v>3275</v>
      </c>
      <c r="G58" s="56" t="s">
        <v>3292</v>
      </c>
      <c r="H58" s="57" t="s">
        <v>3293</v>
      </c>
      <c r="I58" s="51" t="s">
        <v>3192</v>
      </c>
    </row>
    <row r="59" spans="2:9" ht="30" hidden="1" customHeight="1">
      <c r="B59" s="56" t="s">
        <v>33</v>
      </c>
      <c r="C59" s="56" t="s">
        <v>38</v>
      </c>
      <c r="D59" s="56" t="s">
        <v>3275</v>
      </c>
      <c r="E59" s="56" t="s">
        <v>3279</v>
      </c>
      <c r="F59" s="56" t="s">
        <v>3275</v>
      </c>
      <c r="G59" s="56" t="s">
        <v>3294</v>
      </c>
      <c r="H59" s="57" t="s">
        <v>3295</v>
      </c>
      <c r="I59" s="56" t="s">
        <v>3192</v>
      </c>
    </row>
    <row r="60" spans="2:9" ht="30" hidden="1" customHeight="1">
      <c r="B60" s="56" t="s">
        <v>33</v>
      </c>
      <c r="C60" s="56" t="s">
        <v>38</v>
      </c>
      <c r="D60" s="56" t="s">
        <v>3275</v>
      </c>
      <c r="E60" s="56" t="s">
        <v>3279</v>
      </c>
      <c r="F60" s="56" t="s">
        <v>3275</v>
      </c>
      <c r="G60" s="56" t="s">
        <v>3287</v>
      </c>
      <c r="H60" s="57" t="s">
        <v>3296</v>
      </c>
      <c r="I60" s="56" t="s">
        <v>3192</v>
      </c>
    </row>
    <row r="61" spans="2:9" ht="30" hidden="1" customHeight="1">
      <c r="B61" s="56" t="s">
        <v>33</v>
      </c>
      <c r="C61" s="56" t="s">
        <v>38</v>
      </c>
      <c r="D61" s="56" t="s">
        <v>3275</v>
      </c>
      <c r="E61" s="56" t="s">
        <v>3279</v>
      </c>
      <c r="F61" s="56" t="s">
        <v>3275</v>
      </c>
      <c r="G61" s="56" t="s">
        <v>3297</v>
      </c>
      <c r="H61" s="57" t="s">
        <v>3298</v>
      </c>
      <c r="I61" s="56" t="s">
        <v>3192</v>
      </c>
    </row>
    <row r="62" spans="2:9" ht="30" hidden="1" customHeight="1">
      <c r="B62" s="56" t="s">
        <v>33</v>
      </c>
      <c r="C62" s="56" t="s">
        <v>38</v>
      </c>
      <c r="D62" s="56" t="s">
        <v>3275</v>
      </c>
      <c r="E62" s="56" t="s">
        <v>3279</v>
      </c>
      <c r="F62" s="56" t="s">
        <v>3275</v>
      </c>
      <c r="G62" s="56" t="s">
        <v>3285</v>
      </c>
      <c r="H62" s="55" t="s">
        <v>3299</v>
      </c>
      <c r="I62" s="56" t="s">
        <v>3192</v>
      </c>
    </row>
    <row r="63" spans="2:9" ht="30" hidden="1" customHeight="1">
      <c r="B63" s="51" t="s">
        <v>33</v>
      </c>
      <c r="C63" s="51" t="s">
        <v>38</v>
      </c>
      <c r="D63" s="56" t="s">
        <v>3275</v>
      </c>
      <c r="E63" s="56" t="s">
        <v>3279</v>
      </c>
      <c r="F63" s="56" t="s">
        <v>3197</v>
      </c>
      <c r="G63" s="56" t="s">
        <v>3213</v>
      </c>
      <c r="H63" s="57" t="s">
        <v>3300</v>
      </c>
      <c r="I63" s="397" t="s">
        <v>3200</v>
      </c>
    </row>
    <row r="64" spans="2:9" ht="30" hidden="1" customHeight="1">
      <c r="B64" s="51" t="s">
        <v>33</v>
      </c>
      <c r="C64" s="51" t="s">
        <v>38</v>
      </c>
      <c r="D64" s="51" t="s">
        <v>3275</v>
      </c>
      <c r="E64" s="51" t="s">
        <v>3279</v>
      </c>
      <c r="F64" s="51" t="s">
        <v>3209</v>
      </c>
      <c r="G64" s="51" t="s">
        <v>3241</v>
      </c>
      <c r="H64" s="55" t="s">
        <v>3301</v>
      </c>
      <c r="I64" s="51" t="s">
        <v>3192</v>
      </c>
    </row>
    <row r="65" spans="2:9" ht="30" hidden="1" customHeight="1">
      <c r="B65" s="51" t="s">
        <v>33</v>
      </c>
      <c r="C65" s="51" t="s">
        <v>38</v>
      </c>
      <c r="D65" s="51" t="s">
        <v>3275</v>
      </c>
      <c r="E65" s="51" t="s">
        <v>3292</v>
      </c>
      <c r="F65" s="51" t="s">
        <v>3275</v>
      </c>
      <c r="G65" s="399" t="s">
        <v>3302</v>
      </c>
      <c r="H65" s="400" t="s">
        <v>3303</v>
      </c>
      <c r="I65" s="56" t="s">
        <v>3192</v>
      </c>
    </row>
    <row r="66" spans="2:9" ht="30" hidden="1" customHeight="1">
      <c r="B66" s="51" t="s">
        <v>33</v>
      </c>
      <c r="C66" s="51" t="s">
        <v>38</v>
      </c>
      <c r="D66" s="51" t="s">
        <v>3275</v>
      </c>
      <c r="E66" s="51" t="s">
        <v>3304</v>
      </c>
      <c r="F66" s="51" t="s">
        <v>3275</v>
      </c>
      <c r="G66" s="51" t="s">
        <v>3279</v>
      </c>
      <c r="H66" s="55" t="s">
        <v>3305</v>
      </c>
      <c r="I66" s="56" t="s">
        <v>3200</v>
      </c>
    </row>
    <row r="67" spans="2:9" ht="30" hidden="1" customHeight="1">
      <c r="B67" s="51" t="s">
        <v>33</v>
      </c>
      <c r="C67" s="51" t="s">
        <v>38</v>
      </c>
      <c r="D67" s="56" t="s">
        <v>3275</v>
      </c>
      <c r="E67" s="56" t="s">
        <v>3304</v>
      </c>
      <c r="F67" s="56" t="s">
        <v>3275</v>
      </c>
      <c r="G67" s="56" t="s">
        <v>3306</v>
      </c>
      <c r="H67" s="57" t="s">
        <v>3307</v>
      </c>
      <c r="I67" s="56" t="s">
        <v>3192</v>
      </c>
    </row>
    <row r="68" spans="2:9" ht="30" hidden="1" customHeight="1">
      <c r="B68" s="51" t="s">
        <v>33</v>
      </c>
      <c r="C68" s="51" t="s">
        <v>38</v>
      </c>
      <c r="D68" s="397" t="s">
        <v>3308</v>
      </c>
      <c r="E68" s="397" t="s">
        <v>3309</v>
      </c>
      <c r="F68" s="56" t="s">
        <v>3275</v>
      </c>
      <c r="G68" s="56" t="s">
        <v>3279</v>
      </c>
      <c r="H68" s="398" t="s">
        <v>3310</v>
      </c>
      <c r="I68" s="397" t="s">
        <v>3192</v>
      </c>
    </row>
    <row r="69" spans="2:9" ht="30" hidden="1" customHeight="1">
      <c r="B69" s="56" t="s">
        <v>33</v>
      </c>
      <c r="C69" s="56" t="s">
        <v>38</v>
      </c>
      <c r="D69" s="397" t="s">
        <v>3308</v>
      </c>
      <c r="E69" s="397" t="s">
        <v>3311</v>
      </c>
      <c r="F69" s="397" t="s">
        <v>3308</v>
      </c>
      <c r="G69" s="397" t="s">
        <v>3309</v>
      </c>
      <c r="H69" s="398" t="s">
        <v>3312</v>
      </c>
      <c r="I69" s="399" t="s">
        <v>3192</v>
      </c>
    </row>
    <row r="70" spans="2:9" ht="30" hidden="1" customHeight="1">
      <c r="B70" s="56" t="s">
        <v>33</v>
      </c>
      <c r="C70" s="56" t="s">
        <v>38</v>
      </c>
      <c r="D70" s="397" t="s">
        <v>3308</v>
      </c>
      <c r="E70" s="397" t="s">
        <v>3313</v>
      </c>
      <c r="F70" s="56" t="s">
        <v>3275</v>
      </c>
      <c r="G70" s="56" t="s">
        <v>3279</v>
      </c>
      <c r="H70" s="398" t="s">
        <v>3314</v>
      </c>
      <c r="I70" s="399" t="s">
        <v>3192</v>
      </c>
    </row>
    <row r="71" spans="2:9" ht="30" hidden="1" customHeight="1">
      <c r="B71" s="56" t="s">
        <v>33</v>
      </c>
      <c r="C71" s="56" t="s">
        <v>38</v>
      </c>
      <c r="D71" s="397" t="s">
        <v>3308</v>
      </c>
      <c r="E71" s="397" t="s">
        <v>3313</v>
      </c>
      <c r="F71" s="397" t="s">
        <v>3308</v>
      </c>
      <c r="G71" s="397" t="s">
        <v>3311</v>
      </c>
      <c r="H71" s="398" t="s">
        <v>3315</v>
      </c>
      <c r="I71" s="399" t="s">
        <v>3192</v>
      </c>
    </row>
    <row r="72" spans="2:9" ht="30" hidden="1" customHeight="1">
      <c r="B72" s="56" t="s">
        <v>33</v>
      </c>
      <c r="C72" s="56" t="s">
        <v>38</v>
      </c>
      <c r="D72" s="56" t="s">
        <v>3209</v>
      </c>
      <c r="E72" s="56" t="s">
        <v>3241</v>
      </c>
      <c r="F72" s="56" t="s">
        <v>3197</v>
      </c>
      <c r="G72" s="56" t="s">
        <v>3213</v>
      </c>
      <c r="H72" s="57" t="s">
        <v>3316</v>
      </c>
      <c r="I72" s="51" t="s">
        <v>3192</v>
      </c>
    </row>
    <row r="73" spans="2:9" ht="30" hidden="1" customHeight="1">
      <c r="B73" s="56" t="s">
        <v>33</v>
      </c>
      <c r="C73" s="56" t="s">
        <v>38</v>
      </c>
      <c r="D73" s="56" t="s">
        <v>3209</v>
      </c>
      <c r="E73" s="56" t="s">
        <v>3241</v>
      </c>
      <c r="F73" s="56" t="s">
        <v>3209</v>
      </c>
      <c r="G73" s="56" t="s">
        <v>3211</v>
      </c>
      <c r="H73" s="57" t="s">
        <v>3317</v>
      </c>
      <c r="I73" s="51" t="s">
        <v>3192</v>
      </c>
    </row>
    <row r="74" spans="2:9" ht="30" hidden="1" customHeight="1">
      <c r="B74" s="56" t="s">
        <v>40</v>
      </c>
      <c r="C74" s="56" t="s">
        <v>41</v>
      </c>
      <c r="D74" s="56" t="s">
        <v>3219</v>
      </c>
      <c r="E74" s="56" t="s">
        <v>3220</v>
      </c>
      <c r="F74" s="56" t="s">
        <v>3318</v>
      </c>
      <c r="G74" s="56" t="s">
        <v>3319</v>
      </c>
      <c r="H74" s="57" t="s">
        <v>3320</v>
      </c>
      <c r="I74" s="55" t="s">
        <v>3192</v>
      </c>
    </row>
    <row r="75" spans="2:9" ht="30" hidden="1" customHeight="1">
      <c r="B75" s="56" t="s">
        <v>40</v>
      </c>
      <c r="C75" s="56" t="s">
        <v>41</v>
      </c>
      <c r="D75" s="56" t="s">
        <v>3219</v>
      </c>
      <c r="E75" s="56" t="s">
        <v>3220</v>
      </c>
      <c r="F75" s="56" t="s">
        <v>3209</v>
      </c>
      <c r="G75" s="56" t="s">
        <v>3210</v>
      </c>
      <c r="H75" s="57" t="s">
        <v>3321</v>
      </c>
      <c r="I75" s="55" t="s">
        <v>3192</v>
      </c>
    </row>
    <row r="76" spans="2:9" ht="30" hidden="1" customHeight="1">
      <c r="B76" s="56" t="s">
        <v>40</v>
      </c>
      <c r="C76" s="56" t="s">
        <v>41</v>
      </c>
      <c r="D76" s="56" t="s">
        <v>3209</v>
      </c>
      <c r="E76" s="56" t="s">
        <v>3210</v>
      </c>
      <c r="F76" s="56" t="s">
        <v>3209</v>
      </c>
      <c r="G76" s="56" t="s">
        <v>3211</v>
      </c>
      <c r="H76" s="57" t="s">
        <v>3212</v>
      </c>
      <c r="I76" s="55" t="s">
        <v>3192</v>
      </c>
    </row>
    <row r="77" spans="2:9" ht="30" hidden="1" customHeight="1">
      <c r="B77" s="56" t="s">
        <v>43</v>
      </c>
      <c r="C77" s="56" t="s">
        <v>44</v>
      </c>
      <c r="D77" s="56" t="s">
        <v>3275</v>
      </c>
      <c r="E77" s="56" t="s">
        <v>3276</v>
      </c>
      <c r="F77" s="56" t="s">
        <v>3275</v>
      </c>
      <c r="G77" s="56" t="s">
        <v>3279</v>
      </c>
      <c r="H77" s="57" t="s">
        <v>3280</v>
      </c>
      <c r="I77" s="51" t="s">
        <v>3200</v>
      </c>
    </row>
    <row r="78" spans="2:9" ht="30" hidden="1" customHeight="1">
      <c r="B78" s="56" t="s">
        <v>43</v>
      </c>
      <c r="C78" s="56" t="s">
        <v>44</v>
      </c>
      <c r="D78" s="56" t="s">
        <v>3275</v>
      </c>
      <c r="E78" s="56" t="s">
        <v>3276</v>
      </c>
      <c r="F78" s="56" t="s">
        <v>3275</v>
      </c>
      <c r="G78" s="56" t="s">
        <v>3277</v>
      </c>
      <c r="H78" s="57" t="s">
        <v>3322</v>
      </c>
      <c r="I78" s="51" t="s">
        <v>3192</v>
      </c>
    </row>
    <row r="79" spans="2:9" ht="30" hidden="1" customHeight="1">
      <c r="B79" s="56" t="s">
        <v>43</v>
      </c>
      <c r="C79" s="56" t="s">
        <v>44</v>
      </c>
      <c r="D79" s="56" t="s">
        <v>3275</v>
      </c>
      <c r="E79" s="56" t="s">
        <v>3279</v>
      </c>
      <c r="F79" s="56" t="s">
        <v>3282</v>
      </c>
      <c r="G79" s="51" t="s">
        <v>3283</v>
      </c>
      <c r="H79" s="400" t="s">
        <v>3284</v>
      </c>
      <c r="I79" s="51" t="s">
        <v>3192</v>
      </c>
    </row>
    <row r="80" spans="2:9" ht="30" hidden="1" customHeight="1">
      <c r="B80" s="56" t="s">
        <v>43</v>
      </c>
      <c r="C80" s="56" t="s">
        <v>44</v>
      </c>
      <c r="D80" s="56" t="s">
        <v>3275</v>
      </c>
      <c r="E80" s="56" t="s">
        <v>3279</v>
      </c>
      <c r="F80" s="56" t="s">
        <v>3197</v>
      </c>
      <c r="G80" s="56" t="s">
        <v>3213</v>
      </c>
      <c r="H80" s="57" t="s">
        <v>3281</v>
      </c>
      <c r="I80" s="51" t="s">
        <v>3200</v>
      </c>
    </row>
    <row r="81" spans="2:9" ht="30" hidden="1" customHeight="1">
      <c r="B81" s="56" t="s">
        <v>43</v>
      </c>
      <c r="C81" s="56" t="s">
        <v>46</v>
      </c>
      <c r="D81" s="56" t="s">
        <v>3275</v>
      </c>
      <c r="E81" s="56" t="s">
        <v>3279</v>
      </c>
      <c r="F81" s="56" t="s">
        <v>3197</v>
      </c>
      <c r="G81" s="56" t="s">
        <v>3213</v>
      </c>
      <c r="H81" s="57" t="s">
        <v>3281</v>
      </c>
      <c r="I81" s="51" t="s">
        <v>3200</v>
      </c>
    </row>
    <row r="82" spans="2:9" ht="30" hidden="1" customHeight="1">
      <c r="B82" s="56" t="s">
        <v>43</v>
      </c>
      <c r="C82" s="56" t="s">
        <v>46</v>
      </c>
      <c r="D82" s="51" t="s">
        <v>3275</v>
      </c>
      <c r="E82" s="51" t="s">
        <v>3279</v>
      </c>
      <c r="F82" s="51" t="s">
        <v>3275</v>
      </c>
      <c r="G82" s="51" t="s">
        <v>3285</v>
      </c>
      <c r="H82" s="55" t="s">
        <v>3286</v>
      </c>
      <c r="I82" s="51" t="s">
        <v>3192</v>
      </c>
    </row>
    <row r="83" spans="2:9" ht="30" hidden="1" customHeight="1">
      <c r="B83" s="56" t="s">
        <v>43</v>
      </c>
      <c r="C83" s="56" t="s">
        <v>46</v>
      </c>
      <c r="D83" s="51" t="s">
        <v>3275</v>
      </c>
      <c r="E83" s="51" t="s">
        <v>3279</v>
      </c>
      <c r="F83" s="56" t="s">
        <v>3275</v>
      </c>
      <c r="G83" s="56" t="s">
        <v>3287</v>
      </c>
      <c r="H83" s="55" t="s">
        <v>3288</v>
      </c>
      <c r="I83" s="51" t="s">
        <v>3192</v>
      </c>
    </row>
    <row r="84" spans="2:9" ht="30" hidden="1" customHeight="1">
      <c r="B84" s="56" t="s">
        <v>43</v>
      </c>
      <c r="C84" s="56" t="s">
        <v>46</v>
      </c>
      <c r="D84" s="51" t="s">
        <v>3275</v>
      </c>
      <c r="E84" s="51" t="s">
        <v>3279</v>
      </c>
      <c r="F84" s="51" t="s">
        <v>3275</v>
      </c>
      <c r="G84" s="51" t="s">
        <v>3323</v>
      </c>
      <c r="H84" s="55" t="s">
        <v>3324</v>
      </c>
      <c r="I84" s="51" t="s">
        <v>3192</v>
      </c>
    </row>
    <row r="85" spans="2:9" ht="30" hidden="1" customHeight="1">
      <c r="B85" s="56" t="s">
        <v>43</v>
      </c>
      <c r="C85" s="56" t="s">
        <v>46</v>
      </c>
      <c r="D85" s="51" t="s">
        <v>3275</v>
      </c>
      <c r="E85" s="51" t="s">
        <v>3323</v>
      </c>
      <c r="F85" s="56" t="s">
        <v>3325</v>
      </c>
      <c r="G85" s="56" t="s">
        <v>3326</v>
      </c>
      <c r="H85" s="55" t="s">
        <v>3327</v>
      </c>
      <c r="I85" s="51" t="s">
        <v>3192</v>
      </c>
    </row>
    <row r="86" spans="2:9" ht="30" hidden="1" customHeight="1">
      <c r="B86" s="56" t="s">
        <v>43</v>
      </c>
      <c r="C86" s="56" t="s">
        <v>46</v>
      </c>
      <c r="D86" s="56" t="s">
        <v>3325</v>
      </c>
      <c r="E86" s="56" t="s">
        <v>3326</v>
      </c>
      <c r="F86" s="56" t="s">
        <v>3197</v>
      </c>
      <c r="G86" s="56" t="s">
        <v>3213</v>
      </c>
      <c r="H86" s="57" t="s">
        <v>3328</v>
      </c>
      <c r="I86" s="51" t="s">
        <v>3192</v>
      </c>
    </row>
    <row r="87" spans="2:9" ht="30" hidden="1" customHeight="1">
      <c r="B87" s="56" t="s">
        <v>48</v>
      </c>
      <c r="C87" s="51" t="s">
        <v>51</v>
      </c>
      <c r="D87" s="56" t="s">
        <v>3329</v>
      </c>
      <c r="E87" s="56" t="s">
        <v>3330</v>
      </c>
      <c r="F87" s="56" t="s">
        <v>3329</v>
      </c>
      <c r="G87" s="56" t="s">
        <v>3331</v>
      </c>
      <c r="H87" s="57" t="s">
        <v>3332</v>
      </c>
      <c r="I87" s="55" t="s">
        <v>3192</v>
      </c>
    </row>
    <row r="88" spans="2:9" ht="30" hidden="1" customHeight="1">
      <c r="B88" s="56" t="s">
        <v>48</v>
      </c>
      <c r="C88" s="56" t="s">
        <v>51</v>
      </c>
      <c r="D88" s="56" t="s">
        <v>3329</v>
      </c>
      <c r="E88" s="56" t="s">
        <v>3330</v>
      </c>
      <c r="F88" s="56" t="s">
        <v>3329</v>
      </c>
      <c r="G88" s="56" t="s">
        <v>3333</v>
      </c>
      <c r="H88" s="57" t="s">
        <v>3334</v>
      </c>
      <c r="I88" s="55" t="s">
        <v>3192</v>
      </c>
    </row>
    <row r="89" spans="2:9" ht="30" hidden="1" customHeight="1">
      <c r="B89" s="56" t="s">
        <v>48</v>
      </c>
      <c r="C89" s="56" t="s">
        <v>49</v>
      </c>
      <c r="D89" s="399" t="s">
        <v>3329</v>
      </c>
      <c r="E89" s="399" t="s">
        <v>3335</v>
      </c>
      <c r="F89" s="399" t="s">
        <v>3329</v>
      </c>
      <c r="G89" s="399" t="s">
        <v>3336</v>
      </c>
      <c r="H89" s="400" t="s">
        <v>3337</v>
      </c>
      <c r="I89" s="399" t="s">
        <v>3192</v>
      </c>
    </row>
    <row r="90" spans="2:9" ht="30" hidden="1" customHeight="1">
      <c r="B90" s="56" t="s">
        <v>48</v>
      </c>
      <c r="C90" s="56" t="s">
        <v>49</v>
      </c>
      <c r="D90" s="51" t="s">
        <v>3329</v>
      </c>
      <c r="E90" s="399" t="s">
        <v>3333</v>
      </c>
      <c r="F90" s="51" t="s">
        <v>3329</v>
      </c>
      <c r="G90" s="399" t="s">
        <v>3338</v>
      </c>
      <c r="H90" s="400" t="s">
        <v>3339</v>
      </c>
      <c r="I90" s="399" t="s">
        <v>3192</v>
      </c>
    </row>
    <row r="91" spans="2:9" ht="30" hidden="1" customHeight="1">
      <c r="B91" s="56" t="s">
        <v>48</v>
      </c>
      <c r="C91" s="56" t="s">
        <v>49</v>
      </c>
      <c r="D91" s="399" t="s">
        <v>3329</v>
      </c>
      <c r="E91" s="399" t="s">
        <v>3333</v>
      </c>
      <c r="F91" s="399" t="s">
        <v>3329</v>
      </c>
      <c r="G91" s="399" t="s">
        <v>3335</v>
      </c>
      <c r="H91" s="400" t="s">
        <v>3340</v>
      </c>
      <c r="I91" s="399" t="s">
        <v>3192</v>
      </c>
    </row>
    <row r="92" spans="2:9" ht="30" hidden="1" customHeight="1">
      <c r="B92" s="56" t="s">
        <v>48</v>
      </c>
      <c r="C92" s="56" t="s">
        <v>49</v>
      </c>
      <c r="D92" s="399" t="s">
        <v>3329</v>
      </c>
      <c r="E92" s="399" t="s">
        <v>3338</v>
      </c>
      <c r="F92" s="399" t="s">
        <v>3329</v>
      </c>
      <c r="G92" s="399" t="s">
        <v>3331</v>
      </c>
      <c r="H92" s="400" t="s">
        <v>3341</v>
      </c>
      <c r="I92" s="399" t="s">
        <v>3192</v>
      </c>
    </row>
    <row r="93" spans="2:9" ht="30" hidden="1" customHeight="1">
      <c r="B93" s="56" t="s">
        <v>48</v>
      </c>
      <c r="C93" s="56" t="s">
        <v>49</v>
      </c>
      <c r="D93" s="399" t="s">
        <v>3329</v>
      </c>
      <c r="E93" s="399" t="s">
        <v>3331</v>
      </c>
      <c r="F93" s="399" t="s">
        <v>3329</v>
      </c>
      <c r="G93" s="399" t="s">
        <v>3342</v>
      </c>
      <c r="H93" s="400" t="s">
        <v>3343</v>
      </c>
      <c r="I93" s="399" t="s">
        <v>3192</v>
      </c>
    </row>
    <row r="94" spans="2:9" ht="30" hidden="1" customHeight="1">
      <c r="B94" s="56" t="s">
        <v>48</v>
      </c>
      <c r="C94" s="56" t="s">
        <v>49</v>
      </c>
      <c r="D94" s="399" t="s">
        <v>3329</v>
      </c>
      <c r="E94" s="399" t="s">
        <v>3331</v>
      </c>
      <c r="F94" s="399" t="s">
        <v>3329</v>
      </c>
      <c r="G94" s="399" t="s">
        <v>3344</v>
      </c>
      <c r="H94" s="400" t="s">
        <v>3345</v>
      </c>
      <c r="I94" s="399" t="s">
        <v>3192</v>
      </c>
    </row>
    <row r="95" spans="2:9" ht="30" hidden="1" customHeight="1">
      <c r="B95" s="56" t="s">
        <v>48</v>
      </c>
      <c r="C95" s="56" t="s">
        <v>49</v>
      </c>
      <c r="D95" s="399" t="s">
        <v>3329</v>
      </c>
      <c r="E95" s="399" t="s">
        <v>3346</v>
      </c>
      <c r="F95" s="402" t="s">
        <v>3329</v>
      </c>
      <c r="G95" s="399" t="s">
        <v>3347</v>
      </c>
      <c r="H95" s="400" t="s">
        <v>3348</v>
      </c>
      <c r="I95" s="399" t="s">
        <v>3192</v>
      </c>
    </row>
    <row r="96" spans="2:9" ht="30" hidden="1" customHeight="1">
      <c r="B96" s="399" t="s">
        <v>48</v>
      </c>
      <c r="C96" s="399" t="s">
        <v>49</v>
      </c>
      <c r="D96" s="399" t="s">
        <v>3329</v>
      </c>
      <c r="E96" s="399" t="s">
        <v>3338</v>
      </c>
      <c r="F96" s="402" t="s">
        <v>3329</v>
      </c>
      <c r="G96" s="399" t="s">
        <v>3349</v>
      </c>
      <c r="H96" s="400" t="s">
        <v>3350</v>
      </c>
      <c r="I96" s="399" t="s">
        <v>3192</v>
      </c>
    </row>
    <row r="97" spans="2:9" ht="30" hidden="1" customHeight="1">
      <c r="B97" s="399" t="s">
        <v>48</v>
      </c>
      <c r="C97" s="399" t="s">
        <v>49</v>
      </c>
      <c r="D97" s="399" t="s">
        <v>3329</v>
      </c>
      <c r="E97" s="399" t="s">
        <v>3338</v>
      </c>
      <c r="F97" s="402" t="s">
        <v>3329</v>
      </c>
      <c r="G97" s="399" t="s">
        <v>3346</v>
      </c>
      <c r="H97" s="400" t="s">
        <v>3351</v>
      </c>
      <c r="I97" s="399" t="s">
        <v>3192</v>
      </c>
    </row>
    <row r="98" spans="2:9" ht="30" hidden="1" customHeight="1">
      <c r="B98" s="56" t="s">
        <v>48</v>
      </c>
      <c r="C98" s="56" t="s">
        <v>49</v>
      </c>
      <c r="D98" s="399" t="s">
        <v>3329</v>
      </c>
      <c r="E98" s="399" t="s">
        <v>3338</v>
      </c>
      <c r="F98" s="399" t="s">
        <v>340</v>
      </c>
      <c r="G98" s="399" t="s">
        <v>2124</v>
      </c>
      <c r="H98" s="400" t="s">
        <v>3352</v>
      </c>
      <c r="I98" s="399" t="s">
        <v>3200</v>
      </c>
    </row>
    <row r="99" spans="2:9" ht="30" hidden="1" customHeight="1">
      <c r="B99" s="399" t="s">
        <v>48</v>
      </c>
      <c r="C99" s="399" t="s">
        <v>49</v>
      </c>
      <c r="D99" s="399" t="s">
        <v>3329</v>
      </c>
      <c r="E99" s="399" t="s">
        <v>3331</v>
      </c>
      <c r="F99" s="399" t="s">
        <v>3329</v>
      </c>
      <c r="G99" s="399" t="s">
        <v>3330</v>
      </c>
      <c r="H99" s="400" t="s">
        <v>3353</v>
      </c>
      <c r="I99" s="399" t="s">
        <v>3192</v>
      </c>
    </row>
    <row r="100" spans="2:9" ht="30" hidden="1" customHeight="1">
      <c r="B100" s="399" t="s">
        <v>48</v>
      </c>
      <c r="C100" s="399" t="s">
        <v>49</v>
      </c>
      <c r="D100" s="399" t="s">
        <v>3329</v>
      </c>
      <c r="E100" s="399" t="s">
        <v>3338</v>
      </c>
      <c r="F100" s="399" t="s">
        <v>3329</v>
      </c>
      <c r="G100" s="399" t="s">
        <v>3330</v>
      </c>
      <c r="H100" s="400" t="s">
        <v>3354</v>
      </c>
      <c r="I100" s="399" t="s">
        <v>3192</v>
      </c>
    </row>
    <row r="101" spans="2:9" ht="30" hidden="1" customHeight="1">
      <c r="B101" s="399" t="s">
        <v>48</v>
      </c>
      <c r="C101" s="399" t="s">
        <v>49</v>
      </c>
      <c r="D101" s="399" t="s">
        <v>3329</v>
      </c>
      <c r="E101" s="399" t="s">
        <v>3338</v>
      </c>
      <c r="F101" s="399" t="s">
        <v>3197</v>
      </c>
      <c r="G101" s="399" t="s">
        <v>3355</v>
      </c>
      <c r="H101" s="400" t="s">
        <v>3356</v>
      </c>
      <c r="I101" s="399" t="s">
        <v>3192</v>
      </c>
    </row>
    <row r="102" spans="2:9" ht="30" hidden="1" customHeight="1">
      <c r="B102" s="399" t="s">
        <v>48</v>
      </c>
      <c r="C102" s="399" t="s">
        <v>49</v>
      </c>
      <c r="D102" s="399" t="s">
        <v>3329</v>
      </c>
      <c r="E102" s="399" t="s">
        <v>3331</v>
      </c>
      <c r="F102" s="399" t="s">
        <v>3197</v>
      </c>
      <c r="G102" s="399" t="s">
        <v>3355</v>
      </c>
      <c r="H102" s="400" t="s">
        <v>3357</v>
      </c>
      <c r="I102" s="399" t="s">
        <v>3192</v>
      </c>
    </row>
    <row r="103" spans="2:9" ht="30" hidden="1" customHeight="1">
      <c r="B103" s="399" t="s">
        <v>48</v>
      </c>
      <c r="C103" s="399" t="s">
        <v>49</v>
      </c>
      <c r="D103" s="399" t="s">
        <v>3329</v>
      </c>
      <c r="E103" s="399" t="s">
        <v>3331</v>
      </c>
      <c r="F103" s="399" t="s">
        <v>3329</v>
      </c>
      <c r="G103" s="399" t="s">
        <v>3358</v>
      </c>
      <c r="H103" s="400" t="s">
        <v>3359</v>
      </c>
      <c r="I103" s="399" t="s">
        <v>3192</v>
      </c>
    </row>
    <row r="104" spans="2:9" ht="30" hidden="1" customHeight="1">
      <c r="B104" s="56" t="s">
        <v>48</v>
      </c>
      <c r="C104" s="56" t="s">
        <v>49</v>
      </c>
      <c r="D104" s="399" t="s">
        <v>3329</v>
      </c>
      <c r="E104" s="399" t="s">
        <v>3331</v>
      </c>
      <c r="F104" s="399" t="s">
        <v>340</v>
      </c>
      <c r="G104" s="399" t="s">
        <v>3360</v>
      </c>
      <c r="H104" s="400" t="s">
        <v>3361</v>
      </c>
      <c r="I104" s="399" t="s">
        <v>3200</v>
      </c>
    </row>
    <row r="105" spans="2:9" ht="30" hidden="1" customHeight="1">
      <c r="B105" s="56" t="s">
        <v>48</v>
      </c>
      <c r="C105" s="56" t="s">
        <v>49</v>
      </c>
      <c r="D105" s="399" t="s">
        <v>3329</v>
      </c>
      <c r="E105" s="399" t="s">
        <v>3331</v>
      </c>
      <c r="F105" s="399" t="s">
        <v>340</v>
      </c>
      <c r="G105" s="399" t="s">
        <v>3362</v>
      </c>
      <c r="H105" s="400" t="s">
        <v>3363</v>
      </c>
      <c r="I105" s="399"/>
    </row>
    <row r="106" spans="2:9" ht="30" hidden="1" customHeight="1">
      <c r="B106" s="56" t="s">
        <v>48</v>
      </c>
      <c r="C106" s="56" t="s">
        <v>49</v>
      </c>
      <c r="D106" s="399" t="s">
        <v>3219</v>
      </c>
      <c r="E106" s="399" t="s">
        <v>3220</v>
      </c>
      <c r="F106" s="399" t="s">
        <v>340</v>
      </c>
      <c r="G106" s="399" t="s">
        <v>2124</v>
      </c>
      <c r="H106" s="400" t="s">
        <v>3364</v>
      </c>
      <c r="I106" s="399" t="s">
        <v>3200</v>
      </c>
    </row>
    <row r="107" spans="2:9" ht="30" hidden="1" customHeight="1">
      <c r="B107" s="56" t="s">
        <v>48</v>
      </c>
      <c r="C107" s="56" t="s">
        <v>49</v>
      </c>
      <c r="D107" s="399" t="s">
        <v>3209</v>
      </c>
      <c r="E107" s="399" t="s">
        <v>3241</v>
      </c>
      <c r="F107" s="399" t="s">
        <v>340</v>
      </c>
      <c r="G107" s="399" t="s">
        <v>2124</v>
      </c>
      <c r="H107" s="400" t="s">
        <v>3365</v>
      </c>
      <c r="I107" s="399" t="s">
        <v>3200</v>
      </c>
    </row>
    <row r="108" spans="2:9" ht="30" hidden="1" customHeight="1">
      <c r="B108" s="56" t="s">
        <v>48</v>
      </c>
      <c r="C108" s="56" t="s">
        <v>49</v>
      </c>
      <c r="D108" s="399" t="s">
        <v>3209</v>
      </c>
      <c r="E108" s="399" t="s">
        <v>3241</v>
      </c>
      <c r="F108" s="399" t="s">
        <v>3209</v>
      </c>
      <c r="G108" s="399" t="s">
        <v>3211</v>
      </c>
      <c r="H108" s="400" t="s">
        <v>3366</v>
      </c>
      <c r="I108" s="399" t="s">
        <v>3192</v>
      </c>
    </row>
    <row r="109" spans="2:9" ht="30" hidden="1" customHeight="1">
      <c r="B109" s="56" t="s">
        <v>48</v>
      </c>
      <c r="C109" s="56" t="s">
        <v>49</v>
      </c>
      <c r="D109" s="399" t="s">
        <v>3209</v>
      </c>
      <c r="E109" s="399" t="s">
        <v>3241</v>
      </c>
      <c r="F109" s="399" t="s">
        <v>3197</v>
      </c>
      <c r="G109" s="399" t="s">
        <v>3355</v>
      </c>
      <c r="H109" s="400" t="s">
        <v>3367</v>
      </c>
      <c r="I109" s="399" t="s">
        <v>3192</v>
      </c>
    </row>
    <row r="110" spans="2:9" ht="30" hidden="1" customHeight="1">
      <c r="B110" s="399" t="s">
        <v>48</v>
      </c>
      <c r="C110" s="399" t="s">
        <v>2124</v>
      </c>
      <c r="D110" s="399" t="s">
        <v>3329</v>
      </c>
      <c r="E110" s="399" t="s">
        <v>3331</v>
      </c>
      <c r="F110" s="399" t="s">
        <v>3329</v>
      </c>
      <c r="G110" s="399" t="s">
        <v>3330</v>
      </c>
      <c r="H110" s="400" t="s">
        <v>3353</v>
      </c>
      <c r="I110" s="399" t="s">
        <v>3192</v>
      </c>
    </row>
    <row r="111" spans="2:9" ht="30" hidden="1" customHeight="1">
      <c r="B111" s="328" t="s">
        <v>53</v>
      </c>
      <c r="C111" s="56" t="s">
        <v>54</v>
      </c>
      <c r="D111" s="56" t="s">
        <v>3219</v>
      </c>
      <c r="E111" s="56" t="s">
        <v>3220</v>
      </c>
      <c r="F111" s="56" t="s">
        <v>3197</v>
      </c>
      <c r="G111" s="56" t="s">
        <v>3207</v>
      </c>
      <c r="H111" s="57" t="s">
        <v>3368</v>
      </c>
      <c r="I111" s="55" t="s">
        <v>3192</v>
      </c>
    </row>
    <row r="112" spans="2:9" ht="30" hidden="1" customHeight="1">
      <c r="B112" s="328" t="s">
        <v>53</v>
      </c>
      <c r="C112" s="56" t="s">
        <v>54</v>
      </c>
      <c r="D112" s="56" t="s">
        <v>3197</v>
      </c>
      <c r="E112" s="56" t="s">
        <v>3207</v>
      </c>
      <c r="F112" s="56" t="s">
        <v>3197</v>
      </c>
      <c r="G112" s="56" t="s">
        <v>3198</v>
      </c>
      <c r="H112" s="57" t="s">
        <v>3369</v>
      </c>
      <c r="I112" s="55" t="s">
        <v>3192</v>
      </c>
    </row>
    <row r="113" spans="2:9" ht="30" hidden="1" customHeight="1">
      <c r="B113" s="56" t="s">
        <v>59</v>
      </c>
      <c r="C113" s="56" t="s">
        <v>60</v>
      </c>
      <c r="D113" s="56" t="s">
        <v>3370</v>
      </c>
      <c r="E113" s="56" t="s">
        <v>3371</v>
      </c>
      <c r="F113" s="56" t="s">
        <v>340</v>
      </c>
      <c r="G113" s="56" t="s">
        <v>62</v>
      </c>
      <c r="H113" s="398" t="s">
        <v>3372</v>
      </c>
      <c r="I113" s="399" t="s">
        <v>3200</v>
      </c>
    </row>
    <row r="114" spans="2:9" ht="30" hidden="1" customHeight="1">
      <c r="B114" s="56" t="s">
        <v>59</v>
      </c>
      <c r="C114" s="56" t="s">
        <v>60</v>
      </c>
      <c r="D114" s="56" t="s">
        <v>3370</v>
      </c>
      <c r="E114" s="56" t="s">
        <v>3371</v>
      </c>
      <c r="F114" s="56" t="s">
        <v>3308</v>
      </c>
      <c r="G114" s="56" t="s">
        <v>3311</v>
      </c>
      <c r="H114" s="57" t="s">
        <v>3373</v>
      </c>
      <c r="I114" s="51" t="s">
        <v>3192</v>
      </c>
    </row>
    <row r="115" spans="2:9" ht="30" hidden="1" customHeight="1">
      <c r="B115" s="56" t="s">
        <v>64</v>
      </c>
      <c r="C115" s="56" t="s">
        <v>65</v>
      </c>
      <c r="D115" s="56" t="s">
        <v>3197</v>
      </c>
      <c r="E115" s="56" t="s">
        <v>3198</v>
      </c>
      <c r="F115" s="56" t="s">
        <v>3374</v>
      </c>
      <c r="G115" s="51" t="s">
        <v>3375</v>
      </c>
      <c r="H115" s="55" t="s">
        <v>3376</v>
      </c>
      <c r="I115" s="51" t="s">
        <v>3192</v>
      </c>
    </row>
    <row r="116" spans="2:9" ht="30" hidden="1" customHeight="1">
      <c r="B116" s="56" t="s">
        <v>64</v>
      </c>
      <c r="C116" s="56" t="s">
        <v>65</v>
      </c>
      <c r="D116" s="56" t="s">
        <v>3197</v>
      </c>
      <c r="E116" s="56" t="s">
        <v>3198</v>
      </c>
      <c r="F116" s="56" t="s">
        <v>3308</v>
      </c>
      <c r="G116" s="56" t="s">
        <v>3377</v>
      </c>
      <c r="H116" s="57" t="s">
        <v>3378</v>
      </c>
      <c r="I116" s="51" t="s">
        <v>3192</v>
      </c>
    </row>
    <row r="117" spans="2:9" ht="30" hidden="1" customHeight="1">
      <c r="B117" s="56" t="s">
        <v>64</v>
      </c>
      <c r="C117" s="56" t="s">
        <v>65</v>
      </c>
      <c r="D117" s="56" t="s">
        <v>3197</v>
      </c>
      <c r="E117" s="56" t="s">
        <v>3198</v>
      </c>
      <c r="F117" s="56" t="s">
        <v>3209</v>
      </c>
      <c r="G117" s="56" t="s">
        <v>3241</v>
      </c>
      <c r="H117" s="57" t="s">
        <v>3379</v>
      </c>
      <c r="I117" s="51" t="s">
        <v>3192</v>
      </c>
    </row>
    <row r="118" spans="2:9" ht="30" hidden="1" customHeight="1">
      <c r="B118" s="56" t="s">
        <v>64</v>
      </c>
      <c r="C118" s="56" t="s">
        <v>65</v>
      </c>
      <c r="D118" s="56" t="s">
        <v>3374</v>
      </c>
      <c r="E118" s="56" t="s">
        <v>3380</v>
      </c>
      <c r="F118" s="56" t="s">
        <v>3197</v>
      </c>
      <c r="G118" s="56" t="s">
        <v>3198</v>
      </c>
      <c r="H118" s="57" t="s">
        <v>3381</v>
      </c>
      <c r="I118" s="51" t="s">
        <v>3192</v>
      </c>
    </row>
    <row r="119" spans="2:9" ht="30" hidden="1" customHeight="1">
      <c r="B119" s="56" t="s">
        <v>64</v>
      </c>
      <c r="C119" s="56" t="s">
        <v>65</v>
      </c>
      <c r="D119" s="56" t="s">
        <v>3374</v>
      </c>
      <c r="E119" s="56" t="s">
        <v>3380</v>
      </c>
      <c r="F119" s="56" t="s">
        <v>3374</v>
      </c>
      <c r="G119" s="56" t="s">
        <v>3382</v>
      </c>
      <c r="H119" s="57" t="s">
        <v>3383</v>
      </c>
      <c r="I119" s="51" t="s">
        <v>3192</v>
      </c>
    </row>
    <row r="120" spans="2:9" ht="30" hidden="1" customHeight="1">
      <c r="B120" s="56" t="s">
        <v>64</v>
      </c>
      <c r="C120" s="56" t="s">
        <v>65</v>
      </c>
      <c r="D120" s="56" t="s">
        <v>3374</v>
      </c>
      <c r="E120" s="56" t="s">
        <v>3380</v>
      </c>
      <c r="F120" s="56" t="s">
        <v>3374</v>
      </c>
      <c r="G120" s="56" t="s">
        <v>3384</v>
      </c>
      <c r="H120" s="57" t="s">
        <v>3385</v>
      </c>
      <c r="I120" s="51" t="s">
        <v>3192</v>
      </c>
    </row>
    <row r="121" spans="2:9" ht="30" hidden="1" customHeight="1">
      <c r="B121" s="56" t="s">
        <v>64</v>
      </c>
      <c r="C121" s="56" t="s">
        <v>65</v>
      </c>
      <c r="D121" s="56" t="s">
        <v>3374</v>
      </c>
      <c r="E121" s="56" t="s">
        <v>3380</v>
      </c>
      <c r="F121" s="56" t="s">
        <v>3374</v>
      </c>
      <c r="G121" s="56" t="s">
        <v>3386</v>
      </c>
      <c r="H121" s="57" t="s">
        <v>3387</v>
      </c>
      <c r="I121" s="51" t="s">
        <v>3192</v>
      </c>
    </row>
    <row r="122" spans="2:9" ht="30" hidden="1" customHeight="1">
      <c r="B122" s="56" t="s">
        <v>64</v>
      </c>
      <c r="C122" s="56" t="s">
        <v>65</v>
      </c>
      <c r="D122" s="56" t="s">
        <v>3374</v>
      </c>
      <c r="E122" s="56" t="s">
        <v>3380</v>
      </c>
      <c r="F122" s="56" t="s">
        <v>3374</v>
      </c>
      <c r="G122" s="56" t="s">
        <v>3388</v>
      </c>
      <c r="H122" s="57" t="s">
        <v>3389</v>
      </c>
      <c r="I122" s="51" t="s">
        <v>3192</v>
      </c>
    </row>
    <row r="123" spans="2:9" ht="30" hidden="1" customHeight="1">
      <c r="B123" s="56" t="s">
        <v>64</v>
      </c>
      <c r="C123" s="56" t="s">
        <v>65</v>
      </c>
      <c r="D123" s="56" t="s">
        <v>3374</v>
      </c>
      <c r="E123" s="56" t="s">
        <v>3380</v>
      </c>
      <c r="F123" s="56" t="s">
        <v>3374</v>
      </c>
      <c r="G123" s="56" t="s">
        <v>3390</v>
      </c>
      <c r="H123" s="57" t="s">
        <v>3391</v>
      </c>
      <c r="I123" s="51" t="s">
        <v>3192</v>
      </c>
    </row>
    <row r="124" spans="2:9" ht="30" hidden="1" customHeight="1">
      <c r="B124" s="56" t="s">
        <v>64</v>
      </c>
      <c r="C124" s="56" t="s">
        <v>65</v>
      </c>
      <c r="D124" s="56" t="s">
        <v>3374</v>
      </c>
      <c r="E124" s="56" t="s">
        <v>3380</v>
      </c>
      <c r="F124" s="56" t="s">
        <v>3197</v>
      </c>
      <c r="G124" s="56" t="s">
        <v>3207</v>
      </c>
      <c r="H124" s="57" t="s">
        <v>3392</v>
      </c>
      <c r="I124" s="51" t="s">
        <v>3192</v>
      </c>
    </row>
    <row r="125" spans="2:9" ht="30" hidden="1" customHeight="1">
      <c r="B125" s="56" t="s">
        <v>64</v>
      </c>
      <c r="C125" s="56" t="s">
        <v>65</v>
      </c>
      <c r="D125" s="56" t="s">
        <v>3374</v>
      </c>
      <c r="E125" s="56" t="s">
        <v>3380</v>
      </c>
      <c r="F125" s="56" t="s">
        <v>3197</v>
      </c>
      <c r="G125" s="56" t="s">
        <v>3203</v>
      </c>
      <c r="H125" s="57" t="s">
        <v>3393</v>
      </c>
      <c r="I125" s="51" t="s">
        <v>3192</v>
      </c>
    </row>
    <row r="126" spans="2:9" ht="30" hidden="1" customHeight="1">
      <c r="B126" s="56" t="s">
        <v>64</v>
      </c>
      <c r="C126" s="56" t="s">
        <v>65</v>
      </c>
      <c r="D126" s="56" t="s">
        <v>3374</v>
      </c>
      <c r="E126" s="56" t="s">
        <v>3380</v>
      </c>
      <c r="F126" s="56" t="s">
        <v>3197</v>
      </c>
      <c r="G126" s="56" t="s">
        <v>3201</v>
      </c>
      <c r="H126" s="57" t="s">
        <v>3394</v>
      </c>
      <c r="I126" s="51" t="s">
        <v>3192</v>
      </c>
    </row>
    <row r="127" spans="2:9" ht="30" hidden="1" customHeight="1">
      <c r="B127" s="56" t="s">
        <v>64</v>
      </c>
      <c r="C127" s="56" t="s">
        <v>65</v>
      </c>
      <c r="D127" s="56" t="s">
        <v>3374</v>
      </c>
      <c r="E127" s="56" t="s">
        <v>3388</v>
      </c>
      <c r="F127" s="56" t="s">
        <v>3374</v>
      </c>
      <c r="G127" s="56" t="s">
        <v>3395</v>
      </c>
      <c r="H127" s="57" t="s">
        <v>3396</v>
      </c>
      <c r="I127" s="51" t="s">
        <v>3192</v>
      </c>
    </row>
    <row r="128" spans="2:9" ht="30" hidden="1" customHeight="1">
      <c r="B128" s="56" t="s">
        <v>64</v>
      </c>
      <c r="C128" s="56" t="s">
        <v>65</v>
      </c>
      <c r="D128" s="56" t="s">
        <v>3374</v>
      </c>
      <c r="E128" s="56" t="s">
        <v>3397</v>
      </c>
      <c r="F128" s="56" t="s">
        <v>3374</v>
      </c>
      <c r="G128" s="56" t="s">
        <v>3398</v>
      </c>
      <c r="H128" s="57" t="s">
        <v>3399</v>
      </c>
      <c r="I128" s="51" t="s">
        <v>3192</v>
      </c>
    </row>
    <row r="129" spans="2:9" ht="30" hidden="1" customHeight="1">
      <c r="B129" s="56" t="s">
        <v>64</v>
      </c>
      <c r="C129" s="56" t="s">
        <v>65</v>
      </c>
      <c r="D129" s="56" t="s">
        <v>3374</v>
      </c>
      <c r="E129" s="56" t="s">
        <v>3397</v>
      </c>
      <c r="F129" s="56" t="s">
        <v>3374</v>
      </c>
      <c r="G129" s="56" t="s">
        <v>3400</v>
      </c>
      <c r="H129" s="57" t="s">
        <v>3401</v>
      </c>
      <c r="I129" s="51" t="s">
        <v>3192</v>
      </c>
    </row>
    <row r="130" spans="2:9" ht="30" hidden="1" customHeight="1">
      <c r="B130" s="56" t="s">
        <v>64</v>
      </c>
      <c r="C130" s="56" t="s">
        <v>65</v>
      </c>
      <c r="D130" s="56" t="s">
        <v>3374</v>
      </c>
      <c r="E130" s="56" t="s">
        <v>3397</v>
      </c>
      <c r="F130" s="56" t="s">
        <v>3374</v>
      </c>
      <c r="G130" s="56" t="s">
        <v>3402</v>
      </c>
      <c r="H130" s="57" t="s">
        <v>3403</v>
      </c>
      <c r="I130" s="51" t="s">
        <v>3192</v>
      </c>
    </row>
    <row r="131" spans="2:9" ht="30" hidden="1" customHeight="1">
      <c r="B131" s="56" t="s">
        <v>64</v>
      </c>
      <c r="C131" s="56" t="s">
        <v>65</v>
      </c>
      <c r="D131" s="56" t="s">
        <v>3374</v>
      </c>
      <c r="E131" s="56" t="s">
        <v>3397</v>
      </c>
      <c r="F131" s="56" t="s">
        <v>3374</v>
      </c>
      <c r="G131" s="56" t="s">
        <v>3404</v>
      </c>
      <c r="H131" s="57" t="s">
        <v>3405</v>
      </c>
      <c r="I131" s="51" t="s">
        <v>3192</v>
      </c>
    </row>
    <row r="132" spans="2:9" ht="30" hidden="1" customHeight="1">
      <c r="B132" s="56" t="s">
        <v>64</v>
      </c>
      <c r="C132" s="56" t="s">
        <v>65</v>
      </c>
      <c r="D132" s="56" t="s">
        <v>3374</v>
      </c>
      <c r="E132" s="56" t="s">
        <v>3397</v>
      </c>
      <c r="F132" s="56" t="s">
        <v>3374</v>
      </c>
      <c r="G132" s="56" t="s">
        <v>3406</v>
      </c>
      <c r="H132" s="57" t="s">
        <v>3407</v>
      </c>
      <c r="I132" s="51" t="s">
        <v>3192</v>
      </c>
    </row>
    <row r="133" spans="2:9" ht="30" hidden="1" customHeight="1">
      <c r="B133" s="56" t="s">
        <v>64</v>
      </c>
      <c r="C133" s="56" t="s">
        <v>65</v>
      </c>
      <c r="D133" s="56" t="s">
        <v>3374</v>
      </c>
      <c r="E133" s="56" t="s">
        <v>3397</v>
      </c>
      <c r="F133" s="56" t="s">
        <v>3374</v>
      </c>
      <c r="G133" s="56" t="s">
        <v>3408</v>
      </c>
      <c r="H133" s="57" t="s">
        <v>3409</v>
      </c>
      <c r="I133" s="51" t="s">
        <v>3192</v>
      </c>
    </row>
    <row r="134" spans="2:9" ht="30" hidden="1" customHeight="1">
      <c r="B134" s="56" t="s">
        <v>64</v>
      </c>
      <c r="C134" s="56" t="s">
        <v>65</v>
      </c>
      <c r="D134" s="56" t="s">
        <v>3374</v>
      </c>
      <c r="E134" s="56" t="s">
        <v>3397</v>
      </c>
      <c r="F134" s="56" t="s">
        <v>3308</v>
      </c>
      <c r="G134" s="56" t="s">
        <v>3377</v>
      </c>
      <c r="H134" s="57" t="s">
        <v>3410</v>
      </c>
      <c r="I134" s="51" t="s">
        <v>3192</v>
      </c>
    </row>
    <row r="135" spans="2:9" ht="30" hidden="1" customHeight="1">
      <c r="B135" s="56" t="s">
        <v>64</v>
      </c>
      <c r="C135" s="56" t="s">
        <v>65</v>
      </c>
      <c r="D135" s="56" t="s">
        <v>3374</v>
      </c>
      <c r="E135" s="56" t="s">
        <v>3397</v>
      </c>
      <c r="F135" s="56" t="s">
        <v>3209</v>
      </c>
      <c r="G135" s="56" t="s">
        <v>3241</v>
      </c>
      <c r="H135" s="57" t="s">
        <v>3411</v>
      </c>
      <c r="I135" s="51" t="s">
        <v>3192</v>
      </c>
    </row>
    <row r="136" spans="2:9" ht="30" hidden="1" customHeight="1">
      <c r="B136" s="56" t="s">
        <v>64</v>
      </c>
      <c r="C136" s="56" t="s">
        <v>65</v>
      </c>
      <c r="D136" s="56" t="s">
        <v>3374</v>
      </c>
      <c r="E136" s="56" t="s">
        <v>3390</v>
      </c>
      <c r="F136" s="56" t="s">
        <v>3197</v>
      </c>
      <c r="G136" s="56" t="s">
        <v>3412</v>
      </c>
      <c r="H136" s="55" t="s">
        <v>3413</v>
      </c>
      <c r="I136" s="51" t="s">
        <v>3192</v>
      </c>
    </row>
    <row r="137" spans="2:9" ht="30" hidden="1" customHeight="1">
      <c r="B137" s="56" t="s">
        <v>64</v>
      </c>
      <c r="C137" s="56" t="s">
        <v>65</v>
      </c>
      <c r="D137" s="56" t="s">
        <v>3308</v>
      </c>
      <c r="E137" s="56" t="s">
        <v>3377</v>
      </c>
      <c r="F137" s="56" t="s">
        <v>3308</v>
      </c>
      <c r="G137" s="56" t="s">
        <v>3311</v>
      </c>
      <c r="H137" s="57" t="s">
        <v>3414</v>
      </c>
      <c r="I137" s="51" t="s">
        <v>3192</v>
      </c>
    </row>
    <row r="138" spans="2:9" ht="30" hidden="1" customHeight="1">
      <c r="B138" s="56" t="s">
        <v>64</v>
      </c>
      <c r="C138" s="56" t="s">
        <v>65</v>
      </c>
      <c r="D138" s="56" t="s">
        <v>3374</v>
      </c>
      <c r="E138" s="56" t="s">
        <v>3386</v>
      </c>
      <c r="F138" s="56" t="s">
        <v>3374</v>
      </c>
      <c r="G138" s="56" t="s">
        <v>3415</v>
      </c>
      <c r="H138" s="398" t="s">
        <v>3416</v>
      </c>
      <c r="I138" s="51" t="s">
        <v>3192</v>
      </c>
    </row>
    <row r="139" spans="2:9" ht="30" hidden="1" customHeight="1">
      <c r="B139" s="56" t="s">
        <v>64</v>
      </c>
      <c r="C139" s="56" t="s">
        <v>65</v>
      </c>
      <c r="D139" s="56" t="s">
        <v>3197</v>
      </c>
      <c r="E139" s="56" t="s">
        <v>3207</v>
      </c>
      <c r="F139" s="51" t="s">
        <v>3197</v>
      </c>
      <c r="G139" s="56" t="s">
        <v>3198</v>
      </c>
      <c r="H139" s="57" t="s">
        <v>3417</v>
      </c>
      <c r="I139" s="51" t="s">
        <v>3192</v>
      </c>
    </row>
    <row r="140" spans="2:9" ht="30" hidden="1" customHeight="1">
      <c r="B140" s="56" t="s">
        <v>64</v>
      </c>
      <c r="C140" s="56" t="s">
        <v>65</v>
      </c>
      <c r="D140" s="56" t="s">
        <v>3209</v>
      </c>
      <c r="E140" s="56" t="s">
        <v>3241</v>
      </c>
      <c r="F140" s="56" t="s">
        <v>3209</v>
      </c>
      <c r="G140" s="56" t="s">
        <v>3211</v>
      </c>
      <c r="H140" s="57" t="s">
        <v>3418</v>
      </c>
      <c r="I140" s="56" t="s">
        <v>3192</v>
      </c>
    </row>
    <row r="141" spans="2:9" ht="30" hidden="1" customHeight="1">
      <c r="B141" s="56" t="s">
        <v>67</v>
      </c>
      <c r="C141" s="51" t="s">
        <v>68</v>
      </c>
      <c r="D141" s="56" t="s">
        <v>3219</v>
      </c>
      <c r="E141" s="56" t="s">
        <v>3220</v>
      </c>
      <c r="F141" s="51" t="s">
        <v>3209</v>
      </c>
      <c r="G141" s="51" t="s">
        <v>3210</v>
      </c>
      <c r="H141" s="57" t="s">
        <v>3321</v>
      </c>
      <c r="I141" s="55" t="s">
        <v>3192</v>
      </c>
    </row>
    <row r="142" spans="2:9" ht="30" hidden="1" customHeight="1">
      <c r="B142" s="56" t="s">
        <v>67</v>
      </c>
      <c r="C142" s="56" t="s">
        <v>68</v>
      </c>
      <c r="D142" s="56" t="s">
        <v>3197</v>
      </c>
      <c r="E142" s="56" t="s">
        <v>3419</v>
      </c>
      <c r="F142" s="56" t="s">
        <v>3219</v>
      </c>
      <c r="G142" s="56" t="s">
        <v>3220</v>
      </c>
      <c r="H142" s="57" t="s">
        <v>3420</v>
      </c>
      <c r="I142" s="55" t="s">
        <v>3192</v>
      </c>
    </row>
    <row r="143" spans="2:9" ht="30" hidden="1" customHeight="1">
      <c r="B143" s="56" t="s">
        <v>67</v>
      </c>
      <c r="C143" s="56" t="s">
        <v>68</v>
      </c>
      <c r="D143" s="56" t="s">
        <v>3197</v>
      </c>
      <c r="E143" s="56" t="s">
        <v>3207</v>
      </c>
      <c r="F143" s="56" t="s">
        <v>3197</v>
      </c>
      <c r="G143" s="56" t="s">
        <v>3419</v>
      </c>
      <c r="H143" s="57" t="s">
        <v>3421</v>
      </c>
      <c r="I143" s="55" t="s">
        <v>3192</v>
      </c>
    </row>
    <row r="144" spans="2:9" ht="30" hidden="1" customHeight="1">
      <c r="B144" s="56" t="s">
        <v>67</v>
      </c>
      <c r="C144" s="56" t="s">
        <v>68</v>
      </c>
      <c r="D144" s="56" t="s">
        <v>3209</v>
      </c>
      <c r="E144" s="56" t="s">
        <v>3210</v>
      </c>
      <c r="F144" s="56" t="s">
        <v>3209</v>
      </c>
      <c r="G144" s="56" t="s">
        <v>3211</v>
      </c>
      <c r="H144" s="57" t="s">
        <v>3212</v>
      </c>
      <c r="I144" s="55" t="s">
        <v>3192</v>
      </c>
    </row>
    <row r="145" spans="2:9" ht="30" hidden="1" customHeight="1">
      <c r="B145" s="56" t="s">
        <v>70</v>
      </c>
      <c r="C145" s="51" t="s">
        <v>71</v>
      </c>
      <c r="D145" s="56" t="s">
        <v>3219</v>
      </c>
      <c r="E145" s="56" t="s">
        <v>3220</v>
      </c>
      <c r="F145" s="51" t="s">
        <v>3209</v>
      </c>
      <c r="G145" s="51" t="s">
        <v>3210</v>
      </c>
      <c r="H145" s="57" t="s">
        <v>3321</v>
      </c>
      <c r="I145" s="57" t="s">
        <v>3192</v>
      </c>
    </row>
    <row r="146" spans="2:9" ht="30" hidden="1" customHeight="1">
      <c r="B146" s="56" t="s">
        <v>70</v>
      </c>
      <c r="C146" s="51" t="s">
        <v>71</v>
      </c>
      <c r="D146" s="56" t="s">
        <v>3209</v>
      </c>
      <c r="E146" s="56" t="s">
        <v>3210</v>
      </c>
      <c r="F146" s="56" t="s">
        <v>3209</v>
      </c>
      <c r="G146" s="56" t="s">
        <v>3211</v>
      </c>
      <c r="H146" s="216" t="s">
        <v>3212</v>
      </c>
      <c r="I146" s="51" t="s">
        <v>3192</v>
      </c>
    </row>
    <row r="147" spans="2:9" ht="30" hidden="1" customHeight="1">
      <c r="B147" s="56" t="s">
        <v>73</v>
      </c>
      <c r="C147" s="51" t="s">
        <v>74</v>
      </c>
      <c r="D147" s="56" t="s">
        <v>3275</v>
      </c>
      <c r="E147" s="56" t="s">
        <v>3279</v>
      </c>
      <c r="F147" s="56" t="s">
        <v>3282</v>
      </c>
      <c r="G147" s="56" t="s">
        <v>3283</v>
      </c>
      <c r="H147" s="403" t="s">
        <v>3284</v>
      </c>
      <c r="I147" s="51" t="s">
        <v>3192</v>
      </c>
    </row>
    <row r="148" spans="2:9" ht="30" hidden="1" customHeight="1">
      <c r="B148" s="56" t="s">
        <v>73</v>
      </c>
      <c r="C148" s="51" t="s">
        <v>74</v>
      </c>
      <c r="D148" s="56" t="s">
        <v>3275</v>
      </c>
      <c r="E148" s="56" t="s">
        <v>3276</v>
      </c>
      <c r="F148" s="56" t="s">
        <v>3275</v>
      </c>
      <c r="G148" s="56" t="s">
        <v>3277</v>
      </c>
      <c r="H148" s="216" t="s">
        <v>3278</v>
      </c>
      <c r="I148" s="51" t="s">
        <v>3200</v>
      </c>
    </row>
    <row r="149" spans="2:9" ht="30" hidden="1" customHeight="1">
      <c r="B149" s="56" t="s">
        <v>73</v>
      </c>
      <c r="C149" s="56" t="s">
        <v>74</v>
      </c>
      <c r="D149" s="51" t="s">
        <v>3275</v>
      </c>
      <c r="E149" s="51" t="s">
        <v>3276</v>
      </c>
      <c r="F149" s="56" t="s">
        <v>3275</v>
      </c>
      <c r="G149" s="56" t="s">
        <v>3279</v>
      </c>
      <c r="H149" s="57" t="s">
        <v>3280</v>
      </c>
      <c r="I149" s="220" t="s">
        <v>3192</v>
      </c>
    </row>
    <row r="150" spans="2:9" ht="30" hidden="1" customHeight="1">
      <c r="B150" s="56" t="s">
        <v>73</v>
      </c>
      <c r="C150" s="56" t="s">
        <v>74</v>
      </c>
      <c r="D150" s="56" t="s">
        <v>3275</v>
      </c>
      <c r="E150" s="56" t="s">
        <v>3276</v>
      </c>
      <c r="F150" s="56" t="s">
        <v>3275</v>
      </c>
      <c r="G150" s="56" t="s">
        <v>3277</v>
      </c>
      <c r="H150" s="57" t="s">
        <v>3322</v>
      </c>
      <c r="I150" s="51" t="s">
        <v>3192</v>
      </c>
    </row>
    <row r="151" spans="2:9" ht="30" hidden="1" customHeight="1">
      <c r="B151" s="56" t="s">
        <v>73</v>
      </c>
      <c r="C151" s="56" t="s">
        <v>74</v>
      </c>
      <c r="D151" s="51" t="s">
        <v>3275</v>
      </c>
      <c r="E151" s="51" t="s">
        <v>3279</v>
      </c>
      <c r="F151" s="51" t="s">
        <v>3197</v>
      </c>
      <c r="G151" s="51" t="s">
        <v>3213</v>
      </c>
      <c r="H151" s="55" t="s">
        <v>3281</v>
      </c>
      <c r="I151" s="51" t="s">
        <v>3200</v>
      </c>
    </row>
    <row r="152" spans="2:9" ht="30" hidden="1" customHeight="1">
      <c r="B152" s="56" t="s">
        <v>73</v>
      </c>
      <c r="C152" s="56" t="s">
        <v>76</v>
      </c>
      <c r="D152" s="51" t="s">
        <v>3275</v>
      </c>
      <c r="E152" s="51" t="s">
        <v>3279</v>
      </c>
      <c r="F152" s="51" t="s">
        <v>3197</v>
      </c>
      <c r="G152" s="51" t="s">
        <v>3213</v>
      </c>
      <c r="H152" s="55" t="s">
        <v>3281</v>
      </c>
      <c r="I152" s="51" t="s">
        <v>3200</v>
      </c>
    </row>
    <row r="153" spans="2:9" ht="30" hidden="1" customHeight="1">
      <c r="B153" s="56" t="s">
        <v>73</v>
      </c>
      <c r="C153" s="56" t="s">
        <v>76</v>
      </c>
      <c r="D153" s="51" t="s">
        <v>3275</v>
      </c>
      <c r="E153" s="51" t="s">
        <v>3279</v>
      </c>
      <c r="F153" s="51" t="s">
        <v>3275</v>
      </c>
      <c r="G153" s="51" t="s">
        <v>3285</v>
      </c>
      <c r="H153" s="55" t="s">
        <v>3286</v>
      </c>
      <c r="I153" s="51" t="s">
        <v>3192</v>
      </c>
    </row>
    <row r="154" spans="2:9" ht="30" hidden="1" customHeight="1">
      <c r="B154" s="56" t="s">
        <v>73</v>
      </c>
      <c r="C154" s="51" t="s">
        <v>76</v>
      </c>
      <c r="D154" s="56" t="s">
        <v>3275</v>
      </c>
      <c r="E154" s="56" t="s">
        <v>3279</v>
      </c>
      <c r="F154" s="56" t="s">
        <v>3275</v>
      </c>
      <c r="G154" s="56" t="s">
        <v>3287</v>
      </c>
      <c r="H154" s="57" t="s">
        <v>3288</v>
      </c>
      <c r="I154" s="51" t="s">
        <v>3192</v>
      </c>
    </row>
    <row r="155" spans="2:9" ht="30" hidden="1" customHeight="1">
      <c r="B155" s="56" t="s">
        <v>73</v>
      </c>
      <c r="C155" s="51" t="s">
        <v>76</v>
      </c>
      <c r="D155" s="56" t="s">
        <v>3275</v>
      </c>
      <c r="E155" s="56" t="s">
        <v>3279</v>
      </c>
      <c r="F155" s="56" t="s">
        <v>3275</v>
      </c>
      <c r="G155" s="56" t="s">
        <v>3323</v>
      </c>
      <c r="H155" s="57" t="s">
        <v>3324</v>
      </c>
      <c r="I155" s="51" t="s">
        <v>3192</v>
      </c>
    </row>
    <row r="156" spans="2:9" ht="30" hidden="1" customHeight="1">
      <c r="B156" s="56" t="s">
        <v>73</v>
      </c>
      <c r="C156" s="56" t="s">
        <v>76</v>
      </c>
      <c r="D156" s="56" t="s">
        <v>3275</v>
      </c>
      <c r="E156" s="56" t="s">
        <v>3323</v>
      </c>
      <c r="F156" s="56" t="s">
        <v>3325</v>
      </c>
      <c r="G156" s="56" t="s">
        <v>3326</v>
      </c>
      <c r="H156" s="57" t="s">
        <v>3327</v>
      </c>
      <c r="I156" s="51" t="s">
        <v>3192</v>
      </c>
    </row>
    <row r="157" spans="2:9" ht="30" hidden="1" customHeight="1">
      <c r="B157" s="56" t="s">
        <v>73</v>
      </c>
      <c r="C157" s="56" t="s">
        <v>76</v>
      </c>
      <c r="D157" s="56" t="s">
        <v>3325</v>
      </c>
      <c r="E157" s="56" t="s">
        <v>3326</v>
      </c>
      <c r="F157" s="56" t="s">
        <v>3197</v>
      </c>
      <c r="G157" s="56" t="s">
        <v>3213</v>
      </c>
      <c r="H157" s="57" t="s">
        <v>3328</v>
      </c>
      <c r="I157" s="51" t="s">
        <v>3192</v>
      </c>
    </row>
    <row r="158" spans="2:9" ht="51.75" hidden="1" customHeight="1">
      <c r="B158" s="56" t="s">
        <v>78</v>
      </c>
      <c r="C158" s="56" t="s">
        <v>79</v>
      </c>
      <c r="D158" s="56" t="s">
        <v>3422</v>
      </c>
      <c r="E158" s="56" t="s">
        <v>3423</v>
      </c>
      <c r="F158" s="56" t="s">
        <v>3422</v>
      </c>
      <c r="G158" s="56" t="s">
        <v>3424</v>
      </c>
      <c r="H158" s="57" t="s">
        <v>3425</v>
      </c>
      <c r="I158" s="51" t="s">
        <v>3192</v>
      </c>
    </row>
    <row r="159" spans="2:9" ht="30" hidden="1" customHeight="1">
      <c r="B159" s="56" t="s">
        <v>78</v>
      </c>
      <c r="C159" s="56" t="s">
        <v>79</v>
      </c>
      <c r="D159" s="56" t="s">
        <v>3422</v>
      </c>
      <c r="E159" s="56" t="s">
        <v>3423</v>
      </c>
      <c r="F159" s="56" t="s">
        <v>3197</v>
      </c>
      <c r="G159" s="56" t="s">
        <v>3198</v>
      </c>
      <c r="H159" s="57" t="s">
        <v>3426</v>
      </c>
      <c r="I159" s="51" t="s">
        <v>3192</v>
      </c>
    </row>
    <row r="160" spans="2:9" ht="30" hidden="1" customHeight="1">
      <c r="B160" s="56" t="s">
        <v>78</v>
      </c>
      <c r="C160" s="56" t="s">
        <v>79</v>
      </c>
      <c r="D160" s="56" t="s">
        <v>3197</v>
      </c>
      <c r="E160" s="56" t="s">
        <v>3198</v>
      </c>
      <c r="F160" s="56" t="s">
        <v>3197</v>
      </c>
      <c r="G160" s="56" t="s">
        <v>3207</v>
      </c>
      <c r="H160" s="57" t="s">
        <v>3208</v>
      </c>
      <c r="I160" s="51" t="s">
        <v>3192</v>
      </c>
    </row>
    <row r="161" spans="2:9" ht="30" hidden="1" customHeight="1">
      <c r="B161" s="56" t="s">
        <v>78</v>
      </c>
      <c r="C161" s="56" t="s">
        <v>79</v>
      </c>
      <c r="D161" s="56" t="s">
        <v>3197</v>
      </c>
      <c r="E161" s="56" t="s">
        <v>3207</v>
      </c>
      <c r="F161" s="56" t="s">
        <v>3197</v>
      </c>
      <c r="G161" s="56" t="s">
        <v>3198</v>
      </c>
      <c r="H161" s="57" t="s">
        <v>3208</v>
      </c>
      <c r="I161" s="51" t="s">
        <v>3192</v>
      </c>
    </row>
    <row r="162" spans="2:9" ht="30" hidden="1" customHeight="1">
      <c r="B162" s="56" t="s">
        <v>78</v>
      </c>
      <c r="C162" s="56" t="s">
        <v>79</v>
      </c>
      <c r="D162" s="56" t="s">
        <v>3422</v>
      </c>
      <c r="E162" s="56" t="s">
        <v>3423</v>
      </c>
      <c r="F162" s="56" t="s">
        <v>3422</v>
      </c>
      <c r="G162" s="56" t="s">
        <v>3427</v>
      </c>
      <c r="H162" s="57" t="s">
        <v>3428</v>
      </c>
      <c r="I162" s="51" t="s">
        <v>3192</v>
      </c>
    </row>
    <row r="163" spans="2:9" ht="30" hidden="1" customHeight="1">
      <c r="B163" s="56" t="s">
        <v>78</v>
      </c>
      <c r="C163" s="56" t="s">
        <v>79</v>
      </c>
      <c r="D163" s="56" t="s">
        <v>3422</v>
      </c>
      <c r="E163" s="56" t="s">
        <v>3427</v>
      </c>
      <c r="F163" s="56" t="s">
        <v>3197</v>
      </c>
      <c r="G163" s="56" t="s">
        <v>3215</v>
      </c>
      <c r="H163" s="57" t="s">
        <v>3429</v>
      </c>
      <c r="I163" s="57" t="s">
        <v>3192</v>
      </c>
    </row>
    <row r="164" spans="2:9" ht="30" hidden="1" customHeight="1">
      <c r="B164" s="399" t="s">
        <v>81</v>
      </c>
      <c r="C164" s="399" t="s">
        <v>82</v>
      </c>
      <c r="D164" s="51" t="s">
        <v>3430</v>
      </c>
      <c r="E164" s="399" t="s">
        <v>3431</v>
      </c>
      <c r="F164" s="56" t="s">
        <v>3197</v>
      </c>
      <c r="G164" s="399" t="s">
        <v>3432</v>
      </c>
      <c r="H164" s="400" t="s">
        <v>3433</v>
      </c>
      <c r="I164" s="397" t="s">
        <v>3192</v>
      </c>
    </row>
    <row r="165" spans="2:9" ht="30" hidden="1" customHeight="1">
      <c r="B165" s="399" t="s">
        <v>81</v>
      </c>
      <c r="C165" s="399" t="s">
        <v>82</v>
      </c>
      <c r="D165" s="399" t="s">
        <v>3430</v>
      </c>
      <c r="E165" s="399" t="s">
        <v>3431</v>
      </c>
      <c r="F165" s="399" t="s">
        <v>3430</v>
      </c>
      <c r="G165" s="399" t="s">
        <v>3434</v>
      </c>
      <c r="H165" s="400" t="s">
        <v>3435</v>
      </c>
      <c r="I165" s="397" t="s">
        <v>3192</v>
      </c>
    </row>
    <row r="166" spans="2:9" ht="30" hidden="1" customHeight="1">
      <c r="B166" s="399" t="s">
        <v>81</v>
      </c>
      <c r="C166" s="399" t="s">
        <v>82</v>
      </c>
      <c r="D166" s="399" t="s">
        <v>3430</v>
      </c>
      <c r="E166" s="399" t="s">
        <v>3431</v>
      </c>
      <c r="F166" s="56" t="s">
        <v>3197</v>
      </c>
      <c r="G166" s="399" t="s">
        <v>3436</v>
      </c>
      <c r="H166" s="400" t="s">
        <v>3437</v>
      </c>
      <c r="I166" s="397" t="s">
        <v>3192</v>
      </c>
    </row>
    <row r="167" spans="2:9" ht="30" hidden="1" customHeight="1">
      <c r="B167" s="399" t="s">
        <v>81</v>
      </c>
      <c r="C167" s="399" t="s">
        <v>82</v>
      </c>
      <c r="D167" s="399" t="s">
        <v>3430</v>
      </c>
      <c r="E167" s="399" t="s">
        <v>3431</v>
      </c>
      <c r="F167" s="56" t="s">
        <v>340</v>
      </c>
      <c r="G167" s="399" t="s">
        <v>82</v>
      </c>
      <c r="H167" s="404" t="s">
        <v>3438</v>
      </c>
      <c r="I167" s="397" t="s">
        <v>3200</v>
      </c>
    </row>
    <row r="168" spans="2:9" ht="30" hidden="1" customHeight="1">
      <c r="B168" s="399" t="s">
        <v>81</v>
      </c>
      <c r="C168" s="399" t="s">
        <v>82</v>
      </c>
      <c r="D168" s="399" t="s">
        <v>3430</v>
      </c>
      <c r="E168" s="399" t="s">
        <v>3439</v>
      </c>
      <c r="F168" s="399" t="s">
        <v>3430</v>
      </c>
      <c r="G168" s="399" t="s">
        <v>3440</v>
      </c>
      <c r="H168" s="400" t="s">
        <v>3441</v>
      </c>
      <c r="I168" s="397" t="s">
        <v>3192</v>
      </c>
    </row>
    <row r="169" spans="2:9" ht="30" hidden="1" customHeight="1">
      <c r="B169" s="399" t="s">
        <v>81</v>
      </c>
      <c r="C169" s="399" t="s">
        <v>82</v>
      </c>
      <c r="D169" s="51" t="s">
        <v>3430</v>
      </c>
      <c r="E169" s="399" t="s">
        <v>3439</v>
      </c>
      <c r="F169" s="56" t="s">
        <v>3197</v>
      </c>
      <c r="G169" s="399" t="s">
        <v>3432</v>
      </c>
      <c r="H169" s="400" t="s">
        <v>3442</v>
      </c>
      <c r="I169" s="397" t="s">
        <v>3192</v>
      </c>
    </row>
    <row r="170" spans="2:9" ht="30" hidden="1" customHeight="1">
      <c r="B170" s="399" t="s">
        <v>81</v>
      </c>
      <c r="C170" s="399" t="s">
        <v>82</v>
      </c>
      <c r="D170" s="399" t="s">
        <v>3430</v>
      </c>
      <c r="E170" s="399" t="s">
        <v>3439</v>
      </c>
      <c r="F170" s="56" t="s">
        <v>3197</v>
      </c>
      <c r="G170" s="399" t="s">
        <v>3436</v>
      </c>
      <c r="H170" s="400" t="s">
        <v>3443</v>
      </c>
      <c r="I170" s="397" t="s">
        <v>3192</v>
      </c>
    </row>
    <row r="171" spans="2:9" ht="30" hidden="1" customHeight="1">
      <c r="B171" s="399" t="s">
        <v>81</v>
      </c>
      <c r="C171" s="399" t="s">
        <v>82</v>
      </c>
      <c r="D171" s="399" t="s">
        <v>3430</v>
      </c>
      <c r="E171" s="399" t="s">
        <v>3439</v>
      </c>
      <c r="F171" s="399" t="s">
        <v>3430</v>
      </c>
      <c r="G171" s="399" t="s">
        <v>3434</v>
      </c>
      <c r="H171" s="400" t="s">
        <v>3444</v>
      </c>
      <c r="I171" s="397" t="s">
        <v>3192</v>
      </c>
    </row>
    <row r="172" spans="2:9" ht="30" hidden="1" customHeight="1">
      <c r="B172" s="399" t="s">
        <v>81</v>
      </c>
      <c r="C172" s="399" t="s">
        <v>82</v>
      </c>
      <c r="D172" s="399" t="s">
        <v>3430</v>
      </c>
      <c r="E172" s="399" t="s">
        <v>3439</v>
      </c>
      <c r="F172" s="56" t="s">
        <v>340</v>
      </c>
      <c r="G172" s="399" t="s">
        <v>82</v>
      </c>
      <c r="H172" s="404" t="s">
        <v>3445</v>
      </c>
      <c r="I172" s="397" t="s">
        <v>3200</v>
      </c>
    </row>
    <row r="173" spans="2:9" ht="30" hidden="1" customHeight="1">
      <c r="B173" s="399" t="s">
        <v>81</v>
      </c>
      <c r="C173" s="399" t="s">
        <v>82</v>
      </c>
      <c r="D173" s="399" t="s">
        <v>3430</v>
      </c>
      <c r="E173" s="399" t="s">
        <v>3446</v>
      </c>
      <c r="F173" s="399" t="s">
        <v>3430</v>
      </c>
      <c r="G173" s="399" t="s">
        <v>3447</v>
      </c>
      <c r="H173" s="400" t="s">
        <v>3448</v>
      </c>
      <c r="I173" s="397" t="s">
        <v>3192</v>
      </c>
    </row>
    <row r="174" spans="2:9" ht="30" hidden="1" customHeight="1">
      <c r="B174" s="399" t="s">
        <v>81</v>
      </c>
      <c r="C174" s="399" t="s">
        <v>82</v>
      </c>
      <c r="D174" s="51" t="s">
        <v>3430</v>
      </c>
      <c r="E174" s="399" t="s">
        <v>3446</v>
      </c>
      <c r="F174" s="56" t="s">
        <v>3197</v>
      </c>
      <c r="G174" s="399" t="s">
        <v>3432</v>
      </c>
      <c r="H174" s="400" t="s">
        <v>3449</v>
      </c>
      <c r="I174" s="397" t="s">
        <v>3192</v>
      </c>
    </row>
    <row r="175" spans="2:9" ht="30" hidden="1" customHeight="1">
      <c r="B175" s="399" t="s">
        <v>81</v>
      </c>
      <c r="C175" s="399" t="s">
        <v>82</v>
      </c>
      <c r="D175" s="399" t="s">
        <v>3430</v>
      </c>
      <c r="E175" s="399" t="s">
        <v>3446</v>
      </c>
      <c r="F175" s="56" t="s">
        <v>3197</v>
      </c>
      <c r="G175" s="399" t="s">
        <v>3436</v>
      </c>
      <c r="H175" s="400" t="s">
        <v>3450</v>
      </c>
      <c r="I175" s="397" t="s">
        <v>3192</v>
      </c>
    </row>
    <row r="176" spans="2:9" ht="30" hidden="1" customHeight="1">
      <c r="B176" s="399" t="s">
        <v>81</v>
      </c>
      <c r="C176" s="399" t="s">
        <v>82</v>
      </c>
      <c r="D176" s="399" t="s">
        <v>3430</v>
      </c>
      <c r="E176" s="399" t="s">
        <v>3446</v>
      </c>
      <c r="F176" s="399" t="s">
        <v>3430</v>
      </c>
      <c r="G176" s="399" t="s">
        <v>3451</v>
      </c>
      <c r="H176" s="400" t="s">
        <v>3452</v>
      </c>
      <c r="I176" s="397" t="s">
        <v>3192</v>
      </c>
    </row>
    <row r="177" spans="2:9" ht="30" hidden="1" customHeight="1">
      <c r="B177" s="399" t="s">
        <v>81</v>
      </c>
      <c r="C177" s="399" t="s">
        <v>82</v>
      </c>
      <c r="D177" s="399" t="s">
        <v>3430</v>
      </c>
      <c r="E177" s="399" t="s">
        <v>3446</v>
      </c>
      <c r="F177" s="56" t="s">
        <v>340</v>
      </c>
      <c r="G177" s="399" t="s">
        <v>82</v>
      </c>
      <c r="H177" s="404" t="s">
        <v>3453</v>
      </c>
      <c r="I177" s="397" t="s">
        <v>3200</v>
      </c>
    </row>
    <row r="178" spans="2:9" ht="30" hidden="1" customHeight="1">
      <c r="B178" s="399" t="s">
        <v>81</v>
      </c>
      <c r="C178" s="399" t="s">
        <v>82</v>
      </c>
      <c r="D178" s="399" t="s">
        <v>3430</v>
      </c>
      <c r="E178" s="399" t="s">
        <v>3454</v>
      </c>
      <c r="F178" s="399" t="s">
        <v>3430</v>
      </c>
      <c r="G178" s="399" t="s">
        <v>3455</v>
      </c>
      <c r="H178" s="400" t="s">
        <v>3456</v>
      </c>
      <c r="I178" s="397" t="s">
        <v>3192</v>
      </c>
    </row>
    <row r="179" spans="2:9" ht="30" hidden="1" customHeight="1">
      <c r="B179" s="399" t="s">
        <v>81</v>
      </c>
      <c r="C179" s="399" t="s">
        <v>82</v>
      </c>
      <c r="D179" s="51" t="s">
        <v>3430</v>
      </c>
      <c r="E179" s="399" t="s">
        <v>3454</v>
      </c>
      <c r="F179" s="56" t="s">
        <v>3197</v>
      </c>
      <c r="G179" s="399" t="s">
        <v>3432</v>
      </c>
      <c r="H179" s="400" t="s">
        <v>3457</v>
      </c>
      <c r="I179" s="397" t="s">
        <v>3192</v>
      </c>
    </row>
    <row r="180" spans="2:9" ht="30" hidden="1" customHeight="1">
      <c r="B180" s="399" t="s">
        <v>81</v>
      </c>
      <c r="C180" s="399" t="s">
        <v>82</v>
      </c>
      <c r="D180" s="399" t="s">
        <v>3430</v>
      </c>
      <c r="E180" s="399" t="s">
        <v>3454</v>
      </c>
      <c r="F180" s="56" t="s">
        <v>3197</v>
      </c>
      <c r="G180" s="399" t="s">
        <v>3436</v>
      </c>
      <c r="H180" s="400" t="s">
        <v>3458</v>
      </c>
      <c r="I180" s="397" t="s">
        <v>3192</v>
      </c>
    </row>
    <row r="181" spans="2:9" ht="30" hidden="1" customHeight="1">
      <c r="B181" s="399" t="s">
        <v>81</v>
      </c>
      <c r="C181" s="399" t="s">
        <v>82</v>
      </c>
      <c r="D181" s="399" t="s">
        <v>3430</v>
      </c>
      <c r="E181" s="399" t="s">
        <v>3454</v>
      </c>
      <c r="F181" s="399" t="s">
        <v>3430</v>
      </c>
      <c r="G181" s="399" t="s">
        <v>3451</v>
      </c>
      <c r="H181" s="400" t="s">
        <v>3459</v>
      </c>
      <c r="I181" s="397" t="s">
        <v>3192</v>
      </c>
    </row>
    <row r="182" spans="2:9" ht="30" hidden="1" customHeight="1">
      <c r="B182" s="399" t="s">
        <v>81</v>
      </c>
      <c r="C182" s="399" t="s">
        <v>82</v>
      </c>
      <c r="D182" s="399" t="s">
        <v>3430</v>
      </c>
      <c r="E182" s="399" t="s">
        <v>3454</v>
      </c>
      <c r="F182" s="56" t="s">
        <v>340</v>
      </c>
      <c r="G182" s="399" t="s">
        <v>82</v>
      </c>
      <c r="H182" s="404" t="s">
        <v>3460</v>
      </c>
      <c r="I182" s="397" t="s">
        <v>3200</v>
      </c>
    </row>
    <row r="183" spans="2:9" ht="30" hidden="1" customHeight="1">
      <c r="B183" s="399" t="s">
        <v>81</v>
      </c>
      <c r="C183" s="399" t="s">
        <v>82</v>
      </c>
      <c r="D183" s="51" t="s">
        <v>3219</v>
      </c>
      <c r="E183" s="51" t="s">
        <v>3220</v>
      </c>
      <c r="F183" s="56" t="s">
        <v>340</v>
      </c>
      <c r="G183" s="399" t="s">
        <v>82</v>
      </c>
      <c r="H183" s="404" t="s">
        <v>3461</v>
      </c>
      <c r="I183" s="55" t="s">
        <v>3200</v>
      </c>
    </row>
    <row r="184" spans="2:9" ht="30" hidden="1" customHeight="1">
      <c r="B184" s="399" t="s">
        <v>81</v>
      </c>
      <c r="C184" s="399" t="s">
        <v>82</v>
      </c>
      <c r="D184" s="51" t="s">
        <v>3209</v>
      </c>
      <c r="E184" s="51" t="s">
        <v>3210</v>
      </c>
      <c r="F184" s="56" t="s">
        <v>340</v>
      </c>
      <c r="G184" s="399" t="s">
        <v>82</v>
      </c>
      <c r="H184" s="404" t="s">
        <v>3462</v>
      </c>
      <c r="I184" s="55" t="s">
        <v>3200</v>
      </c>
    </row>
    <row r="185" spans="2:9" ht="30" hidden="1" customHeight="1">
      <c r="B185" s="399" t="s">
        <v>81</v>
      </c>
      <c r="C185" s="399" t="s">
        <v>82</v>
      </c>
      <c r="D185" s="51" t="s">
        <v>3209</v>
      </c>
      <c r="E185" s="51" t="s">
        <v>3463</v>
      </c>
      <c r="F185" s="51" t="s">
        <v>3209</v>
      </c>
      <c r="G185" s="399" t="s">
        <v>3464</v>
      </c>
      <c r="H185" s="404" t="s">
        <v>3465</v>
      </c>
      <c r="I185" s="399"/>
    </row>
    <row r="186" spans="2:9" ht="30" hidden="1" customHeight="1">
      <c r="B186" s="397" t="s">
        <v>81</v>
      </c>
      <c r="C186" s="397" t="s">
        <v>82</v>
      </c>
      <c r="D186" s="397" t="s">
        <v>3209</v>
      </c>
      <c r="E186" s="397" t="s">
        <v>3210</v>
      </c>
      <c r="F186" s="397" t="s">
        <v>3209</v>
      </c>
      <c r="G186" s="397" t="s">
        <v>3211</v>
      </c>
      <c r="H186" s="57" t="s">
        <v>3212</v>
      </c>
      <c r="I186" s="55" t="s">
        <v>3192</v>
      </c>
    </row>
    <row r="187" spans="2:9" ht="30" hidden="1" customHeight="1">
      <c r="B187" s="397" t="s">
        <v>81</v>
      </c>
      <c r="C187" s="397" t="s">
        <v>82</v>
      </c>
      <c r="D187" s="397" t="s">
        <v>3209</v>
      </c>
      <c r="E187" s="397" t="s">
        <v>3210</v>
      </c>
      <c r="F187" s="56" t="s">
        <v>3197</v>
      </c>
      <c r="G187" s="399" t="s">
        <v>3355</v>
      </c>
      <c r="H187" s="400" t="s">
        <v>3466</v>
      </c>
      <c r="I187" s="399"/>
    </row>
    <row r="188" spans="2:9" ht="30" hidden="1" customHeight="1">
      <c r="B188" s="397" t="s">
        <v>81</v>
      </c>
      <c r="C188" s="397" t="s">
        <v>82</v>
      </c>
      <c r="D188" s="399" t="s">
        <v>3430</v>
      </c>
      <c r="E188" s="399" t="s">
        <v>3431</v>
      </c>
      <c r="F188" s="399" t="s">
        <v>340</v>
      </c>
      <c r="G188" s="399" t="s">
        <v>3167</v>
      </c>
      <c r="H188" s="404" t="s">
        <v>3467</v>
      </c>
      <c r="I188" s="55" t="s">
        <v>3200</v>
      </c>
    </row>
    <row r="189" spans="2:9" ht="30" hidden="1" customHeight="1">
      <c r="B189" s="397" t="s">
        <v>81</v>
      </c>
      <c r="C189" s="397" t="s">
        <v>82</v>
      </c>
      <c r="D189" s="399" t="s">
        <v>3430</v>
      </c>
      <c r="E189" s="399" t="s">
        <v>3439</v>
      </c>
      <c r="F189" s="399" t="s">
        <v>340</v>
      </c>
      <c r="G189" s="399" t="s">
        <v>3167</v>
      </c>
      <c r="H189" s="404" t="s">
        <v>3468</v>
      </c>
      <c r="I189" s="55" t="s">
        <v>3200</v>
      </c>
    </row>
    <row r="190" spans="2:9" ht="30" hidden="1" customHeight="1">
      <c r="B190" s="397" t="s">
        <v>81</v>
      </c>
      <c r="C190" s="397" t="s">
        <v>82</v>
      </c>
      <c r="D190" s="399" t="s">
        <v>3430</v>
      </c>
      <c r="E190" s="399" t="s">
        <v>3469</v>
      </c>
      <c r="F190" s="399" t="s">
        <v>340</v>
      </c>
      <c r="G190" s="399" t="s">
        <v>3167</v>
      </c>
      <c r="H190" s="404" t="s">
        <v>3453</v>
      </c>
      <c r="I190" s="55" t="s">
        <v>3200</v>
      </c>
    </row>
    <row r="191" spans="2:9" ht="30" hidden="1" customHeight="1">
      <c r="B191" s="397" t="s">
        <v>81</v>
      </c>
      <c r="C191" s="397" t="s">
        <v>82</v>
      </c>
      <c r="D191" s="399" t="s">
        <v>3430</v>
      </c>
      <c r="E191" s="399" t="s">
        <v>3470</v>
      </c>
      <c r="F191" s="399" t="s">
        <v>340</v>
      </c>
      <c r="G191" s="399" t="s">
        <v>3167</v>
      </c>
      <c r="H191" s="404" t="s">
        <v>3471</v>
      </c>
      <c r="I191" s="55" t="s">
        <v>3200</v>
      </c>
    </row>
    <row r="192" spans="2:9" ht="30" hidden="1" customHeight="1">
      <c r="B192" s="397" t="s">
        <v>81</v>
      </c>
      <c r="C192" s="397" t="s">
        <v>82</v>
      </c>
      <c r="D192" s="399" t="s">
        <v>3430</v>
      </c>
      <c r="E192" s="399" t="s">
        <v>3472</v>
      </c>
      <c r="F192" s="399" t="s">
        <v>340</v>
      </c>
      <c r="G192" s="399" t="s">
        <v>3167</v>
      </c>
      <c r="H192" s="404" t="s">
        <v>3473</v>
      </c>
      <c r="I192" s="55" t="s">
        <v>3200</v>
      </c>
    </row>
    <row r="193" spans="2:9" ht="30" hidden="1" customHeight="1">
      <c r="B193" s="397" t="s">
        <v>81</v>
      </c>
      <c r="C193" s="397" t="s">
        <v>82</v>
      </c>
      <c r="D193" s="399" t="s">
        <v>3430</v>
      </c>
      <c r="E193" s="399" t="s">
        <v>3454</v>
      </c>
      <c r="F193" s="399" t="s">
        <v>340</v>
      </c>
      <c r="G193" s="399" t="s">
        <v>3167</v>
      </c>
      <c r="H193" s="404" t="s">
        <v>3474</v>
      </c>
      <c r="I193" s="55" t="s">
        <v>3200</v>
      </c>
    </row>
    <row r="194" spans="2:9" ht="30" hidden="1" customHeight="1">
      <c r="B194" s="397" t="s">
        <v>81</v>
      </c>
      <c r="C194" s="397" t="s">
        <v>82</v>
      </c>
      <c r="D194" s="399" t="s">
        <v>3219</v>
      </c>
      <c r="E194" s="399" t="s">
        <v>3220</v>
      </c>
      <c r="F194" s="399" t="s">
        <v>340</v>
      </c>
      <c r="G194" s="399" t="s">
        <v>3167</v>
      </c>
      <c r="H194" s="404" t="s">
        <v>3475</v>
      </c>
      <c r="I194" s="55" t="s">
        <v>3200</v>
      </c>
    </row>
    <row r="195" spans="2:9" ht="30" hidden="1" customHeight="1">
      <c r="B195" s="397" t="s">
        <v>81</v>
      </c>
      <c r="C195" s="397" t="s">
        <v>82</v>
      </c>
      <c r="D195" s="399" t="s">
        <v>3209</v>
      </c>
      <c r="E195" s="399" t="s">
        <v>3241</v>
      </c>
      <c r="F195" s="399" t="s">
        <v>340</v>
      </c>
      <c r="G195" s="399" t="s">
        <v>3167</v>
      </c>
      <c r="H195" s="404" t="s">
        <v>3476</v>
      </c>
      <c r="I195" s="55" t="s">
        <v>3200</v>
      </c>
    </row>
    <row r="196" spans="2:9" ht="30" hidden="1" customHeight="1">
      <c r="B196" s="397" t="s">
        <v>81</v>
      </c>
      <c r="C196" s="397" t="s">
        <v>82</v>
      </c>
      <c r="D196" s="397" t="s">
        <v>3430</v>
      </c>
      <c r="E196" s="397" t="s">
        <v>3446</v>
      </c>
      <c r="F196" s="397" t="s">
        <v>3430</v>
      </c>
      <c r="G196" s="397" t="s">
        <v>3477</v>
      </c>
      <c r="H196" s="398" t="s">
        <v>3478</v>
      </c>
      <c r="I196" s="55" t="s">
        <v>3192</v>
      </c>
    </row>
    <row r="197" spans="2:9" ht="15" hidden="1">
      <c r="B197" s="397" t="s">
        <v>340</v>
      </c>
      <c r="C197" s="397" t="s">
        <v>3167</v>
      </c>
      <c r="D197" s="397" t="s">
        <v>3430</v>
      </c>
      <c r="E197" s="397" t="s">
        <v>3446</v>
      </c>
      <c r="F197" s="397" t="s">
        <v>3430</v>
      </c>
      <c r="G197" s="397" t="s">
        <v>3477</v>
      </c>
      <c r="H197" s="398" t="s">
        <v>3478</v>
      </c>
      <c r="I197" s="55" t="s">
        <v>3192</v>
      </c>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C636"/>
      <c r="D636"/>
      <c r="E636"/>
      <c r="F636"/>
    </row>
    <row r="637" spans="2:6" ht="15"/>
    <row r="638" spans="2:6" ht="15"/>
    <row r="639" spans="2:6" ht="15"/>
    <row r="640" spans="2:6" ht="15"/>
    <row r="641" ht="15"/>
    <row r="642" ht="15"/>
    <row r="643" ht="15"/>
    <row r="644"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3" workbookViewId="0">
      <selection activeCell="G19" sqref="G1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3479</v>
      </c>
      <c r="E2" s="58" t="s">
        <v>3480</v>
      </c>
      <c r="F2" s="58" t="s">
        <v>3481</v>
      </c>
      <c r="G2" s="58" t="s">
        <v>3482</v>
      </c>
      <c r="H2" s="58" t="s">
        <v>3483</v>
      </c>
    </row>
    <row r="3" spans="2:8" ht="30" hidden="1" customHeight="1">
      <c r="B3" s="51" t="s">
        <v>4</v>
      </c>
      <c r="C3" s="51" t="s">
        <v>5</v>
      </c>
      <c r="D3" s="51" t="s">
        <v>3188</v>
      </c>
      <c r="E3" s="51" t="s">
        <v>3189</v>
      </c>
      <c r="F3" s="51" t="s">
        <v>3484</v>
      </c>
      <c r="G3" s="51" t="s">
        <v>3485</v>
      </c>
      <c r="H3" s="89" t="s">
        <v>3486</v>
      </c>
    </row>
    <row r="4" spans="2:8" ht="30" customHeight="1">
      <c r="B4" s="51" t="s">
        <v>4</v>
      </c>
      <c r="C4" s="51" t="s">
        <v>5</v>
      </c>
      <c r="D4" s="51" t="s">
        <v>3209</v>
      </c>
      <c r="E4" s="56" t="s">
        <v>3210</v>
      </c>
      <c r="F4" s="51" t="s">
        <v>3487</v>
      </c>
      <c r="G4" s="51" t="s">
        <v>3488</v>
      </c>
      <c r="H4" s="55" t="s">
        <v>3489</v>
      </c>
    </row>
    <row r="5" spans="2:8" ht="30" hidden="1" customHeight="1">
      <c r="B5" s="51" t="s">
        <v>4</v>
      </c>
      <c r="C5" s="51" t="s">
        <v>5</v>
      </c>
      <c r="D5" s="51" t="s">
        <v>3219</v>
      </c>
      <c r="E5" s="51" t="s">
        <v>3220</v>
      </c>
      <c r="F5" s="55" t="s">
        <v>3490</v>
      </c>
      <c r="G5" s="55" t="s">
        <v>3491</v>
      </c>
      <c r="H5" s="55" t="s">
        <v>3492</v>
      </c>
    </row>
    <row r="6" spans="2:8" ht="30" hidden="1" customHeight="1">
      <c r="B6" s="51" t="s">
        <v>9</v>
      </c>
      <c r="C6" s="51" t="s">
        <v>10</v>
      </c>
      <c r="D6" s="51" t="s">
        <v>3223</v>
      </c>
      <c r="E6" s="51" t="s">
        <v>3224</v>
      </c>
      <c r="F6" s="51" t="s">
        <v>3493</v>
      </c>
      <c r="G6" s="55" t="s">
        <v>3494</v>
      </c>
      <c r="H6" s="55" t="s">
        <v>3495</v>
      </c>
    </row>
    <row r="7" spans="2:8" ht="30" hidden="1" customHeight="1">
      <c r="B7" s="51" t="s">
        <v>14</v>
      </c>
      <c r="C7" s="51" t="s">
        <v>3496</v>
      </c>
      <c r="D7" s="55" t="s">
        <v>3236</v>
      </c>
      <c r="E7" s="55" t="s">
        <v>3240</v>
      </c>
      <c r="F7" s="55" t="s">
        <v>3497</v>
      </c>
      <c r="G7" s="55" t="s">
        <v>3498</v>
      </c>
      <c r="H7" s="55" t="s">
        <v>3499</v>
      </c>
    </row>
    <row r="8" spans="2:8" ht="30" customHeight="1">
      <c r="B8" s="51" t="s">
        <v>14</v>
      </c>
      <c r="C8" s="51" t="s">
        <v>3496</v>
      </c>
      <c r="D8" s="51" t="s">
        <v>3209</v>
      </c>
      <c r="E8" s="56" t="s">
        <v>3210</v>
      </c>
      <c r="F8" s="51" t="s">
        <v>3500</v>
      </c>
      <c r="G8" s="51" t="s">
        <v>3488</v>
      </c>
      <c r="H8" s="55" t="s">
        <v>3489</v>
      </c>
    </row>
    <row r="9" spans="2:8" ht="30" hidden="1" customHeight="1">
      <c r="B9" s="51" t="s">
        <v>14</v>
      </c>
      <c r="C9" s="51" t="s">
        <v>3496</v>
      </c>
      <c r="D9" s="55" t="s">
        <v>3236</v>
      </c>
      <c r="E9" s="56" t="s">
        <v>3237</v>
      </c>
      <c r="F9" s="51" t="s">
        <v>3501</v>
      </c>
      <c r="G9" s="51" t="s">
        <v>3502</v>
      </c>
      <c r="H9" s="55" t="s">
        <v>3503</v>
      </c>
    </row>
    <row r="10" spans="2:8" ht="30" hidden="1" customHeight="1">
      <c r="B10" s="51" t="s">
        <v>14</v>
      </c>
      <c r="C10" s="399" t="s">
        <v>3504</v>
      </c>
      <c r="D10" s="55" t="s">
        <v>3236</v>
      </c>
      <c r="E10" s="51" t="s">
        <v>3237</v>
      </c>
      <c r="F10" s="51" t="s">
        <v>3501</v>
      </c>
      <c r="G10" s="51" t="s">
        <v>3502</v>
      </c>
      <c r="H10" s="55" t="s">
        <v>3503</v>
      </c>
    </row>
    <row r="11" spans="2:8" ht="30" hidden="1" customHeight="1">
      <c r="B11" s="51" t="s">
        <v>21</v>
      </c>
      <c r="C11" s="51" t="s">
        <v>22</v>
      </c>
      <c r="D11" s="51" t="s">
        <v>3251</v>
      </c>
      <c r="E11" s="51" t="s">
        <v>3252</v>
      </c>
      <c r="F11" s="51" t="s">
        <v>3505</v>
      </c>
      <c r="G11" s="55" t="s">
        <v>3506</v>
      </c>
      <c r="H11" s="55" t="s">
        <v>3507</v>
      </c>
    </row>
    <row r="12" spans="2:8" ht="30" hidden="1" customHeight="1">
      <c r="B12" s="51" t="s">
        <v>21</v>
      </c>
      <c r="C12" s="51" t="s">
        <v>22</v>
      </c>
      <c r="D12" s="51" t="s">
        <v>3251</v>
      </c>
      <c r="E12" s="51" t="s">
        <v>3253</v>
      </c>
      <c r="F12" s="51" t="s">
        <v>3508</v>
      </c>
      <c r="G12" s="51" t="s">
        <v>3502</v>
      </c>
      <c r="H12" s="55" t="s">
        <v>3509</v>
      </c>
    </row>
    <row r="13" spans="2:8" ht="30" customHeight="1">
      <c r="B13" s="51" t="s">
        <v>21</v>
      </c>
      <c r="C13" s="51" t="s">
        <v>22</v>
      </c>
      <c r="D13" s="51" t="s">
        <v>3209</v>
      </c>
      <c r="E13" s="56" t="s">
        <v>3210</v>
      </c>
      <c r="F13" s="51" t="s">
        <v>3510</v>
      </c>
      <c r="G13" s="51" t="s">
        <v>3488</v>
      </c>
      <c r="H13" s="55" t="s">
        <v>3489</v>
      </c>
    </row>
    <row r="14" spans="2:8" ht="30" hidden="1" customHeight="1">
      <c r="B14" s="51" t="s">
        <v>21</v>
      </c>
      <c r="C14" s="51" t="s">
        <v>22</v>
      </c>
      <c r="D14" s="51" t="s">
        <v>3209</v>
      </c>
      <c r="E14" s="56" t="s">
        <v>3211</v>
      </c>
      <c r="F14" s="51" t="s">
        <v>3511</v>
      </c>
      <c r="G14" s="56" t="s">
        <v>372</v>
      </c>
      <c r="H14" s="56" t="s">
        <v>372</v>
      </c>
    </row>
    <row r="15" spans="2:8" ht="30" hidden="1" customHeight="1">
      <c r="B15" s="51" t="s">
        <v>21</v>
      </c>
      <c r="C15" s="51" t="s">
        <v>22</v>
      </c>
      <c r="D15" s="51" t="s">
        <v>3219</v>
      </c>
      <c r="E15" s="51" t="s">
        <v>3220</v>
      </c>
      <c r="F15" s="55" t="s">
        <v>3512</v>
      </c>
      <c r="G15" s="55" t="s">
        <v>3491</v>
      </c>
      <c r="H15" s="55" t="s">
        <v>3492</v>
      </c>
    </row>
    <row r="16" spans="2:8" ht="30" hidden="1" customHeight="1">
      <c r="B16" s="51" t="s">
        <v>21</v>
      </c>
      <c r="C16" s="51" t="s">
        <v>24</v>
      </c>
      <c r="D16" s="51" t="s">
        <v>3251</v>
      </c>
      <c r="E16" s="51" t="s">
        <v>3253</v>
      </c>
      <c r="F16" s="51" t="s">
        <v>3508</v>
      </c>
      <c r="G16" s="51" t="s">
        <v>3502</v>
      </c>
      <c r="H16" s="55" t="s">
        <v>3509</v>
      </c>
    </row>
    <row r="17" spans="2:8" ht="30" hidden="1" customHeight="1">
      <c r="B17" s="51" t="s">
        <v>28</v>
      </c>
      <c r="C17" s="51" t="s">
        <v>3272</v>
      </c>
      <c r="D17" s="51" t="s">
        <v>3273</v>
      </c>
      <c r="E17" s="51" t="s">
        <v>3274</v>
      </c>
      <c r="F17" s="51" t="s">
        <v>3513</v>
      </c>
      <c r="G17" s="51" t="s">
        <v>372</v>
      </c>
      <c r="H17" s="51" t="s">
        <v>372</v>
      </c>
    </row>
    <row r="18" spans="2:8" ht="30" hidden="1" customHeight="1">
      <c r="B18" s="56" t="s">
        <v>33</v>
      </c>
      <c r="C18" s="56" t="s">
        <v>34</v>
      </c>
      <c r="D18" s="51" t="s">
        <v>3275</v>
      </c>
      <c r="E18" s="51" t="s">
        <v>3276</v>
      </c>
      <c r="F18" s="55" t="s">
        <v>3514</v>
      </c>
      <c r="G18" s="55" t="s">
        <v>3515</v>
      </c>
      <c r="H18" s="55" t="s">
        <v>3516</v>
      </c>
    </row>
    <row r="19" spans="2:8" ht="30" hidden="1" customHeight="1">
      <c r="B19" s="56" t="s">
        <v>33</v>
      </c>
      <c r="C19" s="56" t="s">
        <v>36</v>
      </c>
      <c r="D19" s="51" t="s">
        <v>3275</v>
      </c>
      <c r="E19" s="51" t="s">
        <v>3279</v>
      </c>
      <c r="F19" s="55" t="s">
        <v>3517</v>
      </c>
      <c r="G19" s="55" t="s">
        <v>3518</v>
      </c>
      <c r="H19" s="51" t="s">
        <v>372</v>
      </c>
    </row>
    <row r="20" spans="2:8" ht="30" customHeight="1">
      <c r="B20" s="56" t="s">
        <v>33</v>
      </c>
      <c r="C20" s="56" t="s">
        <v>38</v>
      </c>
      <c r="D20" s="51" t="s">
        <v>3209</v>
      </c>
      <c r="E20" s="56" t="s">
        <v>3210</v>
      </c>
      <c r="F20" s="51" t="s">
        <v>3500</v>
      </c>
      <c r="G20" s="51" t="s">
        <v>3488</v>
      </c>
      <c r="H20" s="55" t="s">
        <v>3489</v>
      </c>
    </row>
    <row r="21" spans="2:8" ht="30" hidden="1" customHeight="1">
      <c r="B21" s="56" t="s">
        <v>33</v>
      </c>
      <c r="C21" s="56" t="s">
        <v>38</v>
      </c>
      <c r="D21" s="56" t="s">
        <v>3275</v>
      </c>
      <c r="E21" s="56" t="s">
        <v>3279</v>
      </c>
      <c r="F21" s="57" t="s">
        <v>3519</v>
      </c>
      <c r="G21" s="57" t="s">
        <v>3518</v>
      </c>
      <c r="H21" s="56" t="s">
        <v>372</v>
      </c>
    </row>
    <row r="22" spans="2:8" ht="30" hidden="1" customHeight="1">
      <c r="B22" s="56" t="s">
        <v>33</v>
      </c>
      <c r="C22" s="56" t="s">
        <v>38</v>
      </c>
      <c r="D22" s="56" t="s">
        <v>3275</v>
      </c>
      <c r="E22" s="56" t="s">
        <v>3304</v>
      </c>
      <c r="F22" s="56" t="s">
        <v>3520</v>
      </c>
      <c r="G22" s="57" t="s">
        <v>3521</v>
      </c>
      <c r="H22" s="57" t="s">
        <v>3522</v>
      </c>
    </row>
    <row r="23" spans="2:8" ht="30" customHeight="1">
      <c r="B23" s="56" t="s">
        <v>33</v>
      </c>
      <c r="C23" s="56" t="s">
        <v>38</v>
      </c>
      <c r="D23" s="56" t="s">
        <v>3209</v>
      </c>
      <c r="E23" s="56" t="s">
        <v>3210</v>
      </c>
      <c r="F23" s="51" t="s">
        <v>3523</v>
      </c>
      <c r="G23" s="51" t="s">
        <v>3488</v>
      </c>
      <c r="H23" s="55" t="s">
        <v>3489</v>
      </c>
    </row>
    <row r="24" spans="2:8" ht="30" hidden="1" customHeight="1">
      <c r="B24" s="56" t="s">
        <v>33</v>
      </c>
      <c r="C24" s="56" t="s">
        <v>38</v>
      </c>
      <c r="D24" s="56" t="s">
        <v>3219</v>
      </c>
      <c r="E24" s="56" t="s">
        <v>3220</v>
      </c>
      <c r="F24" s="57" t="s">
        <v>3524</v>
      </c>
      <c r="G24" s="57" t="s">
        <v>3491</v>
      </c>
      <c r="H24" s="57" t="s">
        <v>3492</v>
      </c>
    </row>
    <row r="25" spans="2:8" ht="30" hidden="1" customHeight="1">
      <c r="B25" s="56" t="s">
        <v>40</v>
      </c>
      <c r="C25" s="56" t="s">
        <v>41</v>
      </c>
      <c r="D25" s="56" t="s">
        <v>3219</v>
      </c>
      <c r="E25" s="56" t="s">
        <v>3220</v>
      </c>
      <c r="F25" s="56" t="s">
        <v>3525</v>
      </c>
      <c r="G25" s="57" t="s">
        <v>3526</v>
      </c>
      <c r="H25" s="305" t="s">
        <v>3527</v>
      </c>
    </row>
    <row r="26" spans="2:8" ht="30" customHeight="1">
      <c r="B26" s="56" t="s">
        <v>40</v>
      </c>
      <c r="C26" s="56" t="s">
        <v>41</v>
      </c>
      <c r="D26" s="56" t="s">
        <v>3209</v>
      </c>
      <c r="E26" s="56" t="s">
        <v>3210</v>
      </c>
      <c r="F26" s="56" t="s">
        <v>3500</v>
      </c>
      <c r="G26" s="56" t="s">
        <v>3488</v>
      </c>
      <c r="H26" s="57" t="s">
        <v>3489</v>
      </c>
    </row>
    <row r="27" spans="2:8" ht="30" hidden="1" customHeight="1">
      <c r="B27" s="56" t="s">
        <v>43</v>
      </c>
      <c r="C27" s="56" t="s">
        <v>44</v>
      </c>
      <c r="D27" s="56" t="s">
        <v>3275</v>
      </c>
      <c r="E27" s="56" t="s">
        <v>3279</v>
      </c>
      <c r="F27" s="399" t="s">
        <v>3528</v>
      </c>
      <c r="G27" s="399" t="s">
        <v>3529</v>
      </c>
      <c r="H27" s="399" t="s">
        <v>3529</v>
      </c>
    </row>
    <row r="28" spans="2:8" ht="30" hidden="1" customHeight="1">
      <c r="B28" s="56" t="s">
        <v>43</v>
      </c>
      <c r="C28" s="56" t="s">
        <v>44</v>
      </c>
      <c r="D28" s="56" t="s">
        <v>3275</v>
      </c>
      <c r="E28" s="56" t="s">
        <v>3276</v>
      </c>
      <c r="F28" s="57" t="s">
        <v>3530</v>
      </c>
      <c r="G28" s="57" t="s">
        <v>3515</v>
      </c>
      <c r="H28" s="57" t="s">
        <v>3516</v>
      </c>
    </row>
    <row r="29" spans="2:8" ht="30" hidden="1" customHeight="1">
      <c r="B29" s="56" t="s">
        <v>43</v>
      </c>
      <c r="C29" s="56" t="s">
        <v>46</v>
      </c>
      <c r="D29" s="56" t="s">
        <v>3275</v>
      </c>
      <c r="E29" s="56" t="s">
        <v>3279</v>
      </c>
      <c r="F29" s="57" t="s">
        <v>3531</v>
      </c>
      <c r="G29" s="57" t="s">
        <v>3518</v>
      </c>
      <c r="H29" s="56" t="s">
        <v>372</v>
      </c>
    </row>
    <row r="30" spans="2:8" ht="30" hidden="1" customHeight="1">
      <c r="B30" s="56" t="s">
        <v>48</v>
      </c>
      <c r="C30" s="56" t="s">
        <v>51</v>
      </c>
      <c r="D30" s="56" t="s">
        <v>3329</v>
      </c>
      <c r="E30" s="56" t="s">
        <v>3330</v>
      </c>
      <c r="F30" s="56" t="s">
        <v>3532</v>
      </c>
      <c r="G30" s="56" t="s">
        <v>3533</v>
      </c>
      <c r="H30" s="57" t="s">
        <v>3534</v>
      </c>
    </row>
    <row r="31" spans="2:8" ht="30" hidden="1" customHeight="1">
      <c r="B31" s="56" t="s">
        <v>3535</v>
      </c>
      <c r="C31" s="56" t="s">
        <v>54</v>
      </c>
      <c r="D31" s="56" t="s">
        <v>3219</v>
      </c>
      <c r="E31" s="56" t="s">
        <v>3220</v>
      </c>
      <c r="F31" s="56" t="s">
        <v>3536</v>
      </c>
      <c r="G31" s="57" t="s">
        <v>3537</v>
      </c>
      <c r="H31" s="57" t="s">
        <v>3538</v>
      </c>
    </row>
    <row r="32" spans="2:8" ht="30" hidden="1" customHeight="1">
      <c r="B32" s="56" t="s">
        <v>59</v>
      </c>
      <c r="C32" s="56" t="s">
        <v>60</v>
      </c>
      <c r="D32" s="51" t="s">
        <v>3370</v>
      </c>
      <c r="E32" s="56" t="s">
        <v>3371</v>
      </c>
      <c r="F32" s="55" t="s">
        <v>3539</v>
      </c>
      <c r="G32" s="55" t="s">
        <v>3540</v>
      </c>
      <c r="H32" s="55" t="s">
        <v>3541</v>
      </c>
    </row>
    <row r="33" spans="2:8" ht="30" hidden="1" customHeight="1">
      <c r="B33" s="56" t="s">
        <v>64</v>
      </c>
      <c r="C33" s="56" t="s">
        <v>65</v>
      </c>
      <c r="D33" s="56" t="s">
        <v>3374</v>
      </c>
      <c r="E33" s="56" t="s">
        <v>3397</v>
      </c>
      <c r="F33" s="51" t="s">
        <v>3542</v>
      </c>
      <c r="G33" s="82" t="s">
        <v>3543</v>
      </c>
      <c r="H33" s="55" t="s">
        <v>3544</v>
      </c>
    </row>
    <row r="34" spans="2:8" ht="30" customHeight="1">
      <c r="B34" s="56" t="s">
        <v>64</v>
      </c>
      <c r="C34" s="56" t="s">
        <v>65</v>
      </c>
      <c r="D34" s="56" t="s">
        <v>3209</v>
      </c>
      <c r="E34" s="56" t="s">
        <v>3210</v>
      </c>
      <c r="F34" s="56" t="s">
        <v>3500</v>
      </c>
      <c r="G34" s="51" t="s">
        <v>3488</v>
      </c>
      <c r="H34" s="55" t="s">
        <v>3489</v>
      </c>
    </row>
    <row r="35" spans="2:8" ht="30" hidden="1" customHeight="1">
      <c r="B35" s="56" t="s">
        <v>64</v>
      </c>
      <c r="C35" s="56" t="s">
        <v>65</v>
      </c>
      <c r="D35" s="56" t="s">
        <v>3374</v>
      </c>
      <c r="E35" s="56" t="s">
        <v>3380</v>
      </c>
      <c r="F35" s="56" t="s">
        <v>3545</v>
      </c>
      <c r="G35" s="56" t="s">
        <v>3546</v>
      </c>
      <c r="H35" s="57" t="s">
        <v>3547</v>
      </c>
    </row>
    <row r="36" spans="2:8" ht="30" hidden="1" customHeight="1">
      <c r="B36" s="56" t="s">
        <v>67</v>
      </c>
      <c r="C36" s="56" t="s">
        <v>68</v>
      </c>
      <c r="D36" s="56" t="s">
        <v>3219</v>
      </c>
      <c r="E36" s="56" t="s">
        <v>3220</v>
      </c>
      <c r="F36" s="56" t="s">
        <v>3548</v>
      </c>
      <c r="G36" s="57" t="s">
        <v>3549</v>
      </c>
      <c r="H36" s="305" t="s">
        <v>3550</v>
      </c>
    </row>
    <row r="37" spans="2:8" ht="30" customHeight="1">
      <c r="B37" s="56" t="s">
        <v>67</v>
      </c>
      <c r="C37" s="56" t="s">
        <v>68</v>
      </c>
      <c r="D37" s="56" t="s">
        <v>3209</v>
      </c>
      <c r="E37" s="56" t="s">
        <v>3210</v>
      </c>
      <c r="F37" s="51" t="s">
        <v>3500</v>
      </c>
      <c r="G37" s="51" t="s">
        <v>3488</v>
      </c>
      <c r="H37" s="51" t="s">
        <v>3489</v>
      </c>
    </row>
    <row r="38" spans="2:8" ht="30" hidden="1" customHeight="1">
      <c r="B38" s="56" t="s">
        <v>70</v>
      </c>
      <c r="C38" s="56" t="s">
        <v>71</v>
      </c>
      <c r="D38" s="56" t="s">
        <v>3219</v>
      </c>
      <c r="E38" s="56" t="s">
        <v>3220</v>
      </c>
      <c r="F38" s="56" t="s">
        <v>3551</v>
      </c>
      <c r="G38" s="305" t="s">
        <v>3552</v>
      </c>
      <c r="H38" s="305" t="s">
        <v>3553</v>
      </c>
    </row>
    <row r="39" spans="2:8" ht="30" customHeight="1">
      <c r="B39" s="56" t="s">
        <v>70</v>
      </c>
      <c r="C39" s="56" t="s">
        <v>71</v>
      </c>
      <c r="D39" s="56" t="s">
        <v>3209</v>
      </c>
      <c r="E39" s="56" t="s">
        <v>3210</v>
      </c>
      <c r="F39" s="51" t="s">
        <v>3500</v>
      </c>
      <c r="G39" s="51"/>
      <c r="H39" s="55" t="s">
        <v>3489</v>
      </c>
    </row>
    <row r="40" spans="2:8" ht="30" hidden="1" customHeight="1">
      <c r="B40" s="56" t="s">
        <v>73</v>
      </c>
      <c r="C40" s="56" t="s">
        <v>74</v>
      </c>
      <c r="D40" s="56" t="s">
        <v>3275</v>
      </c>
      <c r="E40" s="56" t="s">
        <v>3279</v>
      </c>
      <c r="F40" s="397" t="s">
        <v>3528</v>
      </c>
      <c r="G40" s="397" t="s">
        <v>3529</v>
      </c>
      <c r="H40" s="397" t="s">
        <v>3529</v>
      </c>
    </row>
    <row r="41" spans="2:8" ht="30" hidden="1" customHeight="1">
      <c r="B41" s="56" t="s">
        <v>73</v>
      </c>
      <c r="C41" s="56" t="s">
        <v>74</v>
      </c>
      <c r="D41" s="51" t="s">
        <v>3275</v>
      </c>
      <c r="E41" s="51" t="s">
        <v>3276</v>
      </c>
      <c r="F41" s="55" t="s">
        <v>3554</v>
      </c>
      <c r="G41" s="55" t="s">
        <v>3515</v>
      </c>
      <c r="H41" s="55" t="s">
        <v>3516</v>
      </c>
    </row>
    <row r="42" spans="2:8" ht="30" hidden="1" customHeight="1">
      <c r="B42" s="56" t="s">
        <v>73</v>
      </c>
      <c r="C42" s="56" t="s">
        <v>76</v>
      </c>
      <c r="D42" s="51" t="s">
        <v>3275</v>
      </c>
      <c r="E42" s="51" t="s">
        <v>3279</v>
      </c>
      <c r="F42" s="55" t="s">
        <v>3555</v>
      </c>
      <c r="G42" s="55" t="s">
        <v>3518</v>
      </c>
      <c r="H42" s="51" t="s">
        <v>372</v>
      </c>
    </row>
    <row r="43" spans="2:8" ht="30" hidden="1" customHeight="1">
      <c r="B43" s="56" t="s">
        <v>78</v>
      </c>
      <c r="C43" s="56" t="s">
        <v>79</v>
      </c>
      <c r="D43" s="56" t="s">
        <v>3422</v>
      </c>
      <c r="E43" s="56" t="s">
        <v>3423</v>
      </c>
      <c r="F43" s="56" t="s">
        <v>3556</v>
      </c>
      <c r="G43" s="56" t="s">
        <v>3485</v>
      </c>
      <c r="H43" s="57" t="s">
        <v>3557</v>
      </c>
    </row>
    <row r="44" spans="2:8" ht="30" hidden="1" customHeight="1">
      <c r="B44" s="56" t="s">
        <v>81</v>
      </c>
      <c r="C44" s="56" t="s">
        <v>82</v>
      </c>
      <c r="D44" s="56" t="s">
        <v>3430</v>
      </c>
      <c r="E44" s="56" t="s">
        <v>3431</v>
      </c>
      <c r="F44" s="56" t="s">
        <v>3558</v>
      </c>
      <c r="G44" s="56" t="s">
        <v>372</v>
      </c>
      <c r="H44" s="56" t="s">
        <v>372</v>
      </c>
    </row>
    <row r="45" spans="2:8" ht="30" hidden="1" customHeight="1">
      <c r="B45" s="56" t="s">
        <v>81</v>
      </c>
      <c r="C45" s="56" t="s">
        <v>82</v>
      </c>
      <c r="D45" s="56" t="s">
        <v>3430</v>
      </c>
      <c r="E45" s="56" t="s">
        <v>3439</v>
      </c>
      <c r="F45" s="56" t="s">
        <v>3559</v>
      </c>
      <c r="G45" s="56" t="s">
        <v>372</v>
      </c>
      <c r="H45" s="56" t="s">
        <v>372</v>
      </c>
    </row>
    <row r="46" spans="2:8" ht="30" hidden="1" customHeight="1">
      <c r="B46" s="56" t="s">
        <v>81</v>
      </c>
      <c r="C46" s="56" t="s">
        <v>82</v>
      </c>
      <c r="D46" s="56" t="s">
        <v>3430</v>
      </c>
      <c r="E46" s="56" t="s">
        <v>3446</v>
      </c>
      <c r="F46" s="56" t="s">
        <v>3560</v>
      </c>
      <c r="G46" s="56" t="s">
        <v>372</v>
      </c>
      <c r="H46" s="56" t="s">
        <v>372</v>
      </c>
    </row>
    <row r="47" spans="2:8" ht="30" hidden="1" customHeight="1">
      <c r="B47" s="56" t="s">
        <v>81</v>
      </c>
      <c r="C47" s="56" t="s">
        <v>82</v>
      </c>
      <c r="D47" s="56" t="s">
        <v>3430</v>
      </c>
      <c r="E47" s="56" t="s">
        <v>3454</v>
      </c>
      <c r="F47" s="56" t="s">
        <v>3561</v>
      </c>
      <c r="G47" s="56" t="s">
        <v>372</v>
      </c>
      <c r="H47" s="56" t="s">
        <v>372</v>
      </c>
    </row>
    <row r="48" spans="2:8" ht="30" customHeight="1">
      <c r="B48" s="56" t="s">
        <v>56</v>
      </c>
      <c r="C48" s="56" t="s">
        <v>57</v>
      </c>
      <c r="D48" s="56" t="s">
        <v>3219</v>
      </c>
      <c r="E48" s="56" t="s">
        <v>3220</v>
      </c>
      <c r="F48" s="56" t="s">
        <v>3562</v>
      </c>
      <c r="G48" s="57" t="s">
        <v>3563</v>
      </c>
      <c r="H48" s="57" t="s">
        <v>3564</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1" customWidth="1"/>
    <col min="3" max="3" width="35.42578125" customWidth="1"/>
    <col min="4" max="4" width="40.140625" style="49" customWidth="1"/>
    <col min="5" max="5" width="42.7109375" customWidth="1"/>
  </cols>
  <sheetData>
    <row r="1" spans="2:5" ht="45.75" customHeight="1"/>
    <row r="2" spans="2:5" ht="39.75" customHeight="1">
      <c r="B2" s="97" t="s">
        <v>478</v>
      </c>
      <c r="C2" s="96" t="s">
        <v>3565</v>
      </c>
      <c r="D2" s="96" t="s">
        <v>3566</v>
      </c>
      <c r="E2" s="101" t="s">
        <v>531</v>
      </c>
    </row>
    <row r="3" spans="2:5" ht="39.75" customHeight="1">
      <c r="B3" s="98">
        <v>1</v>
      </c>
      <c r="C3" s="92" t="s">
        <v>3567</v>
      </c>
      <c r="D3" s="94" t="s">
        <v>3568</v>
      </c>
      <c r="E3" s="102"/>
    </row>
    <row r="4" spans="2:5" ht="39.75" customHeight="1">
      <c r="B4" s="98">
        <v>2</v>
      </c>
      <c r="C4" s="92" t="s">
        <v>3569</v>
      </c>
      <c r="D4" s="94" t="s">
        <v>3570</v>
      </c>
      <c r="E4" s="102"/>
    </row>
    <row r="5" spans="2:5" ht="39.75" customHeight="1">
      <c r="B5" s="98">
        <v>3</v>
      </c>
      <c r="C5" s="92" t="s">
        <v>3571</v>
      </c>
      <c r="D5" s="94" t="s">
        <v>3572</v>
      </c>
      <c r="E5" s="102"/>
    </row>
    <row r="6" spans="2:5" ht="39.75" customHeight="1">
      <c r="B6" s="98">
        <v>4</v>
      </c>
      <c r="C6" s="94" t="s">
        <v>3573</v>
      </c>
      <c r="D6" s="94" t="s">
        <v>3574</v>
      </c>
      <c r="E6" s="102"/>
    </row>
    <row r="7" spans="2:5" ht="39.75" customHeight="1">
      <c r="B7" s="99">
        <v>5</v>
      </c>
      <c r="C7" s="94" t="s">
        <v>3575</v>
      </c>
      <c r="D7" s="94" t="s">
        <v>3574</v>
      </c>
      <c r="E7" s="102"/>
    </row>
    <row r="8" spans="2:5" ht="39.75" customHeight="1">
      <c r="B8" s="99">
        <v>6</v>
      </c>
      <c r="C8" s="94" t="s">
        <v>3576</v>
      </c>
      <c r="D8" s="94" t="s">
        <v>3577</v>
      </c>
      <c r="E8" s="210" t="s">
        <v>3578</v>
      </c>
    </row>
    <row r="9" spans="2:5" ht="39.75" customHeight="1">
      <c r="B9" s="99">
        <v>7</v>
      </c>
      <c r="C9" s="92" t="s">
        <v>3579</v>
      </c>
      <c r="D9" s="94" t="s">
        <v>3580</v>
      </c>
      <c r="E9" s="102" t="s">
        <v>3581</v>
      </c>
    </row>
    <row r="10" spans="2:5" ht="39.75" customHeight="1">
      <c r="B10" s="98">
        <v>8</v>
      </c>
      <c r="C10" s="92" t="s">
        <v>3582</v>
      </c>
      <c r="D10" s="94" t="s">
        <v>3583</v>
      </c>
      <c r="E10" s="102"/>
    </row>
    <row r="11" spans="2:5" ht="39.75" customHeight="1">
      <c r="B11" s="99">
        <v>9</v>
      </c>
      <c r="C11" s="92" t="s">
        <v>3584</v>
      </c>
      <c r="D11" s="94" t="s">
        <v>3585</v>
      </c>
      <c r="E11" s="102"/>
    </row>
    <row r="12" spans="2:5" ht="39.75" customHeight="1">
      <c r="B12" s="98">
        <v>10</v>
      </c>
      <c r="C12" s="94" t="s">
        <v>3586</v>
      </c>
      <c r="D12" s="94" t="s">
        <v>3587</v>
      </c>
      <c r="E12" s="102"/>
    </row>
    <row r="13" spans="2:5" ht="39.75" customHeight="1">
      <c r="B13" s="99">
        <v>11</v>
      </c>
      <c r="C13" s="92" t="s">
        <v>3588</v>
      </c>
      <c r="D13" s="94" t="s">
        <v>3589</v>
      </c>
      <c r="E13" s="102"/>
    </row>
    <row r="14" spans="2:5" ht="39.75" customHeight="1">
      <c r="B14" s="99">
        <v>12</v>
      </c>
      <c r="C14" s="92" t="s">
        <v>3590</v>
      </c>
      <c r="D14" s="94" t="s">
        <v>3591</v>
      </c>
      <c r="E14" s="102"/>
    </row>
    <row r="15" spans="2:5" ht="39.75" customHeight="1">
      <c r="B15" s="99">
        <v>13</v>
      </c>
      <c r="C15" s="92" t="s">
        <v>3592</v>
      </c>
      <c r="D15" s="94" t="s">
        <v>3593</v>
      </c>
      <c r="E15" s="102"/>
    </row>
    <row r="16" spans="2:5" ht="39.75" customHeight="1">
      <c r="B16" s="100">
        <v>14</v>
      </c>
      <c r="C16" s="95" t="s">
        <v>3594</v>
      </c>
      <c r="D16" s="94" t="s">
        <v>3595</v>
      </c>
      <c r="E16" s="102"/>
    </row>
    <row r="17" spans="2:5" ht="39.75" customHeight="1">
      <c r="B17" s="99">
        <v>15</v>
      </c>
      <c r="C17" s="92" t="s">
        <v>3596</v>
      </c>
      <c r="D17" s="94" t="s">
        <v>3597</v>
      </c>
      <c r="E17" s="102"/>
    </row>
    <row r="18" spans="2:5" ht="39.75" customHeight="1">
      <c r="B18" s="99">
        <v>16</v>
      </c>
      <c r="C18" s="92" t="s">
        <v>3598</v>
      </c>
      <c r="D18" s="94" t="s">
        <v>3599</v>
      </c>
      <c r="E18" s="102"/>
    </row>
    <row r="19" spans="2:5" ht="39.75" customHeight="1">
      <c r="B19" s="99">
        <v>17</v>
      </c>
      <c r="C19" s="92" t="s">
        <v>3600</v>
      </c>
      <c r="D19" s="94" t="s">
        <v>3601</v>
      </c>
      <c r="E19" s="102"/>
    </row>
    <row r="20" spans="2:5" ht="39.75" customHeight="1">
      <c r="B20" s="100">
        <v>18</v>
      </c>
      <c r="C20" s="95" t="s">
        <v>3602</v>
      </c>
      <c r="D20" s="93" t="s">
        <v>3603</v>
      </c>
      <c r="E20" s="103"/>
    </row>
    <row r="21" spans="2:5" ht="39.75" customHeight="1">
      <c r="B21" s="100">
        <v>19</v>
      </c>
      <c r="C21" s="95" t="s">
        <v>3604</v>
      </c>
      <c r="D21" s="93" t="s">
        <v>3605</v>
      </c>
      <c r="E21" s="103" t="s">
        <v>3606</v>
      </c>
    </row>
    <row r="22" spans="2:5" ht="39.75" customHeight="1">
      <c r="B22" s="99">
        <v>20</v>
      </c>
      <c r="C22" s="92" t="s">
        <v>3607</v>
      </c>
      <c r="D22" s="94" t="s">
        <v>3608</v>
      </c>
      <c r="E22" s="102" t="s">
        <v>3609</v>
      </c>
    </row>
    <row r="23" spans="2:5" ht="39.75" customHeight="1">
      <c r="B23" s="100">
        <v>21</v>
      </c>
      <c r="C23" s="95" t="s">
        <v>3610</v>
      </c>
      <c r="D23" s="93" t="s">
        <v>3611</v>
      </c>
      <c r="E23" s="103" t="s">
        <v>3612</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1" t="s">
        <v>3613</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c r="B3" s="50" t="s">
        <v>3567</v>
      </c>
      <c r="C3" s="50">
        <v>1</v>
      </c>
      <c r="D3" s="50" t="s">
        <v>3620</v>
      </c>
      <c r="E3" s="111">
        <v>45439</v>
      </c>
      <c r="F3" s="50">
        <v>2</v>
      </c>
      <c r="G3" s="225">
        <v>1</v>
      </c>
      <c r="H3" s="50">
        <v>21676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row>
    <row r="4" spans="2:28">
      <c r="B4" s="50" t="s">
        <v>3569</v>
      </c>
      <c r="C4" s="50">
        <v>2</v>
      </c>
      <c r="D4" s="50" t="s">
        <v>3622</v>
      </c>
      <c r="E4" s="111">
        <v>45439</v>
      </c>
      <c r="F4" s="50">
        <v>2</v>
      </c>
      <c r="G4" s="225">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row>
    <row r="5" spans="2:28">
      <c r="B5" s="50" t="s">
        <v>3571</v>
      </c>
      <c r="C5" s="50">
        <v>3</v>
      </c>
      <c r="D5" s="50" t="s">
        <v>3623</v>
      </c>
      <c r="E5" s="111">
        <v>45439</v>
      </c>
      <c r="F5" s="50">
        <v>2</v>
      </c>
      <c r="G5" s="225">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v>0</v>
      </c>
      <c r="AB5" s="50" t="s">
        <v>3621</v>
      </c>
    </row>
    <row r="6" spans="2:28">
      <c r="B6" s="113" t="s">
        <v>3573</v>
      </c>
      <c r="C6" s="50">
        <v>4</v>
      </c>
      <c r="D6" s="50" t="s">
        <v>3624</v>
      </c>
      <c r="E6" s="111" t="s">
        <v>3621</v>
      </c>
      <c r="F6" s="50">
        <v>2</v>
      </c>
      <c r="G6" s="225"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row>
    <row r="7" spans="2:28">
      <c r="B7" s="50" t="s">
        <v>3575</v>
      </c>
      <c r="C7" s="50">
        <v>5</v>
      </c>
      <c r="D7" s="50" t="s">
        <v>3624</v>
      </c>
      <c r="E7" s="111" t="s">
        <v>3621</v>
      </c>
      <c r="F7" s="50">
        <v>2</v>
      </c>
      <c r="G7" s="225"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row>
    <row r="8" spans="2:28">
      <c r="B8" s="50" t="s">
        <v>3576</v>
      </c>
      <c r="C8" s="50">
        <v>6</v>
      </c>
      <c r="D8" s="50" t="s">
        <v>3625</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3579</v>
      </c>
      <c r="C9" s="50">
        <v>7</v>
      </c>
      <c r="D9" s="50" t="s">
        <v>3626</v>
      </c>
      <c r="E9" s="111">
        <v>45439</v>
      </c>
      <c r="F9" s="50">
        <v>2</v>
      </c>
      <c r="G9" s="225"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3" t="s">
        <v>3582</v>
      </c>
      <c r="C10" s="50">
        <v>8</v>
      </c>
      <c r="D10" s="50" t="s">
        <v>3627</v>
      </c>
      <c r="E10" s="111">
        <v>45439</v>
      </c>
      <c r="F10" s="50">
        <v>2</v>
      </c>
      <c r="G10" s="225" t="s">
        <v>3621</v>
      </c>
      <c r="H10" s="50">
        <v>0</v>
      </c>
      <c r="I10" s="50">
        <v>31</v>
      </c>
      <c r="J10" s="50">
        <v>3.11009553029E+26</v>
      </c>
      <c r="K10" s="50" t="s">
        <v>3628</v>
      </c>
      <c r="L10" s="50">
        <v>29</v>
      </c>
      <c r="M10" s="50">
        <v>2</v>
      </c>
      <c r="N10" s="50">
        <v>31</v>
      </c>
      <c r="O10" s="111">
        <v>2.4340000999999999E+22</v>
      </c>
      <c r="P10" s="111">
        <v>21939</v>
      </c>
      <c r="Q10" s="114" t="s">
        <v>3629</v>
      </c>
      <c r="R10" s="50">
        <v>978</v>
      </c>
      <c r="S10" s="111">
        <v>0</v>
      </c>
      <c r="T10" s="111" t="s">
        <v>3630</v>
      </c>
      <c r="U10" s="50" t="s">
        <v>3630</v>
      </c>
      <c r="V10" s="114">
        <v>-754910000</v>
      </c>
      <c r="W10" s="114" t="s">
        <v>3630</v>
      </c>
      <c r="X10" s="50" t="s">
        <v>3631</v>
      </c>
      <c r="Y10" s="50" t="s">
        <v>3632</v>
      </c>
      <c r="Z10" s="114" t="s">
        <v>3633</v>
      </c>
      <c r="AA10" s="111">
        <v>45438</v>
      </c>
      <c r="AB10" s="111" t="s">
        <v>3634</v>
      </c>
    </row>
    <row r="11" spans="2:28">
      <c r="B11" s="50" t="s">
        <v>3584</v>
      </c>
      <c r="C11" s="50">
        <v>9</v>
      </c>
      <c r="D11" s="50" t="s">
        <v>3635</v>
      </c>
      <c r="E11" s="111">
        <v>45439</v>
      </c>
      <c r="F11" s="50">
        <v>2</v>
      </c>
      <c r="G11" s="225" t="s">
        <v>3621</v>
      </c>
      <c r="H11" s="50">
        <v>0</v>
      </c>
      <c r="I11" s="50">
        <v>31</v>
      </c>
      <c r="J11" s="50">
        <v>2.6552000000265499E+19</v>
      </c>
      <c r="K11" s="50"/>
      <c r="L11" s="50">
        <v>0</v>
      </c>
      <c r="M11" s="50">
        <v>0</v>
      </c>
      <c r="N11" s="50"/>
      <c r="O11" s="111" t="e">
        <v>#N/A</v>
      </c>
      <c r="P11" s="111" t="s">
        <v>3629</v>
      </c>
      <c r="Q11" s="50" t="s">
        <v>3629</v>
      </c>
      <c r="R11" s="50">
        <v>36</v>
      </c>
      <c r="S11" s="111">
        <v>0</v>
      </c>
      <c r="T11" s="111" t="s">
        <v>3630</v>
      </c>
      <c r="U11" s="50" t="s">
        <v>3630</v>
      </c>
      <c r="V11" s="114">
        <v>-509358085210000</v>
      </c>
      <c r="W11" s="114" t="s">
        <v>3630</v>
      </c>
      <c r="X11" s="50">
        <v>0</v>
      </c>
      <c r="Y11" s="50" t="s">
        <v>3636</v>
      </c>
      <c r="Z11" s="114" t="s">
        <v>3633</v>
      </c>
      <c r="AA11" s="111">
        <v>44135</v>
      </c>
      <c r="AB11" s="111" t="s">
        <v>3637</v>
      </c>
    </row>
    <row r="12" spans="2:28">
      <c r="B12" s="50" t="s">
        <v>3586</v>
      </c>
      <c r="C12" s="50">
        <v>10</v>
      </c>
      <c r="D12" s="50" t="s">
        <v>3638</v>
      </c>
      <c r="E12" s="111">
        <v>45439</v>
      </c>
      <c r="F12" s="50">
        <v>2</v>
      </c>
      <c r="G12" s="225" t="s">
        <v>3621</v>
      </c>
      <c r="H12" s="50">
        <v>0</v>
      </c>
      <c r="I12" s="50">
        <v>31</v>
      </c>
      <c r="J12" s="50">
        <v>962304890438110</v>
      </c>
      <c r="K12" s="50" t="s">
        <v>3628</v>
      </c>
      <c r="L12" s="50">
        <v>48</v>
      </c>
      <c r="M12" s="50">
        <v>213</v>
      </c>
      <c r="N12" s="50">
        <v>31</v>
      </c>
      <c r="O12" s="209">
        <v>2.3960180788801999E+29</v>
      </c>
      <c r="P12" s="111">
        <v>45447</v>
      </c>
      <c r="Q12" s="111">
        <v>2958465</v>
      </c>
      <c r="R12" s="50" t="s">
        <v>3639</v>
      </c>
      <c r="S12" s="111">
        <v>1</v>
      </c>
      <c r="T12" s="209">
        <v>58769262340000</v>
      </c>
      <c r="U12" s="114">
        <v>58769262340000</v>
      </c>
      <c r="V12" s="114">
        <v>774352080000</v>
      </c>
      <c r="W12" s="114">
        <v>325186000000</v>
      </c>
      <c r="X12" s="114" t="s">
        <v>3640</v>
      </c>
      <c r="Y12" s="114" t="s">
        <v>3632</v>
      </c>
      <c r="Z12" s="114" t="s">
        <v>3641</v>
      </c>
      <c r="AA12" s="111">
        <v>45450</v>
      </c>
      <c r="AB12" s="111" t="s">
        <v>3634</v>
      </c>
    </row>
    <row r="13" spans="2:28">
      <c r="B13" s="50" t="s">
        <v>3588</v>
      </c>
      <c r="C13" s="50">
        <v>11</v>
      </c>
      <c r="D13" s="50" t="s">
        <v>3642</v>
      </c>
      <c r="E13" s="111">
        <v>45439</v>
      </c>
      <c r="F13" s="50">
        <v>2</v>
      </c>
      <c r="G13" s="225" t="s">
        <v>3621</v>
      </c>
      <c r="H13" s="50">
        <v>0</v>
      </c>
      <c r="I13" s="50">
        <v>31</v>
      </c>
      <c r="J13" s="50">
        <v>962304890438110</v>
      </c>
      <c r="K13" s="50"/>
      <c r="L13" s="50" t="s">
        <v>3643</v>
      </c>
      <c r="M13" s="50" t="s">
        <v>3644</v>
      </c>
      <c r="N13" s="50" t="e">
        <v>#N/A</v>
      </c>
      <c r="O13" s="209">
        <v>2.3970105815901999E+29</v>
      </c>
      <c r="P13" s="111">
        <v>2958465</v>
      </c>
      <c r="Q13" s="111">
        <v>2958465</v>
      </c>
      <c r="R13" s="50" t="s">
        <v>3645</v>
      </c>
      <c r="S13" s="111">
        <v>1</v>
      </c>
      <c r="T13" s="209">
        <v>58769262340000</v>
      </c>
      <c r="U13" s="114">
        <v>58769262340000</v>
      </c>
      <c r="V13" s="114">
        <v>2072551670000000</v>
      </c>
      <c r="W13" s="114">
        <v>14286165090000</v>
      </c>
      <c r="X13" s="114" t="s">
        <v>3646</v>
      </c>
      <c r="Y13" s="114" t="s">
        <v>3647</v>
      </c>
      <c r="Z13" s="114" t="s">
        <v>3641</v>
      </c>
      <c r="AA13" s="111">
        <v>45520</v>
      </c>
      <c r="AB13" s="111" t="s">
        <v>3648</v>
      </c>
    </row>
    <row r="14" spans="2:28">
      <c r="B14" s="50" t="s">
        <v>3590</v>
      </c>
      <c r="C14" s="50">
        <v>12</v>
      </c>
      <c r="D14" s="50" t="s">
        <v>3649</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3592</v>
      </c>
      <c r="C15" s="50">
        <v>13</v>
      </c>
      <c r="D15" s="50" t="s">
        <v>3650</v>
      </c>
      <c r="E15" s="111">
        <v>45439</v>
      </c>
      <c r="F15" s="50">
        <v>2</v>
      </c>
      <c r="G15" s="225">
        <v>1</v>
      </c>
      <c r="H15" s="50">
        <v>0</v>
      </c>
      <c r="I15" s="50" t="s">
        <v>3621</v>
      </c>
      <c r="J15" s="50" t="s">
        <v>3621</v>
      </c>
      <c r="K15" s="50" t="s">
        <v>3621</v>
      </c>
      <c r="L15" s="50" t="s">
        <v>3621</v>
      </c>
      <c r="M15" s="50" t="s">
        <v>3621</v>
      </c>
      <c r="N15" s="50" t="s">
        <v>3621</v>
      </c>
      <c r="O15" s="113" t="s">
        <v>3621</v>
      </c>
      <c r="P15" s="113">
        <v>0</v>
      </c>
      <c r="Q15" s="113">
        <v>0</v>
      </c>
      <c r="R15" s="50" t="s">
        <v>3621</v>
      </c>
      <c r="S15" s="50" t="s">
        <v>3621</v>
      </c>
      <c r="T15" s="113" t="s">
        <v>3621</v>
      </c>
      <c r="U15" s="50" t="s">
        <v>3621</v>
      </c>
      <c r="V15" s="50" t="s">
        <v>3621</v>
      </c>
      <c r="W15" s="50" t="s">
        <v>3621</v>
      </c>
      <c r="X15" s="50" t="s">
        <v>3621</v>
      </c>
      <c r="Y15" s="50" t="s">
        <v>3621</v>
      </c>
      <c r="Z15" s="50" t="s">
        <v>3621</v>
      </c>
      <c r="AA15" s="50" t="s">
        <v>3621</v>
      </c>
      <c r="AB15" s="50" t="s">
        <v>3621</v>
      </c>
    </row>
    <row r="16" spans="2:28">
      <c r="B16" s="50" t="s">
        <v>3594</v>
      </c>
      <c r="C16" s="50">
        <v>14</v>
      </c>
      <c r="D16" s="50" t="s">
        <v>3651</v>
      </c>
      <c r="E16" s="111">
        <v>45439</v>
      </c>
      <c r="F16" s="50">
        <v>2</v>
      </c>
      <c r="G16" s="225">
        <v>1</v>
      </c>
      <c r="H16" s="50">
        <v>0</v>
      </c>
      <c r="I16" s="50">
        <v>0</v>
      </c>
      <c r="J16" s="50">
        <v>0</v>
      </c>
      <c r="K16" s="50">
        <v>0</v>
      </c>
      <c r="L16" s="50">
        <v>0</v>
      </c>
      <c r="M16" s="50">
        <v>0</v>
      </c>
      <c r="N16" s="50" t="s">
        <v>3621</v>
      </c>
      <c r="O16" s="50" t="s">
        <v>3621</v>
      </c>
      <c r="P16" s="50" t="s">
        <v>3621</v>
      </c>
      <c r="Q16" s="50" t="s">
        <v>3621</v>
      </c>
      <c r="R16" s="50">
        <v>0</v>
      </c>
      <c r="S16" s="113" t="s">
        <v>3621</v>
      </c>
      <c r="T16" s="50" t="s">
        <v>3621</v>
      </c>
      <c r="U16" s="50" t="s">
        <v>3621</v>
      </c>
      <c r="V16" s="50" t="s">
        <v>3621</v>
      </c>
      <c r="W16" s="50" t="s">
        <v>3621</v>
      </c>
      <c r="X16" s="50">
        <v>0</v>
      </c>
      <c r="Y16" s="50">
        <v>0</v>
      </c>
      <c r="Z16" s="50">
        <v>0</v>
      </c>
      <c r="AA16" s="50" t="s">
        <v>3621</v>
      </c>
      <c r="AB16" s="50" t="s">
        <v>3621</v>
      </c>
    </row>
    <row r="17" spans="2:30">
      <c r="B17" s="50" t="s">
        <v>3596</v>
      </c>
      <c r="C17" s="50">
        <v>15</v>
      </c>
      <c r="D17" s="50" t="s">
        <v>3652</v>
      </c>
      <c r="E17" s="111">
        <v>45439</v>
      </c>
      <c r="F17" s="50">
        <v>2</v>
      </c>
      <c r="G17" s="225">
        <v>1</v>
      </c>
      <c r="H17" s="50">
        <v>0</v>
      </c>
      <c r="I17" s="50" t="s">
        <v>3621</v>
      </c>
      <c r="J17" s="50" t="s">
        <v>3621</v>
      </c>
      <c r="K17" s="50" t="s">
        <v>3621</v>
      </c>
      <c r="L17" s="50" t="s">
        <v>3621</v>
      </c>
      <c r="M17" s="50" t="s">
        <v>3621</v>
      </c>
      <c r="N17" s="50" t="s">
        <v>3621</v>
      </c>
      <c r="O17" s="50" t="s">
        <v>3621</v>
      </c>
      <c r="P17" s="50" t="s">
        <v>3621</v>
      </c>
      <c r="Q17" s="50" t="s">
        <v>3621</v>
      </c>
      <c r="R17" s="50" t="s">
        <v>3621</v>
      </c>
      <c r="S17" s="113" t="s">
        <v>3621</v>
      </c>
      <c r="T17" s="50" t="s">
        <v>3621</v>
      </c>
      <c r="U17" s="50" t="s">
        <v>3621</v>
      </c>
      <c r="V17" s="50" t="s">
        <v>3621</v>
      </c>
      <c r="W17" s="50" t="s">
        <v>3621</v>
      </c>
      <c r="X17" s="50" t="s">
        <v>3621</v>
      </c>
      <c r="Y17" s="50" t="s">
        <v>3621</v>
      </c>
      <c r="Z17" s="50" t="s">
        <v>3621</v>
      </c>
      <c r="AA17" s="50" t="s">
        <v>3621</v>
      </c>
      <c r="AB17" s="50" t="s">
        <v>3621</v>
      </c>
    </row>
    <row r="18" spans="2:30">
      <c r="B18" s="50" t="s">
        <v>3598</v>
      </c>
      <c r="C18" s="50">
        <v>16</v>
      </c>
      <c r="D18" s="50" t="s">
        <v>3652</v>
      </c>
      <c r="E18" s="111">
        <v>45439</v>
      </c>
      <c r="F18" s="50">
        <v>2</v>
      </c>
      <c r="G18" s="225">
        <v>1</v>
      </c>
      <c r="H18" s="229">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row>
    <row r="19" spans="2:30">
      <c r="B19" s="50" t="s">
        <v>3600</v>
      </c>
      <c r="C19" s="50">
        <v>17</v>
      </c>
      <c r="D19" s="50" t="s">
        <v>3653</v>
      </c>
      <c r="E19" s="111">
        <v>45439</v>
      </c>
      <c r="F19" s="50">
        <v>2</v>
      </c>
      <c r="G19" s="225">
        <v>0.99</v>
      </c>
      <c r="H19" s="50">
        <v>215</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row>
    <row r="20" spans="2:30">
      <c r="B20" s="50" t="s">
        <v>3602</v>
      </c>
      <c r="C20" s="50">
        <v>18</v>
      </c>
      <c r="D20" s="50" t="s">
        <v>3653</v>
      </c>
      <c r="E20" s="111">
        <v>45439</v>
      </c>
      <c r="F20" s="50">
        <v>2</v>
      </c>
      <c r="G20" s="225">
        <v>1</v>
      </c>
      <c r="H20" s="50">
        <v>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row>
    <row r="21" spans="2:30">
      <c r="B21" s="50" t="s">
        <v>3604</v>
      </c>
      <c r="C21" s="50">
        <v>19</v>
      </c>
      <c r="D21" s="50" t="s">
        <v>3654</v>
      </c>
      <c r="E21" s="111">
        <v>45439</v>
      </c>
      <c r="F21" s="50">
        <v>2</v>
      </c>
      <c r="G21" s="225" cm="1">
        <f t="array" aca="1" ref="G21" ca="1">SUMPRODUCT(--(ISNUMBER((SEARCH(I26:AB26,I21:AB21)))))/COUNTA(I21:AB21)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3655</v>
      </c>
      <c r="Y21" s="50" t="s">
        <v>3655</v>
      </c>
      <c r="Z21" s="50" t="s">
        <v>3655</v>
      </c>
      <c r="AA21" s="50" t="s">
        <v>3655</v>
      </c>
      <c r="AB21" s="50" t="s">
        <v>3657</v>
      </c>
    </row>
    <row r="22" spans="2:30">
      <c r="B22" s="113" t="s">
        <v>3607</v>
      </c>
      <c r="C22" s="50">
        <v>20</v>
      </c>
      <c r="D22" s="50" t="s">
        <v>3654</v>
      </c>
      <c r="E22" s="111">
        <v>45439</v>
      </c>
      <c r="F22" s="50">
        <v>2</v>
      </c>
      <c r="G22" s="225" cm="1">
        <f t="array" ref="G22">SUM(IF(I2:AB2 = I25:AB25, 1, 0))/ COUNTA(I2:AB2)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row>
    <row r="23" spans="2:30">
      <c r="B23" s="50" t="s">
        <v>3610</v>
      </c>
      <c r="C23" s="50">
        <v>21</v>
      </c>
      <c r="D23" s="50" t="s">
        <v>3654</v>
      </c>
      <c r="E23" s="111">
        <v>45439</v>
      </c>
      <c r="F23" s="50">
        <v>2</v>
      </c>
      <c r="G23" s="225" cm="1">
        <f t="array" aca="1" ref="G23" ca="1">SUM(IF(IF(G3:G22="null",1,G3:G22)=1,1,0))/COUNT(IF(G3:G22="null",1,1))</f>
        <v>0.9</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row>
    <row r="24" spans="2:30">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9" t="s">
        <v>3613</v>
      </c>
      <c r="C25" s="145" t="s">
        <v>3614</v>
      </c>
      <c r="D25" s="145" t="s">
        <v>3615</v>
      </c>
      <c r="E25" s="145" t="s">
        <v>3616</v>
      </c>
      <c r="F25" s="145" t="s">
        <v>3617</v>
      </c>
      <c r="G25" s="145" t="s">
        <v>3618</v>
      </c>
      <c r="H25" s="145" t="s">
        <v>3619</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c r="B26" s="123" t="s">
        <v>3658</v>
      </c>
      <c r="C26" s="126">
        <v>21</v>
      </c>
      <c r="D26" s="120" t="s">
        <v>3659</v>
      </c>
      <c r="E26" s="119" t="s">
        <v>3660</v>
      </c>
      <c r="F26" s="119" t="s">
        <v>372</v>
      </c>
      <c r="G26" s="119" t="s">
        <v>372</v>
      </c>
      <c r="H26" s="119" t="s">
        <v>372</v>
      </c>
      <c r="I26" s="119" t="str" cm="1">
        <f t="array" aca="1" ref="I26:AB27" ca="1">TRANSPOSE(_xlfn.SORTBY(_xlfn._xlws.FILTER(IF(Table3[FORMATO]:Table3[COMP_ CAMPO]&lt;&gt;"",Table3[FORMATO]:Table3[COMP_ CAMPO],9999999),Table3[NOME FÍSICO TABELA]="bank_guarantee"), _xlfn._xlws.FILTER(Table3[ORDEM], Table3[NOME FÍSICO TABELA]="bank_guarantee"), 1))</f>
        <v>STRING</v>
      </c>
      <c r="J26" s="119" t="str">
        <f ca="1"/>
        <v>STRING</v>
      </c>
      <c r="K26" s="119" t="str">
        <f ca="1"/>
        <v>STRING</v>
      </c>
      <c r="L26" s="119" t="str">
        <f ca="1"/>
        <v>STRING</v>
      </c>
      <c r="M26" s="119" t="str">
        <f ca="1"/>
        <v>STRING</v>
      </c>
      <c r="N26" s="119" t="str">
        <f ca="1"/>
        <v>STRING</v>
      </c>
      <c r="O26" s="119" t="str">
        <f ca="1"/>
        <v>STRING</v>
      </c>
      <c r="P26" s="119" t="str">
        <f ca="1"/>
        <v>STRING</v>
      </c>
      <c r="Q26" s="119" t="str">
        <f ca="1"/>
        <v>STRING</v>
      </c>
      <c r="R26" s="119" t="str">
        <f ca="1"/>
        <v>STRING</v>
      </c>
      <c r="S26" s="119" t="str">
        <f ca="1"/>
        <v>STRING</v>
      </c>
      <c r="T26" s="119" t="str">
        <f ca="1"/>
        <v>DECIMAL</v>
      </c>
      <c r="U26" s="119" t="str">
        <f ca="1"/>
        <v>DECIMAL</v>
      </c>
      <c r="V26" s="119" t="str">
        <f ca="1"/>
        <v>DECIMAL</v>
      </c>
      <c r="W26" s="119" t="str">
        <f ca="1"/>
        <v>DECIMAL</v>
      </c>
      <c r="X26" s="119" t="str">
        <f ca="1"/>
        <v>STRING</v>
      </c>
      <c r="Y26" s="119" t="str">
        <f ca="1"/>
        <v>STRING</v>
      </c>
      <c r="Z26" s="119" t="str">
        <f ca="1"/>
        <v>STRING</v>
      </c>
      <c r="AA26" s="119" t="str">
        <f ca="1"/>
        <v>STRING</v>
      </c>
      <c r="AB26" s="119" t="str">
        <f ca="1"/>
        <v>TIMESTAMP</v>
      </c>
      <c r="AC26" s="223"/>
    </row>
    <row r="27" spans="2:30">
      <c r="B27" s="123" t="s">
        <v>3661</v>
      </c>
      <c r="C27" s="126">
        <v>7</v>
      </c>
      <c r="D27" s="120" t="s">
        <v>3659</v>
      </c>
      <c r="E27" s="119" t="s">
        <v>3660</v>
      </c>
      <c r="F27" s="121" t="s">
        <v>372</v>
      </c>
      <c r="G27" s="121" t="s">
        <v>372</v>
      </c>
      <c r="H27" s="121" t="s">
        <v>372</v>
      </c>
      <c r="I27" s="167">
        <f ca="1"/>
        <v>4</v>
      </c>
      <c r="J27" s="167">
        <f ca="1"/>
        <v>30</v>
      </c>
      <c r="K27" s="167">
        <f ca="1"/>
        <v>4</v>
      </c>
      <c r="L27" s="167">
        <f ca="1"/>
        <v>4</v>
      </c>
      <c r="M27" s="167">
        <f ca="1"/>
        <v>4</v>
      </c>
      <c r="N27" s="167">
        <f ca="1"/>
        <v>4</v>
      </c>
      <c r="O27" s="167">
        <f ca="1"/>
        <v>30</v>
      </c>
      <c r="P27" s="167">
        <f ca="1"/>
        <v>10</v>
      </c>
      <c r="Q27" s="167">
        <f ca="1"/>
        <v>10</v>
      </c>
      <c r="R27" s="167">
        <f ca="1"/>
        <v>4</v>
      </c>
      <c r="S27" s="167">
        <f ca="1"/>
        <v>4</v>
      </c>
      <c r="T27" s="167">
        <f ca="1"/>
        <v>23</v>
      </c>
      <c r="U27" s="167">
        <f ca="1"/>
        <v>23</v>
      </c>
      <c r="V27" s="167">
        <f ca="1"/>
        <v>23</v>
      </c>
      <c r="W27" s="167">
        <f ca="1"/>
        <v>23</v>
      </c>
      <c r="X27" s="167">
        <f ca="1"/>
        <v>4</v>
      </c>
      <c r="Y27" s="167">
        <f ca="1"/>
        <v>4</v>
      </c>
      <c r="Z27" s="167">
        <f ca="1"/>
        <v>2</v>
      </c>
      <c r="AA27" s="167">
        <f ca="1"/>
        <v>10</v>
      </c>
      <c r="AB27" s="167">
        <f ca="1"/>
        <v>23</v>
      </c>
      <c r="AC27" s="224"/>
      <c r="AD27" s="109"/>
    </row>
    <row r="29" spans="2:30">
      <c r="B29" s="156" t="s">
        <v>3662</v>
      </c>
    </row>
    <row r="30" spans="2:30">
      <c r="B30" s="150" t="s">
        <v>3663</v>
      </c>
      <c r="C30" s="150" t="s">
        <v>3664</v>
      </c>
      <c r="D30" s="151" t="s">
        <v>3665</v>
      </c>
      <c r="E30" s="150" t="s">
        <v>3666</v>
      </c>
      <c r="F30" s="150" t="s">
        <v>3667</v>
      </c>
    </row>
    <row r="31" spans="2:30" ht="87">
      <c r="B31" s="153" t="s">
        <v>3668</v>
      </c>
      <c r="C31" s="154" t="s">
        <v>188</v>
      </c>
      <c r="D31" s="155" t="s">
        <v>3669</v>
      </c>
      <c r="E31" s="113" t="s">
        <v>3670</v>
      </c>
      <c r="F31" s="205" t="s">
        <v>3671</v>
      </c>
    </row>
    <row r="32" spans="2:30" ht="29.1">
      <c r="B32" s="127" t="s">
        <v>3668</v>
      </c>
      <c r="C32" s="131" t="s">
        <v>177</v>
      </c>
      <c r="D32" s="281" t="s">
        <v>3672</v>
      </c>
      <c r="E32" s="169" t="s">
        <v>3673</v>
      </c>
      <c r="F32" s="152" t="s">
        <v>3674</v>
      </c>
    </row>
    <row r="33" spans="2:6" ht="29.1">
      <c r="B33" s="127" t="s">
        <v>3668</v>
      </c>
      <c r="C33" s="131" t="s">
        <v>305</v>
      </c>
      <c r="D33" s="281" t="s">
        <v>3675</v>
      </c>
      <c r="E33" s="169" t="s">
        <v>3676</v>
      </c>
      <c r="F33" s="152" t="s">
        <v>3677</v>
      </c>
    </row>
    <row r="34" spans="2:6" ht="29.1">
      <c r="B34" s="153" t="s">
        <v>3678</v>
      </c>
      <c r="C34" s="154" t="s">
        <v>3679</v>
      </c>
      <c r="D34" s="155" t="s">
        <v>3680</v>
      </c>
      <c r="E34" s="113" t="s">
        <v>3681</v>
      </c>
      <c r="F34" s="214" t="s">
        <v>3677</v>
      </c>
    </row>
    <row r="35" spans="2:6" ht="29.1">
      <c r="B35" s="153" t="s">
        <v>3678</v>
      </c>
      <c r="C35" s="154" t="s">
        <v>3679</v>
      </c>
      <c r="D35" s="155" t="s">
        <v>3680</v>
      </c>
      <c r="E35" s="169" t="s">
        <v>3682</v>
      </c>
      <c r="F35" s="214" t="s">
        <v>3677</v>
      </c>
    </row>
    <row r="36" spans="2:6" ht="29.1">
      <c r="B36" s="194" t="s">
        <v>3683</v>
      </c>
      <c r="C36" s="195" t="s">
        <v>3679</v>
      </c>
      <c r="D36" s="57" t="s">
        <v>3684</v>
      </c>
      <c r="E36" s="113" t="s">
        <v>3685</v>
      </c>
      <c r="F36" s="214"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1" t="s">
        <v>3686</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3687</v>
      </c>
      <c r="W2" s="91" t="s">
        <v>3688</v>
      </c>
      <c r="X2" s="91" t="s">
        <v>649</v>
      </c>
      <c r="Y2" s="91" t="s">
        <v>272</v>
      </c>
      <c r="Z2" s="91" t="s">
        <v>283</v>
      </c>
      <c r="AA2" s="91" t="s">
        <v>3689</v>
      </c>
      <c r="AB2" s="91" t="s">
        <v>3690</v>
      </c>
      <c r="AC2" s="91" t="s">
        <v>3691</v>
      </c>
      <c r="AD2" s="91" t="s">
        <v>3692</v>
      </c>
      <c r="AE2" s="91" t="s">
        <v>745</v>
      </c>
      <c r="AF2" s="91" t="s">
        <v>756</v>
      </c>
      <c r="AG2" s="91" t="s">
        <v>766</v>
      </c>
      <c r="AH2" s="91" t="s">
        <v>776</v>
      </c>
      <c r="AI2" s="91" t="s">
        <v>785</v>
      </c>
      <c r="AJ2" s="91" t="s">
        <v>294</v>
      </c>
      <c r="AK2" s="91" t="s">
        <v>305</v>
      </c>
      <c r="AL2" s="91" t="s">
        <v>318</v>
      </c>
      <c r="AM2" s="91" t="s">
        <v>327</v>
      </c>
      <c r="AN2" s="91" t="s">
        <v>334</v>
      </c>
    </row>
    <row r="3" spans="2:40" s="109" customFormat="1">
      <c r="B3" s="50" t="s">
        <v>3567</v>
      </c>
      <c r="C3" s="50">
        <v>1</v>
      </c>
      <c r="D3" s="50" t="s">
        <v>3693</v>
      </c>
      <c r="E3" s="111">
        <v>45422</v>
      </c>
      <c r="F3" s="50">
        <v>1</v>
      </c>
      <c r="G3" s="114">
        <v>1</v>
      </c>
      <c r="H3" s="114">
        <v>3529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s="109" customFormat="1">
      <c r="B4" s="50" t="s">
        <v>3569</v>
      </c>
      <c r="C4" s="50">
        <v>2</v>
      </c>
      <c r="D4" s="50" t="s">
        <v>3694</v>
      </c>
      <c r="E4" s="111">
        <v>45422</v>
      </c>
      <c r="F4" s="50">
        <v>1</v>
      </c>
      <c r="G4" s="114">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s="109" customFormat="1">
      <c r="B5" s="50" t="s">
        <v>3571</v>
      </c>
      <c r="C5" s="50">
        <v>3</v>
      </c>
      <c r="D5" s="50" t="s">
        <v>3695</v>
      </c>
      <c r="E5" s="111">
        <v>45422</v>
      </c>
      <c r="F5" s="50">
        <v>1</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s="109" customFormat="1">
      <c r="B6" s="113" t="s">
        <v>3573</v>
      </c>
      <c r="C6" s="50">
        <v>4</v>
      </c>
      <c r="D6" s="50" t="s">
        <v>3624</v>
      </c>
      <c r="E6" s="111" t="s">
        <v>3621</v>
      </c>
      <c r="F6" s="50">
        <v>1</v>
      </c>
      <c r="G6" s="111" t="s">
        <v>3621</v>
      </c>
      <c r="H6" s="50" t="s">
        <v>3630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s="109" customFormat="1">
      <c r="B7" s="50" t="s">
        <v>3575</v>
      </c>
      <c r="C7" s="50">
        <v>5</v>
      </c>
      <c r="D7" s="50" t="s">
        <v>3624</v>
      </c>
      <c r="E7" s="111" t="s">
        <v>3621</v>
      </c>
      <c r="F7" s="50">
        <v>1</v>
      </c>
      <c r="G7" s="111" t="s">
        <v>3621</v>
      </c>
      <c r="H7" s="50" t="s">
        <v>3630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s="109" customFormat="1">
      <c r="B8" s="50" t="s">
        <v>3576</v>
      </c>
      <c r="C8" s="50">
        <v>6</v>
      </c>
      <c r="D8" s="50" t="s">
        <v>3696</v>
      </c>
      <c r="E8" s="111">
        <v>45422</v>
      </c>
      <c r="F8" s="50">
        <v>1</v>
      </c>
      <c r="G8" s="50" cm="1">
        <f t="array" ref="G8">SUMPRODUCT(--(I8:AN8&gt;0))/COUNTA(I8:AN8)</f>
        <v>1</v>
      </c>
      <c r="H8" s="50" t="s">
        <v>3630</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c r="B9" s="50" t="s">
        <v>3579</v>
      </c>
      <c r="C9" s="50">
        <v>7</v>
      </c>
      <c r="D9" s="50" t="s">
        <v>3697</v>
      </c>
      <c r="E9" s="111">
        <v>45422</v>
      </c>
      <c r="F9" s="50">
        <v>1</v>
      </c>
      <c r="G9" s="50" cm="1">
        <f t="array" aca="1" ref="G9" ca="1">SUMPRODUCT(--(H9:AN9 &lt;= H28:AN28))/COUNTA(H28:AN28)</f>
        <v>0.81818181818181823</v>
      </c>
      <c r="H9" s="50" t="s">
        <v>3630</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c r="B10" s="113" t="s">
        <v>3582</v>
      </c>
      <c r="C10" s="50">
        <v>8</v>
      </c>
      <c r="D10" s="50" t="s">
        <v>3698</v>
      </c>
      <c r="E10" s="111">
        <v>45422</v>
      </c>
      <c r="F10" s="50">
        <v>1</v>
      </c>
      <c r="G10" s="111" t="s">
        <v>3621</v>
      </c>
      <c r="H10" s="50" t="s">
        <v>3630</v>
      </c>
      <c r="I10" s="50">
        <v>31</v>
      </c>
      <c r="J10" s="50">
        <v>3.1000473009206903E+26</v>
      </c>
      <c r="K10" s="50" t="s">
        <v>3699</v>
      </c>
      <c r="L10" s="50">
        <v>90</v>
      </c>
      <c r="M10" s="50">
        <v>1</v>
      </c>
      <c r="N10" s="50">
        <v>31</v>
      </c>
      <c r="O10" s="50">
        <v>3.7234600100000003E+23</v>
      </c>
      <c r="P10" s="50">
        <v>31</v>
      </c>
      <c r="Q10" s="50">
        <v>310004730092</v>
      </c>
      <c r="R10" s="111" t="s">
        <v>3629</v>
      </c>
      <c r="S10" s="111">
        <v>33584</v>
      </c>
      <c r="T10" s="111">
        <v>978</v>
      </c>
      <c r="U10" s="111">
        <v>0</v>
      </c>
      <c r="V10" s="111">
        <v>22860000</v>
      </c>
      <c r="W10" s="111">
        <v>22860000</v>
      </c>
      <c r="X10" s="50" t="s">
        <v>3630</v>
      </c>
      <c r="Y10" s="111" t="s">
        <v>3630</v>
      </c>
      <c r="Z10" s="111" t="s">
        <v>3630</v>
      </c>
      <c r="AA10" s="111">
        <v>33588</v>
      </c>
      <c r="AB10" s="114" t="s">
        <v>3629</v>
      </c>
      <c r="AC10" s="114" t="s">
        <v>3630</v>
      </c>
      <c r="AD10" s="114" t="s">
        <v>3630</v>
      </c>
      <c r="AE10" s="50" t="s">
        <v>3700</v>
      </c>
      <c r="AF10" s="50" t="s">
        <v>3701</v>
      </c>
      <c r="AG10" s="114">
        <v>1900000</v>
      </c>
      <c r="AH10" s="114">
        <v>1900000</v>
      </c>
      <c r="AI10" s="114" t="s">
        <v>3630</v>
      </c>
      <c r="AJ10" s="114" t="s">
        <v>3699</v>
      </c>
      <c r="AK10" s="50" t="s">
        <v>3632</v>
      </c>
      <c r="AL10" s="50" t="s">
        <v>3702</v>
      </c>
      <c r="AM10" s="111">
        <v>45422</v>
      </c>
      <c r="AN10" s="111" t="s">
        <v>3703</v>
      </c>
    </row>
    <row r="11" spans="2:40" s="109" customFormat="1">
      <c r="B11" s="50" t="s">
        <v>3584</v>
      </c>
      <c r="C11" s="50">
        <v>9</v>
      </c>
      <c r="D11" s="50" t="s">
        <v>3704</v>
      </c>
      <c r="E11" s="111">
        <v>45422</v>
      </c>
      <c r="F11" s="50">
        <v>1</v>
      </c>
      <c r="G11" s="111" t="s">
        <v>3621</v>
      </c>
      <c r="H11" s="50" t="s">
        <v>3630</v>
      </c>
      <c r="I11" s="50">
        <v>31</v>
      </c>
      <c r="J11" s="50">
        <v>3.1000473009206903E+26</v>
      </c>
      <c r="K11" s="50">
        <v>31</v>
      </c>
      <c r="L11" s="50">
        <v>90</v>
      </c>
      <c r="M11" s="50">
        <v>1</v>
      </c>
      <c r="N11" s="50">
        <v>31</v>
      </c>
      <c r="O11" s="50">
        <v>3.7234600100000003E+23</v>
      </c>
      <c r="P11" s="50">
        <v>31</v>
      </c>
      <c r="Q11" s="50">
        <v>310004730092</v>
      </c>
      <c r="R11" s="50" t="s">
        <v>3629</v>
      </c>
      <c r="S11" s="111">
        <v>33584</v>
      </c>
      <c r="T11" s="111">
        <v>978</v>
      </c>
      <c r="U11" s="111">
        <v>0</v>
      </c>
      <c r="V11" s="111" t="s">
        <v>3705</v>
      </c>
      <c r="W11" s="111" t="s">
        <v>3705</v>
      </c>
      <c r="X11" s="50" t="s">
        <v>3706</v>
      </c>
      <c r="Y11" s="111" t="s">
        <v>3706</v>
      </c>
      <c r="Z11" s="111" t="s">
        <v>3706</v>
      </c>
      <c r="AA11" s="111">
        <v>33588</v>
      </c>
      <c r="AB11" s="50" t="s">
        <v>3629</v>
      </c>
      <c r="AC11" s="50" t="s">
        <v>3706</v>
      </c>
      <c r="AD11" s="50" t="s">
        <v>3706</v>
      </c>
      <c r="AE11" s="50" t="s">
        <v>3700</v>
      </c>
      <c r="AF11" s="50" t="s">
        <v>3701</v>
      </c>
      <c r="AG11" s="114">
        <v>19000000000</v>
      </c>
      <c r="AH11" s="114">
        <v>190000</v>
      </c>
      <c r="AI11" s="114" t="s">
        <v>3707</v>
      </c>
      <c r="AJ11" s="114" t="s">
        <v>3708</v>
      </c>
      <c r="AK11" s="50" t="s">
        <v>3636</v>
      </c>
      <c r="AL11" s="50" t="s">
        <v>3702</v>
      </c>
      <c r="AM11" s="111">
        <v>45422</v>
      </c>
      <c r="AN11" s="111" t="s">
        <v>3709</v>
      </c>
    </row>
    <row r="12" spans="2:40" s="109" customFormat="1">
      <c r="B12" s="50" t="s">
        <v>3586</v>
      </c>
      <c r="C12" s="50">
        <v>10</v>
      </c>
      <c r="D12" s="50" t="s">
        <v>3710</v>
      </c>
      <c r="E12" s="111">
        <v>45422</v>
      </c>
      <c r="F12" s="50">
        <v>1</v>
      </c>
      <c r="G12" s="111" t="s">
        <v>3621</v>
      </c>
      <c r="H12" s="50" t="s">
        <v>3630</v>
      </c>
      <c r="I12" s="50">
        <v>31</v>
      </c>
      <c r="J12" s="50">
        <v>5.4260000009409003E+29</v>
      </c>
      <c r="K12" s="115" t="s">
        <v>3699</v>
      </c>
      <c r="L12" s="50">
        <v>92</v>
      </c>
      <c r="M12" s="50" t="s">
        <v>3711</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3700</v>
      </c>
      <c r="AF12" s="114" t="s">
        <v>3701</v>
      </c>
      <c r="AG12" s="114">
        <v>1900000</v>
      </c>
      <c r="AH12" s="114">
        <v>1900000</v>
      </c>
      <c r="AI12" s="114">
        <v>32000000</v>
      </c>
      <c r="AJ12" s="114" t="s">
        <v>3699</v>
      </c>
      <c r="AK12" s="114" t="s">
        <v>3632</v>
      </c>
      <c r="AL12" s="50" t="s">
        <v>3641</v>
      </c>
      <c r="AM12" s="111">
        <v>45422</v>
      </c>
      <c r="AN12" s="111" t="s">
        <v>3703</v>
      </c>
    </row>
    <row r="13" spans="2:40" s="109" customFormat="1">
      <c r="B13" s="50" t="s">
        <v>3588</v>
      </c>
      <c r="C13" s="50">
        <v>11</v>
      </c>
      <c r="D13" s="50" t="s">
        <v>3712</v>
      </c>
      <c r="E13" s="111">
        <v>45422</v>
      </c>
      <c r="F13" s="50">
        <v>1</v>
      </c>
      <c r="G13" s="111" t="s">
        <v>3621</v>
      </c>
      <c r="H13" s="50" t="s">
        <v>3630</v>
      </c>
      <c r="I13" s="50">
        <v>31</v>
      </c>
      <c r="J13" s="50">
        <v>5.4260000009409003E+29</v>
      </c>
      <c r="K13" s="50">
        <v>31</v>
      </c>
      <c r="L13" s="50">
        <v>92</v>
      </c>
      <c r="M13" s="50" t="s">
        <v>3711</v>
      </c>
      <c r="N13" s="50">
        <v>31</v>
      </c>
      <c r="O13" s="50">
        <v>2.3850155708002E+29</v>
      </c>
      <c r="P13" s="50">
        <v>31</v>
      </c>
      <c r="Q13" s="50">
        <v>542600000094090</v>
      </c>
      <c r="R13" s="111">
        <v>45422</v>
      </c>
      <c r="S13" s="111">
        <v>45802</v>
      </c>
      <c r="T13" s="111">
        <v>978</v>
      </c>
      <c r="U13" s="111">
        <v>1</v>
      </c>
      <c r="V13" s="111" t="s">
        <v>3713</v>
      </c>
      <c r="W13" s="111" t="s">
        <v>3714</v>
      </c>
      <c r="X13" s="50" t="s">
        <v>3714</v>
      </c>
      <c r="Y13" s="111" t="s">
        <v>3715</v>
      </c>
      <c r="Z13" s="111" t="s">
        <v>3716</v>
      </c>
      <c r="AA13" s="111">
        <v>45805</v>
      </c>
      <c r="AB13" s="111">
        <v>43962</v>
      </c>
      <c r="AC13" s="50" t="s">
        <v>3717</v>
      </c>
      <c r="AD13" s="114" t="s">
        <v>3718</v>
      </c>
      <c r="AE13" s="114" t="s">
        <v>3700</v>
      </c>
      <c r="AF13" s="114" t="s">
        <v>3701</v>
      </c>
      <c r="AG13" s="114">
        <v>19000000000</v>
      </c>
      <c r="AH13" s="114">
        <v>190000</v>
      </c>
      <c r="AI13" s="114">
        <v>3200000</v>
      </c>
      <c r="AJ13" s="114" t="s">
        <v>3719</v>
      </c>
      <c r="AK13" s="114" t="s">
        <v>3636</v>
      </c>
      <c r="AL13" s="50" t="s">
        <v>3641</v>
      </c>
      <c r="AM13" s="111">
        <v>45422</v>
      </c>
      <c r="AN13" s="111" t="s">
        <v>3720</v>
      </c>
    </row>
    <row r="14" spans="2:40" s="231" customFormat="1">
      <c r="B14" s="229" t="s">
        <v>3590</v>
      </c>
      <c r="C14" s="229">
        <v>12</v>
      </c>
      <c r="D14" s="229" t="s">
        <v>3721</v>
      </c>
      <c r="E14" s="230">
        <v>45422</v>
      </c>
      <c r="F14" s="229">
        <v>1</v>
      </c>
      <c r="G14" s="229">
        <v>0.875</v>
      </c>
      <c r="H14" s="229" t="s">
        <v>3630</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c r="B15" s="50" t="s">
        <v>3592</v>
      </c>
      <c r="C15" s="50">
        <v>13</v>
      </c>
      <c r="D15" s="50" t="s">
        <v>3722</v>
      </c>
      <c r="E15" s="111">
        <v>45422</v>
      </c>
      <c r="F15" s="50">
        <v>1</v>
      </c>
      <c r="G15" s="114">
        <v>1</v>
      </c>
      <c r="H15" s="50" t="s">
        <v>3630</v>
      </c>
      <c r="I15" s="50" t="s">
        <v>3621</v>
      </c>
      <c r="J15" s="50" t="s">
        <v>3621</v>
      </c>
      <c r="K15" s="50" t="s">
        <v>3621</v>
      </c>
      <c r="L15" s="50" t="s">
        <v>3621</v>
      </c>
      <c r="M15" s="50" t="s">
        <v>3621</v>
      </c>
      <c r="N15" s="50" t="s">
        <v>3621</v>
      </c>
      <c r="O15" s="50" t="s">
        <v>3621</v>
      </c>
      <c r="P15" s="50" t="s">
        <v>3621</v>
      </c>
      <c r="Q15" s="50" t="s">
        <v>3621</v>
      </c>
      <c r="R15" s="113">
        <v>0</v>
      </c>
      <c r="S15" s="113">
        <v>0</v>
      </c>
      <c r="T15" s="113" t="s">
        <v>3621</v>
      </c>
      <c r="U15" s="113" t="s">
        <v>3621</v>
      </c>
      <c r="V15" s="113" t="s">
        <v>3621</v>
      </c>
      <c r="W15" s="113" t="s">
        <v>3621</v>
      </c>
      <c r="X15" s="50" t="s">
        <v>3621</v>
      </c>
      <c r="Y15" s="113" t="s">
        <v>3621</v>
      </c>
      <c r="Z15" s="113" t="s">
        <v>3621</v>
      </c>
      <c r="AA15" s="50">
        <v>0</v>
      </c>
      <c r="AB15" s="50">
        <v>0</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s="109" customFormat="1">
      <c r="B16" s="50" t="s">
        <v>3594</v>
      </c>
      <c r="C16" s="50">
        <v>14</v>
      </c>
      <c r="D16" s="50" t="s">
        <v>3723</v>
      </c>
      <c r="E16" s="111">
        <v>45422</v>
      </c>
      <c r="F16" s="50">
        <v>1</v>
      </c>
      <c r="G16" s="114">
        <v>1</v>
      </c>
      <c r="H16" s="50" t="s">
        <v>3630</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3" t="s">
        <v>3621</v>
      </c>
      <c r="Y16" s="113" t="s">
        <v>3621</v>
      </c>
      <c r="Z16" s="50" t="s">
        <v>3621</v>
      </c>
      <c r="AA16" s="50" t="s">
        <v>3621</v>
      </c>
      <c r="AB16" s="50" t="s">
        <v>3621</v>
      </c>
      <c r="AC16" s="50" t="s">
        <v>3621</v>
      </c>
      <c r="AD16" s="50" t="s">
        <v>3621</v>
      </c>
      <c r="AE16" s="50">
        <v>0</v>
      </c>
      <c r="AF16" s="50">
        <v>0</v>
      </c>
      <c r="AG16" s="50" t="s">
        <v>3621</v>
      </c>
      <c r="AH16" s="50" t="s">
        <v>3621</v>
      </c>
      <c r="AI16" s="50" t="s">
        <v>3621</v>
      </c>
      <c r="AJ16" s="50">
        <v>0</v>
      </c>
      <c r="AK16" s="50">
        <v>0</v>
      </c>
      <c r="AL16" s="50" t="s">
        <v>3621</v>
      </c>
      <c r="AM16" s="50" t="s">
        <v>3621</v>
      </c>
      <c r="AN16" s="50" t="s">
        <v>3621</v>
      </c>
    </row>
    <row r="17" spans="2:42" s="109" customFormat="1">
      <c r="B17" s="50" t="s">
        <v>3596</v>
      </c>
      <c r="C17" s="50">
        <v>15</v>
      </c>
      <c r="D17" s="50" t="s">
        <v>3724</v>
      </c>
      <c r="E17" s="111">
        <v>45422</v>
      </c>
      <c r="F17" s="50">
        <v>1</v>
      </c>
      <c r="G17" s="114">
        <v>1</v>
      </c>
      <c r="H17" s="50"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3"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2" s="109" customFormat="1">
      <c r="B18" s="50" t="s">
        <v>3598</v>
      </c>
      <c r="C18" s="50">
        <v>16</v>
      </c>
      <c r="D18" s="50" t="s">
        <v>3724</v>
      </c>
      <c r="E18" s="111">
        <v>45422</v>
      </c>
      <c r="F18" s="50">
        <v>1</v>
      </c>
      <c r="G18" s="114">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2" s="109" customFormat="1">
      <c r="B19" s="50" t="s">
        <v>3600</v>
      </c>
      <c r="C19" s="50">
        <v>17</v>
      </c>
      <c r="D19" s="50" t="s">
        <v>3725</v>
      </c>
      <c r="E19" s="111">
        <v>45422</v>
      </c>
      <c r="F19" s="50">
        <v>1</v>
      </c>
      <c r="G19" s="227">
        <v>0.91980700000000004</v>
      </c>
      <c r="H19" s="114">
        <v>283</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2" s="109" customFormat="1">
      <c r="B20" s="50" t="s">
        <v>3602</v>
      </c>
      <c r="C20" s="50">
        <v>18</v>
      </c>
      <c r="D20" s="50" t="s">
        <v>3725</v>
      </c>
      <c r="E20" s="111">
        <v>45422</v>
      </c>
      <c r="F20" s="50">
        <v>1</v>
      </c>
      <c r="G20" s="226">
        <v>0.99997199999999997</v>
      </c>
      <c r="H20" s="114">
        <v>2</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2" s="109" customFormat="1">
      <c r="B21" s="50" t="s">
        <v>3604</v>
      </c>
      <c r="C21" s="50">
        <v>19</v>
      </c>
      <c r="D21" s="50" t="s">
        <v>3726</v>
      </c>
      <c r="E21" s="111">
        <v>45422</v>
      </c>
      <c r="F21" s="50">
        <v>1</v>
      </c>
      <c r="G21" s="209" cm="1">
        <f t="array" aca="1" ref="G21" ca="1">SUMPRODUCT(--(ISNUMBER((SEARCH(I27:AN27,I21:AN21)))))/COUNTA(I21:AN21)</f>
        <v>0.65625</v>
      </c>
      <c r="H21" s="50"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50" t="s">
        <v>3656</v>
      </c>
      <c r="AE21" s="50" t="s">
        <v>3655</v>
      </c>
      <c r="AF21" s="50" t="s">
        <v>3655</v>
      </c>
      <c r="AG21" s="50" t="s">
        <v>3656</v>
      </c>
      <c r="AH21" s="50" t="s">
        <v>3656</v>
      </c>
      <c r="AI21" s="50" t="s">
        <v>3656</v>
      </c>
      <c r="AJ21" s="50" t="s">
        <v>3655</v>
      </c>
      <c r="AK21" s="50" t="s">
        <v>3655</v>
      </c>
      <c r="AL21" s="50" t="s">
        <v>3655</v>
      </c>
      <c r="AM21" s="50" t="s">
        <v>3655</v>
      </c>
      <c r="AN21" s="50" t="s">
        <v>3657</v>
      </c>
    </row>
    <row r="22" spans="2:42" s="109" customFormat="1">
      <c r="B22" s="113" t="s">
        <v>3607</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c r="B23" s="50" t="s">
        <v>3610</v>
      </c>
      <c r="C23" s="50">
        <v>21</v>
      </c>
      <c r="D23" s="50"/>
      <c r="E23" s="111"/>
      <c r="F23" s="111"/>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56" t="s">
        <v>3727</v>
      </c>
      <c r="C25" s="158"/>
      <c r="D25" s="158"/>
      <c r="E25" s="158"/>
      <c r="F25" s="158"/>
      <c r="G25" s="158"/>
      <c r="H25" s="158"/>
    </row>
    <row r="26" spans="2:42">
      <c r="B26" s="149" t="s">
        <v>3613</v>
      </c>
      <c r="C26" s="145" t="s">
        <v>3614</v>
      </c>
      <c r="D26" s="145" t="s">
        <v>3615</v>
      </c>
      <c r="E26" s="145" t="s">
        <v>3616</v>
      </c>
      <c r="F26" s="145" t="s">
        <v>3617</v>
      </c>
      <c r="G26" s="145" t="s">
        <v>3618</v>
      </c>
      <c r="H26" s="145" t="s">
        <v>3619</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c r="B27" s="133" t="s">
        <v>3658</v>
      </c>
      <c r="C27" s="129">
        <v>21</v>
      </c>
      <c r="D27" s="135" t="s">
        <v>3659</v>
      </c>
      <c r="E27" s="134" t="s">
        <v>3660</v>
      </c>
      <c r="F27" s="134" t="s">
        <v>372</v>
      </c>
      <c r="G27" s="134" t="s">
        <v>372</v>
      </c>
      <c r="H27" s="134" t="s">
        <v>372</v>
      </c>
      <c r="I27" s="134"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f ca="1"/>
        <v>STRING</v>
      </c>
      <c r="K27" s="134" t="str">
        <f ca="1"/>
        <v>STRING</v>
      </c>
      <c r="L27" s="134" t="str">
        <f ca="1"/>
        <v>STRING</v>
      </c>
      <c r="M27" s="134" t="str">
        <f ca="1"/>
        <v>STRING</v>
      </c>
      <c r="N27" s="134" t="str">
        <f ca="1"/>
        <v>STRING</v>
      </c>
      <c r="O27" s="134" t="str">
        <f ca="1"/>
        <v>STRING</v>
      </c>
      <c r="P27" s="134" t="str">
        <f ca="1"/>
        <v>STRING</v>
      </c>
      <c r="Q27" s="134" t="str">
        <f ca="1"/>
        <v>STRING</v>
      </c>
      <c r="R27" s="134" t="str">
        <f ca="1"/>
        <v>STRING</v>
      </c>
      <c r="S27" s="134" t="str">
        <f ca="1"/>
        <v>STRING</v>
      </c>
      <c r="T27" s="134" t="str">
        <f ca="1"/>
        <v>STRING</v>
      </c>
      <c r="U27" s="134" t="str">
        <f ca="1"/>
        <v>STRING</v>
      </c>
      <c r="V27" s="134" t="str">
        <f ca="1"/>
        <v>DECIMAL</v>
      </c>
      <c r="W27" s="134" t="str">
        <f ca="1"/>
        <v>DECIMAL</v>
      </c>
      <c r="X27" s="134" t="str">
        <f ca="1"/>
        <v>DECIMAL</v>
      </c>
      <c r="Y27" s="134" t="str">
        <f ca="1"/>
        <v>DECIMAL</v>
      </c>
      <c r="Z27" s="134" t="str">
        <f ca="1"/>
        <v>DECIMAL</v>
      </c>
      <c r="AA27" s="134" t="str">
        <f ca="1"/>
        <v>DECIMAL</v>
      </c>
      <c r="AB27" s="134" t="str">
        <f ca="1"/>
        <v>DECIMAL</v>
      </c>
      <c r="AC27" s="134" t="str">
        <f ca="1"/>
        <v>STRING</v>
      </c>
      <c r="AD27" s="134" t="str">
        <f ca="1"/>
        <v>STRING</v>
      </c>
      <c r="AE27" s="134" t="str">
        <f ca="1"/>
        <v>DECIMAL</v>
      </c>
      <c r="AF27" s="134" t="str">
        <f ca="1"/>
        <v>DECIMAL</v>
      </c>
      <c r="AG27" s="134" t="str">
        <f ca="1"/>
        <v>STRING</v>
      </c>
      <c r="AH27" s="134" t="str">
        <f ca="1"/>
        <v>STRING</v>
      </c>
      <c r="AI27" s="134" t="str">
        <f ca="1"/>
        <v>DECIMAL</v>
      </c>
      <c r="AJ27" s="134" t="str">
        <f ca="1"/>
        <v>DECIMAL</v>
      </c>
      <c r="AK27" s="134" t="str">
        <f ca="1"/>
        <v>DECIMAL</v>
      </c>
      <c r="AL27" s="134" t="str">
        <f ca="1"/>
        <v>STRING</v>
      </c>
      <c r="AM27" s="134" t="str">
        <f ca="1"/>
        <v>STRING</v>
      </c>
      <c r="AN27" s="134" t="str">
        <f ca="1"/>
        <v>STRING</v>
      </c>
      <c r="AO27" t="str">
        <f ca="1"/>
        <v>STRING</v>
      </c>
      <c r="AP27" t="str">
        <f ca="1"/>
        <v>TIMESTAMP</v>
      </c>
    </row>
    <row r="28" spans="2:42">
      <c r="B28" s="137" t="s">
        <v>3661</v>
      </c>
      <c r="C28" s="129">
        <v>7</v>
      </c>
      <c r="D28" s="130" t="s">
        <v>3659</v>
      </c>
      <c r="E28" s="129" t="s">
        <v>3660</v>
      </c>
      <c r="F28" s="159" t="s">
        <v>372</v>
      </c>
      <c r="G28" s="159" t="s">
        <v>372</v>
      </c>
      <c r="H28" s="159" t="s">
        <v>372</v>
      </c>
      <c r="I28" s="159">
        <f ca="1"/>
        <v>4</v>
      </c>
      <c r="J28" s="159">
        <f ca="1"/>
        <v>30</v>
      </c>
      <c r="K28" s="159">
        <f ca="1"/>
        <v>4</v>
      </c>
      <c r="L28" s="159">
        <f ca="1"/>
        <v>4</v>
      </c>
      <c r="M28" s="159">
        <f ca="1"/>
        <v>4</v>
      </c>
      <c r="N28" s="159">
        <f ca="1"/>
        <v>4</v>
      </c>
      <c r="O28" s="159">
        <f ca="1"/>
        <v>30</v>
      </c>
      <c r="P28" s="159">
        <f ca="1"/>
        <v>4</v>
      </c>
      <c r="Q28" s="159">
        <f ca="1"/>
        <v>15</v>
      </c>
      <c r="R28" s="159">
        <f ca="1"/>
        <v>10</v>
      </c>
      <c r="S28" s="159">
        <f ca="1"/>
        <v>10</v>
      </c>
      <c r="T28" s="159">
        <f ca="1"/>
        <v>4</v>
      </c>
      <c r="U28" s="159">
        <f ca="1"/>
        <v>4</v>
      </c>
      <c r="V28" s="159">
        <f ca="1"/>
        <v>23</v>
      </c>
      <c r="W28" s="159">
        <f ca="1"/>
        <v>23</v>
      </c>
      <c r="X28" s="159">
        <f ca="1"/>
        <v>23</v>
      </c>
      <c r="Y28" s="159">
        <f ca="1"/>
        <v>23</v>
      </c>
      <c r="Z28" s="159">
        <f ca="1"/>
        <v>23</v>
      </c>
      <c r="AA28" s="159">
        <f ca="1"/>
        <v>23</v>
      </c>
      <c r="AB28" s="159">
        <f ca="1"/>
        <v>23</v>
      </c>
      <c r="AC28" s="159">
        <f ca="1"/>
        <v>10</v>
      </c>
      <c r="AD28" s="159">
        <f ca="1"/>
        <v>10</v>
      </c>
      <c r="AE28" s="159">
        <f ca="1"/>
        <v>23</v>
      </c>
      <c r="AF28" s="159">
        <f ca="1"/>
        <v>23</v>
      </c>
      <c r="AG28" s="159">
        <f ca="1"/>
        <v>3</v>
      </c>
      <c r="AH28" s="159">
        <f ca="1"/>
        <v>3</v>
      </c>
      <c r="AI28" s="159">
        <f ca="1"/>
        <v>23</v>
      </c>
      <c r="AJ28" s="159">
        <f ca="1"/>
        <v>23</v>
      </c>
      <c r="AK28" s="159">
        <f ca="1"/>
        <v>23</v>
      </c>
      <c r="AL28" s="159">
        <f ca="1"/>
        <v>4</v>
      </c>
      <c r="AM28" s="159">
        <f ca="1"/>
        <v>4</v>
      </c>
      <c r="AN28" s="159">
        <f ca="1"/>
        <v>2</v>
      </c>
      <c r="AO28" s="50">
        <f ca="1"/>
        <v>10</v>
      </c>
      <c r="AP28">
        <f ca="1"/>
        <v>23</v>
      </c>
    </row>
    <row r="29" spans="2:42">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56" t="s">
        <v>3662</v>
      </c>
    </row>
    <row r="31" spans="2:42">
      <c r="B31" s="150" t="s">
        <v>3663</v>
      </c>
      <c r="C31" s="150" t="s">
        <v>3664</v>
      </c>
      <c r="D31" s="151" t="s">
        <v>3665</v>
      </c>
      <c r="E31" s="150" t="s">
        <v>3666</v>
      </c>
      <c r="F31" s="150" t="s">
        <v>3667</v>
      </c>
    </row>
    <row r="32" spans="2:42" ht="29.1">
      <c r="B32" s="127" t="s">
        <v>3728</v>
      </c>
      <c r="C32" s="131" t="s">
        <v>756</v>
      </c>
      <c r="D32" s="53" t="s">
        <v>3729</v>
      </c>
      <c r="E32" s="162" t="s">
        <v>3730</v>
      </c>
      <c r="F32" s="152" t="s">
        <v>3674</v>
      </c>
    </row>
    <row r="33" spans="2:6" ht="29.1">
      <c r="B33" s="127" t="s">
        <v>3728</v>
      </c>
      <c r="C33" s="131" t="s">
        <v>766</v>
      </c>
      <c r="D33" s="53" t="s">
        <v>3731</v>
      </c>
      <c r="E33" s="162" t="s">
        <v>3730</v>
      </c>
      <c r="F33" s="152" t="s">
        <v>3674</v>
      </c>
    </row>
    <row r="34" spans="2:6" ht="29.1">
      <c r="B34" s="127" t="s">
        <v>3728</v>
      </c>
      <c r="C34" s="131" t="s">
        <v>776</v>
      </c>
      <c r="D34" s="53" t="s">
        <v>3731</v>
      </c>
      <c r="E34" s="162" t="s">
        <v>3730</v>
      </c>
      <c r="F34" s="152" t="s">
        <v>3674</v>
      </c>
    </row>
    <row r="35" spans="2:6" ht="72.599999999999994">
      <c r="B35" s="127" t="s">
        <v>3728</v>
      </c>
      <c r="C35" s="131" t="s">
        <v>3687</v>
      </c>
      <c r="D35" s="53" t="s">
        <v>3732</v>
      </c>
      <c r="E35" s="162" t="s">
        <v>3733</v>
      </c>
      <c r="F35" s="152" t="s">
        <v>3671</v>
      </c>
    </row>
    <row r="36" spans="2:6" ht="29.1">
      <c r="B36" s="127" t="s">
        <v>3678</v>
      </c>
      <c r="C36" s="131" t="s">
        <v>3679</v>
      </c>
      <c r="D36" s="53" t="s">
        <v>3734</v>
      </c>
      <c r="E36" s="162" t="s">
        <v>3735</v>
      </c>
      <c r="F36" s="152" t="s">
        <v>3674</v>
      </c>
    </row>
    <row r="37" spans="2:6" ht="29.1">
      <c r="B37" s="153" t="s">
        <v>3736</v>
      </c>
      <c r="C37" s="154" t="s">
        <v>3679</v>
      </c>
      <c r="D37" s="155" t="s">
        <v>3737</v>
      </c>
      <c r="E37" s="163" t="s">
        <v>3685</v>
      </c>
      <c r="F37"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c r="B3" s="50" t="s">
        <v>3567</v>
      </c>
      <c r="C3" s="50">
        <v>1</v>
      </c>
      <c r="D3" s="50" t="s">
        <v>3739</v>
      </c>
      <c r="E3" s="111">
        <v>45457</v>
      </c>
      <c r="F3" s="50">
        <v>1</v>
      </c>
      <c r="G3" s="50">
        <v>1</v>
      </c>
      <c r="H3" s="207" t="s">
        <v>3740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row>
    <row r="4" spans="2:36">
      <c r="B4" s="50" t="s">
        <v>3569</v>
      </c>
      <c r="C4" s="50">
        <v>2</v>
      </c>
      <c r="D4" s="50" t="s">
        <v>3741</v>
      </c>
      <c r="E4" s="111">
        <v>45457</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row>
    <row r="5" spans="2:36">
      <c r="B5" s="50" t="s">
        <v>3571</v>
      </c>
      <c r="C5" s="50">
        <v>3</v>
      </c>
      <c r="D5" s="50" t="s">
        <v>3742</v>
      </c>
      <c r="E5" s="111">
        <v>45457</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v>0</v>
      </c>
      <c r="AJ5" s="50" t="s">
        <v>3621</v>
      </c>
    </row>
    <row r="6" spans="2:36">
      <c r="B6" s="113" t="s">
        <v>3573</v>
      </c>
      <c r="C6" s="50">
        <v>4</v>
      </c>
      <c r="D6" s="50" t="s">
        <v>3624</v>
      </c>
      <c r="E6" s="111" t="s">
        <v>3621</v>
      </c>
      <c r="F6" s="50">
        <v>1</v>
      </c>
      <c r="G6" s="111" t="s">
        <v>3621</v>
      </c>
      <c r="H6" s="50"/>
      <c r="I6" s="50" t="s">
        <v>3621</v>
      </c>
      <c r="J6" s="50" t="s">
        <v>3621</v>
      </c>
      <c r="K6" s="50" t="s">
        <v>3621</v>
      </c>
      <c r="L6" s="50" t="s">
        <v>3621</v>
      </c>
      <c r="M6" s="50" t="s">
        <v>3621</v>
      </c>
      <c r="N6" s="50" t="s">
        <v>3621</v>
      </c>
      <c r="O6" s="50" t="s">
        <v>3621</v>
      </c>
      <c r="P6" s="204" t="s">
        <v>3621</v>
      </c>
      <c r="Q6" s="204" t="s">
        <v>3621</v>
      </c>
      <c r="R6" s="50" t="s">
        <v>3621</v>
      </c>
      <c r="S6" s="114" t="s">
        <v>3621</v>
      </c>
      <c r="T6" s="114"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208" t="s">
        <v>3621</v>
      </c>
      <c r="AI6" s="50" t="s">
        <v>3621</v>
      </c>
      <c r="AJ6" s="50" t="s">
        <v>3621</v>
      </c>
    </row>
    <row r="7" spans="2:36">
      <c r="B7" s="50" t="s">
        <v>3575</v>
      </c>
      <c r="C7" s="50">
        <v>5</v>
      </c>
      <c r="D7" s="50" t="s">
        <v>3624</v>
      </c>
      <c r="E7" s="111" t="s">
        <v>3621</v>
      </c>
      <c r="F7" s="50">
        <v>1</v>
      </c>
      <c r="G7" s="111" t="s">
        <v>3621</v>
      </c>
      <c r="H7" s="50"/>
      <c r="I7" s="50" t="s">
        <v>3621</v>
      </c>
      <c r="J7" s="50" t="s">
        <v>3621</v>
      </c>
      <c r="K7" s="50" t="s">
        <v>3621</v>
      </c>
      <c r="L7" s="50" t="s">
        <v>3621</v>
      </c>
      <c r="M7" s="50" t="s">
        <v>3621</v>
      </c>
      <c r="N7" s="50" t="s">
        <v>3621</v>
      </c>
      <c r="O7" s="50" t="s">
        <v>3621</v>
      </c>
      <c r="P7" s="204" t="s">
        <v>3621</v>
      </c>
      <c r="Q7" s="204"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208" t="s">
        <v>3621</v>
      </c>
      <c r="AI7" s="50" t="s">
        <v>3621</v>
      </c>
      <c r="AJ7" s="50" t="s">
        <v>3621</v>
      </c>
    </row>
    <row r="8" spans="2:36">
      <c r="B8" s="50" t="s">
        <v>3576</v>
      </c>
      <c r="C8" s="50">
        <v>6</v>
      </c>
      <c r="D8" s="50" t="s">
        <v>3743</v>
      </c>
      <c r="E8" s="111">
        <v>45457</v>
      </c>
      <c r="F8" s="50">
        <v>1</v>
      </c>
      <c r="G8" s="50" cm="1">
        <f t="array" ref="G8">SUMPRODUCT(--(I8:AJ8&gt;0))/COUNTA(I8:AJ8)</f>
        <v>1</v>
      </c>
      <c r="H8" s="50" t="s">
        <v>3706</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3744</v>
      </c>
      <c r="AH8" s="50">
        <v>2</v>
      </c>
      <c r="AI8" s="50">
        <v>10</v>
      </c>
      <c r="AJ8" s="50">
        <v>23</v>
      </c>
    </row>
    <row r="9" spans="2:36">
      <c r="B9" s="50" t="s">
        <v>3579</v>
      </c>
      <c r="C9" s="50">
        <v>7</v>
      </c>
      <c r="D9" s="50" t="s">
        <v>3745</v>
      </c>
      <c r="E9" s="111">
        <v>45457</v>
      </c>
      <c r="F9" s="50">
        <v>1</v>
      </c>
      <c r="G9" s="50" cm="1">
        <f t="array" aca="1" ref="G9" ca="1">SUMPRODUCT(--(I9:AJ9&lt;=I29:AJ29))/COUNTA(I29:AJ29)</f>
        <v>0.6785714285714286</v>
      </c>
      <c r="H9" s="50" t="s">
        <v>3706</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3744</v>
      </c>
      <c r="AH9" s="50">
        <v>2</v>
      </c>
      <c r="AI9" s="50">
        <v>10</v>
      </c>
      <c r="AJ9" s="50">
        <v>23</v>
      </c>
    </row>
    <row r="10" spans="2:36">
      <c r="B10" s="113" t="s">
        <v>3582</v>
      </c>
      <c r="C10" s="50">
        <v>8</v>
      </c>
      <c r="D10" s="50" t="s">
        <v>3746</v>
      </c>
      <c r="E10" s="111">
        <v>45457</v>
      </c>
      <c r="F10" s="50">
        <v>1</v>
      </c>
      <c r="G10" s="111" t="s">
        <v>3621</v>
      </c>
      <c r="H10" s="50" t="s">
        <v>3706</v>
      </c>
      <c r="I10" s="50">
        <v>31</v>
      </c>
      <c r="J10" s="50">
        <v>2.0734299999999999E+22</v>
      </c>
      <c r="K10" s="50" t="s">
        <v>3747</v>
      </c>
      <c r="L10" s="50">
        <v>20</v>
      </c>
      <c r="M10" s="50">
        <v>100</v>
      </c>
      <c r="N10" s="50">
        <v>31</v>
      </c>
      <c r="O10" s="111">
        <v>2.0734001E+22</v>
      </c>
      <c r="P10" s="111">
        <v>30288</v>
      </c>
      <c r="Q10" s="114" t="s">
        <v>3629</v>
      </c>
      <c r="R10" s="50">
        <v>124</v>
      </c>
      <c r="S10" s="111" t="s">
        <v>3748</v>
      </c>
      <c r="T10" s="111" t="s">
        <v>3630</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3631</v>
      </c>
      <c r="AG10" s="50" t="s">
        <v>3744</v>
      </c>
      <c r="AH10" s="111" t="s">
        <v>3749</v>
      </c>
      <c r="AI10" s="111">
        <v>45457</v>
      </c>
      <c r="AJ10" s="50" t="s">
        <v>3750</v>
      </c>
    </row>
    <row r="11" spans="2:36">
      <c r="B11" s="50" t="s">
        <v>3584</v>
      </c>
      <c r="C11" s="50">
        <v>9</v>
      </c>
      <c r="D11" s="50" t="s">
        <v>3751</v>
      </c>
      <c r="E11" s="111">
        <v>45457</v>
      </c>
      <c r="F11" s="50">
        <v>1</v>
      </c>
      <c r="G11" s="111" t="s">
        <v>3621</v>
      </c>
      <c r="H11" s="50" t="s">
        <v>3706</v>
      </c>
      <c r="I11" s="50">
        <v>31</v>
      </c>
      <c r="J11" s="50">
        <v>2.0734299999999999E+22</v>
      </c>
      <c r="K11" s="50" t="s">
        <v>3752</v>
      </c>
      <c r="L11" s="50">
        <v>20</v>
      </c>
      <c r="M11" s="50">
        <v>100</v>
      </c>
      <c r="N11" s="50">
        <v>31</v>
      </c>
      <c r="O11" s="111">
        <v>2.0734001E+22</v>
      </c>
      <c r="P11" s="111">
        <v>30288</v>
      </c>
      <c r="Q11" s="111" t="s">
        <v>3629</v>
      </c>
      <c r="R11" s="50">
        <v>124</v>
      </c>
      <c r="S11" s="111" t="s">
        <v>3753</v>
      </c>
      <c r="T11" s="111" t="s">
        <v>3706</v>
      </c>
      <c r="U11" s="50" t="s">
        <v>3754</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3749</v>
      </c>
      <c r="AI11" s="111">
        <v>45457</v>
      </c>
      <c r="AJ11" s="50" t="s">
        <v>3755</v>
      </c>
    </row>
    <row r="12" spans="2:36">
      <c r="B12" s="50" t="s">
        <v>3586</v>
      </c>
      <c r="C12" s="50">
        <v>10</v>
      </c>
      <c r="D12" s="50" t="s">
        <v>3756</v>
      </c>
      <c r="E12" s="111">
        <v>45457</v>
      </c>
      <c r="F12" s="50">
        <v>1</v>
      </c>
      <c r="G12" s="111" t="s">
        <v>3621</v>
      </c>
      <c r="H12" s="50" t="s">
        <v>3706</v>
      </c>
      <c r="I12" s="50">
        <v>31</v>
      </c>
      <c r="J12" s="50">
        <v>2.3370179682002001E+29</v>
      </c>
      <c r="K12" s="50" t="s">
        <v>3747</v>
      </c>
      <c r="L12" s="50">
        <v>224</v>
      </c>
      <c r="M12" s="50" t="s">
        <v>3757</v>
      </c>
      <c r="N12" s="50">
        <v>31</v>
      </c>
      <c r="O12" s="204">
        <v>2.3950569509102E+29</v>
      </c>
      <c r="P12" s="204">
        <v>45457</v>
      </c>
      <c r="Q12" s="204" t="s">
        <v>3629</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3758</v>
      </c>
      <c r="AG12" s="50" t="s">
        <v>3744</v>
      </c>
      <c r="AH12" s="204" t="s">
        <v>3749</v>
      </c>
      <c r="AI12" s="111">
        <v>45457</v>
      </c>
      <c r="AJ12" s="50" t="s">
        <v>3750</v>
      </c>
    </row>
    <row r="13" spans="2:36">
      <c r="B13" s="50" t="s">
        <v>3588</v>
      </c>
      <c r="C13" s="50">
        <v>11</v>
      </c>
      <c r="D13" s="50" t="s">
        <v>3759</v>
      </c>
      <c r="E13" s="111">
        <v>45457</v>
      </c>
      <c r="F13" s="50">
        <v>1</v>
      </c>
      <c r="G13" s="111" t="s">
        <v>3621</v>
      </c>
      <c r="H13" s="50" t="s">
        <v>3706</v>
      </c>
      <c r="I13" s="50">
        <v>31</v>
      </c>
      <c r="J13" s="50">
        <v>2.3370179682002001E+29</v>
      </c>
      <c r="K13" s="50" t="s">
        <v>3752</v>
      </c>
      <c r="L13" s="50">
        <v>224</v>
      </c>
      <c r="M13" s="50" t="s">
        <v>3757</v>
      </c>
      <c r="N13" s="50">
        <v>31</v>
      </c>
      <c r="O13" s="111">
        <v>2.3950569509102E+29</v>
      </c>
      <c r="P13" s="204">
        <v>45457</v>
      </c>
      <c r="Q13" s="204" t="s">
        <v>3629</v>
      </c>
      <c r="R13" s="50">
        <v>978</v>
      </c>
      <c r="S13" s="111" t="s">
        <v>3760</v>
      </c>
      <c r="T13" s="111" t="s">
        <v>3761</v>
      </c>
      <c r="U13" s="50" t="s">
        <v>3760</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3749</v>
      </c>
      <c r="AI13" s="111">
        <v>45457</v>
      </c>
      <c r="AJ13" s="50" t="s">
        <v>3762</v>
      </c>
    </row>
    <row r="14" spans="2:36">
      <c r="B14" s="50" t="s">
        <v>3590</v>
      </c>
      <c r="C14" s="50">
        <v>12</v>
      </c>
      <c r="D14" s="50" t="s">
        <v>3763</v>
      </c>
      <c r="E14" s="111">
        <v>45457</v>
      </c>
      <c r="F14" s="50">
        <v>1</v>
      </c>
      <c r="G14" s="50">
        <v>0.93</v>
      </c>
      <c r="H14" s="50" t="s">
        <v>3706</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3592</v>
      </c>
      <c r="C15" s="50">
        <v>13</v>
      </c>
      <c r="D15" s="50" t="s">
        <v>3764</v>
      </c>
      <c r="E15" s="111">
        <v>45457</v>
      </c>
      <c r="F15" s="50">
        <v>1</v>
      </c>
      <c r="G15" s="50">
        <v>1</v>
      </c>
      <c r="H15" s="50" t="s">
        <v>3706</v>
      </c>
      <c r="I15" s="50" t="s">
        <v>3621</v>
      </c>
      <c r="J15" s="50" t="s">
        <v>3621</v>
      </c>
      <c r="K15" s="50" t="s">
        <v>3621</v>
      </c>
      <c r="L15" s="50" t="s">
        <v>3621</v>
      </c>
      <c r="M15" s="50" t="s">
        <v>3621</v>
      </c>
      <c r="N15" s="50" t="s">
        <v>3621</v>
      </c>
      <c r="O15" s="113" t="s">
        <v>3621</v>
      </c>
      <c r="P15" s="113">
        <v>0</v>
      </c>
      <c r="Q15" s="113">
        <v>0</v>
      </c>
      <c r="R15" s="50" t="s">
        <v>3621</v>
      </c>
      <c r="S15" s="50" t="s">
        <v>3621</v>
      </c>
      <c r="T15" s="113"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row>
    <row r="16" spans="2:36">
      <c r="B16" s="50" t="s">
        <v>3594</v>
      </c>
      <c r="C16" s="50">
        <v>14</v>
      </c>
      <c r="D16" s="50" t="s">
        <v>3765</v>
      </c>
      <c r="E16" s="111">
        <v>45457</v>
      </c>
      <c r="F16" s="50">
        <v>1</v>
      </c>
      <c r="G16" s="50">
        <v>1</v>
      </c>
      <c r="H16" s="50" t="s">
        <v>3706</v>
      </c>
      <c r="I16" s="50" t="s">
        <v>3621</v>
      </c>
      <c r="J16" s="50" t="s">
        <v>3621</v>
      </c>
      <c r="K16" s="50" t="s">
        <v>3621</v>
      </c>
      <c r="L16" s="50" t="s">
        <v>3621</v>
      </c>
      <c r="M16" s="50" t="s">
        <v>3621</v>
      </c>
      <c r="N16" s="50" t="s">
        <v>3621</v>
      </c>
      <c r="O16" s="50" t="s">
        <v>3621</v>
      </c>
      <c r="P16" s="50" t="s">
        <v>3621</v>
      </c>
      <c r="Q16" s="50" t="s">
        <v>3621</v>
      </c>
      <c r="R16" s="50">
        <v>0</v>
      </c>
      <c r="S16" s="113" t="s">
        <v>3621</v>
      </c>
      <c r="T16" s="50" t="s">
        <v>3621</v>
      </c>
      <c r="U16" s="50" t="s">
        <v>3621</v>
      </c>
      <c r="V16" s="50">
        <v>0</v>
      </c>
      <c r="W16" s="50" t="s">
        <v>3621</v>
      </c>
      <c r="X16" s="50" t="s">
        <v>3621</v>
      </c>
      <c r="Y16" s="50" t="s">
        <v>3621</v>
      </c>
      <c r="Z16" s="50" t="s">
        <v>3621</v>
      </c>
      <c r="AA16" s="50">
        <v>0</v>
      </c>
      <c r="AB16" s="50" t="s">
        <v>3621</v>
      </c>
      <c r="AC16" s="50" t="s">
        <v>3621</v>
      </c>
      <c r="AD16" s="50" t="s">
        <v>3621</v>
      </c>
      <c r="AE16" s="50" t="s">
        <v>3621</v>
      </c>
      <c r="AF16" s="50">
        <v>0</v>
      </c>
      <c r="AG16" s="50">
        <v>0</v>
      </c>
      <c r="AH16" s="50">
        <v>0</v>
      </c>
      <c r="AI16" s="50" t="s">
        <v>3621</v>
      </c>
      <c r="AJ16" s="50" t="s">
        <v>3621</v>
      </c>
    </row>
    <row r="17" spans="2:36">
      <c r="B17" s="50" t="s">
        <v>3596</v>
      </c>
      <c r="C17" s="50">
        <v>15</v>
      </c>
      <c r="D17" s="50" t="s">
        <v>3766</v>
      </c>
      <c r="E17" s="111">
        <v>45457</v>
      </c>
      <c r="F17" s="50">
        <v>1</v>
      </c>
      <c r="G17" s="50">
        <v>1</v>
      </c>
      <c r="H17" s="198"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row>
    <row r="18" spans="2:36">
      <c r="B18" s="50" t="s">
        <v>3598</v>
      </c>
      <c r="C18" s="50">
        <v>16</v>
      </c>
      <c r="D18" s="50" t="s">
        <v>3766</v>
      </c>
      <c r="E18" s="111">
        <v>45457</v>
      </c>
      <c r="F18" s="50">
        <v>1</v>
      </c>
      <c r="G18" s="50">
        <v>1</v>
      </c>
      <c r="H18" s="198"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row>
    <row r="19" spans="2:36">
      <c r="B19" s="50" t="s">
        <v>3600</v>
      </c>
      <c r="C19" s="50">
        <v>17</v>
      </c>
      <c r="D19" s="50" t="s">
        <v>3767</v>
      </c>
      <c r="E19" s="111">
        <v>45457</v>
      </c>
      <c r="F19" s="50">
        <v>1</v>
      </c>
      <c r="G19" s="50" t="s">
        <v>3768</v>
      </c>
      <c r="H19" s="50">
        <v>229642</v>
      </c>
      <c r="I19" s="50" t="s">
        <v>3621</v>
      </c>
      <c r="J19" s="50" t="s">
        <v>3621</v>
      </c>
      <c r="K19" s="50" t="s">
        <v>3621</v>
      </c>
      <c r="L19" s="50" t="s">
        <v>3621</v>
      </c>
      <c r="M19" s="50" t="s">
        <v>3621</v>
      </c>
      <c r="N19" s="50" t="s">
        <v>3621</v>
      </c>
      <c r="O19" s="50" t="s">
        <v>3621</v>
      </c>
      <c r="P19" s="113" t="s">
        <v>3621</v>
      </c>
      <c r="Q19" s="113"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row>
    <row r="20" spans="2:36">
      <c r="B20" s="50" t="s">
        <v>3602</v>
      </c>
      <c r="C20" s="50">
        <v>18</v>
      </c>
      <c r="D20" s="50" t="s">
        <v>3767</v>
      </c>
      <c r="E20" s="111">
        <v>45457</v>
      </c>
      <c r="F20" s="50">
        <v>1</v>
      </c>
      <c r="G20" s="50" t="s">
        <v>3769</v>
      </c>
      <c r="H20" s="50">
        <v>1188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row>
    <row r="21" spans="2:36">
      <c r="B21" s="50" t="s">
        <v>3604</v>
      </c>
      <c r="C21" s="50">
        <v>19</v>
      </c>
      <c r="D21" s="50" t="s">
        <v>3770</v>
      </c>
      <c r="E21" s="111">
        <v>45457</v>
      </c>
      <c r="F21" s="50">
        <v>1</v>
      </c>
      <c r="G21" s="50" cm="1">
        <f t="array" aca="1" ref="G21" ca="1">SUMPRODUCT(--(ISNUMBER((SEARCH(I28:AJ28,I21:AJ21)))))/COUNTA(I21:AJ21)</f>
        <v>0.7857142857142857</v>
      </c>
      <c r="H21" s="50" t="s">
        <v>3706</v>
      </c>
      <c r="I21" s="50" t="s">
        <v>3655</v>
      </c>
      <c r="J21" s="50" t="s">
        <v>3655</v>
      </c>
      <c r="K21" s="50" t="s">
        <v>3655</v>
      </c>
      <c r="L21" s="50" t="s">
        <v>3655</v>
      </c>
      <c r="M21" s="50" t="s">
        <v>3655</v>
      </c>
      <c r="N21" s="50" t="s">
        <v>3655</v>
      </c>
      <c r="O21" s="50" t="s">
        <v>3655</v>
      </c>
      <c r="P21" s="50" t="s">
        <v>3655</v>
      </c>
      <c r="Q21" s="50" t="s">
        <v>3655</v>
      </c>
      <c r="R21" s="50" t="s">
        <v>3655</v>
      </c>
      <c r="S21" s="50" t="s">
        <v>3656</v>
      </c>
      <c r="T21" s="50" t="s">
        <v>3656</v>
      </c>
      <c r="U21" s="50" t="s">
        <v>3656</v>
      </c>
      <c r="V21" s="50" t="s">
        <v>3655</v>
      </c>
      <c r="W21" s="50" t="s">
        <v>3655</v>
      </c>
      <c r="X21" s="50" t="s">
        <v>3655</v>
      </c>
      <c r="Y21" s="50" t="s">
        <v>3655</v>
      </c>
      <c r="Z21" s="50" t="s">
        <v>3655</v>
      </c>
      <c r="AA21" s="50" t="s">
        <v>3655</v>
      </c>
      <c r="AB21" s="50" t="s">
        <v>3655</v>
      </c>
      <c r="AC21" s="50" t="s">
        <v>3655</v>
      </c>
      <c r="AD21" s="50" t="s">
        <v>3655</v>
      </c>
      <c r="AE21" s="50" t="s">
        <v>3655</v>
      </c>
      <c r="AF21" s="50" t="s">
        <v>3655</v>
      </c>
      <c r="AG21" s="50" t="s">
        <v>3655</v>
      </c>
      <c r="AH21" s="50" t="s">
        <v>3655</v>
      </c>
      <c r="AI21" s="50" t="s">
        <v>3655</v>
      </c>
      <c r="AJ21" s="50" t="s">
        <v>3657</v>
      </c>
    </row>
    <row r="22" spans="2:36">
      <c r="B22" s="113" t="s">
        <v>3607</v>
      </c>
      <c r="C22" s="50">
        <v>20</v>
      </c>
      <c r="D22" s="50" t="s">
        <v>3767</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3610</v>
      </c>
      <c r="C23" s="50">
        <v>21</v>
      </c>
      <c r="D23" s="50" t="s">
        <v>3770</v>
      </c>
      <c r="E23" s="111">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3" t="s">
        <v>3727</v>
      </c>
    </row>
    <row r="27" spans="2:36">
      <c r="B27" s="149" t="s">
        <v>3613</v>
      </c>
      <c r="C27" s="145" t="s">
        <v>3614</v>
      </c>
      <c r="D27" s="145" t="s">
        <v>3615</v>
      </c>
      <c r="E27" s="145" t="s">
        <v>3616</v>
      </c>
      <c r="F27" s="145" t="s">
        <v>3617</v>
      </c>
      <c r="G27" s="145" t="s">
        <v>3618</v>
      </c>
      <c r="H27" s="145" t="s">
        <v>3619</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c r="B28" s="123" t="s">
        <v>3658</v>
      </c>
      <c r="C28" s="126">
        <v>21</v>
      </c>
      <c r="D28" s="120" t="s">
        <v>3659</v>
      </c>
      <c r="E28" s="119" t="s">
        <v>3660</v>
      </c>
      <c r="F28" s="119" t="s">
        <v>372</v>
      </c>
      <c r="G28" s="119" t="s">
        <v>372</v>
      </c>
      <c r="H28" s="119" t="s">
        <v>372</v>
      </c>
      <c r="I28" s="11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9" t="str">
        <f ca="1"/>
        <v>STRING</v>
      </c>
      <c r="K28" s="119" t="str">
        <f ca="1"/>
        <v>STRING</v>
      </c>
      <c r="L28" s="119" t="str">
        <f ca="1"/>
        <v>STRING</v>
      </c>
      <c r="M28" s="119" t="str">
        <f ca="1"/>
        <v>STRING</v>
      </c>
      <c r="N28" s="119" t="str">
        <f ca="1"/>
        <v>STRING</v>
      </c>
      <c r="O28" s="119" t="str">
        <f ca="1"/>
        <v>STRING</v>
      </c>
      <c r="P28" s="119" t="str">
        <f ca="1"/>
        <v>STRING</v>
      </c>
      <c r="Q28" s="119" t="str">
        <f ca="1"/>
        <v>STRING</v>
      </c>
      <c r="R28" s="119" t="str">
        <f ca="1"/>
        <v>STRING</v>
      </c>
      <c r="S28" s="119" t="str">
        <f ca="1"/>
        <v>DECIMAL</v>
      </c>
      <c r="T28" s="119" t="str">
        <f ca="1"/>
        <v>DECIMAL</v>
      </c>
      <c r="U28" s="119" t="str">
        <f ca="1"/>
        <v>DECIMAL</v>
      </c>
      <c r="V28" s="119" t="str">
        <f ca="1"/>
        <v>STRING</v>
      </c>
      <c r="W28" s="119" t="str">
        <f ca="1"/>
        <v>STRING</v>
      </c>
      <c r="X28" s="119" t="str">
        <f ca="1"/>
        <v>DECIMAL</v>
      </c>
      <c r="Y28" s="119" t="str">
        <f ca="1"/>
        <v>DECIMAL</v>
      </c>
      <c r="Z28" s="119" t="str">
        <f ca="1"/>
        <v>DECIMAL</v>
      </c>
      <c r="AA28" s="119" t="str">
        <f ca="1"/>
        <v>STRING</v>
      </c>
      <c r="AB28" s="119" t="str">
        <f ca="1"/>
        <v>STRING</v>
      </c>
      <c r="AC28" s="119" t="str">
        <f ca="1"/>
        <v>DECIMAL</v>
      </c>
      <c r="AD28" s="125" t="str">
        <f ca="1"/>
        <v>DECIMAL</v>
      </c>
      <c r="AE28" s="125" t="str">
        <f ca="1"/>
        <v>DECIMAL</v>
      </c>
      <c r="AF28" s="125" t="str">
        <f ca="1"/>
        <v>STRING</v>
      </c>
      <c r="AG28" s="125" t="str">
        <f ca="1"/>
        <v>STRING</v>
      </c>
      <c r="AH28" s="125" t="str">
        <f ca="1"/>
        <v>STRING</v>
      </c>
      <c r="AI28" s="119" t="str">
        <f ca="1"/>
        <v>STRING</v>
      </c>
      <c r="AJ28" s="124" t="str">
        <f ca="1"/>
        <v>TIMESTAMP</v>
      </c>
    </row>
    <row r="29" spans="2:36">
      <c r="B29" s="123" t="s">
        <v>3661</v>
      </c>
      <c r="C29" s="126">
        <v>7</v>
      </c>
      <c r="D29" s="120" t="s">
        <v>3659</v>
      </c>
      <c r="E29" s="119" t="s">
        <v>3660</v>
      </c>
      <c r="F29" s="121" t="s">
        <v>372</v>
      </c>
      <c r="G29" s="121" t="s">
        <v>372</v>
      </c>
      <c r="H29" s="121" t="s">
        <v>372</v>
      </c>
      <c r="I29" s="167">
        <f ca="1"/>
        <v>4</v>
      </c>
      <c r="J29" s="167">
        <f ca="1"/>
        <v>30</v>
      </c>
      <c r="K29" s="167">
        <f ca="1"/>
        <v>4</v>
      </c>
      <c r="L29" s="167">
        <f ca="1"/>
        <v>4</v>
      </c>
      <c r="M29" s="167">
        <f ca="1"/>
        <v>4</v>
      </c>
      <c r="N29" s="167">
        <f ca="1"/>
        <v>4</v>
      </c>
      <c r="O29" s="167">
        <f ca="1"/>
        <v>30</v>
      </c>
      <c r="P29" s="167">
        <f ca="1"/>
        <v>10</v>
      </c>
      <c r="Q29" s="167">
        <f ca="1"/>
        <v>10</v>
      </c>
      <c r="R29" s="167">
        <f ca="1"/>
        <v>4</v>
      </c>
      <c r="S29" s="167">
        <f ca="1"/>
        <v>23</v>
      </c>
      <c r="T29" s="167">
        <f ca="1"/>
        <v>23</v>
      </c>
      <c r="U29" s="167">
        <f ca="1"/>
        <v>23</v>
      </c>
      <c r="V29" s="167">
        <f ca="1"/>
        <v>4</v>
      </c>
      <c r="W29" s="167">
        <f ca="1"/>
        <v>3</v>
      </c>
      <c r="X29" s="167">
        <f ca="1"/>
        <v>23</v>
      </c>
      <c r="Y29" s="167">
        <f ca="1"/>
        <v>23</v>
      </c>
      <c r="Z29" s="167">
        <f ca="1"/>
        <v>23</v>
      </c>
      <c r="AA29" s="167">
        <f ca="1"/>
        <v>4</v>
      </c>
      <c r="AB29" s="167">
        <f ca="1"/>
        <v>3</v>
      </c>
      <c r="AC29" s="167">
        <f ca="1"/>
        <v>23</v>
      </c>
      <c r="AD29" s="168">
        <f ca="1"/>
        <v>23</v>
      </c>
      <c r="AE29" s="168">
        <f ca="1"/>
        <v>23</v>
      </c>
      <c r="AF29" s="168">
        <f ca="1"/>
        <v>4</v>
      </c>
      <c r="AG29" s="168">
        <f ca="1"/>
        <v>4</v>
      </c>
      <c r="AH29" s="168">
        <f ca="1"/>
        <v>2</v>
      </c>
      <c r="AI29" s="167">
        <f ca="1"/>
        <v>10</v>
      </c>
      <c r="AJ29" s="124">
        <f ca="1"/>
        <v>23</v>
      </c>
    </row>
    <row r="31" spans="2:36">
      <c r="B31" s="156" t="s">
        <v>3662</v>
      </c>
    </row>
    <row r="32" spans="2:36">
      <c r="B32" s="150" t="s">
        <v>3663</v>
      </c>
      <c r="C32" s="150" t="s">
        <v>3664</v>
      </c>
      <c r="D32" s="151" t="s">
        <v>3665</v>
      </c>
      <c r="E32" s="150" t="s">
        <v>3666</v>
      </c>
      <c r="F32" s="150" t="s">
        <v>3667</v>
      </c>
    </row>
    <row r="33" spans="2:16" ht="29.1">
      <c r="B33" s="134" t="s">
        <v>3771</v>
      </c>
      <c r="C33" s="137" t="s">
        <v>2172</v>
      </c>
      <c r="D33" s="53" t="s">
        <v>3772</v>
      </c>
      <c r="E33" s="169" t="s">
        <v>3773</v>
      </c>
      <c r="F33" s="152" t="s">
        <v>3674</v>
      </c>
    </row>
    <row r="34" spans="2:16" ht="29.1">
      <c r="B34" s="134" t="s">
        <v>3771</v>
      </c>
      <c r="C34" s="137" t="s">
        <v>2176</v>
      </c>
      <c r="D34" s="53" t="s">
        <v>3772</v>
      </c>
      <c r="E34" s="169" t="s">
        <v>3773</v>
      </c>
      <c r="F34" s="152" t="s">
        <v>3674</v>
      </c>
    </row>
    <row r="35" spans="2:16" ht="29.1">
      <c r="B35" s="134" t="s">
        <v>3771</v>
      </c>
      <c r="C35" s="137" t="s">
        <v>2179</v>
      </c>
      <c r="D35" s="53" t="s">
        <v>3772</v>
      </c>
      <c r="E35" s="169" t="s">
        <v>3773</v>
      </c>
      <c r="F35" s="152" t="s">
        <v>3674</v>
      </c>
    </row>
    <row r="36" spans="2:16" ht="29.1">
      <c r="B36" s="134" t="s">
        <v>3771</v>
      </c>
      <c r="C36" s="137" t="s">
        <v>2186</v>
      </c>
      <c r="D36" s="53" t="s">
        <v>3772</v>
      </c>
      <c r="E36" s="169" t="s">
        <v>3773</v>
      </c>
      <c r="F36" s="152" t="s">
        <v>3674</v>
      </c>
    </row>
    <row r="37" spans="2:16" ht="29.1">
      <c r="B37" s="134" t="s">
        <v>3771</v>
      </c>
      <c r="C37" s="137" t="s">
        <v>2190</v>
      </c>
      <c r="D37" s="53" t="s">
        <v>3772</v>
      </c>
      <c r="E37" s="169" t="s">
        <v>3773</v>
      </c>
      <c r="F37" s="152" t="s">
        <v>3674</v>
      </c>
    </row>
    <row r="38" spans="2:16" ht="29.1">
      <c r="B38" s="134" t="s">
        <v>3771</v>
      </c>
      <c r="C38" s="137" t="s">
        <v>2194</v>
      </c>
      <c r="D38" s="53" t="s">
        <v>3772</v>
      </c>
      <c r="E38" s="169" t="s">
        <v>3773</v>
      </c>
      <c r="F38" s="152" t="s">
        <v>3674</v>
      </c>
    </row>
    <row r="39" spans="2:16" ht="29.1">
      <c r="B39" s="134" t="s">
        <v>3771</v>
      </c>
      <c r="C39" s="137" t="s">
        <v>2197</v>
      </c>
      <c r="D39" s="53" t="s">
        <v>3772</v>
      </c>
      <c r="E39" s="169" t="s">
        <v>3773</v>
      </c>
      <c r="F39" s="152" t="s">
        <v>3674</v>
      </c>
    </row>
    <row r="40" spans="2:16" ht="29.1">
      <c r="B40" s="134" t="s">
        <v>3771</v>
      </c>
      <c r="C40" s="137" t="s">
        <v>2204</v>
      </c>
      <c r="D40" s="53" t="s">
        <v>3772</v>
      </c>
      <c r="E40" s="169" t="s">
        <v>3773</v>
      </c>
      <c r="F40" s="152" t="s">
        <v>3674</v>
      </c>
    </row>
    <row r="41" spans="2:16" ht="29.1">
      <c r="B41" s="134" t="s">
        <v>3771</v>
      </c>
      <c r="C41" s="131" t="s">
        <v>305</v>
      </c>
      <c r="D41" s="53" t="s">
        <v>3774</v>
      </c>
      <c r="E41" s="169" t="s">
        <v>3773</v>
      </c>
      <c r="F41" s="152" t="s">
        <v>3674</v>
      </c>
      <c r="I41" s="174"/>
      <c r="J41" s="174"/>
      <c r="K41" s="174"/>
      <c r="L41" s="174"/>
      <c r="M41" s="174"/>
      <c r="N41" s="174"/>
      <c r="O41" s="174"/>
      <c r="P41" s="174"/>
    </row>
    <row r="42" spans="2:16" ht="29.1">
      <c r="B42" s="189" t="s">
        <v>3728</v>
      </c>
      <c r="C42" s="190" t="s">
        <v>188</v>
      </c>
      <c r="D42" s="191" t="s">
        <v>3775</v>
      </c>
      <c r="E42" s="192" t="s">
        <v>3776</v>
      </c>
      <c r="F42" s="193" t="s">
        <v>3677</v>
      </c>
      <c r="L42" s="174"/>
    </row>
    <row r="43" spans="2:16" ht="29.1">
      <c r="B43" s="127" t="s">
        <v>3678</v>
      </c>
      <c r="C43" s="131" t="s">
        <v>3679</v>
      </c>
      <c r="D43" s="53" t="s">
        <v>3777</v>
      </c>
      <c r="E43" s="171" t="s">
        <v>3778</v>
      </c>
      <c r="F43" s="152" t="s">
        <v>3674</v>
      </c>
      <c r="L43" s="174"/>
    </row>
    <row r="44" spans="2:16" ht="29.1">
      <c r="B44" s="127" t="s">
        <v>3736</v>
      </c>
      <c r="C44" s="137" t="s">
        <v>3679</v>
      </c>
      <c r="D44" s="53" t="s">
        <v>3779</v>
      </c>
      <c r="E44" s="171" t="s">
        <v>3780</v>
      </c>
      <c r="F44" s="152" t="s">
        <v>3677</v>
      </c>
      <c r="I44" s="174"/>
      <c r="J44" s="174"/>
      <c r="K44" s="174"/>
      <c r="L44" s="174"/>
    </row>
    <row r="45" spans="2:16" ht="29.1">
      <c r="B45" s="127" t="s">
        <v>3781</v>
      </c>
      <c r="C45" s="133" t="s">
        <v>2179</v>
      </c>
      <c r="D45" s="53" t="s">
        <v>3782</v>
      </c>
      <c r="E45" s="169" t="s">
        <v>3773</v>
      </c>
      <c r="F45" s="152" t="s">
        <v>3674</v>
      </c>
      <c r="I45" s="174"/>
      <c r="J45" s="174"/>
      <c r="K45" s="174"/>
      <c r="L45" s="174"/>
    </row>
    <row r="46" spans="2:16" ht="29.1">
      <c r="B46" s="127" t="s">
        <v>3781</v>
      </c>
      <c r="C46" s="137" t="s">
        <v>2183</v>
      </c>
      <c r="D46" s="53" t="s">
        <v>3782</v>
      </c>
      <c r="E46" s="169" t="s">
        <v>3773</v>
      </c>
      <c r="F46" s="152" t="s">
        <v>3674</v>
      </c>
      <c r="I46" s="174"/>
      <c r="J46" s="174"/>
      <c r="K46" s="174"/>
      <c r="L46" s="174"/>
    </row>
    <row r="47" spans="2:16" ht="29.1">
      <c r="B47" s="127" t="s">
        <v>3781</v>
      </c>
      <c r="C47" s="133" t="s">
        <v>2186</v>
      </c>
      <c r="D47" s="53" t="s">
        <v>3782</v>
      </c>
      <c r="E47" s="169" t="s">
        <v>3773</v>
      </c>
      <c r="F47" s="152" t="s">
        <v>3674</v>
      </c>
      <c r="I47" s="174"/>
      <c r="J47" s="174"/>
      <c r="K47" s="174"/>
      <c r="L47" s="174"/>
    </row>
    <row r="48" spans="2:16" ht="29.1">
      <c r="B48" s="127" t="s">
        <v>3781</v>
      </c>
      <c r="C48" s="133" t="s">
        <v>2197</v>
      </c>
      <c r="D48" s="53" t="s">
        <v>3782</v>
      </c>
      <c r="E48" s="169" t="s">
        <v>3773</v>
      </c>
      <c r="F48" s="152" t="s">
        <v>3674</v>
      </c>
      <c r="I48" s="174"/>
      <c r="J48" s="174"/>
      <c r="K48" s="174"/>
      <c r="L48" s="174"/>
    </row>
    <row r="49" spans="2:6" ht="29.1">
      <c r="B49" s="127" t="s">
        <v>3781</v>
      </c>
      <c r="C49" s="137" t="s">
        <v>2201</v>
      </c>
      <c r="D49" s="53" t="s">
        <v>3782</v>
      </c>
      <c r="E49" s="169" t="s">
        <v>3773</v>
      </c>
      <c r="F49" s="152" t="s">
        <v>3674</v>
      </c>
    </row>
    <row r="50" spans="2:6" ht="29.1">
      <c r="B50" s="127" t="s">
        <v>3781</v>
      </c>
      <c r="C50" s="188" t="s">
        <v>2204</v>
      </c>
      <c r="D50" s="53" t="s">
        <v>3782</v>
      </c>
      <c r="E50" s="169" t="s">
        <v>3773</v>
      </c>
      <c r="F50" s="152" t="s">
        <v>3674</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3783</v>
      </c>
      <c r="V2" s="91" t="s">
        <v>3784</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c r="B3" s="50" t="s">
        <v>3567</v>
      </c>
      <c r="C3" s="50">
        <v>1</v>
      </c>
      <c r="D3" s="111" t="s">
        <v>3785</v>
      </c>
      <c r="E3" s="111">
        <v>45448</v>
      </c>
      <c r="F3" s="50">
        <v>2</v>
      </c>
      <c r="G3" s="114">
        <v>1</v>
      </c>
      <c r="H3" s="198" t="s">
        <v>3786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c r="B4" s="50" t="s">
        <v>3569</v>
      </c>
      <c r="C4" s="50">
        <v>2</v>
      </c>
      <c r="D4" s="111" t="s">
        <v>3787</v>
      </c>
      <c r="E4" s="111">
        <v>45448</v>
      </c>
      <c r="F4" s="50">
        <v>2</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c r="B5" s="50" t="s">
        <v>3571</v>
      </c>
      <c r="C5" s="50">
        <v>3</v>
      </c>
      <c r="D5" s="111" t="s">
        <v>3788</v>
      </c>
      <c r="E5" s="111">
        <v>45448</v>
      </c>
      <c r="F5" s="50">
        <v>2</v>
      </c>
      <c r="G5" s="114">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c r="B6" s="113" t="s">
        <v>3573</v>
      </c>
      <c r="C6" s="50">
        <v>4</v>
      </c>
      <c r="D6" s="50" t="s">
        <v>3624</v>
      </c>
      <c r="E6" s="111" t="s">
        <v>3621</v>
      </c>
      <c r="F6" s="50">
        <v>2</v>
      </c>
      <c r="G6" s="111" t="s">
        <v>3621</v>
      </c>
      <c r="H6" s="50"/>
      <c r="I6" s="50" t="s">
        <v>3621</v>
      </c>
      <c r="J6" s="50" t="s">
        <v>3621</v>
      </c>
      <c r="K6" s="50" t="s">
        <v>3621</v>
      </c>
      <c r="L6" s="50" t="s">
        <v>3621</v>
      </c>
      <c r="M6" s="50" t="s">
        <v>3621</v>
      </c>
      <c r="N6" s="50" t="s">
        <v>3621</v>
      </c>
      <c r="O6" s="50" t="s">
        <v>3621</v>
      </c>
      <c r="P6" s="50" t="s">
        <v>3621</v>
      </c>
      <c r="Q6" s="50" t="s">
        <v>3621</v>
      </c>
      <c r="R6" s="50" t="s">
        <v>3621</v>
      </c>
      <c r="S6" s="114" t="s">
        <v>3621</v>
      </c>
      <c r="T6" s="114"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c r="B7" s="113" t="s">
        <v>3575</v>
      </c>
      <c r="C7" s="50">
        <v>5</v>
      </c>
      <c r="D7" s="50" t="s">
        <v>3624</v>
      </c>
      <c r="E7" s="111" t="s">
        <v>3621</v>
      </c>
      <c r="F7" s="50">
        <v>2</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c r="B8" s="113" t="s">
        <v>3576</v>
      </c>
      <c r="C8" s="50">
        <v>6</v>
      </c>
      <c r="D8" s="111" t="s">
        <v>3789</v>
      </c>
      <c r="E8" s="111">
        <v>45448</v>
      </c>
      <c r="F8" s="50">
        <v>2</v>
      </c>
      <c r="G8" s="50" cm="1">
        <f t="array" ref="G8">SUMPRODUCT(--(I8:AN8&gt;0))/COUNTA(I8:AN8)</f>
        <v>1</v>
      </c>
      <c r="H8" s="50" t="s">
        <v>3706</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c r="B9" s="50" t="s">
        <v>3579</v>
      </c>
      <c r="C9" s="50">
        <v>7</v>
      </c>
      <c r="D9" s="111" t="s">
        <v>3790</v>
      </c>
      <c r="E9" s="111">
        <v>45448</v>
      </c>
      <c r="F9" s="50">
        <v>2</v>
      </c>
      <c r="G9" s="50" cm="1">
        <f t="array" aca="1" ref="G9" ca="1">SUMPRODUCT(--(I9:AN9 &lt;= I28:AN28))/COUNTA(I28:AN28)</f>
        <v>0.6875</v>
      </c>
      <c r="H9" s="50" t="s">
        <v>3706</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c r="B10" s="50" t="s">
        <v>3582</v>
      </c>
      <c r="C10" s="50">
        <v>8</v>
      </c>
      <c r="D10" s="111" t="s">
        <v>3791</v>
      </c>
      <c r="E10" s="111">
        <v>45448</v>
      </c>
      <c r="F10" s="50">
        <v>2</v>
      </c>
      <c r="G10" s="111" t="s">
        <v>3621</v>
      </c>
      <c r="H10" s="50" t="s">
        <v>3706</v>
      </c>
      <c r="I10" s="50">
        <v>31</v>
      </c>
      <c r="J10" s="50">
        <v>8.9040009999999996E+21</v>
      </c>
      <c r="K10" s="50" t="s">
        <v>3792</v>
      </c>
      <c r="L10" s="50">
        <v>20</v>
      </c>
      <c r="M10" s="111">
        <v>0</v>
      </c>
      <c r="N10" s="111">
        <v>25601</v>
      </c>
      <c r="O10" s="111">
        <v>2958465</v>
      </c>
      <c r="P10" s="50">
        <v>0</v>
      </c>
      <c r="Q10" s="114">
        <v>0</v>
      </c>
      <c r="R10" s="209">
        <v>-1208895086580000</v>
      </c>
      <c r="S10" s="209" t="s">
        <v>3793</v>
      </c>
      <c r="T10" s="114">
        <v>-1.0000000001641E+17</v>
      </c>
      <c r="U10" s="114" t="s">
        <v>3630</v>
      </c>
      <c r="V10" s="114" t="s">
        <v>3630</v>
      </c>
      <c r="W10" s="114" t="s">
        <v>3630</v>
      </c>
      <c r="X10" s="114" t="s">
        <v>3630</v>
      </c>
      <c r="Y10" s="114" t="s">
        <v>3630</v>
      </c>
      <c r="Z10" s="114" t="s">
        <v>1670</v>
      </c>
      <c r="AA10" s="50" t="s">
        <v>1676</v>
      </c>
      <c r="AB10" s="50" t="s">
        <v>1681</v>
      </c>
      <c r="AC10" s="111" t="s">
        <v>1685</v>
      </c>
      <c r="AD10" s="50" t="s">
        <v>1689</v>
      </c>
      <c r="AE10" s="50" t="s">
        <v>1693</v>
      </c>
      <c r="AF10" s="50" t="s">
        <v>1697</v>
      </c>
      <c r="AG10" s="50" t="s">
        <v>1702</v>
      </c>
      <c r="AH10" s="111" t="s">
        <v>1706</v>
      </c>
      <c r="AI10" s="50" t="s">
        <v>1709</v>
      </c>
      <c r="AJ10" s="50" t="s">
        <v>3631</v>
      </c>
      <c r="AK10" s="50" t="s">
        <v>3632</v>
      </c>
      <c r="AL10" s="111" t="s">
        <v>3749</v>
      </c>
      <c r="AM10" s="111">
        <v>45448</v>
      </c>
      <c r="AN10" s="111" t="s">
        <v>3794</v>
      </c>
    </row>
    <row r="11" spans="2:40">
      <c r="B11" s="50" t="s">
        <v>3584</v>
      </c>
      <c r="C11" s="50">
        <v>9</v>
      </c>
      <c r="D11" s="111" t="s">
        <v>3795</v>
      </c>
      <c r="E11" s="111">
        <v>45448</v>
      </c>
      <c r="F11" s="50">
        <v>2</v>
      </c>
      <c r="G11" s="111" t="s">
        <v>3621</v>
      </c>
      <c r="H11" s="50" t="s">
        <v>3706</v>
      </c>
      <c r="I11" s="50">
        <v>31</v>
      </c>
      <c r="J11" s="50">
        <v>8.9040009999999996E+21</v>
      </c>
      <c r="K11" s="50" t="s">
        <v>3796</v>
      </c>
      <c r="L11" s="50">
        <v>20</v>
      </c>
      <c r="M11" s="111">
        <v>0</v>
      </c>
      <c r="N11" s="111">
        <v>25601</v>
      </c>
      <c r="O11" s="111">
        <v>2958465</v>
      </c>
      <c r="P11" s="50">
        <v>36</v>
      </c>
      <c r="Q11" s="50">
        <v>0</v>
      </c>
      <c r="R11" s="111" t="s">
        <v>3797</v>
      </c>
      <c r="S11" s="111" t="s">
        <v>3798</v>
      </c>
      <c r="T11" s="111" t="s">
        <v>3799</v>
      </c>
      <c r="U11" s="50" t="s">
        <v>3706</v>
      </c>
      <c r="V11" s="50" t="s">
        <v>3706</v>
      </c>
      <c r="W11" s="50" t="s">
        <v>3706</v>
      </c>
      <c r="X11" s="114" t="s">
        <v>3706</v>
      </c>
      <c r="Y11" s="114" t="s">
        <v>3706</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3800</v>
      </c>
      <c r="AL11" s="111" t="s">
        <v>3749</v>
      </c>
      <c r="AM11" s="111">
        <v>45448</v>
      </c>
      <c r="AN11" s="111" t="s">
        <v>3801</v>
      </c>
    </row>
    <row r="12" spans="2:40">
      <c r="B12" s="113" t="s">
        <v>3586</v>
      </c>
      <c r="C12" s="50">
        <v>10</v>
      </c>
      <c r="D12" s="111" t="s">
        <v>3802</v>
      </c>
      <c r="E12" s="111">
        <v>45448</v>
      </c>
      <c r="F12" s="50">
        <v>2</v>
      </c>
      <c r="G12" s="111" t="s">
        <v>3621</v>
      </c>
      <c r="H12" s="50" t="s">
        <v>3706</v>
      </c>
      <c r="I12" s="50">
        <v>31</v>
      </c>
      <c r="J12" s="50">
        <v>7.0060000328101998E+29</v>
      </c>
      <c r="K12" s="50" t="s">
        <v>3803</v>
      </c>
      <c r="L12" s="50">
        <v>931</v>
      </c>
      <c r="M12" s="111" t="s">
        <v>3804</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3805</v>
      </c>
      <c r="AK12" s="50" t="s">
        <v>3806</v>
      </c>
      <c r="AL12" s="111" t="s">
        <v>3641</v>
      </c>
      <c r="AM12" s="111">
        <v>45448</v>
      </c>
      <c r="AN12" s="50" t="s">
        <v>3794</v>
      </c>
    </row>
    <row r="13" spans="2:40">
      <c r="B13" s="50" t="s">
        <v>3588</v>
      </c>
      <c r="C13" s="50">
        <v>11</v>
      </c>
      <c r="D13" s="111" t="s">
        <v>3807</v>
      </c>
      <c r="E13" s="111">
        <v>45448</v>
      </c>
      <c r="F13" s="50">
        <v>2</v>
      </c>
      <c r="G13" s="111" t="s">
        <v>3621</v>
      </c>
      <c r="H13" s="50" t="s">
        <v>3706</v>
      </c>
      <c r="I13" s="50">
        <v>31</v>
      </c>
      <c r="J13" s="50">
        <v>7.0060000328101998E+29</v>
      </c>
      <c r="K13" s="50" t="s">
        <v>3808</v>
      </c>
      <c r="L13" s="50">
        <v>931</v>
      </c>
      <c r="M13" s="111" t="s">
        <v>3804</v>
      </c>
      <c r="N13" s="111">
        <v>45448</v>
      </c>
      <c r="O13" s="111">
        <v>2958465</v>
      </c>
      <c r="P13" s="111">
        <v>985</v>
      </c>
      <c r="Q13" s="50">
        <v>1</v>
      </c>
      <c r="R13" s="50" t="s">
        <v>3809</v>
      </c>
      <c r="S13" s="111" t="s">
        <v>3810</v>
      </c>
      <c r="T13" s="111" t="s">
        <v>3811</v>
      </c>
      <c r="U13" s="50" t="s">
        <v>3812</v>
      </c>
      <c r="V13" s="50" t="s">
        <v>3812</v>
      </c>
      <c r="W13" s="50" t="s">
        <v>3813</v>
      </c>
      <c r="X13" s="50" t="s">
        <v>3814</v>
      </c>
      <c r="Y13" s="50" t="s">
        <v>3815</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3816</v>
      </c>
      <c r="AL13" s="111" t="s">
        <v>3749</v>
      </c>
      <c r="AM13" s="111">
        <v>45448</v>
      </c>
      <c r="AN13" s="111" t="s">
        <v>3817</v>
      </c>
    </row>
    <row r="14" spans="2:40">
      <c r="B14" s="50" t="s">
        <v>3590</v>
      </c>
      <c r="C14" s="50">
        <v>12</v>
      </c>
      <c r="D14" s="111" t="s">
        <v>3818</v>
      </c>
      <c r="E14" s="111">
        <v>45448</v>
      </c>
      <c r="F14" s="50">
        <v>2</v>
      </c>
      <c r="G14" s="114" t="s">
        <v>3819</v>
      </c>
      <c r="H14" s="50" t="s">
        <v>3706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3592</v>
      </c>
      <c r="C15" s="50">
        <v>13</v>
      </c>
      <c r="D15" s="111" t="s">
        <v>3820</v>
      </c>
      <c r="E15" s="111">
        <v>45448</v>
      </c>
      <c r="F15" s="50">
        <v>2</v>
      </c>
      <c r="G15" s="114">
        <v>1</v>
      </c>
      <c r="H15" s="114" t="s">
        <v>3706</v>
      </c>
      <c r="I15" s="50" t="s">
        <v>3621</v>
      </c>
      <c r="J15" s="50" t="s">
        <v>3621</v>
      </c>
      <c r="K15" s="50" t="s">
        <v>3621</v>
      </c>
      <c r="L15" s="50" t="s">
        <v>3621</v>
      </c>
      <c r="M15" s="50" t="s">
        <v>3621</v>
      </c>
      <c r="N15" s="113">
        <v>0</v>
      </c>
      <c r="O15" s="113">
        <v>0</v>
      </c>
      <c r="P15" s="113" t="s">
        <v>3621</v>
      </c>
      <c r="Q15" s="113" t="s">
        <v>3621</v>
      </c>
      <c r="R15" s="113" t="s">
        <v>3621</v>
      </c>
      <c r="S15" s="50" t="s">
        <v>3621</v>
      </c>
      <c r="T15" s="113"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c r="B16" s="50" t="s">
        <v>3594</v>
      </c>
      <c r="C16" s="50">
        <v>14</v>
      </c>
      <c r="D16" s="111" t="s">
        <v>3821</v>
      </c>
      <c r="E16" s="111">
        <v>45448</v>
      </c>
      <c r="F16" s="50">
        <v>2</v>
      </c>
      <c r="G16" s="114">
        <v>1</v>
      </c>
      <c r="H16" s="114" t="s">
        <v>3706</v>
      </c>
      <c r="I16" s="50">
        <v>0</v>
      </c>
      <c r="J16" s="50">
        <v>0</v>
      </c>
      <c r="K16" s="50">
        <v>0</v>
      </c>
      <c r="L16" s="50">
        <v>0</v>
      </c>
      <c r="M16" s="50">
        <v>0</v>
      </c>
      <c r="N16" s="113" t="s">
        <v>3621</v>
      </c>
      <c r="O16" s="113" t="s">
        <v>3621</v>
      </c>
      <c r="P16" s="50">
        <v>0</v>
      </c>
      <c r="Q16" s="50">
        <v>0</v>
      </c>
      <c r="R16" s="113" t="s">
        <v>3621</v>
      </c>
      <c r="S16" s="113"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v>0</v>
      </c>
      <c r="AK16" s="50">
        <v>0</v>
      </c>
      <c r="AL16" s="50">
        <v>0</v>
      </c>
      <c r="AM16" s="50" t="s">
        <v>3621</v>
      </c>
      <c r="AN16" s="50" t="s">
        <v>3621</v>
      </c>
    </row>
    <row r="17" spans="2:41">
      <c r="B17" s="50" t="s">
        <v>3596</v>
      </c>
      <c r="C17" s="50">
        <v>15</v>
      </c>
      <c r="D17" s="111" t="s">
        <v>3822</v>
      </c>
      <c r="E17" s="111">
        <v>45448</v>
      </c>
      <c r="F17" s="50">
        <v>2</v>
      </c>
      <c r="G17" s="114">
        <v>1</v>
      </c>
      <c r="H17" s="267" t="s">
        <v>3823</v>
      </c>
      <c r="I17" s="50" t="s">
        <v>3621</v>
      </c>
      <c r="J17" s="50" t="s">
        <v>3621</v>
      </c>
      <c r="K17" s="50" t="s">
        <v>3621</v>
      </c>
      <c r="L17" s="50" t="s">
        <v>3621</v>
      </c>
      <c r="M17" s="50" t="s">
        <v>3621</v>
      </c>
      <c r="N17" s="50" t="s">
        <v>3621</v>
      </c>
      <c r="O17" s="50" t="s">
        <v>3621</v>
      </c>
      <c r="P17" s="50" t="s">
        <v>3621</v>
      </c>
      <c r="Q17" s="113"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1">
      <c r="B18" s="50" t="s">
        <v>3598</v>
      </c>
      <c r="C18" s="50">
        <v>16</v>
      </c>
      <c r="D18" s="111" t="s">
        <v>3822</v>
      </c>
      <c r="E18" s="111">
        <v>45448</v>
      </c>
      <c r="F18" s="50">
        <v>2</v>
      </c>
      <c r="G18" s="114">
        <v>1</v>
      </c>
      <c r="H18" s="209"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1">
      <c r="B19" s="50" t="s">
        <v>3600</v>
      </c>
      <c r="C19" s="50">
        <v>17</v>
      </c>
      <c r="D19" s="111" t="s">
        <v>3824</v>
      </c>
      <c r="E19" s="111">
        <v>45448</v>
      </c>
      <c r="F19" s="50">
        <v>2</v>
      </c>
      <c r="G19" s="50" t="s">
        <v>3825</v>
      </c>
      <c r="H19" s="207" t="s">
        <v>3826</v>
      </c>
      <c r="I19" s="50" t="s">
        <v>3621</v>
      </c>
      <c r="J19" s="50" t="s">
        <v>3621</v>
      </c>
      <c r="K19" s="50" t="s">
        <v>3621</v>
      </c>
      <c r="L19" s="50" t="s">
        <v>3621</v>
      </c>
      <c r="M19" s="50" t="s">
        <v>3621</v>
      </c>
      <c r="N19" s="50" t="s">
        <v>3621</v>
      </c>
      <c r="O19" s="50" t="s">
        <v>3621</v>
      </c>
      <c r="P19" s="113" t="s">
        <v>3621</v>
      </c>
      <c r="Q19" s="113"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1">
      <c r="B20" s="50" t="s">
        <v>3602</v>
      </c>
      <c r="C20" s="50">
        <v>18</v>
      </c>
      <c r="D20" s="111" t="s">
        <v>3824</v>
      </c>
      <c r="E20" s="111">
        <v>45448</v>
      </c>
      <c r="F20" s="50">
        <v>2</v>
      </c>
      <c r="G20" s="50" t="s">
        <v>3827</v>
      </c>
      <c r="H20" s="207" t="s">
        <v>3828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1">
      <c r="B21" s="50" t="s">
        <v>3604</v>
      </c>
      <c r="C21" s="50">
        <v>19</v>
      </c>
      <c r="D21" s="111" t="s">
        <v>3829</v>
      </c>
      <c r="E21" s="111">
        <v>45448</v>
      </c>
      <c r="F21" s="50">
        <v>2</v>
      </c>
      <c r="G21" s="212" cm="1">
        <f t="array" aca="1" ref="G21" ca="1">SUMPRODUCT(--(ISNUMBER((SEARCH(I27:AN27,I21:AN21)))))/COUNTA(I21:AN21)</f>
        <v>0.8125</v>
      </c>
      <c r="H21" s="50" t="s">
        <v>3706</v>
      </c>
      <c r="I21" s="50" t="s">
        <v>3655</v>
      </c>
      <c r="J21" s="50" t="s">
        <v>3655</v>
      </c>
      <c r="K21" s="50" t="s">
        <v>3655</v>
      </c>
      <c r="L21" s="50" t="s">
        <v>3655</v>
      </c>
      <c r="M21" s="50" t="s">
        <v>3655</v>
      </c>
      <c r="N21" s="50" t="s">
        <v>3655</v>
      </c>
      <c r="O21" s="50" t="s">
        <v>3655</v>
      </c>
      <c r="P21" s="50" t="s">
        <v>3655</v>
      </c>
      <c r="Q21" s="50" t="s">
        <v>3655</v>
      </c>
      <c r="R21" s="50" t="s">
        <v>3656</v>
      </c>
      <c r="S21" s="50" t="s">
        <v>3656</v>
      </c>
      <c r="T21" s="50" t="s">
        <v>3656</v>
      </c>
      <c r="U21" s="50" t="s">
        <v>3656</v>
      </c>
      <c r="V21" s="50" t="s">
        <v>3656</v>
      </c>
      <c r="W21" s="50" t="s">
        <v>3656</v>
      </c>
      <c r="X21" s="50" t="s">
        <v>3656</v>
      </c>
      <c r="Y21" s="50" t="s">
        <v>3656</v>
      </c>
      <c r="Z21" s="50" t="s">
        <v>3655</v>
      </c>
      <c r="AA21" s="50" t="s">
        <v>3655</v>
      </c>
      <c r="AB21" s="50" t="s">
        <v>3655</v>
      </c>
      <c r="AC21" s="50" t="s">
        <v>3655</v>
      </c>
      <c r="AD21" s="50" t="s">
        <v>3655</v>
      </c>
      <c r="AE21" s="50" t="s">
        <v>3655</v>
      </c>
      <c r="AF21" s="50" t="s">
        <v>3655</v>
      </c>
      <c r="AG21" s="50" t="s">
        <v>3655</v>
      </c>
      <c r="AH21" s="50" t="s">
        <v>3655</v>
      </c>
      <c r="AI21" s="50" t="s">
        <v>3655</v>
      </c>
      <c r="AJ21" s="50" t="s">
        <v>3655</v>
      </c>
      <c r="AK21" s="50" t="s">
        <v>3655</v>
      </c>
      <c r="AL21" s="50" t="s">
        <v>3655</v>
      </c>
      <c r="AM21" s="50" t="s">
        <v>3655</v>
      </c>
      <c r="AN21" s="50" t="s">
        <v>3657</v>
      </c>
    </row>
    <row r="22" spans="2:41">
      <c r="B22" s="50" t="s">
        <v>3607</v>
      </c>
      <c r="C22" s="50">
        <v>20</v>
      </c>
      <c r="D22" s="111" t="s">
        <v>3829</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3610</v>
      </c>
      <c r="C23" s="50">
        <v>21</v>
      </c>
      <c r="D23" s="111" t="s">
        <v>3829</v>
      </c>
      <c r="E23" s="111">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2"/>
    </row>
    <row r="25" spans="2:41">
      <c r="B25" s="143" t="s">
        <v>3727</v>
      </c>
      <c r="AO25" s="223"/>
    </row>
    <row r="26" spans="2:41">
      <c r="B26" s="149" t="s">
        <v>3613</v>
      </c>
      <c r="C26" s="145" t="s">
        <v>3614</v>
      </c>
      <c r="D26" s="145" t="s">
        <v>3615</v>
      </c>
      <c r="E26" s="145" t="s">
        <v>3616</v>
      </c>
      <c r="F26" s="145" t="s">
        <v>3617</v>
      </c>
      <c r="G26" s="145" t="s">
        <v>3618</v>
      </c>
      <c r="H26" s="145" t="s">
        <v>3619</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3783</v>
      </c>
      <c r="V26" s="221" t="s">
        <v>3784</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c r="B27" s="123" t="s">
        <v>3658</v>
      </c>
      <c r="C27" s="126">
        <v>21</v>
      </c>
      <c r="D27" s="120" t="s">
        <v>3659</v>
      </c>
      <c r="E27" s="119" t="s">
        <v>3660</v>
      </c>
      <c r="F27" s="119" t="s">
        <v>372</v>
      </c>
      <c r="G27" s="119" t="s">
        <v>372</v>
      </c>
      <c r="H27" s="119" t="s">
        <v>372</v>
      </c>
      <c r="I27" s="119"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DECIMAL</v>
      </c>
      <c r="S27" s="119" t="str">
        <f ca="1"/>
        <v>DECIMAL</v>
      </c>
      <c r="T27" s="119" t="str">
        <f ca="1"/>
        <v>DECIMAL</v>
      </c>
      <c r="U27" s="119" t="str">
        <f ca="1"/>
        <v>DECIMAL</v>
      </c>
      <c r="V27" s="119" t="str">
        <f ca="1"/>
        <v>DECIMAL</v>
      </c>
      <c r="W27" s="119" t="str">
        <f ca="1"/>
        <v>DECIMAL</v>
      </c>
      <c r="X27" s="119" t="str">
        <f ca="1"/>
        <v>DECIMAL</v>
      </c>
      <c r="Y27" s="119" t="str">
        <f ca="1"/>
        <v>DECIMAL</v>
      </c>
      <c r="Z27" s="119" t="str">
        <f ca="1"/>
        <v>STRING</v>
      </c>
      <c r="AA27" s="119" t="str">
        <f ca="1"/>
        <v>STRING</v>
      </c>
      <c r="AB27" s="119" t="str">
        <f ca="1"/>
        <v>DECIMAL</v>
      </c>
      <c r="AC27" s="119" t="str">
        <f ca="1"/>
        <v>DECIMAL</v>
      </c>
      <c r="AD27" s="119" t="str">
        <f ca="1"/>
        <v>DECIMAL</v>
      </c>
      <c r="AE27" s="119" t="str">
        <f ca="1"/>
        <v>STRING</v>
      </c>
      <c r="AF27" s="119" t="str">
        <f ca="1"/>
        <v>STRING</v>
      </c>
      <c r="AG27" s="119" t="str">
        <f ca="1"/>
        <v>DECIMAL</v>
      </c>
      <c r="AH27" s="119" t="str">
        <f ca="1"/>
        <v>DECIMAL</v>
      </c>
      <c r="AI27" s="119" t="str">
        <f ca="1"/>
        <v>DECIMAL</v>
      </c>
      <c r="AJ27" s="119" t="str">
        <f ca="1"/>
        <v>STRING</v>
      </c>
      <c r="AK27" s="119" t="str">
        <f ca="1"/>
        <v>STRING</v>
      </c>
      <c r="AL27" s="119" t="str">
        <f ca="1"/>
        <v>STRING</v>
      </c>
      <c r="AM27" s="119" t="str">
        <f ca="1"/>
        <v>STRING</v>
      </c>
      <c r="AN27" s="119" t="str">
        <f ca="1"/>
        <v>TIMESTAMP</v>
      </c>
    </row>
    <row r="28" spans="2:41">
      <c r="B28" s="123" t="s">
        <v>3661</v>
      </c>
      <c r="C28" s="126">
        <v>7</v>
      </c>
      <c r="D28" s="120" t="s">
        <v>3659</v>
      </c>
      <c r="E28" s="119" t="s">
        <v>3660</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23</v>
      </c>
      <c r="W28" s="167">
        <f ca="1"/>
        <v>23</v>
      </c>
      <c r="X28" s="167">
        <f ca="1"/>
        <v>23</v>
      </c>
      <c r="Y28" s="167">
        <f ca="1"/>
        <v>23</v>
      </c>
      <c r="Z28" s="167">
        <f ca="1"/>
        <v>4</v>
      </c>
      <c r="AA28" s="167">
        <f ca="1"/>
        <v>4</v>
      </c>
      <c r="AB28" s="167">
        <f ca="1"/>
        <v>23</v>
      </c>
      <c r="AC28" s="167">
        <f ca="1"/>
        <v>23</v>
      </c>
      <c r="AD28" s="167">
        <f ca="1"/>
        <v>23</v>
      </c>
      <c r="AE28" s="126">
        <f ca="1"/>
        <v>4</v>
      </c>
      <c r="AF28" s="126">
        <f ca="1"/>
        <v>4</v>
      </c>
      <c r="AG28" s="126">
        <f ca="1"/>
        <v>23</v>
      </c>
      <c r="AH28" s="126">
        <f ca="1"/>
        <v>23</v>
      </c>
      <c r="AI28" s="126">
        <f ca="1"/>
        <v>23</v>
      </c>
      <c r="AJ28" s="126">
        <f ca="1"/>
        <v>4</v>
      </c>
      <c r="AK28" s="126">
        <f ca="1"/>
        <v>4</v>
      </c>
      <c r="AL28" s="126">
        <f ca="1"/>
        <v>2</v>
      </c>
      <c r="AM28" s="126">
        <f ca="1"/>
        <v>10</v>
      </c>
      <c r="AN28" s="126">
        <f ca="1"/>
        <v>23</v>
      </c>
    </row>
    <row r="30" spans="2:41">
      <c r="B30" s="156" t="s">
        <v>3662</v>
      </c>
    </row>
    <row r="31" spans="2:41">
      <c r="B31" s="150" t="s">
        <v>3663</v>
      </c>
      <c r="C31" s="150" t="s">
        <v>3664</v>
      </c>
      <c r="D31" s="151" t="s">
        <v>3665</v>
      </c>
      <c r="E31" s="150" t="s">
        <v>3666</v>
      </c>
      <c r="F31" s="150" t="s">
        <v>3667</v>
      </c>
    </row>
    <row r="32" spans="2:41" ht="43.5">
      <c r="B32" s="127" t="s">
        <v>3668</v>
      </c>
      <c r="C32" s="131" t="s">
        <v>283</v>
      </c>
      <c r="D32" s="53" t="s">
        <v>3830</v>
      </c>
      <c r="E32" s="169" t="s">
        <v>3831</v>
      </c>
      <c r="F32" s="152" t="s">
        <v>3674</v>
      </c>
    </row>
    <row r="33" spans="2:16" ht="29.1">
      <c r="B33" s="127" t="s">
        <v>3832</v>
      </c>
      <c r="C33" s="131" t="s">
        <v>3833</v>
      </c>
      <c r="D33" s="53" t="s">
        <v>3834</v>
      </c>
      <c r="E33" s="169" t="s">
        <v>3835</v>
      </c>
      <c r="F33" s="152" t="s">
        <v>3677</v>
      </c>
    </row>
    <row r="34" spans="2:16" ht="87">
      <c r="B34" s="127" t="s">
        <v>3678</v>
      </c>
      <c r="C34" s="131" t="s">
        <v>3679</v>
      </c>
      <c r="D34" s="53" t="s">
        <v>3836</v>
      </c>
      <c r="E34" s="169" t="s">
        <v>3837</v>
      </c>
      <c r="F34" s="152" t="s">
        <v>3838</v>
      </c>
    </row>
    <row r="35" spans="2:16" ht="57.95">
      <c r="B35" s="127" t="s">
        <v>3736</v>
      </c>
      <c r="C35" s="131" t="s">
        <v>3679</v>
      </c>
      <c r="D35" s="53" t="s">
        <v>3839</v>
      </c>
      <c r="E35" s="169" t="s">
        <v>3840</v>
      </c>
      <c r="F35" s="152" t="s">
        <v>3841</v>
      </c>
    </row>
    <row r="36" spans="2:16" ht="29.1">
      <c r="B36" s="127" t="s">
        <v>3771</v>
      </c>
      <c r="C36" s="131" t="s">
        <v>1681</v>
      </c>
      <c r="D36" s="53" t="s">
        <v>3842</v>
      </c>
      <c r="E36" s="169" t="s">
        <v>3843</v>
      </c>
      <c r="F36" s="152" t="s">
        <v>3674</v>
      </c>
    </row>
    <row r="37" spans="2:16" ht="29.1">
      <c r="B37" s="127" t="s">
        <v>3771</v>
      </c>
      <c r="C37" s="131" t="s">
        <v>1685</v>
      </c>
      <c r="D37" s="53" t="s">
        <v>3842</v>
      </c>
      <c r="E37" s="169" t="s">
        <v>3843</v>
      </c>
      <c r="F37" s="152" t="s">
        <v>3674</v>
      </c>
    </row>
    <row r="38" spans="2:16" ht="29.1">
      <c r="B38" s="127" t="s">
        <v>3771</v>
      </c>
      <c r="C38" s="131" t="s">
        <v>1689</v>
      </c>
      <c r="D38" s="53" t="s">
        <v>3842</v>
      </c>
      <c r="E38" s="169" t="s">
        <v>3843</v>
      </c>
      <c r="F38" s="152" t="s">
        <v>3674</v>
      </c>
      <c r="I38" s="174"/>
      <c r="J38" s="174"/>
      <c r="K38" s="174"/>
      <c r="L38" s="174"/>
      <c r="M38" s="174"/>
      <c r="N38" s="174"/>
      <c r="O38" s="174"/>
      <c r="P38" s="174"/>
    </row>
    <row r="39" spans="2:16" ht="29.1">
      <c r="B39" s="127" t="s">
        <v>3771</v>
      </c>
      <c r="C39" s="131" t="s">
        <v>1702</v>
      </c>
      <c r="D39" s="53" t="s">
        <v>3842</v>
      </c>
      <c r="E39" s="169" t="s">
        <v>3843</v>
      </c>
      <c r="F39" s="152" t="s">
        <v>3674</v>
      </c>
      <c r="I39" s="174"/>
      <c r="J39" s="174"/>
      <c r="K39" s="174"/>
      <c r="L39" s="174"/>
      <c r="M39" s="174"/>
      <c r="N39" s="174"/>
      <c r="O39" s="174"/>
      <c r="P39" s="174"/>
    </row>
    <row r="40" spans="2:16" ht="29.1">
      <c r="B40" s="127" t="s">
        <v>3771</v>
      </c>
      <c r="C40" s="131" t="s">
        <v>1706</v>
      </c>
      <c r="D40" s="53" t="s">
        <v>3842</v>
      </c>
      <c r="E40" s="169" t="s">
        <v>3843</v>
      </c>
      <c r="F40" s="152" t="s">
        <v>3674</v>
      </c>
    </row>
    <row r="41" spans="2:16" ht="29.1">
      <c r="B41" s="127" t="s">
        <v>3771</v>
      </c>
      <c r="C41" s="131" t="s">
        <v>1709</v>
      </c>
      <c r="D41" s="53" t="s">
        <v>3842</v>
      </c>
      <c r="E41" s="169" t="s">
        <v>3843</v>
      </c>
      <c r="F41" s="152" t="s">
        <v>3674</v>
      </c>
    </row>
    <row r="52" spans="7:7">
      <c r="G52" s="211"/>
    </row>
    <row r="53" spans="7:7">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1" t="s">
        <v>3613</v>
      </c>
      <c r="C2" s="91" t="s">
        <v>3614</v>
      </c>
      <c r="D2" s="91" t="s">
        <v>3615</v>
      </c>
      <c r="E2" s="91" t="s">
        <v>3616</v>
      </c>
      <c r="F2" s="91" t="s">
        <v>3617</v>
      </c>
      <c r="G2" s="91" t="s">
        <v>3618</v>
      </c>
      <c r="H2" s="91" t="s">
        <v>3619</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c r="B3" s="50" t="s">
        <v>3567</v>
      </c>
      <c r="C3" s="50">
        <v>1</v>
      </c>
      <c r="D3" s="50" t="s">
        <v>3844</v>
      </c>
      <c r="E3" s="111">
        <v>45433</v>
      </c>
      <c r="F3" s="50">
        <v>1</v>
      </c>
      <c r="G3" s="50">
        <v>1</v>
      </c>
      <c r="H3" s="207" t="s">
        <v>3845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203" t="s">
        <v>3621</v>
      </c>
      <c r="AE3" s="203"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row>
    <row r="4" spans="2:45">
      <c r="B4" s="50" t="s">
        <v>3569</v>
      </c>
      <c r="C4" s="50">
        <v>2</v>
      </c>
      <c r="D4" s="50" t="s">
        <v>3846</v>
      </c>
      <c r="E4" s="111">
        <v>45433</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203" t="s">
        <v>3621</v>
      </c>
      <c r="AE4" s="203"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row>
    <row r="5" spans="2:45">
      <c r="B5" s="50" t="s">
        <v>3571</v>
      </c>
      <c r="C5" s="50">
        <v>3</v>
      </c>
      <c r="D5" s="50" t="s">
        <v>3847</v>
      </c>
      <c r="E5" s="111">
        <v>45433</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203" t="s">
        <v>3621</v>
      </c>
      <c r="AE5" s="203"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v>0</v>
      </c>
      <c r="AS5" s="50" t="s">
        <v>3621</v>
      </c>
    </row>
    <row r="6" spans="2:45">
      <c r="B6" s="113" t="s">
        <v>3573</v>
      </c>
      <c r="C6" s="50">
        <v>4</v>
      </c>
      <c r="D6" s="50" t="s">
        <v>3624</v>
      </c>
      <c r="E6" s="111" t="s">
        <v>3621</v>
      </c>
      <c r="F6" s="50">
        <v>1</v>
      </c>
      <c r="G6" s="111"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203" t="s">
        <v>3621</v>
      </c>
      <c r="AE6" s="203"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row>
    <row r="7" spans="2:45">
      <c r="B7" s="50" t="s">
        <v>3575</v>
      </c>
      <c r="C7" s="50">
        <v>5</v>
      </c>
      <c r="D7" s="50" t="s">
        <v>3624</v>
      </c>
      <c r="E7" s="111" t="s">
        <v>3621</v>
      </c>
      <c r="F7" s="50">
        <v>1</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203" t="s">
        <v>3621</v>
      </c>
      <c r="AE7" s="203"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row>
    <row r="8" spans="2:45">
      <c r="B8" s="50" t="s">
        <v>3576</v>
      </c>
      <c r="C8" s="50">
        <v>6</v>
      </c>
      <c r="D8" s="50" t="s">
        <v>3848</v>
      </c>
      <c r="E8" s="111">
        <v>45433</v>
      </c>
      <c r="F8" s="50">
        <v>1</v>
      </c>
      <c r="G8" s="50" cm="1">
        <f t="array" ref="G8">SUMPRODUCT(--(I8:AS8&gt;0))/COUNTA(I8:AS8)</f>
        <v>0.97297297297297303</v>
      </c>
      <c r="H8" s="50" t="s">
        <v>3706</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c r="B9" s="50" t="s">
        <v>3579</v>
      </c>
      <c r="C9" s="50">
        <v>7</v>
      </c>
      <c r="D9" s="50" t="s">
        <v>3849</v>
      </c>
      <c r="E9" s="111">
        <v>45433</v>
      </c>
      <c r="F9" s="50">
        <v>1</v>
      </c>
      <c r="G9" s="50" cm="1">
        <f t="array" aca="1" ref="G9" ca="1">SUMPRODUCT(--(H9:AS9 &lt;= H27:AS27))/COUNTA(H27:AS27)</f>
        <v>1</v>
      </c>
      <c r="H9" s="50" t="s">
        <v>3706</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c r="B10" s="113" t="s">
        <v>3582</v>
      </c>
      <c r="C10" s="50">
        <v>8</v>
      </c>
      <c r="D10" s="50" t="s">
        <v>3850</v>
      </c>
      <c r="E10" s="111">
        <v>45433</v>
      </c>
      <c r="F10" s="50">
        <v>1</v>
      </c>
      <c r="G10" s="111" t="s">
        <v>3621</v>
      </c>
      <c r="H10" s="50" t="s">
        <v>3706</v>
      </c>
      <c r="I10" s="50">
        <v>31</v>
      </c>
      <c r="J10" s="50">
        <v>5.0000028006999999E+25</v>
      </c>
      <c r="K10" s="50" t="s">
        <v>3851</v>
      </c>
      <c r="L10" s="50">
        <v>7</v>
      </c>
      <c r="M10" s="50">
        <v>101</v>
      </c>
      <c r="N10" s="50">
        <v>31</v>
      </c>
      <c r="O10" s="50">
        <v>2.2822000999999998E+22</v>
      </c>
      <c r="P10" s="50">
        <v>31</v>
      </c>
      <c r="Q10" s="50">
        <v>50000028007</v>
      </c>
      <c r="R10" s="111">
        <v>35300</v>
      </c>
      <c r="S10" s="111">
        <v>42025</v>
      </c>
      <c r="T10" s="50">
        <v>124</v>
      </c>
      <c r="U10" s="111">
        <v>0</v>
      </c>
      <c r="V10" s="111" t="s">
        <v>3630</v>
      </c>
      <c r="W10" s="114" t="s">
        <v>3630</v>
      </c>
      <c r="X10" s="50" t="s">
        <v>3630</v>
      </c>
      <c r="Y10" s="111" t="s">
        <v>3630</v>
      </c>
      <c r="Z10" s="111" t="s">
        <v>3630</v>
      </c>
      <c r="AA10" s="50" t="e">
        <v>#N/A</v>
      </c>
      <c r="AB10" s="114" t="e">
        <v>#N/A</v>
      </c>
      <c r="AC10" s="50" t="s">
        <v>3630</v>
      </c>
      <c r="AD10" s="217" t="s">
        <v>3630</v>
      </c>
      <c r="AE10" s="203" t="e">
        <v>#N/A</v>
      </c>
      <c r="AF10" s="114" t="e">
        <v>#N/A</v>
      </c>
      <c r="AG10" s="114" t="e">
        <v>#N/A</v>
      </c>
      <c r="AH10" s="114"/>
      <c r="AI10" s="50" t="s">
        <v>3630</v>
      </c>
      <c r="AJ10" s="114" t="e">
        <v>#N/A</v>
      </c>
      <c r="AK10" s="50" t="e">
        <v>#N/A</v>
      </c>
      <c r="AL10" s="114">
        <v>-2250000</v>
      </c>
      <c r="AM10" s="114" t="s">
        <v>3630</v>
      </c>
      <c r="AN10" s="114" t="s">
        <v>3630</v>
      </c>
      <c r="AO10" s="50" t="s">
        <v>3631</v>
      </c>
      <c r="AP10" s="50" t="s">
        <v>3632</v>
      </c>
      <c r="AQ10" s="111" t="s">
        <v>3749</v>
      </c>
      <c r="AR10" s="111">
        <v>45433</v>
      </c>
      <c r="AS10" s="111" t="s">
        <v>3852</v>
      </c>
    </row>
    <row r="11" spans="2:45">
      <c r="B11" s="50" t="s">
        <v>3584</v>
      </c>
      <c r="C11" s="50">
        <v>9</v>
      </c>
      <c r="D11" s="50" t="s">
        <v>3853</v>
      </c>
      <c r="E11" s="111">
        <v>45433</v>
      </c>
      <c r="F11" s="50">
        <v>1</v>
      </c>
      <c r="G11" s="111" t="s">
        <v>3621</v>
      </c>
      <c r="H11" s="50" t="s">
        <v>3706</v>
      </c>
      <c r="I11" s="50">
        <v>31</v>
      </c>
      <c r="J11" s="50">
        <v>5.0000028006999999E+25</v>
      </c>
      <c r="K11" s="50"/>
      <c r="L11" s="50">
        <v>7</v>
      </c>
      <c r="M11" s="50">
        <v>101</v>
      </c>
      <c r="N11" s="50"/>
      <c r="O11" s="50" t="e">
        <v>#N/A</v>
      </c>
      <c r="P11" s="50"/>
      <c r="Q11" s="50" t="e">
        <v>#N/A</v>
      </c>
      <c r="R11" s="111">
        <v>35300</v>
      </c>
      <c r="S11" s="111">
        <v>42025</v>
      </c>
      <c r="T11" s="50">
        <v>124</v>
      </c>
      <c r="U11" s="111">
        <v>0</v>
      </c>
      <c r="V11" s="111" t="s">
        <v>3706</v>
      </c>
      <c r="W11" s="50" t="s">
        <v>3706</v>
      </c>
      <c r="X11" s="50" t="s">
        <v>3706</v>
      </c>
      <c r="Y11" s="111" t="s">
        <v>3706</v>
      </c>
      <c r="Z11" s="111" t="s">
        <v>3706</v>
      </c>
      <c r="AA11" s="50" t="e">
        <v>#N/A</v>
      </c>
      <c r="AB11" s="50" t="e">
        <v>#N/A</v>
      </c>
      <c r="AC11" s="50" t="s">
        <v>3706</v>
      </c>
      <c r="AD11" s="203" t="s">
        <v>3706</v>
      </c>
      <c r="AE11" s="203" t="e">
        <v>#N/A</v>
      </c>
      <c r="AF11" s="50" t="e">
        <v>#N/A</v>
      </c>
      <c r="AG11" s="50" t="e">
        <v>#N/A</v>
      </c>
      <c r="AH11" s="50"/>
      <c r="AI11" s="50" t="s">
        <v>3706</v>
      </c>
      <c r="AJ11" s="50" t="e">
        <v>#N/A</v>
      </c>
      <c r="AK11" s="50" t="e">
        <v>#N/A</v>
      </c>
      <c r="AL11" s="114">
        <v>-22500000</v>
      </c>
      <c r="AM11" s="114">
        <v>0</v>
      </c>
      <c r="AN11" s="114">
        <v>0</v>
      </c>
      <c r="AO11" s="50">
        <v>0</v>
      </c>
      <c r="AP11" s="50" t="s">
        <v>3854</v>
      </c>
      <c r="AQ11" s="111" t="s">
        <v>3749</v>
      </c>
      <c r="AR11" s="111">
        <v>45433</v>
      </c>
      <c r="AS11" s="111" t="s">
        <v>3855</v>
      </c>
    </row>
    <row r="12" spans="2:45">
      <c r="B12" s="50" t="s">
        <v>3586</v>
      </c>
      <c r="C12" s="50">
        <v>10</v>
      </c>
      <c r="D12" s="50" t="s">
        <v>3856</v>
      </c>
      <c r="E12" s="111">
        <v>45433</v>
      </c>
      <c r="F12" s="50">
        <v>1</v>
      </c>
      <c r="G12" s="111" t="s">
        <v>3621</v>
      </c>
      <c r="H12" s="50" t="s">
        <v>3706</v>
      </c>
      <c r="I12" s="50">
        <v>31</v>
      </c>
      <c r="J12" s="50">
        <v>6.0750007000001898E+29</v>
      </c>
      <c r="K12" s="50" t="s">
        <v>3851</v>
      </c>
      <c r="L12" s="50">
        <v>29</v>
      </c>
      <c r="M12" s="50" t="s">
        <v>3857</v>
      </c>
      <c r="N12" s="50">
        <v>31</v>
      </c>
      <c r="O12" s="50">
        <v>2.3930258433501999E+29</v>
      </c>
      <c r="P12" s="50">
        <v>31</v>
      </c>
      <c r="Q12" s="50">
        <v>607500070000019</v>
      </c>
      <c r="R12" s="111">
        <v>45441</v>
      </c>
      <c r="S12" s="111">
        <v>2958465</v>
      </c>
      <c r="T12" s="50" t="s">
        <v>3639</v>
      </c>
      <c r="U12" s="111">
        <v>1</v>
      </c>
      <c r="V12" s="111">
        <v>70000000000000</v>
      </c>
      <c r="W12" s="114">
        <v>9500000000000</v>
      </c>
      <c r="X12" s="50" t="s">
        <v>3630</v>
      </c>
      <c r="Y12" s="111">
        <v>94818240000</v>
      </c>
      <c r="Z12" s="111">
        <v>328950890000</v>
      </c>
      <c r="AA12" s="111">
        <v>45787</v>
      </c>
      <c r="AB12" s="114">
        <v>2958465</v>
      </c>
      <c r="AC12" s="114">
        <v>403478750000</v>
      </c>
      <c r="AD12" s="218">
        <v>691581370000</v>
      </c>
      <c r="AE12" s="203">
        <v>0</v>
      </c>
      <c r="AF12" s="114">
        <v>2958465</v>
      </c>
      <c r="AG12" s="209">
        <v>2958465</v>
      </c>
      <c r="AH12" s="114" t="s">
        <v>3858</v>
      </c>
      <c r="AI12" s="114">
        <v>19152000000000</v>
      </c>
      <c r="AJ12" s="114" t="s">
        <v>3700</v>
      </c>
      <c r="AK12" s="50" t="s">
        <v>3859</v>
      </c>
      <c r="AL12" s="114">
        <v>5294660</v>
      </c>
      <c r="AM12" s="114">
        <v>9500000</v>
      </c>
      <c r="AN12" s="114">
        <v>10522000</v>
      </c>
      <c r="AO12" s="50" t="s">
        <v>3860</v>
      </c>
      <c r="AP12" s="50" t="s">
        <v>3632</v>
      </c>
      <c r="AQ12" s="111" t="s">
        <v>3641</v>
      </c>
      <c r="AR12" s="111">
        <v>45448</v>
      </c>
      <c r="AS12" s="111" t="s">
        <v>3852</v>
      </c>
    </row>
    <row r="13" spans="2:45">
      <c r="B13" s="50" t="s">
        <v>3588</v>
      </c>
      <c r="C13" s="50">
        <v>11</v>
      </c>
      <c r="D13" s="50" t="s">
        <v>3861</v>
      </c>
      <c r="E13" s="111">
        <v>45433</v>
      </c>
      <c r="F13" s="50">
        <v>1</v>
      </c>
      <c r="G13" s="111" t="s">
        <v>3621</v>
      </c>
      <c r="H13" s="50" t="s">
        <v>3706</v>
      </c>
      <c r="I13" s="50">
        <v>31</v>
      </c>
      <c r="J13" s="50">
        <v>6.0750007000001898E+29</v>
      </c>
      <c r="K13" s="50">
        <v>31</v>
      </c>
      <c r="L13" s="50">
        <v>29</v>
      </c>
      <c r="M13" s="50" t="s">
        <v>3857</v>
      </c>
      <c r="N13" s="50" t="e">
        <v>#N/A</v>
      </c>
      <c r="O13" s="50">
        <v>2.3930258433501999E+29</v>
      </c>
      <c r="P13" s="50" t="e">
        <v>#N/A</v>
      </c>
      <c r="Q13" s="50">
        <v>607500070000019</v>
      </c>
      <c r="R13" s="111">
        <v>45441</v>
      </c>
      <c r="S13" s="111">
        <v>2958465</v>
      </c>
      <c r="T13" s="50" t="s">
        <v>3639</v>
      </c>
      <c r="U13" s="111">
        <v>1</v>
      </c>
      <c r="V13" s="111" t="s">
        <v>3862</v>
      </c>
      <c r="W13" s="50" t="s">
        <v>3863</v>
      </c>
      <c r="X13" s="50" t="s">
        <v>649</v>
      </c>
      <c r="Y13" s="111" t="s">
        <v>3864</v>
      </c>
      <c r="Z13" s="111" t="s">
        <v>3865</v>
      </c>
      <c r="AA13" s="111">
        <v>45787</v>
      </c>
      <c r="AB13" s="111">
        <v>2958465</v>
      </c>
      <c r="AC13" s="50" t="s">
        <v>3866</v>
      </c>
      <c r="AD13" s="203" t="s">
        <v>3867</v>
      </c>
      <c r="AE13" s="203">
        <v>0</v>
      </c>
      <c r="AF13" s="111">
        <v>2958465</v>
      </c>
      <c r="AG13" s="111">
        <v>2958465</v>
      </c>
      <c r="AH13" s="50" t="s">
        <v>3858</v>
      </c>
      <c r="AI13" s="50" t="s">
        <v>3868</v>
      </c>
      <c r="AJ13" s="50" t="s">
        <v>3700</v>
      </c>
      <c r="AK13" s="50" t="s">
        <v>3859</v>
      </c>
      <c r="AL13" s="114">
        <v>52946600</v>
      </c>
      <c r="AM13" s="114">
        <v>95000000</v>
      </c>
      <c r="AN13" s="114">
        <v>105220000</v>
      </c>
      <c r="AO13" s="50" t="s">
        <v>3869</v>
      </c>
      <c r="AP13" s="50" t="s">
        <v>3816</v>
      </c>
      <c r="AQ13" s="111" t="s">
        <v>3641</v>
      </c>
      <c r="AR13" s="111">
        <v>45448</v>
      </c>
      <c r="AS13" s="111" t="s">
        <v>3870</v>
      </c>
    </row>
    <row r="14" spans="2:45">
      <c r="B14" s="50" t="s">
        <v>3590</v>
      </c>
      <c r="C14" s="50">
        <v>12</v>
      </c>
      <c r="D14" s="50" t="s">
        <v>3871</v>
      </c>
      <c r="E14" s="111">
        <v>45433</v>
      </c>
      <c r="F14" s="50">
        <v>1</v>
      </c>
      <c r="G14" s="50">
        <v>0.46</v>
      </c>
      <c r="H14" s="50" t="s">
        <v>3706</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3592</v>
      </c>
      <c r="C15" s="50">
        <v>13</v>
      </c>
      <c r="D15" s="50" t="s">
        <v>3872</v>
      </c>
      <c r="E15" s="111">
        <v>45433</v>
      </c>
      <c r="F15" s="50">
        <v>1</v>
      </c>
      <c r="G15" s="50">
        <v>1</v>
      </c>
      <c r="H15" s="50" t="s">
        <v>3706</v>
      </c>
      <c r="I15" s="50" t="s">
        <v>3621</v>
      </c>
      <c r="J15" s="50" t="s">
        <v>3621</v>
      </c>
      <c r="K15" s="50" t="s">
        <v>3621</v>
      </c>
      <c r="L15" s="50" t="s">
        <v>3621</v>
      </c>
      <c r="M15" s="50" t="s">
        <v>3621</v>
      </c>
      <c r="N15" s="50" t="s">
        <v>3621</v>
      </c>
      <c r="O15" s="50" t="s">
        <v>3621</v>
      </c>
      <c r="P15" s="50" t="s">
        <v>3621</v>
      </c>
      <c r="Q15" s="50" t="s">
        <v>3621</v>
      </c>
      <c r="R15" s="113">
        <v>0</v>
      </c>
      <c r="S15" s="113">
        <v>0</v>
      </c>
      <c r="T15" s="50" t="s">
        <v>3621</v>
      </c>
      <c r="U15" s="113" t="s">
        <v>3621</v>
      </c>
      <c r="V15" s="113" t="s">
        <v>3621</v>
      </c>
      <c r="W15" s="50" t="s">
        <v>3621</v>
      </c>
      <c r="X15" s="50" t="s">
        <v>3621</v>
      </c>
      <c r="Y15" s="113" t="s">
        <v>3621</v>
      </c>
      <c r="Z15" s="113" t="s">
        <v>3621</v>
      </c>
      <c r="AA15" s="50">
        <v>0</v>
      </c>
      <c r="AB15" s="50">
        <v>0</v>
      </c>
      <c r="AC15" s="50" t="s">
        <v>3621</v>
      </c>
      <c r="AD15" s="219" t="s">
        <v>3621</v>
      </c>
      <c r="AE15" s="203" t="s">
        <v>3621</v>
      </c>
      <c r="AF15" s="50">
        <v>0</v>
      </c>
      <c r="AG15" s="50">
        <v>0</v>
      </c>
      <c r="AH15" s="50" t="s">
        <v>3621</v>
      </c>
      <c r="AI15" s="50" t="s">
        <v>3621</v>
      </c>
      <c r="AJ15" s="50" t="s">
        <v>3621</v>
      </c>
      <c r="AK15" s="50" t="s">
        <v>3621</v>
      </c>
      <c r="AL15" s="50" t="s">
        <v>3621</v>
      </c>
      <c r="AM15" s="50" t="s">
        <v>3621</v>
      </c>
      <c r="AN15" s="50" t="s">
        <v>3621</v>
      </c>
      <c r="AO15" s="50" t="s">
        <v>3621</v>
      </c>
      <c r="AP15" s="50" t="s">
        <v>3621</v>
      </c>
      <c r="AQ15" s="50" t="s">
        <v>3621</v>
      </c>
      <c r="AR15" s="50" t="s">
        <v>3621</v>
      </c>
      <c r="AS15" s="50" t="s">
        <v>3621</v>
      </c>
    </row>
    <row r="16" spans="2:45">
      <c r="B16" s="50" t="s">
        <v>3594</v>
      </c>
      <c r="C16" s="50">
        <v>14</v>
      </c>
      <c r="D16" s="50" t="s">
        <v>3873</v>
      </c>
      <c r="E16" s="111">
        <v>45433</v>
      </c>
      <c r="F16" s="50">
        <v>1</v>
      </c>
      <c r="G16" s="50">
        <v>1</v>
      </c>
      <c r="H16" s="50" t="s">
        <v>3706</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3" t="s">
        <v>3621</v>
      </c>
      <c r="Y16" s="50" t="s">
        <v>3621</v>
      </c>
      <c r="Z16" s="50" t="s">
        <v>3621</v>
      </c>
      <c r="AA16" s="50" t="s">
        <v>3621</v>
      </c>
      <c r="AB16" s="50" t="s">
        <v>3621</v>
      </c>
      <c r="AC16" s="113" t="s">
        <v>3621</v>
      </c>
      <c r="AD16" s="203" t="s">
        <v>3621</v>
      </c>
      <c r="AE16" s="203" t="s">
        <v>3621</v>
      </c>
      <c r="AF16" s="50" t="s">
        <v>3621</v>
      </c>
      <c r="AG16" s="50" t="s">
        <v>3621</v>
      </c>
      <c r="AH16" s="50" t="s">
        <v>3621</v>
      </c>
      <c r="AI16" s="50" t="s">
        <v>3621</v>
      </c>
      <c r="AJ16" s="50">
        <v>0</v>
      </c>
      <c r="AK16" s="50" t="s">
        <v>3621</v>
      </c>
      <c r="AL16" s="50" t="s">
        <v>3621</v>
      </c>
      <c r="AM16" s="50" t="s">
        <v>3621</v>
      </c>
      <c r="AN16" s="50" t="s">
        <v>3621</v>
      </c>
      <c r="AO16" s="113">
        <v>0</v>
      </c>
      <c r="AP16" s="50">
        <v>0</v>
      </c>
      <c r="AQ16" s="50">
        <v>0</v>
      </c>
      <c r="AR16" s="50" t="s">
        <v>3621</v>
      </c>
      <c r="AS16" s="50" t="s">
        <v>3621</v>
      </c>
    </row>
    <row r="17" spans="2:45">
      <c r="B17" s="50" t="s">
        <v>3596</v>
      </c>
      <c r="C17" s="50">
        <v>15</v>
      </c>
      <c r="D17" s="50" t="s">
        <v>3874</v>
      </c>
      <c r="E17" s="111">
        <v>45433</v>
      </c>
      <c r="F17" s="50">
        <v>1</v>
      </c>
      <c r="G17" s="50">
        <v>1</v>
      </c>
      <c r="H17" s="207"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3" t="s">
        <v>3621</v>
      </c>
      <c r="Y17" s="50" t="s">
        <v>3621</v>
      </c>
      <c r="Z17" s="50" t="s">
        <v>3621</v>
      </c>
      <c r="AA17" s="50" t="s">
        <v>3621</v>
      </c>
      <c r="AB17" s="50" t="s">
        <v>3621</v>
      </c>
      <c r="AC17" s="113" t="s">
        <v>3621</v>
      </c>
      <c r="AD17" s="203" t="s">
        <v>3621</v>
      </c>
      <c r="AE17" s="203" t="s">
        <v>3621</v>
      </c>
      <c r="AF17" s="50" t="s">
        <v>3621</v>
      </c>
      <c r="AG17" s="50" t="s">
        <v>3621</v>
      </c>
      <c r="AH17" s="50" t="s">
        <v>3621</v>
      </c>
      <c r="AI17" s="50" t="s">
        <v>3621</v>
      </c>
      <c r="AJ17" s="50" t="s">
        <v>3621</v>
      </c>
      <c r="AK17" s="50" t="s">
        <v>3621</v>
      </c>
      <c r="AL17" s="50" t="s">
        <v>3621</v>
      </c>
      <c r="AM17" s="50" t="s">
        <v>3621</v>
      </c>
      <c r="AN17" s="50" t="s">
        <v>3621</v>
      </c>
      <c r="AO17" s="113" t="s">
        <v>3621</v>
      </c>
      <c r="AP17" s="50" t="s">
        <v>3621</v>
      </c>
      <c r="AQ17" s="50" t="s">
        <v>3621</v>
      </c>
      <c r="AR17" s="50" t="s">
        <v>3621</v>
      </c>
      <c r="AS17" s="50" t="s">
        <v>3621</v>
      </c>
    </row>
    <row r="18" spans="2:45">
      <c r="B18" s="50" t="s">
        <v>3598</v>
      </c>
      <c r="C18" s="50">
        <v>16</v>
      </c>
      <c r="D18" s="50" t="s">
        <v>3874</v>
      </c>
      <c r="E18" s="111">
        <v>45433</v>
      </c>
      <c r="F18" s="50">
        <v>1</v>
      </c>
      <c r="G18" s="50">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203" t="s">
        <v>3621</v>
      </c>
      <c r="AE18" s="203"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row>
    <row r="19" spans="2:45">
      <c r="B19" s="50" t="s">
        <v>3600</v>
      </c>
      <c r="C19" s="50">
        <v>17</v>
      </c>
      <c r="D19" s="50" t="s">
        <v>3875</v>
      </c>
      <c r="E19" s="111">
        <v>45433</v>
      </c>
      <c r="F19" s="50">
        <v>1</v>
      </c>
      <c r="G19" s="50">
        <v>0.98</v>
      </c>
      <c r="H19" s="207" t="s">
        <v>3876</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203" t="s">
        <v>3621</v>
      </c>
      <c r="AE19" s="203"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row>
    <row r="20" spans="2:45">
      <c r="B20" s="50" t="s">
        <v>3602</v>
      </c>
      <c r="C20" s="50">
        <v>18</v>
      </c>
      <c r="D20" s="50" t="s">
        <v>3875</v>
      </c>
      <c r="E20" s="111">
        <v>45433</v>
      </c>
      <c r="F20" s="50">
        <v>1</v>
      </c>
      <c r="G20" s="50">
        <v>1</v>
      </c>
      <c r="H20" s="50" t="s">
        <v>3706</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203" t="s">
        <v>3621</v>
      </c>
      <c r="AE20" s="203"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row>
    <row r="21" spans="2:45">
      <c r="B21" s="50" t="s">
        <v>3604</v>
      </c>
      <c r="C21" s="50">
        <v>19</v>
      </c>
      <c r="D21" s="50" t="s">
        <v>3877</v>
      </c>
      <c r="E21" s="111">
        <v>45433</v>
      </c>
      <c r="F21" s="50">
        <v>1</v>
      </c>
      <c r="G21" s="50" cm="1">
        <f t="array" aca="1" ref="G21" ca="1">SUMPRODUCT(--(ISNUMBER((SEARCH(I27:AS27,I21:AS21)))))/COUNTA(I21:AS21)</f>
        <v>1</v>
      </c>
      <c r="H21" s="50" t="s">
        <v>3706</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203" t="s">
        <v>3656</v>
      </c>
      <c r="AE21" s="203" t="s">
        <v>3655</v>
      </c>
      <c r="AF21" s="50" t="s">
        <v>3655</v>
      </c>
      <c r="AG21" s="50" t="s">
        <v>3655</v>
      </c>
      <c r="AH21" s="50" t="s">
        <v>3655</v>
      </c>
      <c r="AI21" s="50" t="s">
        <v>3656</v>
      </c>
      <c r="AJ21" s="50" t="s">
        <v>3655</v>
      </c>
      <c r="AK21" s="50" t="s">
        <v>3655</v>
      </c>
      <c r="AL21" s="50" t="s">
        <v>3656</v>
      </c>
      <c r="AM21" s="50" t="s">
        <v>3656</v>
      </c>
      <c r="AN21" s="50" t="s">
        <v>3656</v>
      </c>
      <c r="AO21" s="50" t="s">
        <v>3655</v>
      </c>
      <c r="AP21" s="50" t="s">
        <v>3655</v>
      </c>
      <c r="AQ21" s="50" t="s">
        <v>3655</v>
      </c>
      <c r="AR21" s="50" t="s">
        <v>3655</v>
      </c>
      <c r="AS21" s="50" t="s">
        <v>3657</v>
      </c>
    </row>
    <row r="22" spans="2:45">
      <c r="B22" s="113" t="s">
        <v>3607</v>
      </c>
      <c r="C22" s="50">
        <v>20</v>
      </c>
      <c r="D22" s="50" t="s">
        <v>3878</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3610</v>
      </c>
      <c r="C23" s="50">
        <v>21</v>
      </c>
      <c r="D23" s="50" t="s">
        <v>3878</v>
      </c>
      <c r="E23" s="111">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6" t="s">
        <v>3727</v>
      </c>
    </row>
    <row r="26" spans="2:45">
      <c r="B26" s="149" t="s">
        <v>3613</v>
      </c>
      <c r="C26" s="145" t="s">
        <v>3614</v>
      </c>
      <c r="D26" s="145" t="s">
        <v>3615</v>
      </c>
      <c r="E26" s="145" t="s">
        <v>3616</v>
      </c>
      <c r="F26" s="145" t="s">
        <v>3617</v>
      </c>
      <c r="G26" s="145" t="s">
        <v>3618</v>
      </c>
      <c r="H26" s="145" t="s">
        <v>3619</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c r="B27" s="118" t="s">
        <v>3658</v>
      </c>
      <c r="C27" s="167">
        <v>21</v>
      </c>
      <c r="D27" s="122" t="s">
        <v>3659</v>
      </c>
      <c r="E27" s="121" t="s">
        <v>3660</v>
      </c>
      <c r="F27" s="121" t="s">
        <v>372</v>
      </c>
      <c r="G27" s="121" t="s">
        <v>372</v>
      </c>
      <c r="H27" s="121" t="s">
        <v>372</v>
      </c>
      <c r="I27" s="119"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STRING</v>
      </c>
      <c r="U27" s="121" t="str">
        <f ca="1"/>
        <v>STRING</v>
      </c>
      <c r="V27" s="121" t="str">
        <f ca="1"/>
        <v>DECIMAL</v>
      </c>
      <c r="W27" s="121" t="str">
        <f ca="1"/>
        <v>DECIMAL</v>
      </c>
      <c r="X27" s="121" t="str">
        <f ca="1"/>
        <v>DECIMAL</v>
      </c>
      <c r="Y27" s="121" t="str">
        <f ca="1"/>
        <v>DECIMAL</v>
      </c>
      <c r="Z27" s="121" t="str">
        <f ca="1"/>
        <v>DECIMAL</v>
      </c>
      <c r="AA27" s="121" t="str">
        <f ca="1"/>
        <v>STRING</v>
      </c>
      <c r="AB27" s="121" t="str">
        <f ca="1"/>
        <v>STRING</v>
      </c>
      <c r="AC27" s="121" t="str">
        <f ca="1"/>
        <v>DECIMAL</v>
      </c>
      <c r="AD27" s="121" t="str">
        <f ca="1"/>
        <v>DECIMAL</v>
      </c>
      <c r="AE27" s="121" t="str">
        <f ca="1"/>
        <v>STRING</v>
      </c>
      <c r="AF27" s="121" t="str">
        <f ca="1"/>
        <v>STRING</v>
      </c>
      <c r="AG27" s="121" t="str">
        <f ca="1"/>
        <v>STRING</v>
      </c>
      <c r="AH27" s="121" t="str">
        <f ca="1"/>
        <v>STRING</v>
      </c>
      <c r="AI27" s="121" t="str">
        <f ca="1"/>
        <v>DECIMAL</v>
      </c>
      <c r="AJ27" s="121" t="str">
        <f ca="1"/>
        <v>STRING</v>
      </c>
      <c r="AK27" s="121" t="str">
        <f ca="1"/>
        <v>STRING</v>
      </c>
      <c r="AL27" s="121" t="str">
        <f ca="1"/>
        <v>DECIMAL</v>
      </c>
      <c r="AM27" s="121" t="str">
        <f ca="1"/>
        <v>DECIMAL</v>
      </c>
      <c r="AN27" s="121" t="str">
        <f ca="1"/>
        <v>DECIMAL</v>
      </c>
      <c r="AO27" s="121" t="str">
        <f ca="1"/>
        <v>STRING</v>
      </c>
      <c r="AP27" s="121" t="str">
        <f ca="1"/>
        <v>STRING</v>
      </c>
      <c r="AQ27" s="121" t="str">
        <f ca="1"/>
        <v>STRING</v>
      </c>
      <c r="AR27" s="121" t="str">
        <f ca="1"/>
        <v>STRING</v>
      </c>
      <c r="AS27" s="121" t="str">
        <f ca="1"/>
        <v>TIMESTAMP</v>
      </c>
    </row>
    <row r="28" spans="2:45">
      <c r="B28" s="118"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4</v>
      </c>
      <c r="AF28" s="167">
        <f ca="1"/>
        <v>10</v>
      </c>
      <c r="AG28" s="167">
        <f ca="1"/>
        <v>10</v>
      </c>
      <c r="AH28" s="167">
        <f ca="1"/>
        <v>18</v>
      </c>
      <c r="AI28" s="167">
        <f ca="1"/>
        <v>23</v>
      </c>
      <c r="AJ28" s="167">
        <f ca="1"/>
        <v>4</v>
      </c>
      <c r="AK28" s="167">
        <f ca="1"/>
        <v>4</v>
      </c>
      <c r="AL28" s="167">
        <f ca="1"/>
        <v>23</v>
      </c>
      <c r="AM28" s="167">
        <f ca="1"/>
        <v>23</v>
      </c>
      <c r="AN28" s="167">
        <f ca="1"/>
        <v>23</v>
      </c>
      <c r="AO28" s="167">
        <f ca="1"/>
        <v>4</v>
      </c>
      <c r="AP28" s="167">
        <f ca="1"/>
        <v>4</v>
      </c>
      <c r="AQ28" s="167">
        <f ca="1"/>
        <v>2</v>
      </c>
      <c r="AR28" s="167">
        <f ca="1"/>
        <v>10</v>
      </c>
      <c r="AS28" s="167">
        <f ca="1"/>
        <v>23</v>
      </c>
    </row>
    <row r="30" spans="2:45">
      <c r="B30" s="156" t="s">
        <v>3662</v>
      </c>
    </row>
    <row r="31" spans="2:45">
      <c r="B31" s="150" t="s">
        <v>3663</v>
      </c>
      <c r="C31" s="150" t="s">
        <v>3664</v>
      </c>
      <c r="D31" s="151" t="s">
        <v>3665</v>
      </c>
      <c r="E31" s="150" t="s">
        <v>3666</v>
      </c>
      <c r="F31" s="150" t="s">
        <v>3667</v>
      </c>
    </row>
    <row r="32" spans="2:45" ht="29.1">
      <c r="B32" s="282" t="s">
        <v>3728</v>
      </c>
      <c r="C32" s="283" t="s">
        <v>177</v>
      </c>
      <c r="D32" s="284" t="s">
        <v>3879</v>
      </c>
      <c r="E32" s="285" t="s">
        <v>3880</v>
      </c>
      <c r="F32" s="170" t="s">
        <v>3674</v>
      </c>
    </row>
    <row r="33" spans="2:6" ht="29.1">
      <c r="B33" s="282" t="s">
        <v>3728</v>
      </c>
      <c r="C33" s="283" t="s">
        <v>188</v>
      </c>
      <c r="D33" s="284" t="s">
        <v>3879</v>
      </c>
      <c r="E33" s="285" t="s">
        <v>3880</v>
      </c>
      <c r="F33" s="170" t="s">
        <v>3674</v>
      </c>
    </row>
    <row r="34" spans="2:6" ht="101.45">
      <c r="B34" s="282" t="s">
        <v>3728</v>
      </c>
      <c r="C34" s="283" t="s">
        <v>625</v>
      </c>
      <c r="D34" s="284" t="s">
        <v>3881</v>
      </c>
      <c r="E34" s="285" t="s">
        <v>3882</v>
      </c>
      <c r="F34" s="170" t="s">
        <v>3674</v>
      </c>
    </row>
    <row r="35" spans="2:6" ht="101.45">
      <c r="B35" s="282" t="s">
        <v>3728</v>
      </c>
      <c r="C35" s="283" t="s">
        <v>575</v>
      </c>
      <c r="D35" s="284" t="s">
        <v>3881</v>
      </c>
      <c r="E35" s="285" t="s">
        <v>3882</v>
      </c>
      <c r="F35" s="170" t="s">
        <v>3674</v>
      </c>
    </row>
    <row r="36" spans="2:6" ht="101.45">
      <c r="B36" s="282" t="s">
        <v>3728</v>
      </c>
      <c r="C36" s="283" t="s">
        <v>261</v>
      </c>
      <c r="D36" s="284" t="s">
        <v>3881</v>
      </c>
      <c r="E36" s="285" t="s">
        <v>3882</v>
      </c>
      <c r="F36" s="170" t="s">
        <v>3674</v>
      </c>
    </row>
    <row r="37" spans="2:6" ht="101.45">
      <c r="B37" s="282" t="s">
        <v>3728</v>
      </c>
      <c r="C37" s="283" t="s">
        <v>715</v>
      </c>
      <c r="D37" s="284" t="s">
        <v>3881</v>
      </c>
      <c r="E37" s="285" t="s">
        <v>3882</v>
      </c>
      <c r="F37" s="170" t="s">
        <v>3674</v>
      </c>
    </row>
    <row r="38" spans="2:6" ht="101.45">
      <c r="B38" s="282" t="s">
        <v>3728</v>
      </c>
      <c r="C38" s="283" t="s">
        <v>429</v>
      </c>
      <c r="D38" s="284" t="s">
        <v>3881</v>
      </c>
      <c r="E38" s="285" t="s">
        <v>3882</v>
      </c>
      <c r="F38" s="170" t="s">
        <v>3674</v>
      </c>
    </row>
    <row r="39" spans="2:6" ht="101.45">
      <c r="B39" s="282" t="s">
        <v>3728</v>
      </c>
      <c r="C39" s="283" t="s">
        <v>728</v>
      </c>
      <c r="D39" s="284" t="s">
        <v>3881</v>
      </c>
      <c r="E39" s="285" t="s">
        <v>3882</v>
      </c>
      <c r="F39" s="170" t="s">
        <v>3674</v>
      </c>
    </row>
    <row r="40" spans="2:6" ht="101.45">
      <c r="B40" s="282" t="s">
        <v>3728</v>
      </c>
      <c r="C40" s="283" t="s">
        <v>3883</v>
      </c>
      <c r="D40" s="284" t="s">
        <v>3881</v>
      </c>
      <c r="E40" s="285" t="s">
        <v>3882</v>
      </c>
      <c r="F40" s="170" t="s">
        <v>3674</v>
      </c>
    </row>
    <row r="41" spans="2:6" ht="101.45">
      <c r="B41" s="282" t="s">
        <v>3728</v>
      </c>
      <c r="C41" s="283" t="s">
        <v>3884</v>
      </c>
      <c r="D41" s="284" t="s">
        <v>3881</v>
      </c>
      <c r="E41" s="285" t="s">
        <v>3882</v>
      </c>
      <c r="F41" s="170" t="s">
        <v>3674</v>
      </c>
    </row>
    <row r="42" spans="2:6" ht="101.45">
      <c r="B42" s="282" t="s">
        <v>3728</v>
      </c>
      <c r="C42" s="283" t="s">
        <v>3885</v>
      </c>
      <c r="D42" s="284" t="s">
        <v>3881</v>
      </c>
      <c r="E42" s="285" t="s">
        <v>3882</v>
      </c>
      <c r="F42" s="170" t="s">
        <v>3674</v>
      </c>
    </row>
    <row r="43" spans="2:6" ht="101.45">
      <c r="B43" s="282" t="s">
        <v>3728</v>
      </c>
      <c r="C43" s="283" t="s">
        <v>3886</v>
      </c>
      <c r="D43" s="284" t="s">
        <v>3881</v>
      </c>
      <c r="E43" s="285" t="s">
        <v>3882</v>
      </c>
      <c r="F43" s="170" t="s">
        <v>3674</v>
      </c>
    </row>
    <row r="44" spans="2:6" ht="101.45">
      <c r="B44" s="282" t="s">
        <v>3728</v>
      </c>
      <c r="C44" s="283" t="s">
        <v>3887</v>
      </c>
      <c r="D44" s="284" t="s">
        <v>3881</v>
      </c>
      <c r="E44" s="285" t="s">
        <v>3882</v>
      </c>
      <c r="F44" s="170" t="s">
        <v>3674</v>
      </c>
    </row>
    <row r="45" spans="2:6" ht="101.45">
      <c r="B45" s="282" t="s">
        <v>3728</v>
      </c>
      <c r="C45" s="283" t="s">
        <v>3888</v>
      </c>
      <c r="D45" s="284" t="s">
        <v>3881</v>
      </c>
      <c r="E45" s="285" t="s">
        <v>3882</v>
      </c>
      <c r="F45" s="170" t="s">
        <v>3674</v>
      </c>
    </row>
    <row r="46" spans="2:6" ht="101.45">
      <c r="B46" s="282" t="s">
        <v>3728</v>
      </c>
      <c r="C46" s="283" t="s">
        <v>756</v>
      </c>
      <c r="D46" s="284" t="s">
        <v>3881</v>
      </c>
      <c r="E46" s="285" t="s">
        <v>3882</v>
      </c>
      <c r="F46" s="170" t="s">
        <v>3674</v>
      </c>
    </row>
    <row r="47" spans="2:6" ht="101.45">
      <c r="B47" s="282" t="s">
        <v>3728</v>
      </c>
      <c r="C47" s="283" t="s">
        <v>776</v>
      </c>
      <c r="D47" s="284" t="s">
        <v>3881</v>
      </c>
      <c r="E47" s="285" t="s">
        <v>3882</v>
      </c>
      <c r="F47" s="170" t="s">
        <v>3674</v>
      </c>
    </row>
    <row r="48" spans="2:6" ht="29.1">
      <c r="B48" s="282" t="s">
        <v>3728</v>
      </c>
      <c r="C48" s="283" t="s">
        <v>880</v>
      </c>
      <c r="D48" s="284" t="s">
        <v>3889</v>
      </c>
      <c r="E48" s="285" t="s">
        <v>3890</v>
      </c>
      <c r="F48" s="170" t="s">
        <v>3674</v>
      </c>
    </row>
    <row r="49" spans="2:6" ht="43.5">
      <c r="B49" s="282" t="s">
        <v>3728</v>
      </c>
      <c r="C49" s="283" t="s">
        <v>649</v>
      </c>
      <c r="D49" s="286" t="s">
        <v>3891</v>
      </c>
      <c r="E49" s="287" t="s">
        <v>3892</v>
      </c>
      <c r="F49" s="170" t="s">
        <v>3674</v>
      </c>
    </row>
    <row r="50" spans="2:6" ht="144.94999999999999">
      <c r="B50" s="282" t="s">
        <v>3728</v>
      </c>
      <c r="C50" s="288" t="s">
        <v>766</v>
      </c>
      <c r="D50" s="289" t="s">
        <v>3893</v>
      </c>
      <c r="E50" s="290" t="s">
        <v>3894</v>
      </c>
      <c r="F50" s="170" t="s">
        <v>3674</v>
      </c>
    </row>
    <row r="51" spans="2:6" ht="144.94999999999999">
      <c r="B51" s="194" t="s">
        <v>3668</v>
      </c>
      <c r="C51" s="216" t="s">
        <v>785</v>
      </c>
      <c r="D51" s="57" t="s">
        <v>3893</v>
      </c>
      <c r="E51" s="215" t="s">
        <v>3894</v>
      </c>
      <c r="F51" s="214" t="s">
        <v>3674</v>
      </c>
    </row>
    <row r="52" spans="2:6" ht="57.95">
      <c r="B52" s="194" t="s">
        <v>3678</v>
      </c>
      <c r="C52" s="195" t="s">
        <v>3895</v>
      </c>
      <c r="D52" s="57" t="s">
        <v>3896</v>
      </c>
      <c r="E52" s="213" t="s">
        <v>3897</v>
      </c>
      <c r="F52" s="214" t="s">
        <v>3677</v>
      </c>
    </row>
    <row r="53" spans="2:6" ht="57.95">
      <c r="B53" s="194" t="s">
        <v>3898</v>
      </c>
      <c r="C53" s="195" t="s">
        <v>958</v>
      </c>
      <c r="D53" s="57" t="s">
        <v>3899</v>
      </c>
      <c r="E53" s="213" t="s">
        <v>3900</v>
      </c>
      <c r="F53" s="21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1" t="s">
        <v>3613</v>
      </c>
      <c r="C2" s="91" t="s">
        <v>3614</v>
      </c>
      <c r="D2" s="91" t="s">
        <v>3615</v>
      </c>
      <c r="E2" s="91" t="s">
        <v>3616</v>
      </c>
      <c r="F2" s="91" t="s">
        <v>3617</v>
      </c>
      <c r="G2" s="91" t="s">
        <v>3618</v>
      </c>
      <c r="H2" s="91" t="s">
        <v>3619</v>
      </c>
      <c r="I2" s="91" t="s">
        <v>121</v>
      </c>
      <c r="J2" s="91" t="s">
        <v>137</v>
      </c>
      <c r="K2" s="91" t="s">
        <v>381</v>
      </c>
      <c r="L2" s="91" t="s">
        <v>149</v>
      </c>
      <c r="M2" s="91" t="s">
        <v>156</v>
      </c>
      <c r="N2" s="91" t="s">
        <v>168</v>
      </c>
      <c r="O2" s="91" t="s">
        <v>397</v>
      </c>
      <c r="P2" s="91" t="s">
        <v>177</v>
      </c>
      <c r="Q2" s="91" t="s">
        <v>188</v>
      </c>
      <c r="R2" s="91" t="s">
        <v>199</v>
      </c>
      <c r="S2" s="91" t="s">
        <v>211</v>
      </c>
      <c r="T2" s="91" t="s">
        <v>223</v>
      </c>
      <c r="U2" s="91" t="s">
        <v>3901</v>
      </c>
      <c r="V2" s="91" t="s">
        <v>3902</v>
      </c>
      <c r="W2" s="91" t="s">
        <v>446</v>
      </c>
      <c r="X2" s="91" t="s">
        <v>452</v>
      </c>
      <c r="Y2" s="91" t="s">
        <v>294</v>
      </c>
      <c r="Z2" s="91" t="s">
        <v>305</v>
      </c>
      <c r="AA2" s="91" t="s">
        <v>318</v>
      </c>
      <c r="AB2" s="91" t="s">
        <v>327</v>
      </c>
      <c r="AC2" s="91" t="s">
        <v>334</v>
      </c>
    </row>
    <row r="3" spans="2:29">
      <c r="B3" s="50" t="s">
        <v>3567</v>
      </c>
      <c r="C3" s="50">
        <v>1</v>
      </c>
      <c r="D3" s="50" t="s">
        <v>3903</v>
      </c>
      <c r="E3" s="111">
        <v>45441</v>
      </c>
      <c r="F3" s="50">
        <v>1</v>
      </c>
      <c r="G3" s="114">
        <v>1</v>
      </c>
      <c r="H3" s="114">
        <v>5903000000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row>
    <row r="4" spans="2:29">
      <c r="B4" s="50" t="s">
        <v>3569</v>
      </c>
      <c r="C4" s="50">
        <v>2</v>
      </c>
      <c r="D4" s="50" t="s">
        <v>3904</v>
      </c>
      <c r="E4" s="111">
        <v>45441</v>
      </c>
      <c r="F4" s="50">
        <v>1</v>
      </c>
      <c r="G4" s="114">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row>
    <row r="5" spans="2:29">
      <c r="B5" s="50" t="s">
        <v>3571</v>
      </c>
      <c r="C5" s="50">
        <v>3</v>
      </c>
      <c r="D5" s="50" t="s">
        <v>3905</v>
      </c>
      <c r="E5" s="111">
        <v>45441</v>
      </c>
      <c r="F5" s="50">
        <v>1</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v>0</v>
      </c>
      <c r="AC5" s="50" t="s">
        <v>3621</v>
      </c>
    </row>
    <row r="6" spans="2:29">
      <c r="B6" s="113" t="s">
        <v>3576</v>
      </c>
      <c r="C6" s="50">
        <v>6</v>
      </c>
      <c r="D6" s="50" t="s">
        <v>3906</v>
      </c>
      <c r="E6" s="111">
        <v>45441</v>
      </c>
      <c r="F6" s="50">
        <v>1</v>
      </c>
      <c r="G6" s="50" cm="1">
        <f t="array" ref="G6">SUMPRODUCT(--(I6:AC6&gt;0))/COUNTA(I6:AC6)</f>
        <v>1</v>
      </c>
      <c r="H6" s="50" t="s">
        <v>3630</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3579</v>
      </c>
      <c r="C7" s="50">
        <v>7</v>
      </c>
      <c r="D7" s="50" t="s">
        <v>3907</v>
      </c>
      <c r="E7" s="111">
        <v>45441</v>
      </c>
      <c r="F7" s="50">
        <v>1</v>
      </c>
      <c r="G7" s="50" cm="1">
        <f t="array" aca="1" ref="G7" ca="1">SUMPRODUCT(--(I7:AC7&lt;=I25:AC25))/COUNTA(I25:AC25)</f>
        <v>1</v>
      </c>
      <c r="H7" s="50" t="s">
        <v>3630</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3582</v>
      </c>
      <c r="C8" s="50">
        <v>8</v>
      </c>
      <c r="D8" s="50" t="s">
        <v>3908</v>
      </c>
      <c r="E8" s="111">
        <v>45441</v>
      </c>
      <c r="F8" s="50">
        <v>1</v>
      </c>
      <c r="G8" s="50" t="s">
        <v>3621</v>
      </c>
      <c r="H8" s="50" t="s">
        <v>3630</v>
      </c>
      <c r="I8" s="50">
        <v>31</v>
      </c>
      <c r="J8" s="50">
        <v>7.0000079999999997E+21</v>
      </c>
      <c r="K8" s="50">
        <v>1</v>
      </c>
      <c r="L8" s="50" t="s">
        <v>3699</v>
      </c>
      <c r="M8" s="50">
        <v>0</v>
      </c>
      <c r="N8" s="50">
        <v>20</v>
      </c>
      <c r="O8" s="50">
        <v>1329</v>
      </c>
      <c r="P8" s="50">
        <v>31</v>
      </c>
      <c r="Q8" s="50">
        <v>3.2487001E+22</v>
      </c>
      <c r="R8" s="111">
        <v>21205</v>
      </c>
      <c r="S8" s="111">
        <v>1</v>
      </c>
      <c r="T8" s="50">
        <v>0</v>
      </c>
      <c r="U8" s="111">
        <v>1</v>
      </c>
      <c r="V8" s="114">
        <v>25</v>
      </c>
      <c r="W8" s="50">
        <v>40967</v>
      </c>
      <c r="X8" s="50">
        <v>0</v>
      </c>
      <c r="Y8" s="50" t="s">
        <v>3699</v>
      </c>
      <c r="Z8" s="50" t="s">
        <v>3632</v>
      </c>
      <c r="AA8" s="50" t="s">
        <v>3909</v>
      </c>
      <c r="AB8" s="111">
        <v>45441</v>
      </c>
      <c r="AC8" s="50" t="s">
        <v>3910</v>
      </c>
    </row>
    <row r="9" spans="2:29">
      <c r="B9" s="50" t="s">
        <v>3584</v>
      </c>
      <c r="C9" s="50">
        <v>9</v>
      </c>
      <c r="D9" s="50" t="s">
        <v>3911</v>
      </c>
      <c r="E9" s="111">
        <v>45441</v>
      </c>
      <c r="F9" s="50">
        <v>1</v>
      </c>
      <c r="G9" s="50" t="s">
        <v>3621</v>
      </c>
      <c r="H9" s="50" t="s">
        <v>3630</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3630</v>
      </c>
      <c r="Y9" s="50">
        <v>5</v>
      </c>
      <c r="Z9" s="50" t="s">
        <v>3636</v>
      </c>
      <c r="AA9" s="50" t="s">
        <v>3909</v>
      </c>
      <c r="AB9" s="111">
        <v>45441</v>
      </c>
      <c r="AC9" s="50" t="s">
        <v>3912</v>
      </c>
    </row>
    <row r="10" spans="2:29">
      <c r="B10" s="113" t="s">
        <v>3586</v>
      </c>
      <c r="C10" s="50">
        <v>10</v>
      </c>
      <c r="D10" s="50" t="s">
        <v>3913</v>
      </c>
      <c r="E10" s="111">
        <v>45441</v>
      </c>
      <c r="F10" s="50">
        <v>1</v>
      </c>
      <c r="G10" s="50" t="s">
        <v>3621</v>
      </c>
      <c r="H10" s="50" t="s">
        <v>3630</v>
      </c>
      <c r="I10" s="50">
        <v>31</v>
      </c>
      <c r="J10" s="50">
        <v>8.0013669999999995E+24</v>
      </c>
      <c r="K10" s="50" t="s">
        <v>3914</v>
      </c>
      <c r="L10" s="50" t="s">
        <v>3699</v>
      </c>
      <c r="M10" s="50">
        <v>0</v>
      </c>
      <c r="N10" s="50">
        <v>20</v>
      </c>
      <c r="O10" s="50">
        <v>814</v>
      </c>
      <c r="P10" s="50">
        <v>31</v>
      </c>
      <c r="Q10" s="50">
        <v>2.3950315126102001E+29</v>
      </c>
      <c r="R10" s="111">
        <v>45441</v>
      </c>
      <c r="S10" s="111">
        <v>1</v>
      </c>
      <c r="T10" s="111">
        <v>978</v>
      </c>
      <c r="U10" s="111">
        <v>45441</v>
      </c>
      <c r="V10" s="114">
        <v>260</v>
      </c>
      <c r="W10" s="111">
        <v>45441</v>
      </c>
      <c r="X10" s="114">
        <v>250</v>
      </c>
      <c r="Y10" s="50" t="s">
        <v>3699</v>
      </c>
      <c r="Z10" s="50" t="s">
        <v>3632</v>
      </c>
      <c r="AA10" s="50" t="s">
        <v>3909</v>
      </c>
      <c r="AB10" s="111">
        <v>45441</v>
      </c>
      <c r="AC10" s="111" t="s">
        <v>3910</v>
      </c>
    </row>
    <row r="11" spans="2:29">
      <c r="B11" s="50" t="s">
        <v>3588</v>
      </c>
      <c r="C11" s="50">
        <v>11</v>
      </c>
      <c r="D11" s="50" t="s">
        <v>3915</v>
      </c>
      <c r="E11" s="111">
        <v>45441</v>
      </c>
      <c r="F11" s="50">
        <v>1</v>
      </c>
      <c r="G11" s="50" t="s">
        <v>3621</v>
      </c>
      <c r="H11" s="50" t="s">
        <v>3630</v>
      </c>
      <c r="I11" s="50">
        <v>31</v>
      </c>
      <c r="J11" s="50">
        <v>8.0013669999999995E+24</v>
      </c>
      <c r="K11" s="50" t="s">
        <v>3914</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3636</v>
      </c>
      <c r="AA11" s="50" t="s">
        <v>3909</v>
      </c>
      <c r="AB11" s="111">
        <v>45441</v>
      </c>
      <c r="AC11" s="111" t="s">
        <v>3916</v>
      </c>
    </row>
    <row r="12" spans="2:29">
      <c r="B12" s="50" t="s">
        <v>3590</v>
      </c>
      <c r="C12" s="50">
        <v>12</v>
      </c>
      <c r="D12" s="50" t="s">
        <v>3917</v>
      </c>
      <c r="E12" s="111">
        <v>45441</v>
      </c>
      <c r="F12" s="50">
        <v>1</v>
      </c>
      <c r="G12" s="50">
        <v>0.71428599999999998</v>
      </c>
      <c r="H12" s="50" t="s">
        <v>3630</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c r="B13" s="50" t="s">
        <v>3592</v>
      </c>
      <c r="C13" s="50">
        <v>13</v>
      </c>
      <c r="D13" s="50" t="s">
        <v>3918</v>
      </c>
      <c r="E13" s="111">
        <v>45441</v>
      </c>
      <c r="F13" s="50">
        <v>1</v>
      </c>
      <c r="G13" s="114">
        <v>1</v>
      </c>
      <c r="H13" s="50" t="s">
        <v>3630</v>
      </c>
      <c r="I13" s="50" t="s">
        <v>3621</v>
      </c>
      <c r="J13" s="50" t="s">
        <v>3621</v>
      </c>
      <c r="K13" s="50" t="s">
        <v>3621</v>
      </c>
      <c r="L13" s="50" t="s">
        <v>3621</v>
      </c>
      <c r="M13" s="50" t="s">
        <v>3621</v>
      </c>
      <c r="N13" s="50" t="s">
        <v>3621</v>
      </c>
      <c r="O13" s="50" t="s">
        <v>3621</v>
      </c>
      <c r="P13" s="50" t="s">
        <v>3621</v>
      </c>
      <c r="Q13" s="50" t="s">
        <v>3621</v>
      </c>
      <c r="R13" s="112">
        <v>0</v>
      </c>
      <c r="S13" s="112">
        <v>0</v>
      </c>
      <c r="T13" s="112" t="s">
        <v>3621</v>
      </c>
      <c r="U13" s="112">
        <v>0</v>
      </c>
      <c r="V13" s="112" t="s">
        <v>3621</v>
      </c>
      <c r="W13" s="114">
        <v>0</v>
      </c>
      <c r="X13" s="112" t="s">
        <v>3621</v>
      </c>
      <c r="Y13" s="114" t="s">
        <v>3621</v>
      </c>
      <c r="Z13" s="50" t="s">
        <v>3621</v>
      </c>
      <c r="AA13" s="50" t="s">
        <v>3621</v>
      </c>
      <c r="AB13" s="111" t="s">
        <v>3621</v>
      </c>
      <c r="AC13" s="111" t="s">
        <v>3621</v>
      </c>
    </row>
    <row r="14" spans="2:29">
      <c r="B14" s="50" t="s">
        <v>3594</v>
      </c>
      <c r="C14" s="50">
        <v>14</v>
      </c>
      <c r="D14" s="50" t="s">
        <v>3919</v>
      </c>
      <c r="E14" s="111">
        <v>45441</v>
      </c>
      <c r="F14" s="50">
        <v>1</v>
      </c>
      <c r="G14" s="114">
        <v>1</v>
      </c>
      <c r="H14" s="50" t="s">
        <v>3630</v>
      </c>
      <c r="I14" s="50">
        <v>0</v>
      </c>
      <c r="J14" s="50">
        <v>0</v>
      </c>
      <c r="K14" s="50">
        <v>0</v>
      </c>
      <c r="L14" s="50">
        <v>0</v>
      </c>
      <c r="M14" s="50">
        <v>0</v>
      </c>
      <c r="N14" s="50">
        <v>0</v>
      </c>
      <c r="O14" s="50">
        <v>0</v>
      </c>
      <c r="P14" s="50">
        <v>0</v>
      </c>
      <c r="Q14" s="50">
        <v>0</v>
      </c>
      <c r="R14" s="50" t="s">
        <v>3621</v>
      </c>
      <c r="S14" s="50" t="s">
        <v>3621</v>
      </c>
      <c r="T14" s="50">
        <v>0</v>
      </c>
      <c r="U14" s="50" t="s">
        <v>3621</v>
      </c>
      <c r="V14" s="50" t="s">
        <v>3621</v>
      </c>
      <c r="W14" s="50" t="s">
        <v>3621</v>
      </c>
      <c r="X14" s="50" t="s">
        <v>3621</v>
      </c>
      <c r="Y14" s="50">
        <v>0</v>
      </c>
      <c r="Z14" s="50">
        <v>0</v>
      </c>
      <c r="AA14" s="50">
        <v>0</v>
      </c>
      <c r="AB14" s="50" t="s">
        <v>3621</v>
      </c>
      <c r="AC14" s="50" t="s">
        <v>3621</v>
      </c>
    </row>
    <row r="15" spans="2:29">
      <c r="B15" s="50" t="s">
        <v>3596</v>
      </c>
      <c r="C15" s="50">
        <v>15</v>
      </c>
      <c r="D15" s="50" t="s">
        <v>3920</v>
      </c>
      <c r="E15" s="111">
        <v>45441</v>
      </c>
      <c r="F15" s="50">
        <v>1</v>
      </c>
      <c r="G15" s="114">
        <v>1</v>
      </c>
      <c r="H15" s="206" t="s">
        <v>3630</v>
      </c>
      <c r="I15" s="50" t="s">
        <v>3621</v>
      </c>
      <c r="J15" s="50" t="s">
        <v>3621</v>
      </c>
      <c r="K15" s="50" t="s">
        <v>3621</v>
      </c>
      <c r="L15" s="50" t="s">
        <v>3621</v>
      </c>
      <c r="M15" s="50" t="s">
        <v>3621</v>
      </c>
      <c r="N15" s="50" t="s">
        <v>3621</v>
      </c>
      <c r="O15" s="50" t="s">
        <v>3621</v>
      </c>
      <c r="P15" s="50" t="s">
        <v>3621</v>
      </c>
      <c r="Q15" s="50" t="s">
        <v>3621</v>
      </c>
      <c r="R15" s="113" t="s">
        <v>3621</v>
      </c>
      <c r="S15" s="113" t="s">
        <v>3621</v>
      </c>
      <c r="T15" s="113" t="s">
        <v>3621</v>
      </c>
      <c r="U15" s="113" t="s">
        <v>3621</v>
      </c>
      <c r="V15" s="113" t="s">
        <v>3621</v>
      </c>
      <c r="W15" s="113" t="s">
        <v>3621</v>
      </c>
      <c r="X15" s="113" t="s">
        <v>3621</v>
      </c>
      <c r="Y15" s="50" t="s">
        <v>3621</v>
      </c>
      <c r="Z15" s="50" t="s">
        <v>3621</v>
      </c>
      <c r="AA15" s="50" t="s">
        <v>3621</v>
      </c>
      <c r="AB15" s="50" t="s">
        <v>3621</v>
      </c>
      <c r="AC15" s="50" t="s">
        <v>3621</v>
      </c>
    </row>
    <row r="16" spans="2:29">
      <c r="B16" s="50" t="s">
        <v>3598</v>
      </c>
      <c r="C16" s="50">
        <v>16</v>
      </c>
      <c r="D16" s="50" t="s">
        <v>3920</v>
      </c>
      <c r="E16" s="111">
        <v>45441</v>
      </c>
      <c r="F16" s="50">
        <v>1</v>
      </c>
      <c r="G16" s="114">
        <v>1</v>
      </c>
      <c r="H16" s="206" t="s">
        <v>3630</v>
      </c>
      <c r="I16" s="50" t="s">
        <v>3621</v>
      </c>
      <c r="J16" s="50" t="s">
        <v>3621</v>
      </c>
      <c r="K16" s="50" t="s">
        <v>3621</v>
      </c>
      <c r="L16" s="50" t="s">
        <v>3621</v>
      </c>
      <c r="M16" s="50" t="s">
        <v>3621</v>
      </c>
      <c r="N16" s="50" t="s">
        <v>3621</v>
      </c>
      <c r="O16" s="50" t="s">
        <v>3621</v>
      </c>
      <c r="P16" s="50" t="s">
        <v>3621</v>
      </c>
      <c r="Q16" s="50" t="s">
        <v>3621</v>
      </c>
      <c r="R16" s="50" t="s">
        <v>3621</v>
      </c>
      <c r="S16" s="50" t="s">
        <v>3621</v>
      </c>
      <c r="T16" s="50" t="s">
        <v>3621</v>
      </c>
      <c r="U16" s="50" t="s">
        <v>3621</v>
      </c>
      <c r="V16" s="50" t="s">
        <v>3621</v>
      </c>
      <c r="W16" s="50" t="s">
        <v>3621</v>
      </c>
      <c r="X16" s="50" t="s">
        <v>3621</v>
      </c>
      <c r="Y16" s="50" t="s">
        <v>3621</v>
      </c>
      <c r="Z16" s="50" t="s">
        <v>3621</v>
      </c>
      <c r="AA16" s="50" t="s">
        <v>3621</v>
      </c>
      <c r="AB16" s="50" t="s">
        <v>3621</v>
      </c>
      <c r="AC16" s="50" t="s">
        <v>3621</v>
      </c>
    </row>
    <row r="17" spans="2:31">
      <c r="B17" s="50" t="s">
        <v>3604</v>
      </c>
      <c r="C17" s="50">
        <v>19</v>
      </c>
      <c r="D17" s="50" t="s">
        <v>3921</v>
      </c>
      <c r="E17" s="111">
        <v>45441</v>
      </c>
      <c r="F17" s="50">
        <v>1</v>
      </c>
      <c r="G17" s="50" cm="1">
        <f t="array" ref="G17">SUMPRODUCT(--(ISNUMBER((SEARCH(I23:AC23,I17:AC17)))))/COUNTA(I17:AC17)</f>
        <v>0</v>
      </c>
      <c r="H17" s="114" t="s">
        <v>3630</v>
      </c>
      <c r="I17" s="50" t="s">
        <v>3655</v>
      </c>
      <c r="J17" s="50" t="s">
        <v>3655</v>
      </c>
      <c r="K17" s="50" t="s">
        <v>3655</v>
      </c>
      <c r="L17" s="50" t="s">
        <v>3655</v>
      </c>
      <c r="M17" s="50" t="s">
        <v>3655</v>
      </c>
      <c r="N17" s="50" t="s">
        <v>3655</v>
      </c>
      <c r="O17" s="50" t="s">
        <v>3655</v>
      </c>
      <c r="P17" s="50" t="s">
        <v>3655</v>
      </c>
      <c r="Q17" s="50" t="s">
        <v>3655</v>
      </c>
      <c r="R17" s="50" t="s">
        <v>3655</v>
      </c>
      <c r="S17" s="50" t="s">
        <v>3655</v>
      </c>
      <c r="T17" s="50" t="s">
        <v>3655</v>
      </c>
      <c r="U17" s="50" t="s">
        <v>3655</v>
      </c>
      <c r="V17" s="50" t="s">
        <v>3922</v>
      </c>
      <c r="W17" s="50" t="s">
        <v>3655</v>
      </c>
      <c r="X17" s="50" t="s">
        <v>3922</v>
      </c>
      <c r="Y17" s="50" t="s">
        <v>3655</v>
      </c>
      <c r="Z17" s="50" t="s">
        <v>3655</v>
      </c>
      <c r="AA17" s="50" t="s">
        <v>3655</v>
      </c>
      <c r="AB17" s="50" t="s">
        <v>3655</v>
      </c>
      <c r="AC17" s="50" t="s">
        <v>3657</v>
      </c>
    </row>
    <row r="18" spans="2:31">
      <c r="B18" s="50" t="s">
        <v>3607</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c r="B19" s="50" t="s">
        <v>3610</v>
      </c>
      <c r="C19" s="50">
        <v>21</v>
      </c>
      <c r="D19" s="50"/>
      <c r="E19" s="111"/>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6" t="s">
        <v>3727</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c r="B23" s="165" t="s">
        <v>3613</v>
      </c>
      <c r="C23" s="147" t="s">
        <v>3614</v>
      </c>
      <c r="D23" s="147" t="s">
        <v>3615</v>
      </c>
      <c r="E23" s="147" t="s">
        <v>3616</v>
      </c>
      <c r="F23" s="147" t="s">
        <v>3617</v>
      </c>
      <c r="G23" s="147" t="s">
        <v>3618</v>
      </c>
      <c r="H23" s="147" t="s">
        <v>3619</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c r="B24" s="131" t="s">
        <v>3658</v>
      </c>
      <c r="C24" s="159">
        <v>21</v>
      </c>
      <c r="D24" s="128" t="s">
        <v>3659</v>
      </c>
      <c r="E24" s="127" t="s">
        <v>3660</v>
      </c>
      <c r="F24" s="127" t="s">
        <v>372</v>
      </c>
      <c r="G24" s="127" t="s">
        <v>372</v>
      </c>
      <c r="H24" s="127" t="s">
        <v>372</v>
      </c>
      <c r="I24" s="127" t="str" cm="1">
        <f t="array" aca="1" ref="I24:AC25" ca="1">TRANSPOSE(_xlfn.SORTBY(_xlfn._xlws.FILTER(IF(Table3[FORMATO]:Table3[COMP_ CAMPO]&lt;&gt;"",Table3[FORMATO]:Table3[COMP_ CAMPO],9999999),Table3[NOME FÍSICO TABELA]="bank_vault"), _xlfn._xlws.FILTER(Table3[ORDEM], Table3[NOME FÍSICO TABELA]="bank_vault"), 1))</f>
        <v>STRING</v>
      </c>
      <c r="J24" s="127" t="str">
        <f ca="1"/>
        <v>STRING</v>
      </c>
      <c r="K24" s="127" t="str">
        <f ca="1"/>
        <v>STRING</v>
      </c>
      <c r="L24" s="127" t="str">
        <f ca="1"/>
        <v>STRING</v>
      </c>
      <c r="M24" s="127" t="str">
        <f ca="1"/>
        <v>STRING</v>
      </c>
      <c r="N24" s="127" t="str">
        <f ca="1"/>
        <v>STRING</v>
      </c>
      <c r="O24" s="127" t="str">
        <f ca="1"/>
        <v>STRING</v>
      </c>
      <c r="P24" s="127" t="str">
        <f ca="1"/>
        <v>STRING</v>
      </c>
      <c r="Q24" s="127" t="str">
        <f ca="1"/>
        <v>STRING</v>
      </c>
      <c r="R24" s="127" t="str">
        <f ca="1"/>
        <v>STRING</v>
      </c>
      <c r="S24" s="127" t="str">
        <f ca="1"/>
        <v>STRING</v>
      </c>
      <c r="T24" s="127" t="str">
        <f ca="1"/>
        <v>STRING</v>
      </c>
      <c r="U24" s="127" t="str">
        <f ca="1"/>
        <v>STRING</v>
      </c>
      <c r="V24" s="127" t="str">
        <f ca="1"/>
        <v>DECIMAL</v>
      </c>
      <c r="W24" s="127" t="str">
        <f ca="1"/>
        <v>STRING</v>
      </c>
      <c r="X24" s="127" t="str">
        <f ca="1"/>
        <v>DECIMAL</v>
      </c>
      <c r="Y24" s="127" t="str">
        <f ca="1"/>
        <v>STRING</v>
      </c>
      <c r="Z24" s="127" t="str">
        <f ca="1"/>
        <v>STRING</v>
      </c>
      <c r="AA24" s="127" t="str">
        <f ca="1"/>
        <v>STRING</v>
      </c>
      <c r="AB24" s="127" t="str">
        <f ca="1"/>
        <v>STRING</v>
      </c>
      <c r="AC24" s="127" t="str">
        <f ca="1"/>
        <v>TIMESTAMP</v>
      </c>
      <c r="AD24" s="188"/>
      <c r="AE24" s="234"/>
    </row>
    <row r="25" spans="2:31">
      <c r="B25" s="133" t="s">
        <v>3661</v>
      </c>
      <c r="C25" s="129">
        <v>7</v>
      </c>
      <c r="D25" s="135" t="s">
        <v>3659</v>
      </c>
      <c r="E25" s="134" t="s">
        <v>3660</v>
      </c>
      <c r="F25" s="134" t="s">
        <v>372</v>
      </c>
      <c r="G25" s="134" t="s">
        <v>372</v>
      </c>
      <c r="H25" s="134" t="s">
        <v>372</v>
      </c>
      <c r="I25" s="129">
        <f ca="1"/>
        <v>4</v>
      </c>
      <c r="J25" s="129">
        <f ca="1"/>
        <v>30</v>
      </c>
      <c r="K25" s="129">
        <f ca="1"/>
        <v>15</v>
      </c>
      <c r="L25" s="129">
        <f ca="1"/>
        <v>4</v>
      </c>
      <c r="M25" s="129">
        <f ca="1"/>
        <v>4</v>
      </c>
      <c r="N25" s="129">
        <f ca="1"/>
        <v>4</v>
      </c>
      <c r="O25" s="129">
        <f ca="1"/>
        <v>4</v>
      </c>
      <c r="P25" s="129">
        <f ca="1"/>
        <v>4</v>
      </c>
      <c r="Q25" s="129">
        <f ca="1"/>
        <v>30</v>
      </c>
      <c r="R25" s="129">
        <f ca="1"/>
        <v>10</v>
      </c>
      <c r="S25" s="129">
        <f ca="1"/>
        <v>10</v>
      </c>
      <c r="T25" s="129">
        <f ca="1"/>
        <v>4</v>
      </c>
      <c r="U25" s="129">
        <f ca="1"/>
        <v>10</v>
      </c>
      <c r="V25" s="129">
        <f ca="1"/>
        <v>23</v>
      </c>
      <c r="W25" s="129">
        <f ca="1"/>
        <v>10</v>
      </c>
      <c r="X25" s="129">
        <f ca="1"/>
        <v>23</v>
      </c>
      <c r="Y25" s="129">
        <f ca="1"/>
        <v>4</v>
      </c>
      <c r="Z25" s="129">
        <f ca="1"/>
        <v>4</v>
      </c>
      <c r="AA25" s="129">
        <f ca="1"/>
        <v>2</v>
      </c>
      <c r="AB25" s="129">
        <f ca="1"/>
        <v>10</v>
      </c>
      <c r="AC25" s="129">
        <f ca="1"/>
        <v>23</v>
      </c>
      <c r="AD25" s="235"/>
      <c r="AE25" s="50"/>
    </row>
    <row r="27" spans="2:31">
      <c r="B27" s="156" t="s">
        <v>3662</v>
      </c>
    </row>
    <row r="28" spans="2:31">
      <c r="B28" s="150" t="s">
        <v>3663</v>
      </c>
      <c r="C28" s="150" t="s">
        <v>3664</v>
      </c>
      <c r="D28" s="151" t="s">
        <v>3665</v>
      </c>
      <c r="E28" s="150" t="s">
        <v>3666</v>
      </c>
      <c r="F28" s="150" t="s">
        <v>3667</v>
      </c>
    </row>
    <row r="29" spans="2:31" ht="43.5">
      <c r="B29" s="127" t="s">
        <v>3728</v>
      </c>
      <c r="C29" s="131" t="s">
        <v>452</v>
      </c>
      <c r="D29" s="53" t="s">
        <v>3923</v>
      </c>
      <c r="E29" s="152" t="s">
        <v>3924</v>
      </c>
      <c r="F29" s="152" t="s">
        <v>3674</v>
      </c>
    </row>
    <row r="30" spans="2:31" ht="43.5">
      <c r="B30" s="127" t="s">
        <v>3728</v>
      </c>
      <c r="C30" s="131" t="s">
        <v>446</v>
      </c>
      <c r="D30" s="53" t="s">
        <v>3923</v>
      </c>
      <c r="E30" s="152" t="s">
        <v>3924</v>
      </c>
      <c r="F30" s="152"/>
    </row>
    <row r="31" spans="2:31" ht="43.5">
      <c r="B31" s="127" t="s">
        <v>3728</v>
      </c>
      <c r="C31" s="131" t="s">
        <v>3901</v>
      </c>
      <c r="D31" s="53" t="s">
        <v>3925</v>
      </c>
      <c r="E31" s="152" t="s">
        <v>3926</v>
      </c>
      <c r="F31" s="152"/>
    </row>
    <row r="32" spans="2:31" ht="43.5">
      <c r="B32" s="127" t="s">
        <v>3728</v>
      </c>
      <c r="C32" s="131" t="s">
        <v>3927</v>
      </c>
      <c r="D32" s="53" t="s">
        <v>3925</v>
      </c>
      <c r="E32" s="152" t="s">
        <v>3926</v>
      </c>
      <c r="F32" s="152" t="s">
        <v>3674</v>
      </c>
    </row>
    <row r="33" spans="2:6" ht="29.1">
      <c r="B33" s="153" t="s">
        <v>3728</v>
      </c>
      <c r="C33" s="154" t="s">
        <v>156</v>
      </c>
      <c r="D33" s="155" t="s">
        <v>3928</v>
      </c>
      <c r="E33" s="205" t="s">
        <v>3929</v>
      </c>
      <c r="F33" s="152" t="s">
        <v>3674</v>
      </c>
    </row>
    <row r="34" spans="2:6" ht="29.1">
      <c r="B34" s="153" t="s">
        <v>3728</v>
      </c>
      <c r="C34" s="154" t="s">
        <v>168</v>
      </c>
      <c r="D34" s="155" t="s">
        <v>3928</v>
      </c>
      <c r="E34" s="205" t="s">
        <v>3929</v>
      </c>
      <c r="F34"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1" t="s">
        <v>3613</v>
      </c>
      <c r="C2" s="91" t="s">
        <v>3614</v>
      </c>
      <c r="D2" s="91" t="s">
        <v>3615</v>
      </c>
      <c r="E2" s="91" t="s">
        <v>3616</v>
      </c>
      <c r="F2" s="91" t="s">
        <v>3617</v>
      </c>
      <c r="G2" s="91" t="s">
        <v>3618</v>
      </c>
      <c r="H2" s="91" t="s">
        <v>3619</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c r="B3" s="50" t="s">
        <v>3567</v>
      </c>
      <c r="C3" s="50">
        <v>1</v>
      </c>
      <c r="D3" s="50" t="s">
        <v>3930</v>
      </c>
      <c r="E3" s="111">
        <v>45439</v>
      </c>
      <c r="F3" s="50">
        <v>1</v>
      </c>
      <c r="G3" s="209">
        <v>1</v>
      </c>
      <c r="H3" s="207" t="s">
        <v>3931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3932</v>
      </c>
      <c r="E4" s="111">
        <v>45439</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3933</v>
      </c>
      <c r="E5" s="111">
        <v>45439</v>
      </c>
      <c r="F5" s="50">
        <v>1</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3933</v>
      </c>
      <c r="E6" s="111" t="s">
        <v>3621</v>
      </c>
      <c r="F6" s="50">
        <v>1</v>
      </c>
      <c r="G6" s="209" t="s">
        <v>3621</v>
      </c>
      <c r="H6" s="50">
        <v>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3933</v>
      </c>
      <c r="E7" s="111" t="s">
        <v>3621</v>
      </c>
      <c r="F7" s="50">
        <v>1</v>
      </c>
      <c r="G7" s="209" t="s">
        <v>3621</v>
      </c>
      <c r="H7" s="50">
        <v>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3934</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3579</v>
      </c>
      <c r="C9" s="50">
        <v>7</v>
      </c>
      <c r="D9" s="50" t="s">
        <v>3935</v>
      </c>
      <c r="E9" s="111">
        <v>45439</v>
      </c>
      <c r="F9" s="50">
        <v>1</v>
      </c>
      <c r="G9" s="209"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3582</v>
      </c>
      <c r="C10" s="50">
        <v>8</v>
      </c>
      <c r="D10" s="50" t="s">
        <v>3936</v>
      </c>
      <c r="E10" s="111">
        <v>45439</v>
      </c>
      <c r="F10" s="50">
        <v>1</v>
      </c>
      <c r="G10" s="209" t="s">
        <v>3621</v>
      </c>
      <c r="H10" s="50">
        <v>0</v>
      </c>
      <c r="I10" s="50">
        <v>31</v>
      </c>
      <c r="J10" s="201">
        <v>300001496092</v>
      </c>
      <c r="K10" s="50" t="s">
        <v>3699</v>
      </c>
      <c r="L10" s="50">
        <v>90</v>
      </c>
      <c r="M10" s="50">
        <v>1</v>
      </c>
      <c r="N10" s="50">
        <v>31</v>
      </c>
      <c r="O10" s="50">
        <v>2.0461000999999998E+22</v>
      </c>
      <c r="P10" s="111" t="s">
        <v>3629</v>
      </c>
      <c r="Q10" s="111">
        <v>2958465</v>
      </c>
      <c r="R10" s="50">
        <v>978</v>
      </c>
      <c r="S10" s="114">
        <v>-25991130000</v>
      </c>
      <c r="T10" s="50" t="s">
        <v>3699</v>
      </c>
      <c r="U10" s="50" t="s">
        <v>3632</v>
      </c>
      <c r="V10" s="111">
        <v>45439</v>
      </c>
      <c r="W10" s="50" t="s">
        <v>3937</v>
      </c>
    </row>
    <row r="11" spans="2:23">
      <c r="B11" s="50" t="s">
        <v>3584</v>
      </c>
      <c r="C11" s="50">
        <v>9</v>
      </c>
      <c r="D11" s="50" t="s">
        <v>3938</v>
      </c>
      <c r="E11" s="111">
        <v>45439</v>
      </c>
      <c r="F11" s="50">
        <v>1</v>
      </c>
      <c r="G11" s="209" t="s">
        <v>3621</v>
      </c>
      <c r="H11" s="50">
        <v>0</v>
      </c>
      <c r="I11" s="50">
        <v>31</v>
      </c>
      <c r="J11" s="201">
        <v>300001496092</v>
      </c>
      <c r="K11" s="50"/>
      <c r="L11" s="50">
        <v>90</v>
      </c>
      <c r="M11" s="50">
        <v>1</v>
      </c>
      <c r="N11" s="50"/>
      <c r="O11" s="50">
        <v>2.0461000999999998E+22</v>
      </c>
      <c r="P11" s="50" t="s">
        <v>3629</v>
      </c>
      <c r="Q11" s="111">
        <v>2958465</v>
      </c>
      <c r="R11" s="50">
        <v>978</v>
      </c>
      <c r="S11" s="114" t="s">
        <v>3939</v>
      </c>
      <c r="T11" s="50">
        <v>0</v>
      </c>
      <c r="U11" s="50" t="s">
        <v>3636</v>
      </c>
      <c r="V11" s="111">
        <v>45439</v>
      </c>
      <c r="W11" s="50" t="s">
        <v>3940</v>
      </c>
    </row>
    <row r="12" spans="2:23">
      <c r="B12" s="113" t="s">
        <v>3586</v>
      </c>
      <c r="C12" s="50">
        <v>10</v>
      </c>
      <c r="D12" s="50" t="s">
        <v>3941</v>
      </c>
      <c r="E12" s="111">
        <v>45439</v>
      </c>
      <c r="F12" s="50">
        <v>1</v>
      </c>
      <c r="G12" s="209" t="s">
        <v>3621</v>
      </c>
      <c r="H12" s="50">
        <v>0</v>
      </c>
      <c r="I12" s="50">
        <v>31</v>
      </c>
      <c r="J12" s="201">
        <v>689000000023092</v>
      </c>
      <c r="K12" s="50" t="s">
        <v>3699</v>
      </c>
      <c r="L12" s="50">
        <v>92</v>
      </c>
      <c r="M12" s="50" t="s">
        <v>3711</v>
      </c>
      <c r="N12" s="50">
        <v>31</v>
      </c>
      <c r="O12" s="50">
        <v>2.3970029463101999E+29</v>
      </c>
      <c r="P12" s="111">
        <v>45439</v>
      </c>
      <c r="Q12" s="111">
        <v>2958465</v>
      </c>
      <c r="R12" s="50">
        <v>978</v>
      </c>
      <c r="S12" s="114">
        <v>5423613370000</v>
      </c>
      <c r="T12" s="50" t="s">
        <v>3699</v>
      </c>
      <c r="U12" s="50" t="s">
        <v>3632</v>
      </c>
      <c r="V12" s="111">
        <v>45439</v>
      </c>
      <c r="W12" s="50" t="s">
        <v>3937</v>
      </c>
    </row>
    <row r="13" spans="2:23">
      <c r="B13" s="50" t="s">
        <v>3588</v>
      </c>
      <c r="C13" s="50">
        <v>11</v>
      </c>
      <c r="D13" s="50" t="s">
        <v>3942</v>
      </c>
      <c r="E13" s="111">
        <v>45439</v>
      </c>
      <c r="F13" s="50">
        <v>1</v>
      </c>
      <c r="G13" s="209" t="s">
        <v>3621</v>
      </c>
      <c r="H13" s="50">
        <v>0</v>
      </c>
      <c r="I13" s="50">
        <v>31</v>
      </c>
      <c r="J13" s="201">
        <v>689000000023092</v>
      </c>
      <c r="K13" s="50"/>
      <c r="L13" s="50">
        <v>92</v>
      </c>
      <c r="M13" s="50" t="s">
        <v>3711</v>
      </c>
      <c r="N13" s="50"/>
      <c r="O13" s="50">
        <v>2.3970029463101999E+29</v>
      </c>
      <c r="P13" s="111">
        <v>45439</v>
      </c>
      <c r="Q13" s="111">
        <v>2958465</v>
      </c>
      <c r="R13" s="50">
        <v>978</v>
      </c>
      <c r="S13" s="114" t="s">
        <v>3943</v>
      </c>
      <c r="T13" s="50">
        <v>0</v>
      </c>
      <c r="U13" s="50" t="s">
        <v>3636</v>
      </c>
      <c r="V13" s="111">
        <v>45439</v>
      </c>
      <c r="W13" s="50" t="s">
        <v>3944</v>
      </c>
    </row>
    <row r="14" spans="2:23">
      <c r="B14" s="50" t="s">
        <v>3590</v>
      </c>
      <c r="C14" s="50">
        <v>12</v>
      </c>
      <c r="D14" s="50" t="s">
        <v>3945</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3592</v>
      </c>
      <c r="C15" s="50">
        <v>13</v>
      </c>
      <c r="D15" s="50" t="s">
        <v>3946</v>
      </c>
      <c r="E15" s="111">
        <v>45439</v>
      </c>
      <c r="F15" s="50">
        <v>1</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3947</v>
      </c>
      <c r="E16" s="111">
        <v>45439</v>
      </c>
      <c r="F16" s="50">
        <v>1</v>
      </c>
      <c r="G16" s="209">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c r="B17" s="50" t="s">
        <v>3596</v>
      </c>
      <c r="C17" s="50">
        <v>15</v>
      </c>
      <c r="D17" s="50" t="s">
        <v>3948</v>
      </c>
      <c r="E17" s="111">
        <v>45439</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c r="B18" s="50" t="s">
        <v>3598</v>
      </c>
      <c r="C18" s="50">
        <v>16</v>
      </c>
      <c r="D18" s="50" t="s">
        <v>3948</v>
      </c>
      <c r="E18" s="111">
        <v>45439</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c r="B19" s="50" t="s">
        <v>3604</v>
      </c>
      <c r="C19" s="50">
        <v>19</v>
      </c>
      <c r="D19" s="50" t="s">
        <v>3949</v>
      </c>
      <c r="E19" s="111">
        <v>45439</v>
      </c>
      <c r="F19" s="50">
        <v>1</v>
      </c>
      <c r="G19" s="209" cm="1">
        <f t="array" aca="1" ref="G19" ca="1">SUMPRODUCT(--(ISNUMBER((SEARCH(I25:W25,I19:W19)))))/COUNTA(I19:W19)</f>
        <v>1</v>
      </c>
      <c r="H19" s="50">
        <v>0</v>
      </c>
      <c r="I19" s="50" t="s">
        <v>3655</v>
      </c>
      <c r="J19" s="50" t="s">
        <v>3655</v>
      </c>
      <c r="K19" s="50" t="s">
        <v>3655</v>
      </c>
      <c r="L19" s="50" t="s">
        <v>3655</v>
      </c>
      <c r="M19" s="50" t="s">
        <v>3655</v>
      </c>
      <c r="N19" s="50" t="s">
        <v>3655</v>
      </c>
      <c r="O19" s="50" t="s">
        <v>3655</v>
      </c>
      <c r="P19" s="50" t="s">
        <v>3655</v>
      </c>
      <c r="Q19" s="50" t="s">
        <v>3655</v>
      </c>
      <c r="R19" s="50" t="s">
        <v>3655</v>
      </c>
      <c r="S19" s="50" t="s">
        <v>3656</v>
      </c>
      <c r="T19" s="50" t="s">
        <v>3655</v>
      </c>
      <c r="U19" s="50" t="s">
        <v>3655</v>
      </c>
      <c r="V19" s="50" t="s">
        <v>3655</v>
      </c>
      <c r="W19" s="50" t="s">
        <v>3657</v>
      </c>
    </row>
    <row r="20" spans="2:23">
      <c r="B20" s="50" t="s">
        <v>3607</v>
      </c>
      <c r="C20" s="50">
        <v>20</v>
      </c>
      <c r="D20" s="50" t="s">
        <v>3950</v>
      </c>
      <c r="E20" s="111">
        <v>45439</v>
      </c>
      <c r="F20" s="50">
        <v>1</v>
      </c>
      <c r="G20" s="209" cm="1">
        <f t="array" ref="G20">SUM(IF(I2:S2 = I24:S24, 1, 0))/ COUNTA(I2:S2)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c r="B21" s="50" t="s">
        <v>3610</v>
      </c>
      <c r="C21" s="50">
        <v>21</v>
      </c>
      <c r="D21" s="50" t="s">
        <v>3950</v>
      </c>
      <c r="E21" s="111">
        <v>45439</v>
      </c>
      <c r="F21" s="50">
        <v>1</v>
      </c>
      <c r="G21" s="209" cm="1">
        <f t="array" aca="1" ref="G21" ca="1">SUM(IF(IF(G3:G20="null",1,G3:G20)=1,1,0))/COUNT(IF(G3:G20="null",1,1))</f>
        <v>1</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57" t="s">
        <v>3727</v>
      </c>
      <c r="C23" s="158"/>
      <c r="D23" s="158"/>
      <c r="E23" s="158"/>
      <c r="F23" s="158"/>
      <c r="G23" s="158"/>
      <c r="H23" s="158"/>
    </row>
    <row r="24" spans="2:23">
      <c r="B24" s="144" t="s">
        <v>3613</v>
      </c>
      <c r="C24" s="145" t="s">
        <v>3614</v>
      </c>
      <c r="D24" s="145" t="s">
        <v>3615</v>
      </c>
      <c r="E24" s="145" t="s">
        <v>3616</v>
      </c>
      <c r="F24" s="145" t="s">
        <v>3617</v>
      </c>
      <c r="G24" s="145" t="s">
        <v>3618</v>
      </c>
      <c r="H24" s="145" t="s">
        <v>3619</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3662</v>
      </c>
    </row>
    <row r="29" spans="2:23">
      <c r="B29" s="150" t="s">
        <v>3663</v>
      </c>
      <c r="C29" s="150" t="s">
        <v>3664</v>
      </c>
      <c r="D29" s="151" t="s">
        <v>3665</v>
      </c>
      <c r="E29" s="150" t="s">
        <v>3666</v>
      </c>
      <c r="F29" s="150" t="s">
        <v>3667</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1" t="s">
        <v>3613</v>
      </c>
      <c r="C2" s="91" t="s">
        <v>3614</v>
      </c>
      <c r="D2" s="91" t="s">
        <v>3615</v>
      </c>
      <c r="E2" s="91" t="s">
        <v>3616</v>
      </c>
      <c r="F2" s="91" t="s">
        <v>3617</v>
      </c>
      <c r="G2" s="91" t="s">
        <v>3618</v>
      </c>
      <c r="H2" s="91" t="s">
        <v>3619</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c r="B3" s="50" t="s">
        <v>3567</v>
      </c>
      <c r="C3" s="50">
        <v>1</v>
      </c>
      <c r="D3" s="50" t="s">
        <v>3951</v>
      </c>
      <c r="E3" s="111">
        <v>45433</v>
      </c>
      <c r="F3" s="50">
        <v>2</v>
      </c>
      <c r="G3" s="209">
        <v>1</v>
      </c>
      <c r="H3" s="50">
        <v>15076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3952</v>
      </c>
      <c r="E4" s="111">
        <v>45433</v>
      </c>
      <c r="F4" s="50">
        <v>2</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3953</v>
      </c>
      <c r="E5" s="111">
        <v>45433</v>
      </c>
      <c r="F5" s="50">
        <v>2</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3624</v>
      </c>
      <c r="E6" s="111" t="s">
        <v>3621</v>
      </c>
      <c r="F6" s="50">
        <v>2</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3624</v>
      </c>
      <c r="E7" s="111" t="s">
        <v>3621</v>
      </c>
      <c r="F7" s="50">
        <v>2</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3954</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3579</v>
      </c>
      <c r="C9" s="50">
        <v>7</v>
      </c>
      <c r="D9" s="50" t="s">
        <v>3955</v>
      </c>
      <c r="E9" s="111">
        <v>45433</v>
      </c>
      <c r="F9" s="50">
        <v>2</v>
      </c>
      <c r="G9" s="209"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3582</v>
      </c>
      <c r="C10" s="50">
        <v>8</v>
      </c>
      <c r="D10" s="50" t="s">
        <v>3956</v>
      </c>
      <c r="E10" s="111">
        <v>45433</v>
      </c>
      <c r="F10" s="50">
        <v>2</v>
      </c>
      <c r="G10" s="50" t="s">
        <v>3621</v>
      </c>
      <c r="H10" s="50">
        <v>0</v>
      </c>
      <c r="I10" s="50">
        <v>31</v>
      </c>
      <c r="J10" s="50">
        <v>50000028007</v>
      </c>
      <c r="K10" s="50" t="s">
        <v>3851</v>
      </c>
      <c r="L10" s="50">
        <v>7</v>
      </c>
      <c r="M10" s="50">
        <v>101</v>
      </c>
      <c r="N10" s="50">
        <v>31</v>
      </c>
      <c r="O10" s="50">
        <v>2.2822000999999998E+22</v>
      </c>
      <c r="P10" s="111">
        <v>35300</v>
      </c>
      <c r="Q10" s="111">
        <v>2958465</v>
      </c>
      <c r="R10" s="50">
        <v>124</v>
      </c>
      <c r="S10" s="114" t="s">
        <v>3630</v>
      </c>
      <c r="T10" s="50" t="s">
        <v>3631</v>
      </c>
      <c r="U10" s="50" t="s">
        <v>3632</v>
      </c>
      <c r="V10" s="111">
        <v>45433</v>
      </c>
      <c r="W10" s="50" t="s">
        <v>3957</v>
      </c>
    </row>
    <row r="11" spans="2:23">
      <c r="B11" s="50" t="s">
        <v>3584</v>
      </c>
      <c r="C11" s="50">
        <v>9</v>
      </c>
      <c r="D11" s="50" t="s">
        <v>3958</v>
      </c>
      <c r="E11" s="111">
        <v>45433</v>
      </c>
      <c r="F11" s="50">
        <v>2</v>
      </c>
      <c r="G11" s="50" t="s">
        <v>3621</v>
      </c>
      <c r="H11" s="50">
        <v>0</v>
      </c>
      <c r="I11" s="50">
        <v>31</v>
      </c>
      <c r="J11" s="50">
        <v>50000028007</v>
      </c>
      <c r="K11" s="50"/>
      <c r="L11" s="50">
        <v>7</v>
      </c>
      <c r="M11" s="50">
        <v>101</v>
      </c>
      <c r="N11" s="50"/>
      <c r="O11" s="50">
        <v>2.2822000999999998E+22</v>
      </c>
      <c r="P11" s="111">
        <v>35300</v>
      </c>
      <c r="Q11" s="111">
        <v>2958465</v>
      </c>
      <c r="R11" s="50">
        <v>124</v>
      </c>
      <c r="S11" s="50" t="s">
        <v>3706</v>
      </c>
      <c r="T11" s="50">
        <v>0</v>
      </c>
      <c r="U11" s="50" t="s">
        <v>3854</v>
      </c>
      <c r="V11" s="111">
        <v>45433</v>
      </c>
      <c r="W11" s="50" t="s">
        <v>3959</v>
      </c>
    </row>
    <row r="12" spans="2:23">
      <c r="B12" s="113" t="s">
        <v>3586</v>
      </c>
      <c r="C12" s="50">
        <v>10</v>
      </c>
      <c r="D12" s="50" t="s">
        <v>3960</v>
      </c>
      <c r="E12" s="111">
        <v>45433</v>
      </c>
      <c r="F12" s="50">
        <v>2</v>
      </c>
      <c r="G12" s="50" t="s">
        <v>3621</v>
      </c>
      <c r="H12" s="50">
        <v>0</v>
      </c>
      <c r="I12" s="50">
        <v>31</v>
      </c>
      <c r="J12" s="201">
        <v>607500070000019</v>
      </c>
      <c r="K12" s="50" t="s">
        <v>3851</v>
      </c>
      <c r="L12" s="50">
        <v>7</v>
      </c>
      <c r="M12" s="50" t="s">
        <v>3857</v>
      </c>
      <c r="N12" s="50">
        <v>31</v>
      </c>
      <c r="O12" s="50">
        <v>2.3930258433501999E+29</v>
      </c>
      <c r="P12" s="111">
        <v>45429</v>
      </c>
      <c r="Q12" s="111">
        <v>2958465</v>
      </c>
      <c r="R12" s="50">
        <v>978</v>
      </c>
      <c r="S12" s="173" t="s">
        <v>3961</v>
      </c>
      <c r="T12" s="50" t="s">
        <v>3631</v>
      </c>
      <c r="U12" s="50" t="s">
        <v>3962</v>
      </c>
      <c r="V12" s="111">
        <v>45433</v>
      </c>
      <c r="W12" s="50" t="s">
        <v>3957</v>
      </c>
    </row>
    <row r="13" spans="2:23">
      <c r="B13" s="50" t="s">
        <v>3588</v>
      </c>
      <c r="C13" s="50">
        <v>11</v>
      </c>
      <c r="D13" s="50" t="s">
        <v>3963</v>
      </c>
      <c r="E13" s="111">
        <v>45433</v>
      </c>
      <c r="F13" s="50">
        <v>2</v>
      </c>
      <c r="G13" s="50" t="s">
        <v>3621</v>
      </c>
      <c r="H13" s="50">
        <v>0</v>
      </c>
      <c r="I13" s="50">
        <v>31</v>
      </c>
      <c r="J13" s="201">
        <v>607500070000019</v>
      </c>
      <c r="K13" s="50"/>
      <c r="L13" s="50">
        <v>7</v>
      </c>
      <c r="M13" s="50" t="s">
        <v>3857</v>
      </c>
      <c r="N13" s="50"/>
      <c r="O13" s="50">
        <v>2.3930258433501999E+29</v>
      </c>
      <c r="P13" s="111">
        <v>45429</v>
      </c>
      <c r="Q13" s="111">
        <v>2958465</v>
      </c>
      <c r="R13" s="50">
        <v>978</v>
      </c>
      <c r="S13" s="50" t="s">
        <v>3862</v>
      </c>
      <c r="T13" s="50">
        <v>0</v>
      </c>
      <c r="U13" s="50" t="s">
        <v>3636</v>
      </c>
      <c r="V13" s="111">
        <v>45433</v>
      </c>
      <c r="W13" s="50" t="s">
        <v>3964</v>
      </c>
    </row>
    <row r="14" spans="2:23">
      <c r="B14" s="50" t="s">
        <v>3590</v>
      </c>
      <c r="C14" s="50">
        <v>12</v>
      </c>
      <c r="D14" s="50" t="s">
        <v>3965</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3592</v>
      </c>
      <c r="C15" s="50">
        <v>13</v>
      </c>
      <c r="D15" s="50" t="s">
        <v>3966</v>
      </c>
      <c r="E15" s="111">
        <v>45433</v>
      </c>
      <c r="F15" s="50">
        <v>2</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3967</v>
      </c>
      <c r="E16" s="111">
        <v>45433</v>
      </c>
      <c r="F16" s="50">
        <v>2</v>
      </c>
      <c r="G16" s="209">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c r="B17" s="50" t="s">
        <v>3596</v>
      </c>
      <c r="C17" s="50">
        <v>15</v>
      </c>
      <c r="D17" s="50" t="s">
        <v>3968</v>
      </c>
      <c r="E17" s="111">
        <v>45433</v>
      </c>
      <c r="F17" s="50">
        <v>2</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c r="B18" s="50" t="s">
        <v>3598</v>
      </c>
      <c r="C18" s="50">
        <v>16</v>
      </c>
      <c r="D18" s="50" t="s">
        <v>3968</v>
      </c>
      <c r="E18" s="111">
        <v>45433</v>
      </c>
      <c r="F18" s="50">
        <v>2</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c r="B19" s="50" t="s">
        <v>3604</v>
      </c>
      <c r="C19" s="50">
        <v>19</v>
      </c>
      <c r="D19" s="50" t="s">
        <v>3969</v>
      </c>
      <c r="E19" s="111">
        <v>45433</v>
      </c>
      <c r="F19" s="50">
        <v>2</v>
      </c>
      <c r="G19" s="225" cm="1">
        <f t="array" aca="1" ref="G19" ca="1">SUMPRODUCT(--(ISNUMBER((SEARCH(I25:W25,I19:W19)))))/COUNTA(I19:W19)</f>
        <v>0.8666666666666667</v>
      </c>
      <c r="H19" s="50">
        <v>0</v>
      </c>
      <c r="I19" s="50" t="s">
        <v>3655</v>
      </c>
      <c r="J19" s="50" t="s">
        <v>3655</v>
      </c>
      <c r="K19" s="50" t="s">
        <v>3655</v>
      </c>
      <c r="L19" s="50" t="s">
        <v>3655</v>
      </c>
      <c r="M19" s="50" t="s">
        <v>3655</v>
      </c>
      <c r="N19" s="50" t="s">
        <v>3655</v>
      </c>
      <c r="O19" s="50" t="s">
        <v>3655</v>
      </c>
      <c r="P19" s="50" t="s">
        <v>3970</v>
      </c>
      <c r="Q19" s="50" t="s">
        <v>3970</v>
      </c>
      <c r="R19" s="50" t="s">
        <v>3655</v>
      </c>
      <c r="S19" s="50" t="s">
        <v>3656</v>
      </c>
      <c r="T19" s="50" t="s">
        <v>3655</v>
      </c>
      <c r="U19" s="50" t="s">
        <v>3655</v>
      </c>
      <c r="V19" s="50" t="s">
        <v>3655</v>
      </c>
      <c r="W19" s="50" t="s">
        <v>3657</v>
      </c>
    </row>
    <row r="20" spans="2:23">
      <c r="B20" s="50" t="s">
        <v>3607</v>
      </c>
      <c r="C20" s="50">
        <v>20</v>
      </c>
      <c r="D20" s="50" t="s">
        <v>3971</v>
      </c>
      <c r="E20" s="111">
        <v>45433</v>
      </c>
      <c r="F20" s="50">
        <v>1</v>
      </c>
      <c r="G20" s="209" cm="1">
        <f t="array" ref="G20">SUM(IF(I2:W2 = I24:W24, 1, 0))/ COUNTA(I2:W2)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c r="B21" s="50" t="s">
        <v>3610</v>
      </c>
      <c r="C21" s="50">
        <v>21</v>
      </c>
      <c r="D21" s="50" t="s">
        <v>3971</v>
      </c>
      <c r="E21" s="111">
        <v>45433</v>
      </c>
      <c r="F21" s="50">
        <v>1</v>
      </c>
      <c r="G21" s="209" cm="1">
        <f t="array" aca="1" ref="G21" ca="1">SUM(IF(IF(G3:G20="null",1,G3:G20)=1,1,0))/COUNT(IF(G3:G20="null",1,1))</f>
        <v>0.94444444444444442</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46" t="s">
        <v>3727</v>
      </c>
    </row>
    <row r="24" spans="2:23">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3662</v>
      </c>
    </row>
    <row r="29" spans="2:23">
      <c r="B29" s="150" t="s">
        <v>3663</v>
      </c>
      <c r="C29" s="150" t="s">
        <v>3664</v>
      </c>
      <c r="D29" s="151" t="s">
        <v>3665</v>
      </c>
      <c r="E29" s="150" t="s">
        <v>3666</v>
      </c>
      <c r="F29" s="150" t="s">
        <v>3667</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1" t="s">
        <v>3738</v>
      </c>
      <c r="C2" s="91" t="s">
        <v>3614</v>
      </c>
      <c r="D2" s="91" t="s">
        <v>3615</v>
      </c>
      <c r="E2" s="91" t="s">
        <v>3616</v>
      </c>
      <c r="F2" s="91" t="s">
        <v>3617</v>
      </c>
      <c r="G2" s="91" t="s">
        <v>3618</v>
      </c>
      <c r="H2" s="91" t="s">
        <v>3619</v>
      </c>
      <c r="I2" s="91" t="s">
        <v>121</v>
      </c>
      <c r="J2" s="91" t="s">
        <v>575</v>
      </c>
      <c r="K2" s="145" t="s">
        <v>177</v>
      </c>
      <c r="L2" s="145" t="s">
        <v>188</v>
      </c>
      <c r="M2" s="145" t="s">
        <v>1833</v>
      </c>
      <c r="N2" s="91" t="s">
        <v>1842</v>
      </c>
      <c r="O2" s="91" t="s">
        <v>1851</v>
      </c>
      <c r="P2" s="91" t="s">
        <v>1860</v>
      </c>
      <c r="Q2" s="91" t="s">
        <v>199</v>
      </c>
      <c r="R2" s="91" t="s">
        <v>211</v>
      </c>
      <c r="S2" s="91" t="s">
        <v>223</v>
      </c>
      <c r="T2" s="91" t="s">
        <v>3972</v>
      </c>
      <c r="U2" s="91" t="s">
        <v>3973</v>
      </c>
      <c r="V2" s="91" t="s">
        <v>658</v>
      </c>
      <c r="W2" s="91" t="s">
        <v>667</v>
      </c>
      <c r="X2" s="91" t="s">
        <v>327</v>
      </c>
      <c r="Y2" s="91" t="s">
        <v>334</v>
      </c>
    </row>
    <row r="3" spans="2:25">
      <c r="B3" s="50" t="s">
        <v>3567</v>
      </c>
      <c r="C3" s="50">
        <v>1</v>
      </c>
      <c r="D3" s="50" t="s">
        <v>3974</v>
      </c>
      <c r="E3" s="111">
        <v>45390</v>
      </c>
      <c r="F3" s="50">
        <v>1</v>
      </c>
      <c r="G3" s="114">
        <v>1</v>
      </c>
      <c r="H3" s="114" t="s">
        <v>3975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row>
    <row r="4" spans="2:25">
      <c r="B4" s="50" t="s">
        <v>3569</v>
      </c>
      <c r="C4" s="50">
        <v>2</v>
      </c>
      <c r="D4" s="50" t="s">
        <v>3976</v>
      </c>
      <c r="E4" s="111">
        <v>45390</v>
      </c>
      <c r="F4" s="50">
        <v>1</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row>
    <row r="5" spans="2:25">
      <c r="B5" s="50" t="s">
        <v>3571</v>
      </c>
      <c r="C5" s="50">
        <v>3</v>
      </c>
      <c r="D5" s="50" t="s">
        <v>3977</v>
      </c>
      <c r="E5" s="111">
        <v>45390</v>
      </c>
      <c r="F5" s="50">
        <v>1</v>
      </c>
      <c r="G5" s="114">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v>0</v>
      </c>
      <c r="Y5" s="50" t="s">
        <v>3621</v>
      </c>
    </row>
    <row r="6" spans="2:25">
      <c r="B6" s="50" t="s">
        <v>3573</v>
      </c>
      <c r="C6" s="50">
        <v>4</v>
      </c>
      <c r="D6" s="50" t="s">
        <v>3624</v>
      </c>
      <c r="E6" s="111" t="s">
        <v>3621</v>
      </c>
      <c r="F6" s="50">
        <v>1</v>
      </c>
      <c r="G6" s="111" t="s">
        <v>3621</v>
      </c>
      <c r="H6" s="50" t="s">
        <v>3706</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row>
    <row r="7" spans="2:25">
      <c r="B7" s="50" t="s">
        <v>3575</v>
      </c>
      <c r="C7" s="50">
        <v>5</v>
      </c>
      <c r="D7" s="50" t="s">
        <v>3624</v>
      </c>
      <c r="E7" s="111" t="s">
        <v>3621</v>
      </c>
      <c r="F7" s="50">
        <v>1</v>
      </c>
      <c r="G7" s="111" t="s">
        <v>3621</v>
      </c>
      <c r="H7" s="50" t="s">
        <v>3706</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row>
    <row r="8" spans="2:25">
      <c r="B8" s="50" t="s">
        <v>3576</v>
      </c>
      <c r="C8" s="50">
        <v>6</v>
      </c>
      <c r="D8" s="50" t="s">
        <v>3978</v>
      </c>
      <c r="E8" s="111">
        <v>45390</v>
      </c>
      <c r="F8" s="50">
        <v>1</v>
      </c>
      <c r="G8" s="50" cm="1">
        <f t="array" ref="G8">SUMPRODUCT(--(I8:Y8&gt;0))/COUNTA(I8:Y8)</f>
        <v>1</v>
      </c>
      <c r="H8" s="50" t="s">
        <v>3706</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3579</v>
      </c>
      <c r="C9" s="50">
        <v>7</v>
      </c>
      <c r="D9" s="50" t="s">
        <v>3979</v>
      </c>
      <c r="E9" s="111">
        <v>45390</v>
      </c>
      <c r="F9" s="50">
        <v>1</v>
      </c>
      <c r="G9" s="50" cm="1">
        <f t="array" aca="1" ref="G9" ca="1">SUMPRODUCT(--(I9:Y9&lt;=I26:Y26))/COUNTA(I26:Y26)</f>
        <v>1</v>
      </c>
      <c r="H9" s="50" t="s">
        <v>3706</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3582</v>
      </c>
      <c r="C10" s="50">
        <v>8</v>
      </c>
      <c r="D10" s="50" t="s">
        <v>3980</v>
      </c>
      <c r="E10" s="111">
        <v>45390</v>
      </c>
      <c r="F10" s="50">
        <v>1</v>
      </c>
      <c r="G10" s="111" t="s">
        <v>3621</v>
      </c>
      <c r="H10" s="50" t="s">
        <v>3706</v>
      </c>
      <c r="I10" s="50">
        <v>89</v>
      </c>
      <c r="J10" s="50">
        <v>19950000013</v>
      </c>
      <c r="K10" s="50" t="e">
        <v>#N/A</v>
      </c>
      <c r="L10" s="50" t="e">
        <v>#N/A</v>
      </c>
      <c r="M10" s="50">
        <v>7.7800000002008096E+21</v>
      </c>
      <c r="N10" s="50" t="e">
        <v>#N/A</v>
      </c>
      <c r="O10" s="50" t="e">
        <v>#N/A</v>
      </c>
      <c r="P10" s="50">
        <v>7.7800000002008096E+21</v>
      </c>
      <c r="Q10" s="111">
        <v>32265</v>
      </c>
      <c r="R10" s="111">
        <v>36556</v>
      </c>
      <c r="S10" s="50" t="s">
        <v>3981</v>
      </c>
      <c r="T10" s="111" t="s">
        <v>3630</v>
      </c>
      <c r="U10" s="111" t="s">
        <v>3630</v>
      </c>
      <c r="V10" s="50" t="s">
        <v>3631</v>
      </c>
      <c r="W10" s="111" t="s">
        <v>3632</v>
      </c>
      <c r="X10" s="111">
        <v>45390</v>
      </c>
      <c r="Y10" s="50" t="s">
        <v>3982</v>
      </c>
    </row>
    <row r="11" spans="2:25">
      <c r="B11" s="50" t="s">
        <v>3584</v>
      </c>
      <c r="C11" s="50">
        <v>9</v>
      </c>
      <c r="D11" s="50" t="s">
        <v>3983</v>
      </c>
      <c r="E11" s="111">
        <v>45390</v>
      </c>
      <c r="F11" s="50">
        <v>1</v>
      </c>
      <c r="G11" s="111" t="s">
        <v>3621</v>
      </c>
      <c r="H11" s="50" t="s">
        <v>3706</v>
      </c>
      <c r="I11" s="50">
        <v>31</v>
      </c>
      <c r="J11" s="50">
        <v>19950000013</v>
      </c>
      <c r="K11" s="50"/>
      <c r="L11" s="50" t="e">
        <v>#N/A</v>
      </c>
      <c r="M11" s="50">
        <v>7.7800000002008096E+21</v>
      </c>
      <c r="N11" s="50"/>
      <c r="O11" s="50" t="e">
        <v>#N/A</v>
      </c>
      <c r="P11" s="50" t="s">
        <v>3984</v>
      </c>
      <c r="Q11" s="111">
        <v>32265</v>
      </c>
      <c r="R11" s="111">
        <v>36556</v>
      </c>
      <c r="S11" s="50" t="s">
        <v>3981</v>
      </c>
      <c r="T11" s="111" t="s">
        <v>3706</v>
      </c>
      <c r="U11" s="111" t="s">
        <v>3706</v>
      </c>
      <c r="V11" s="50">
        <v>5</v>
      </c>
      <c r="W11" s="111" t="s">
        <v>3636</v>
      </c>
      <c r="X11" s="111">
        <v>45390</v>
      </c>
      <c r="Y11" s="50" t="s">
        <v>3985</v>
      </c>
    </row>
    <row r="12" spans="2:25" s="197" customFormat="1">
      <c r="B12" s="196" t="s">
        <v>3586</v>
      </c>
      <c r="C12" s="196" t="s">
        <v>3986</v>
      </c>
      <c r="D12" s="196" t="s">
        <v>3987</v>
      </c>
      <c r="E12" s="111">
        <v>45390</v>
      </c>
      <c r="F12" s="50">
        <v>1</v>
      </c>
      <c r="G12" s="111" t="s">
        <v>3621</v>
      </c>
      <c r="H12" s="196" t="s">
        <v>3706</v>
      </c>
      <c r="I12" s="196" t="s">
        <v>3988</v>
      </c>
      <c r="J12" s="196" t="s">
        <v>3989</v>
      </c>
      <c r="K12" s="196" t="s">
        <v>3990</v>
      </c>
      <c r="L12" s="196" t="s">
        <v>3991</v>
      </c>
      <c r="M12" s="196" t="s">
        <v>3992</v>
      </c>
      <c r="N12" s="196" t="s">
        <v>3990</v>
      </c>
      <c r="O12" s="196" t="s">
        <v>3991</v>
      </c>
      <c r="P12" s="196" t="s">
        <v>3992</v>
      </c>
      <c r="Q12" s="196" t="s">
        <v>3993</v>
      </c>
      <c r="R12" s="196" t="s">
        <v>3994</v>
      </c>
      <c r="S12" s="196" t="s">
        <v>3995</v>
      </c>
      <c r="T12" s="196" t="s">
        <v>3996</v>
      </c>
      <c r="U12" s="196" t="s">
        <v>3997</v>
      </c>
      <c r="V12" s="196" t="s">
        <v>3631</v>
      </c>
      <c r="W12" s="196" t="s">
        <v>3632</v>
      </c>
      <c r="X12" s="196" t="s">
        <v>3998</v>
      </c>
      <c r="Y12" s="196" t="s">
        <v>3982</v>
      </c>
    </row>
    <row r="13" spans="2:25" s="197" customFormat="1">
      <c r="B13" s="196" t="s">
        <v>3588</v>
      </c>
      <c r="C13" s="196" t="s">
        <v>3999</v>
      </c>
      <c r="D13" s="196" t="s">
        <v>4000</v>
      </c>
      <c r="E13" s="111">
        <v>45390</v>
      </c>
      <c r="F13" s="50">
        <v>1</v>
      </c>
      <c r="G13" s="111" t="s">
        <v>3621</v>
      </c>
      <c r="H13" s="196" t="s">
        <v>3706</v>
      </c>
      <c r="I13" s="196" t="s">
        <v>3990</v>
      </c>
      <c r="J13" s="196" t="s">
        <v>3989</v>
      </c>
      <c r="K13" s="196" t="s">
        <v>4001</v>
      </c>
      <c r="L13" s="196" t="s">
        <v>3991</v>
      </c>
      <c r="M13" s="196" t="s">
        <v>3992</v>
      </c>
      <c r="N13" s="196" t="s">
        <v>4001</v>
      </c>
      <c r="O13" s="196" t="s">
        <v>3991</v>
      </c>
      <c r="P13" s="196" t="s">
        <v>3992</v>
      </c>
      <c r="Q13" s="196" t="s">
        <v>3993</v>
      </c>
      <c r="R13" s="196" t="s">
        <v>3994</v>
      </c>
      <c r="S13" s="196" t="s">
        <v>3995</v>
      </c>
      <c r="T13" s="196" t="s">
        <v>4002</v>
      </c>
      <c r="U13" s="196" t="s">
        <v>4003</v>
      </c>
      <c r="V13" s="196" t="s">
        <v>4004</v>
      </c>
      <c r="W13" s="196" t="s">
        <v>3636</v>
      </c>
      <c r="X13" s="196" t="s">
        <v>3998</v>
      </c>
      <c r="Y13" s="196" t="s">
        <v>4005</v>
      </c>
    </row>
    <row r="14" spans="2:25">
      <c r="B14" s="50" t="s">
        <v>3590</v>
      </c>
      <c r="C14" s="50">
        <v>12</v>
      </c>
      <c r="D14" s="50" t="s">
        <v>4006</v>
      </c>
      <c r="E14" s="111">
        <v>45390</v>
      </c>
      <c r="F14" s="50">
        <v>1</v>
      </c>
      <c r="G14" s="50">
        <v>0.65</v>
      </c>
      <c r="H14" s="50" t="s">
        <v>3706</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3592</v>
      </c>
      <c r="C15" s="50">
        <v>13</v>
      </c>
      <c r="D15" s="50" t="s">
        <v>4007</v>
      </c>
      <c r="E15" s="111">
        <v>45390</v>
      </c>
      <c r="F15" s="50">
        <v>1</v>
      </c>
      <c r="G15" s="114">
        <v>1</v>
      </c>
      <c r="H15" s="50" t="s">
        <v>3706</v>
      </c>
      <c r="I15" s="50" t="s">
        <v>3621</v>
      </c>
      <c r="J15" s="50" t="s">
        <v>3621</v>
      </c>
      <c r="K15" s="50" t="s">
        <v>3621</v>
      </c>
      <c r="L15" s="50" t="s">
        <v>3621</v>
      </c>
      <c r="M15" s="50" t="s">
        <v>3621</v>
      </c>
      <c r="N15" s="50" t="s">
        <v>3621</v>
      </c>
      <c r="O15" s="50" t="s">
        <v>3621</v>
      </c>
      <c r="P15" s="50" t="s">
        <v>3621</v>
      </c>
      <c r="Q15" s="50">
        <v>0</v>
      </c>
      <c r="R15" s="50">
        <v>0</v>
      </c>
      <c r="S15" s="50" t="s">
        <v>3621</v>
      </c>
      <c r="T15" s="50" t="s">
        <v>3621</v>
      </c>
      <c r="U15" s="50" t="s">
        <v>3621</v>
      </c>
      <c r="V15" s="50" t="s">
        <v>3621</v>
      </c>
      <c r="W15" s="50" t="s">
        <v>3621</v>
      </c>
      <c r="X15" s="50" t="s">
        <v>3621</v>
      </c>
      <c r="Y15" s="50" t="s">
        <v>3621</v>
      </c>
    </row>
    <row r="16" spans="2:25">
      <c r="B16" s="50" t="s">
        <v>3594</v>
      </c>
      <c r="C16" s="50">
        <v>14</v>
      </c>
      <c r="D16" s="50" t="s">
        <v>4008</v>
      </c>
      <c r="E16" s="111">
        <v>45390</v>
      </c>
      <c r="F16" s="50">
        <v>1</v>
      </c>
      <c r="G16" s="114">
        <v>1</v>
      </c>
      <c r="H16" s="50" t="s">
        <v>3706</v>
      </c>
      <c r="I16" s="50">
        <v>0</v>
      </c>
      <c r="J16" s="50">
        <v>0</v>
      </c>
      <c r="K16" s="50">
        <v>0</v>
      </c>
      <c r="L16" s="50">
        <v>0</v>
      </c>
      <c r="M16" s="50" t="s">
        <v>3621</v>
      </c>
      <c r="N16" s="50">
        <v>0</v>
      </c>
      <c r="O16" s="50">
        <v>0</v>
      </c>
      <c r="P16" s="50" t="s">
        <v>3621</v>
      </c>
      <c r="Q16" s="50" t="s">
        <v>3621</v>
      </c>
      <c r="R16" s="50" t="s">
        <v>3621</v>
      </c>
      <c r="S16" s="50">
        <v>0</v>
      </c>
      <c r="T16" s="50" t="s">
        <v>3621</v>
      </c>
      <c r="U16" s="50" t="s">
        <v>3621</v>
      </c>
      <c r="V16" s="50">
        <v>0</v>
      </c>
      <c r="W16" s="50">
        <v>0</v>
      </c>
      <c r="X16" s="50" t="s">
        <v>3621</v>
      </c>
      <c r="Y16" s="50" t="s">
        <v>3621</v>
      </c>
    </row>
    <row r="17" spans="2:25">
      <c r="B17" s="50" t="s">
        <v>4009</v>
      </c>
      <c r="C17" s="50">
        <v>15</v>
      </c>
      <c r="D17" s="50" t="s">
        <v>4010</v>
      </c>
      <c r="E17" s="111">
        <v>45390</v>
      </c>
      <c r="F17" s="50">
        <v>1</v>
      </c>
      <c r="G17" s="114">
        <v>1</v>
      </c>
      <c r="H17" s="114" t="s">
        <v>3975</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row>
    <row r="18" spans="2:25">
      <c r="B18" s="50" t="s">
        <v>4011</v>
      </c>
      <c r="C18" s="50">
        <v>16</v>
      </c>
      <c r="D18" s="50" t="s">
        <v>4010</v>
      </c>
      <c r="E18" s="111">
        <v>45390</v>
      </c>
      <c r="F18" s="50">
        <v>1</v>
      </c>
      <c r="G18" s="114">
        <v>1</v>
      </c>
      <c r="H18" s="114" t="s">
        <v>3975</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row>
    <row r="19" spans="2:25">
      <c r="B19" s="50" t="s">
        <v>3604</v>
      </c>
      <c r="C19" s="50">
        <v>19</v>
      </c>
      <c r="D19" s="50" t="s">
        <v>4012</v>
      </c>
      <c r="E19" s="111">
        <v>45390</v>
      </c>
      <c r="F19" s="50">
        <v>1</v>
      </c>
      <c r="G19" s="114" cm="1">
        <f t="array" aca="1" ref="G19" ca="1">SUMPRODUCT(--(ISNUMBER((SEARCH(I25:W25,I19:W19)))))/COUNTA(I19:W19)</f>
        <v>0.8666666666666667</v>
      </c>
      <c r="H19" s="50" t="s">
        <v>3706</v>
      </c>
      <c r="I19" s="50" t="s">
        <v>3655</v>
      </c>
      <c r="J19" s="50" t="s">
        <v>3655</v>
      </c>
      <c r="K19" s="50" t="s">
        <v>3655</v>
      </c>
      <c r="L19" s="50" t="s">
        <v>3655</v>
      </c>
      <c r="M19" s="50" t="s">
        <v>3655</v>
      </c>
      <c r="N19" s="50" t="s">
        <v>3655</v>
      </c>
      <c r="O19" s="50" t="s">
        <v>3655</v>
      </c>
      <c r="P19" s="50" t="s">
        <v>3655</v>
      </c>
      <c r="Q19" s="50" t="s">
        <v>3970</v>
      </c>
      <c r="R19" s="50" t="s">
        <v>3970</v>
      </c>
      <c r="S19" s="50" t="s">
        <v>3655</v>
      </c>
      <c r="T19" s="50" t="s">
        <v>3656</v>
      </c>
      <c r="U19" s="50" t="s">
        <v>3656</v>
      </c>
      <c r="V19" s="50" t="s">
        <v>3655</v>
      </c>
      <c r="W19" s="50" t="s">
        <v>3655</v>
      </c>
      <c r="X19" s="50" t="s">
        <v>3655</v>
      </c>
      <c r="Y19" s="50" t="s">
        <v>3657</v>
      </c>
    </row>
    <row r="20" spans="2:25">
      <c r="B20" s="50" t="s">
        <v>3607</v>
      </c>
      <c r="C20" s="50">
        <v>20</v>
      </c>
      <c r="D20" s="50" t="s">
        <v>4012</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3610</v>
      </c>
      <c r="C21" s="50">
        <v>21</v>
      </c>
      <c r="D21" s="50" t="s">
        <v>4012</v>
      </c>
      <c r="E21" s="111">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c r="B23" s="143" t="s">
        <v>3727</v>
      </c>
    </row>
    <row r="24" spans="2:25">
      <c r="B24" s="149" t="s">
        <v>3613</v>
      </c>
      <c r="C24" s="145" t="s">
        <v>3614</v>
      </c>
      <c r="D24" s="145" t="s">
        <v>3615</v>
      </c>
      <c r="E24" s="145" t="s">
        <v>3616</v>
      </c>
      <c r="F24" s="145" t="s">
        <v>3617</v>
      </c>
      <c r="G24" s="145" t="s">
        <v>3618</v>
      </c>
      <c r="H24" s="145" t="s">
        <v>3619</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c r="B25" s="123" t="s">
        <v>3658</v>
      </c>
      <c r="C25" s="126">
        <v>16</v>
      </c>
      <c r="D25" s="120" t="s">
        <v>3659</v>
      </c>
      <c r="E25" s="119" t="s">
        <v>3660</v>
      </c>
      <c r="F25" s="119" t="s">
        <v>372</v>
      </c>
      <c r="G25" s="119" t="s">
        <v>372</v>
      </c>
      <c r="H25" s="119" t="s">
        <v>372</v>
      </c>
      <c r="I25" s="119"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DECIMAL</v>
      </c>
      <c r="U25" s="119" t="str">
        <f ca="1"/>
        <v>DECIMAL</v>
      </c>
      <c r="V25" s="119" t="str">
        <f ca="1"/>
        <v>STRING</v>
      </c>
      <c r="W25" s="119" t="str">
        <f ca="1"/>
        <v>STRING</v>
      </c>
      <c r="X25" s="119" t="str">
        <f ca="1"/>
        <v>STRING</v>
      </c>
      <c r="Y25" s="119" t="str">
        <f ca="1"/>
        <v>TIMESTAMP</v>
      </c>
    </row>
    <row r="26" spans="2:25">
      <c r="B26" s="123" t="s">
        <v>3661</v>
      </c>
      <c r="C26" s="126">
        <v>7</v>
      </c>
      <c r="D26" s="120" t="s">
        <v>3659</v>
      </c>
      <c r="E26" s="119" t="s">
        <v>3660</v>
      </c>
      <c r="F26" s="121" t="s">
        <v>372</v>
      </c>
      <c r="G26" s="121" t="s">
        <v>372</v>
      </c>
      <c r="H26" s="121" t="s">
        <v>372</v>
      </c>
      <c r="I26" s="167">
        <f ca="1"/>
        <v>4</v>
      </c>
      <c r="J26" s="167">
        <f ca="1"/>
        <v>15</v>
      </c>
      <c r="K26" s="167">
        <f ca="1"/>
        <v>4</v>
      </c>
      <c r="L26" s="167">
        <f ca="1"/>
        <v>30</v>
      </c>
      <c r="M26" s="167">
        <f ca="1"/>
        <v>34</v>
      </c>
      <c r="N26" s="167">
        <f ca="1"/>
        <v>4</v>
      </c>
      <c r="O26" s="167">
        <f ca="1"/>
        <v>30</v>
      </c>
      <c r="P26" s="167">
        <f ca="1"/>
        <v>34</v>
      </c>
      <c r="Q26" s="167">
        <f ca="1"/>
        <v>10</v>
      </c>
      <c r="R26" s="167">
        <f ca="1"/>
        <v>10</v>
      </c>
      <c r="S26" s="167">
        <f ca="1"/>
        <v>4</v>
      </c>
      <c r="T26" s="167">
        <f ca="1"/>
        <v>23</v>
      </c>
      <c r="U26" s="167">
        <f ca="1"/>
        <v>23</v>
      </c>
      <c r="V26" s="167">
        <f ca="1"/>
        <v>4</v>
      </c>
      <c r="W26" s="167">
        <f ca="1"/>
        <v>4</v>
      </c>
      <c r="X26" s="167">
        <f ca="1"/>
        <v>10</v>
      </c>
      <c r="Y26" s="167">
        <f ca="1"/>
        <v>23</v>
      </c>
    </row>
    <row r="28" spans="2:25">
      <c r="B28" s="156" t="s">
        <v>3662</v>
      </c>
    </row>
    <row r="29" spans="2:25">
      <c r="B29" s="150" t="s">
        <v>3663</v>
      </c>
      <c r="C29" s="150" t="s">
        <v>3664</v>
      </c>
      <c r="D29" s="151" t="s">
        <v>3665</v>
      </c>
      <c r="E29" s="150" t="s">
        <v>3666</v>
      </c>
      <c r="F29" s="150" t="s">
        <v>3667</v>
      </c>
    </row>
    <row r="30" spans="2:25" ht="43.5">
      <c r="B30" s="194" t="s">
        <v>3668</v>
      </c>
      <c r="C30" s="195" t="s">
        <v>177</v>
      </c>
      <c r="D30" s="57" t="s">
        <v>4013</v>
      </c>
      <c r="E30" s="113" t="s">
        <v>4014</v>
      </c>
      <c r="F30" s="152" t="s">
        <v>3674</v>
      </c>
      <c r="I30" t="s">
        <v>4015</v>
      </c>
    </row>
    <row r="31" spans="2:25" ht="43.5">
      <c r="B31" s="194" t="s">
        <v>3668</v>
      </c>
      <c r="C31" s="195" t="s">
        <v>188</v>
      </c>
      <c r="D31" s="57" t="s">
        <v>4013</v>
      </c>
      <c r="E31" s="113" t="s">
        <v>4014</v>
      </c>
      <c r="F31" s="152" t="s">
        <v>3674</v>
      </c>
    </row>
    <row r="32" spans="2:25" ht="43.5">
      <c r="B32" s="194" t="s">
        <v>3668</v>
      </c>
      <c r="C32" s="138" t="s">
        <v>1833</v>
      </c>
      <c r="D32" s="57" t="s">
        <v>4013</v>
      </c>
      <c r="E32" s="113" t="s">
        <v>4014</v>
      </c>
      <c r="F32" s="152" t="s">
        <v>3674</v>
      </c>
    </row>
    <row r="33" spans="2:16" ht="43.5">
      <c r="B33" s="194" t="s">
        <v>3668</v>
      </c>
      <c r="C33" s="138" t="s">
        <v>1842</v>
      </c>
      <c r="D33" s="57" t="s">
        <v>4013</v>
      </c>
      <c r="E33" s="113" t="s">
        <v>4014</v>
      </c>
      <c r="F33" s="152" t="s">
        <v>3674</v>
      </c>
    </row>
    <row r="34" spans="2:16" ht="43.5">
      <c r="B34" s="194" t="s">
        <v>3668</v>
      </c>
      <c r="C34" s="138" t="s">
        <v>1851</v>
      </c>
      <c r="D34" s="57" t="s">
        <v>4013</v>
      </c>
      <c r="E34" s="113" t="s">
        <v>4014</v>
      </c>
      <c r="F34" s="152" t="s">
        <v>3674</v>
      </c>
    </row>
    <row r="35" spans="2:16" ht="43.5">
      <c r="B35" s="194" t="s">
        <v>3668</v>
      </c>
      <c r="C35" s="138" t="s">
        <v>1860</v>
      </c>
      <c r="D35" s="57" t="s">
        <v>4013</v>
      </c>
      <c r="E35" s="113" t="s">
        <v>4014</v>
      </c>
      <c r="F35" s="152" t="s">
        <v>3674</v>
      </c>
    </row>
    <row r="38" spans="2:16">
      <c r="I38" s="174"/>
      <c r="J38" s="174"/>
      <c r="K38" s="174"/>
      <c r="L38" s="174"/>
      <c r="M38" s="174"/>
      <c r="N38" s="174"/>
      <c r="O38" s="174"/>
      <c r="P38" s="174"/>
    </row>
    <row r="39" spans="2:16">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1" t="s">
        <v>3613</v>
      </c>
      <c r="C2" s="91" t="s">
        <v>3614</v>
      </c>
      <c r="D2" s="91" t="s">
        <v>3615</v>
      </c>
      <c r="E2" s="91" t="s">
        <v>3616</v>
      </c>
      <c r="F2" s="91" t="s">
        <v>3617</v>
      </c>
      <c r="G2" s="91" t="s">
        <v>3618</v>
      </c>
      <c r="H2" s="91" t="s">
        <v>3619</v>
      </c>
      <c r="I2" s="91" t="s">
        <v>470</v>
      </c>
      <c r="J2" s="91" t="s">
        <v>121</v>
      </c>
      <c r="K2" s="91" t="s">
        <v>137</v>
      </c>
      <c r="L2" s="91" t="s">
        <v>489</v>
      </c>
      <c r="M2" s="91" t="s">
        <v>502</v>
      </c>
      <c r="N2" s="91" t="s">
        <v>507</v>
      </c>
      <c r="O2" s="91" t="s">
        <v>515</v>
      </c>
      <c r="P2" s="91" t="s">
        <v>522</v>
      </c>
      <c r="Q2" s="91" t="s">
        <v>532</v>
      </c>
      <c r="R2" s="91" t="s">
        <v>327</v>
      </c>
      <c r="S2" s="91" t="s">
        <v>334</v>
      </c>
    </row>
    <row r="3" spans="2:30">
      <c r="B3" s="50" t="s">
        <v>3567</v>
      </c>
      <c r="C3" s="50">
        <v>1</v>
      </c>
      <c r="D3" s="50" t="s">
        <v>4016</v>
      </c>
      <c r="E3" s="111">
        <v>45471</v>
      </c>
      <c r="F3" s="50">
        <v>1</v>
      </c>
      <c r="G3" s="114">
        <v>1</v>
      </c>
      <c r="H3" s="198" t="s">
        <v>4017</v>
      </c>
      <c r="I3" s="50" t="s">
        <v>3621</v>
      </c>
      <c r="J3" s="50" t="s">
        <v>3621</v>
      </c>
      <c r="K3" s="50" t="s">
        <v>3621</v>
      </c>
      <c r="L3" s="50" t="s">
        <v>3621</v>
      </c>
      <c r="M3" s="50" t="s">
        <v>3621</v>
      </c>
      <c r="N3" s="50" t="s">
        <v>3621</v>
      </c>
      <c r="O3" s="50" t="s">
        <v>3621</v>
      </c>
      <c r="P3" s="50" t="s">
        <v>3621</v>
      </c>
      <c r="Q3" s="50" t="s">
        <v>3621</v>
      </c>
      <c r="R3" s="50" t="s">
        <v>3621</v>
      </c>
      <c r="S3" s="50" t="s">
        <v>3621</v>
      </c>
    </row>
    <row r="4" spans="2:30">
      <c r="B4" s="50" t="s">
        <v>3569</v>
      </c>
      <c r="C4" s="50">
        <v>2</v>
      </c>
      <c r="D4" s="50" t="s">
        <v>4018</v>
      </c>
      <c r="E4" s="111">
        <v>45471</v>
      </c>
      <c r="F4" s="50">
        <v>1</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row>
    <row r="5" spans="2:30">
      <c r="B5" s="50" t="s">
        <v>3571</v>
      </c>
      <c r="C5" s="50">
        <v>3</v>
      </c>
      <c r="D5" s="50" t="s">
        <v>4019</v>
      </c>
      <c r="E5" s="111">
        <v>45471</v>
      </c>
      <c r="F5" s="50">
        <v>1</v>
      </c>
      <c r="G5" s="114">
        <v>1</v>
      </c>
      <c r="H5" s="50" t="s">
        <v>3706</v>
      </c>
      <c r="I5" s="50">
        <v>0</v>
      </c>
      <c r="J5" s="50" t="s">
        <v>3621</v>
      </c>
      <c r="K5" s="50" t="s">
        <v>3621</v>
      </c>
      <c r="L5" s="50" t="s">
        <v>3621</v>
      </c>
      <c r="M5" s="50" t="s">
        <v>3621</v>
      </c>
      <c r="N5" s="50" t="s">
        <v>3621</v>
      </c>
      <c r="O5" s="50" t="s">
        <v>3621</v>
      </c>
      <c r="P5" s="50" t="s">
        <v>3621</v>
      </c>
      <c r="Q5" s="50" t="s">
        <v>3621</v>
      </c>
      <c r="R5" s="50">
        <v>0</v>
      </c>
      <c r="S5" s="50" t="s">
        <v>3621</v>
      </c>
    </row>
    <row r="6" spans="2:30">
      <c r="B6" s="50" t="s">
        <v>3573</v>
      </c>
      <c r="C6" s="50">
        <v>4</v>
      </c>
      <c r="D6" s="50" t="s">
        <v>4019</v>
      </c>
      <c r="E6" s="111" t="s">
        <v>3621</v>
      </c>
      <c r="F6" s="50">
        <v>1</v>
      </c>
      <c r="G6" s="111" t="s">
        <v>3621</v>
      </c>
      <c r="H6" s="50"/>
      <c r="I6" s="50" t="s">
        <v>3621</v>
      </c>
      <c r="J6" s="50" t="s">
        <v>3621</v>
      </c>
      <c r="K6" s="50" t="s">
        <v>3621</v>
      </c>
      <c r="L6" s="50" t="s">
        <v>3621</v>
      </c>
      <c r="M6" s="50" t="s">
        <v>3621</v>
      </c>
      <c r="N6" s="50" t="s">
        <v>3621</v>
      </c>
      <c r="O6" s="50" t="s">
        <v>3621</v>
      </c>
      <c r="P6" s="50" t="s">
        <v>3621</v>
      </c>
      <c r="Q6" s="50" t="s">
        <v>3621</v>
      </c>
      <c r="R6" s="50" t="s">
        <v>3621</v>
      </c>
      <c r="S6" s="50" t="s">
        <v>3621</v>
      </c>
    </row>
    <row r="7" spans="2:30">
      <c r="B7" s="50" t="s">
        <v>3575</v>
      </c>
      <c r="C7" s="50">
        <v>5</v>
      </c>
      <c r="D7" s="50" t="s">
        <v>4019</v>
      </c>
      <c r="E7" s="111" t="s">
        <v>3621</v>
      </c>
      <c r="F7" s="50">
        <v>1</v>
      </c>
      <c r="G7" s="111" t="s">
        <v>3621</v>
      </c>
      <c r="H7" s="50"/>
      <c r="I7" s="50" t="s">
        <v>3621</v>
      </c>
      <c r="J7" s="50" t="s">
        <v>3621</v>
      </c>
      <c r="K7" s="50" t="s">
        <v>3621</v>
      </c>
      <c r="L7" s="50" t="s">
        <v>3621</v>
      </c>
      <c r="M7" s="50" t="s">
        <v>3621</v>
      </c>
      <c r="N7" s="50" t="s">
        <v>3621</v>
      </c>
      <c r="O7" s="50" t="s">
        <v>3621</v>
      </c>
      <c r="P7" s="50" t="s">
        <v>3621</v>
      </c>
      <c r="Q7" s="50" t="s">
        <v>3621</v>
      </c>
      <c r="R7" s="50" t="s">
        <v>3621</v>
      </c>
      <c r="S7" s="50" t="s">
        <v>3621</v>
      </c>
    </row>
    <row r="8" spans="2:30">
      <c r="B8" s="113" t="s">
        <v>3576</v>
      </c>
      <c r="C8" s="50">
        <v>6</v>
      </c>
      <c r="D8" s="50" t="s">
        <v>4020</v>
      </c>
      <c r="E8" s="111">
        <v>45471</v>
      </c>
      <c r="F8" s="50">
        <v>1</v>
      </c>
      <c r="G8" s="50" cm="1">
        <f t="array" ref="G8">SUMPRODUCT(--(I8:S8&gt;0))/COUNTA(I8:S8)</f>
        <v>1</v>
      </c>
      <c r="H8" s="50" t="s">
        <v>3706</v>
      </c>
      <c r="I8" s="50">
        <v>3</v>
      </c>
      <c r="J8" s="50">
        <v>2</v>
      </c>
      <c r="K8" s="50">
        <v>30</v>
      </c>
      <c r="L8" s="50">
        <v>7</v>
      </c>
      <c r="M8" s="50">
        <v>7</v>
      </c>
      <c r="N8" s="50">
        <v>10</v>
      </c>
      <c r="O8" s="50">
        <v>10</v>
      </c>
      <c r="P8" s="50">
        <v>3</v>
      </c>
      <c r="Q8" s="50">
        <v>1</v>
      </c>
      <c r="R8" s="50">
        <v>10</v>
      </c>
      <c r="S8" s="50">
        <v>23</v>
      </c>
    </row>
    <row r="9" spans="2:30">
      <c r="B9" s="50" t="s">
        <v>3579</v>
      </c>
      <c r="C9" s="50">
        <v>7</v>
      </c>
      <c r="D9" s="50" t="s">
        <v>4021</v>
      </c>
      <c r="E9" s="111">
        <v>45471</v>
      </c>
      <c r="F9" s="50">
        <v>1</v>
      </c>
      <c r="G9" s="50" cm="1">
        <f t="array" aca="1" ref="G9" ca="1">SUMPRODUCT(--(I9:S9&lt;=I28:S28))/COUNTA(I28:S28)</f>
        <v>1</v>
      </c>
      <c r="H9" s="50" t="s">
        <v>3706</v>
      </c>
      <c r="I9" s="50">
        <v>5</v>
      </c>
      <c r="J9" s="50">
        <v>2</v>
      </c>
      <c r="K9" s="50">
        <v>30</v>
      </c>
      <c r="L9" s="50">
        <v>7</v>
      </c>
      <c r="M9" s="50">
        <v>7</v>
      </c>
      <c r="N9" s="50">
        <v>10</v>
      </c>
      <c r="O9" s="50">
        <v>10</v>
      </c>
      <c r="P9" s="50">
        <v>3</v>
      </c>
      <c r="Q9" s="50">
        <v>238</v>
      </c>
      <c r="R9" s="50">
        <v>10</v>
      </c>
      <c r="S9" s="50">
        <v>23</v>
      </c>
    </row>
    <row r="10" spans="2:30" ht="29.1">
      <c r="B10" s="50" t="s">
        <v>3582</v>
      </c>
      <c r="C10" s="50">
        <v>8</v>
      </c>
      <c r="D10" s="50" t="s">
        <v>4022</v>
      </c>
      <c r="E10" s="111">
        <v>45471</v>
      </c>
      <c r="F10" s="50">
        <v>1</v>
      </c>
      <c r="G10" s="111" t="s">
        <v>3621</v>
      </c>
      <c r="H10" s="50" t="s">
        <v>3706</v>
      </c>
      <c r="I10" s="50">
        <v>201</v>
      </c>
      <c r="J10" s="50">
        <v>31</v>
      </c>
      <c r="K10" s="50">
        <v>7.0000079999999997E+21</v>
      </c>
      <c r="L10" s="50" t="s">
        <v>4023</v>
      </c>
      <c r="M10" s="50" t="s">
        <v>4023</v>
      </c>
      <c r="N10" s="112">
        <v>43047</v>
      </c>
      <c r="O10" s="112">
        <v>1</v>
      </c>
      <c r="P10" s="50">
        <v>201</v>
      </c>
      <c r="Q10" s="113" t="s">
        <v>4024</v>
      </c>
      <c r="R10" s="111">
        <v>45471</v>
      </c>
      <c r="S10" s="50" t="s">
        <v>4025</v>
      </c>
    </row>
    <row r="11" spans="2:30" ht="29.1">
      <c r="B11" s="50" t="s">
        <v>3584</v>
      </c>
      <c r="C11" s="50">
        <v>9</v>
      </c>
      <c r="D11" s="50" t="s">
        <v>4026</v>
      </c>
      <c r="E11" s="111">
        <v>45471</v>
      </c>
      <c r="F11" s="50">
        <v>1</v>
      </c>
      <c r="G11" s="111" t="s">
        <v>3621</v>
      </c>
      <c r="H11" s="50" t="s">
        <v>3706</v>
      </c>
      <c r="I11" s="50">
        <v>201</v>
      </c>
      <c r="J11" s="50"/>
      <c r="K11" s="50">
        <v>7.0000079999999997E+21</v>
      </c>
      <c r="L11" s="50" t="s">
        <v>4023</v>
      </c>
      <c r="M11" s="50" t="s">
        <v>4023</v>
      </c>
      <c r="N11" s="112">
        <v>43047</v>
      </c>
      <c r="O11" s="112">
        <v>1</v>
      </c>
      <c r="P11" s="50">
        <v>201</v>
      </c>
      <c r="Q11" s="113" t="s">
        <v>4024</v>
      </c>
      <c r="R11" s="111">
        <v>45471</v>
      </c>
      <c r="S11" s="50" t="s">
        <v>4027</v>
      </c>
    </row>
    <row r="12" spans="2:30">
      <c r="B12" s="113" t="s">
        <v>3586</v>
      </c>
      <c r="C12" s="50">
        <v>10</v>
      </c>
      <c r="D12" s="50" t="s">
        <v>4028</v>
      </c>
      <c r="E12" s="111">
        <v>45471</v>
      </c>
      <c r="F12" s="50">
        <v>1</v>
      </c>
      <c r="G12" s="111" t="s">
        <v>3621</v>
      </c>
      <c r="H12" s="50" t="s">
        <v>3706</v>
      </c>
      <c r="I12" s="50">
        <v>35585</v>
      </c>
      <c r="J12" s="50">
        <v>31</v>
      </c>
      <c r="K12" s="50">
        <v>8.0014189999999995E+24</v>
      </c>
      <c r="L12" s="50" t="s">
        <v>4029</v>
      </c>
      <c r="M12" s="50" t="s">
        <v>4029</v>
      </c>
      <c r="N12" s="112">
        <v>45471</v>
      </c>
      <c r="O12" s="112">
        <v>45471</v>
      </c>
      <c r="P12" s="50">
        <v>204</v>
      </c>
      <c r="Q12" s="113" t="s">
        <v>4030</v>
      </c>
      <c r="R12" s="111">
        <v>45471</v>
      </c>
      <c r="S12" s="111" t="s">
        <v>4025</v>
      </c>
      <c r="U12" s="104"/>
      <c r="V12" s="105"/>
      <c r="X12" s="104"/>
      <c r="AD12" s="104"/>
    </row>
    <row r="13" spans="2:30">
      <c r="B13" s="50" t="s">
        <v>3588</v>
      </c>
      <c r="C13" s="50">
        <v>11</v>
      </c>
      <c r="D13" s="50" t="s">
        <v>4031</v>
      </c>
      <c r="E13" s="111">
        <v>45471</v>
      </c>
      <c r="F13" s="50">
        <v>1</v>
      </c>
      <c r="G13" s="111" t="s">
        <v>3621</v>
      </c>
      <c r="H13" s="50" t="s">
        <v>3706</v>
      </c>
      <c r="I13" s="50">
        <v>35585</v>
      </c>
      <c r="J13" s="50"/>
      <c r="K13" s="50">
        <v>8.0014189999999995E+24</v>
      </c>
      <c r="L13" s="50" t="s">
        <v>4029</v>
      </c>
      <c r="M13" s="50" t="s">
        <v>4029</v>
      </c>
      <c r="N13" s="112">
        <v>45471</v>
      </c>
      <c r="O13" s="112">
        <v>45471</v>
      </c>
      <c r="P13" s="50">
        <v>204</v>
      </c>
      <c r="Q13" s="113" t="s">
        <v>4030</v>
      </c>
      <c r="R13" s="112">
        <v>45471</v>
      </c>
      <c r="S13" s="112" t="s">
        <v>4032</v>
      </c>
      <c r="U13" s="108"/>
      <c r="V13" s="105"/>
      <c r="W13" s="106"/>
      <c r="X13" s="108"/>
      <c r="Y13" s="106"/>
      <c r="Z13" s="106"/>
      <c r="AD13" s="104"/>
    </row>
    <row r="14" spans="2:30">
      <c r="B14" s="50" t="s">
        <v>3590</v>
      </c>
      <c r="C14" s="50">
        <v>12</v>
      </c>
      <c r="D14" s="50" t="s">
        <v>4033</v>
      </c>
      <c r="E14" s="111">
        <v>45471</v>
      </c>
      <c r="F14" s="50">
        <v>1</v>
      </c>
      <c r="G14" s="50" t="s">
        <v>4034</v>
      </c>
      <c r="H14" s="50" t="s">
        <v>3706</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c r="B15" s="50" t="s">
        <v>3592</v>
      </c>
      <c r="C15" s="50">
        <v>13</v>
      </c>
      <c r="D15" s="50" t="s">
        <v>4035</v>
      </c>
      <c r="E15" s="111">
        <v>45471</v>
      </c>
      <c r="F15" s="50">
        <v>1</v>
      </c>
      <c r="G15" s="114">
        <v>1</v>
      </c>
      <c r="H15" s="50" t="s">
        <v>3706</v>
      </c>
      <c r="I15" s="50" t="s">
        <v>3621</v>
      </c>
      <c r="J15" s="50" t="s">
        <v>3621</v>
      </c>
      <c r="K15" s="50" t="s">
        <v>3621</v>
      </c>
      <c r="L15" s="50" t="s">
        <v>3621</v>
      </c>
      <c r="M15" s="50" t="s">
        <v>3621</v>
      </c>
      <c r="N15" s="202">
        <v>0</v>
      </c>
      <c r="O15" s="202">
        <v>0</v>
      </c>
      <c r="P15" s="50" t="s">
        <v>3621</v>
      </c>
      <c r="Q15" s="50" t="s">
        <v>3621</v>
      </c>
      <c r="R15" s="112" t="s">
        <v>3621</v>
      </c>
      <c r="S15" s="112" t="s">
        <v>3621</v>
      </c>
      <c r="U15" s="108"/>
      <c r="V15" s="105"/>
      <c r="W15" s="105"/>
      <c r="X15" s="108"/>
      <c r="Y15" s="105"/>
      <c r="Z15" s="105"/>
      <c r="AD15" s="104"/>
    </row>
    <row r="16" spans="2:30">
      <c r="B16" s="50" t="s">
        <v>3594</v>
      </c>
      <c r="C16" s="50">
        <v>14</v>
      </c>
      <c r="D16" s="50" t="s">
        <v>4036</v>
      </c>
      <c r="E16" s="111">
        <v>45471</v>
      </c>
      <c r="F16" s="50">
        <v>1</v>
      </c>
      <c r="G16" s="114">
        <v>1</v>
      </c>
      <c r="H16" s="50" t="s">
        <v>3706</v>
      </c>
      <c r="I16" s="50">
        <v>0</v>
      </c>
      <c r="J16" s="50">
        <v>0</v>
      </c>
      <c r="K16" s="50">
        <v>0</v>
      </c>
      <c r="L16" s="50">
        <v>0</v>
      </c>
      <c r="M16" s="50">
        <v>0</v>
      </c>
      <c r="N16" s="50" t="s">
        <v>3621</v>
      </c>
      <c r="O16" s="50" t="s">
        <v>3621</v>
      </c>
      <c r="P16" s="50">
        <v>0</v>
      </c>
      <c r="Q16" s="50" t="s">
        <v>3621</v>
      </c>
      <c r="R16" s="50" t="s">
        <v>3621</v>
      </c>
      <c r="S16" s="50" t="s">
        <v>3621</v>
      </c>
    </row>
    <row r="17" spans="2:24">
      <c r="B17" s="50" t="s">
        <v>3596</v>
      </c>
      <c r="C17" s="50">
        <v>15</v>
      </c>
      <c r="D17" s="50" t="s">
        <v>4037</v>
      </c>
      <c r="E17" s="111">
        <v>45471</v>
      </c>
      <c r="F17" s="50">
        <v>1</v>
      </c>
      <c r="G17" s="114">
        <v>1</v>
      </c>
      <c r="H17" s="50" t="s">
        <v>3706</v>
      </c>
      <c r="I17" s="50" t="s">
        <v>3621</v>
      </c>
      <c r="J17" s="50" t="s">
        <v>3621</v>
      </c>
      <c r="K17" s="50" t="s">
        <v>3621</v>
      </c>
      <c r="L17" s="50" t="s">
        <v>3621</v>
      </c>
      <c r="M17" s="50" t="s">
        <v>3621</v>
      </c>
      <c r="N17" s="113" t="s">
        <v>3621</v>
      </c>
      <c r="O17" s="113" t="s">
        <v>3621</v>
      </c>
      <c r="P17" s="50" t="s">
        <v>3621</v>
      </c>
      <c r="Q17" s="50" t="s">
        <v>3621</v>
      </c>
      <c r="R17" s="113" t="s">
        <v>3621</v>
      </c>
      <c r="S17" s="113" t="s">
        <v>3621</v>
      </c>
      <c r="U17" s="49"/>
      <c r="X17" s="49"/>
    </row>
    <row r="18" spans="2:24">
      <c r="B18" s="50" t="s">
        <v>3598</v>
      </c>
      <c r="C18" s="50">
        <v>16</v>
      </c>
      <c r="D18" s="50" t="s">
        <v>4037</v>
      </c>
      <c r="E18" s="111">
        <v>45471</v>
      </c>
      <c r="F18" s="50">
        <v>1</v>
      </c>
      <c r="G18" s="114">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row>
    <row r="19" spans="2:24">
      <c r="B19" s="50" t="s">
        <v>3604</v>
      </c>
      <c r="C19" s="50">
        <v>19</v>
      </c>
      <c r="D19" s="50" t="s">
        <v>4038</v>
      </c>
      <c r="E19" s="111">
        <v>45471</v>
      </c>
      <c r="F19" s="50">
        <v>1</v>
      </c>
      <c r="G19" s="114" cm="1">
        <f t="array" aca="1" ref="G19" ca="1">SUMPRODUCT(--(ISNUMBER((SEARCH(I27:S27,I19:S19)))))/COUNTA(I19:S19)</f>
        <v>1</v>
      </c>
      <c r="H19" s="50" t="s">
        <v>3706</v>
      </c>
      <c r="I19" s="50" t="s">
        <v>4039</v>
      </c>
      <c r="J19" s="50" t="s">
        <v>3655</v>
      </c>
      <c r="K19" s="50" t="s">
        <v>3655</v>
      </c>
      <c r="L19" s="50" t="s">
        <v>3655</v>
      </c>
      <c r="M19" s="50" t="s">
        <v>3655</v>
      </c>
      <c r="N19" s="50" t="s">
        <v>3655</v>
      </c>
      <c r="O19" s="50" t="s">
        <v>3655</v>
      </c>
      <c r="P19" s="50" t="s">
        <v>3655</v>
      </c>
      <c r="Q19" s="50" t="s">
        <v>3655</v>
      </c>
      <c r="R19" s="50" t="s">
        <v>3655</v>
      </c>
      <c r="S19" s="50" t="s">
        <v>3657</v>
      </c>
    </row>
    <row r="20" spans="2:24">
      <c r="B20" s="50" t="s">
        <v>3607</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c r="B21" s="50" t="s">
        <v>3610</v>
      </c>
      <c r="C21" s="50">
        <v>21</v>
      </c>
      <c r="D21" s="50"/>
      <c r="E21" s="111">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6" t="s">
        <v>3727</v>
      </c>
      <c r="C25" s="158"/>
      <c r="D25" s="158"/>
      <c r="E25" s="158"/>
      <c r="F25" s="158"/>
      <c r="G25" s="158"/>
      <c r="H25" s="158"/>
    </row>
    <row r="26" spans="2:24">
      <c r="B26" s="149" t="s">
        <v>3613</v>
      </c>
      <c r="C26" s="145" t="s">
        <v>3614</v>
      </c>
      <c r="D26" s="145" t="s">
        <v>3615</v>
      </c>
      <c r="E26" s="145" t="s">
        <v>3616</v>
      </c>
      <c r="F26" s="145" t="s">
        <v>3617</v>
      </c>
      <c r="G26" s="145" t="s">
        <v>3618</v>
      </c>
      <c r="H26" s="145" t="s">
        <v>3619</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c r="B27" s="131" t="s">
        <v>3658</v>
      </c>
      <c r="C27" s="159">
        <v>21</v>
      </c>
      <c r="D27" s="128" t="s">
        <v>3659</v>
      </c>
      <c r="E27" s="127" t="s">
        <v>3660</v>
      </c>
      <c r="F27" s="127" t="s">
        <v>372</v>
      </c>
      <c r="G27" s="127" t="s">
        <v>372</v>
      </c>
      <c r="H27" s="127" t="s">
        <v>372</v>
      </c>
      <c r="I27" s="127" t="str" cm="1">
        <f t="array" aca="1" ref="I27:S28" ca="1">TRANSPOSE(_xlfn.SORTBY(_xlfn._xlws.FILTER(IF(Table3[FORMATO]:Table3[COMP_ CAMPO]&lt;&gt;"",Table3[FORMATO]:Table3[COMP_ CAMPO],9999999),Table3[NOME FÍSICO TABELA]="bank_vault_visit"), _xlfn._xlws.FILTER(Table3[ORDEM], Table3[NOME FÍSICO TABELA]="bank_vault_visit"), 1))</f>
        <v>INT</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32" t="str">
        <f ca="1"/>
        <v>TIMESTAMP</v>
      </c>
    </row>
    <row r="28" spans="2:24">
      <c r="B28" s="138" t="s">
        <v>3661</v>
      </c>
      <c r="C28" s="159">
        <v>7</v>
      </c>
      <c r="D28" s="161" t="s">
        <v>3659</v>
      </c>
      <c r="E28" s="159" t="s">
        <v>3660</v>
      </c>
      <c r="F28" s="159" t="s">
        <v>372</v>
      </c>
      <c r="G28" s="159" t="s">
        <v>372</v>
      </c>
      <c r="H28" s="159" t="s">
        <v>372</v>
      </c>
      <c r="I28" s="159">
        <f ca="1"/>
        <v>5</v>
      </c>
      <c r="J28" s="159">
        <f ca="1"/>
        <v>4</v>
      </c>
      <c r="K28" s="159">
        <f ca="1"/>
        <v>30</v>
      </c>
      <c r="L28" s="159">
        <f ca="1"/>
        <v>7</v>
      </c>
      <c r="M28" s="159">
        <f ca="1"/>
        <v>7</v>
      </c>
      <c r="N28" s="159">
        <f ca="1"/>
        <v>23</v>
      </c>
      <c r="O28" s="159">
        <f ca="1"/>
        <v>23</v>
      </c>
      <c r="P28" s="159">
        <f ca="1"/>
        <v>4</v>
      </c>
      <c r="Q28" s="159">
        <f ca="1"/>
        <v>9999999</v>
      </c>
      <c r="R28" s="159">
        <f ca="1"/>
        <v>10</v>
      </c>
      <c r="S28" s="160">
        <f ca="1"/>
        <v>23</v>
      </c>
    </row>
    <row r="30" spans="2:24">
      <c r="B30" s="156" t="s">
        <v>3662</v>
      </c>
    </row>
    <row r="31" spans="2:24">
      <c r="B31" s="165" t="s">
        <v>3663</v>
      </c>
      <c r="C31" s="147" t="s">
        <v>3664</v>
      </c>
      <c r="D31" s="166" t="s">
        <v>3665</v>
      </c>
      <c r="E31" s="147" t="s">
        <v>3666</v>
      </c>
      <c r="F31" s="166" t="s">
        <v>3667</v>
      </c>
    </row>
    <row r="32" spans="2:24" ht="29.1">
      <c r="B32" s="200" t="s">
        <v>3668</v>
      </c>
      <c r="C32" s="200" t="s">
        <v>489</v>
      </c>
      <c r="D32" s="155" t="s">
        <v>4040</v>
      </c>
      <c r="E32" s="155" t="s">
        <v>4041</v>
      </c>
      <c r="F32" s="200" t="s">
        <v>3674</v>
      </c>
    </row>
    <row r="33" spans="2:24" ht="116.1">
      <c r="B33" s="200" t="s">
        <v>3668</v>
      </c>
      <c r="C33" s="200" t="s">
        <v>502</v>
      </c>
      <c r="D33" s="155" t="s">
        <v>4042</v>
      </c>
      <c r="E33" s="155" t="s">
        <v>4043</v>
      </c>
      <c r="F33" s="155" t="s">
        <v>4044</v>
      </c>
    </row>
    <row r="36" spans="2:24">
      <c r="K36" s="104"/>
      <c r="M36" s="105"/>
      <c r="N36" s="105"/>
    </row>
    <row r="37" spans="2:24">
      <c r="K37" s="104"/>
      <c r="M37" s="105"/>
    </row>
    <row r="38" spans="2:24">
      <c r="K38" s="104"/>
      <c r="M38" s="199"/>
    </row>
    <row r="39" spans="2:24">
      <c r="K39" s="104"/>
      <c r="M39" s="50"/>
    </row>
    <row r="40" spans="2:24">
      <c r="K40" s="104"/>
      <c r="M40" s="50"/>
    </row>
    <row r="41" spans="2:24">
      <c r="K41" s="104"/>
      <c r="M41" s="199"/>
    </row>
    <row r="42" spans="2:24">
      <c r="K42" s="104"/>
      <c r="M42" s="199"/>
    </row>
    <row r="43" spans="2:24">
      <c r="K43" s="104"/>
      <c r="M43" s="199"/>
    </row>
    <row r="44" spans="2:24">
      <c r="K44" s="104"/>
      <c r="M44" s="199"/>
    </row>
    <row r="45" spans="2:24">
      <c r="K45" s="104"/>
    </row>
    <row r="46" spans="2:24">
      <c r="K46" s="104"/>
    </row>
    <row r="47" spans="2:24">
      <c r="K47" s="104"/>
    </row>
    <row r="48" spans="2:24">
      <c r="K48" s="104"/>
      <c r="M48" s="105"/>
      <c r="T48" s="108"/>
      <c r="U48" s="108"/>
      <c r="W48" s="49"/>
      <c r="X48" s="104"/>
    </row>
    <row r="49" spans="11:24">
      <c r="K49" s="104"/>
      <c r="M49" s="105"/>
      <c r="T49" s="108"/>
      <c r="U49" s="108"/>
      <c r="W49" s="49"/>
      <c r="X49" s="104"/>
    </row>
    <row r="50" spans="11:24">
      <c r="K50" s="104"/>
      <c r="M50" s="105"/>
      <c r="T50" s="108"/>
      <c r="U50" s="108"/>
      <c r="X50" s="104"/>
    </row>
    <row r="51" spans="11:24">
      <c r="K51" s="104"/>
      <c r="T51" s="108"/>
      <c r="U51" s="108"/>
      <c r="X51" s="104"/>
    </row>
    <row r="52" spans="11:24">
      <c r="K52" s="104"/>
      <c r="M52" s="105"/>
    </row>
    <row r="53" spans="11:24">
      <c r="K53" s="104"/>
      <c r="M53" s="105"/>
      <c r="T53" s="49"/>
      <c r="U53" s="49"/>
    </row>
    <row r="54" spans="11:24">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1" t="s">
        <v>3613</v>
      </c>
      <c r="C2" s="91" t="s">
        <v>3614</v>
      </c>
      <c r="D2" s="91" t="s">
        <v>3615</v>
      </c>
      <c r="E2" s="91" t="s">
        <v>3616</v>
      </c>
      <c r="F2" s="91" t="s">
        <v>3617</v>
      </c>
      <c r="G2" s="91" t="s">
        <v>3618</v>
      </c>
      <c r="H2" s="91" t="s">
        <v>3619</v>
      </c>
      <c r="I2" s="91" t="s">
        <v>121</v>
      </c>
      <c r="J2" s="91" t="s">
        <v>137</v>
      </c>
      <c r="K2" s="91" t="s">
        <v>1116</v>
      </c>
      <c r="L2" s="91" t="s">
        <v>1124</v>
      </c>
      <c r="M2" s="91" t="s">
        <v>4045</v>
      </c>
      <c r="N2" s="91" t="s">
        <v>1144</v>
      </c>
      <c r="O2" s="91" t="s">
        <v>327</v>
      </c>
      <c r="P2" s="91" t="s">
        <v>334</v>
      </c>
    </row>
    <row r="3" spans="2:16">
      <c r="B3" s="50" t="s">
        <v>3567</v>
      </c>
      <c r="C3" s="50">
        <v>1</v>
      </c>
      <c r="D3" s="50" t="s">
        <v>4046</v>
      </c>
      <c r="E3" s="111">
        <v>45471</v>
      </c>
      <c r="F3" s="50">
        <v>1</v>
      </c>
      <c r="G3" s="114">
        <v>1</v>
      </c>
      <c r="H3" s="198" t="s">
        <v>4047</v>
      </c>
      <c r="I3" s="50" t="s">
        <v>3621</v>
      </c>
      <c r="J3" s="50" t="s">
        <v>3621</v>
      </c>
      <c r="K3" s="50" t="s">
        <v>3621</v>
      </c>
      <c r="L3" s="50" t="s">
        <v>3621</v>
      </c>
      <c r="M3" s="50" t="s">
        <v>3621</v>
      </c>
      <c r="N3" s="50" t="s">
        <v>3621</v>
      </c>
      <c r="O3" s="50" t="s">
        <v>3621</v>
      </c>
      <c r="P3" s="50" t="s">
        <v>3621</v>
      </c>
    </row>
    <row r="4" spans="2:16">
      <c r="B4" s="50" t="s">
        <v>3569</v>
      </c>
      <c r="C4" s="50">
        <v>2</v>
      </c>
      <c r="D4" s="50" t="s">
        <v>4048</v>
      </c>
      <c r="E4" s="111">
        <v>45471</v>
      </c>
      <c r="F4" s="50">
        <v>1</v>
      </c>
      <c r="G4" s="114">
        <v>1</v>
      </c>
      <c r="H4" s="50" t="s">
        <v>3630</v>
      </c>
      <c r="I4" s="50" t="s">
        <v>3621</v>
      </c>
      <c r="J4" s="50" t="s">
        <v>3621</v>
      </c>
      <c r="K4" s="50" t="s">
        <v>3621</v>
      </c>
      <c r="L4" s="50" t="s">
        <v>3621</v>
      </c>
      <c r="M4" s="50" t="s">
        <v>3621</v>
      </c>
      <c r="N4" s="50" t="s">
        <v>3621</v>
      </c>
      <c r="O4" s="50" t="s">
        <v>3621</v>
      </c>
      <c r="P4" s="50" t="s">
        <v>3621</v>
      </c>
    </row>
    <row r="5" spans="2:16">
      <c r="B5" s="50" t="s">
        <v>3571</v>
      </c>
      <c r="C5" s="50">
        <v>3</v>
      </c>
      <c r="D5" s="50" t="s">
        <v>4049</v>
      </c>
      <c r="E5" s="111">
        <v>45471</v>
      </c>
      <c r="F5" s="50">
        <v>1</v>
      </c>
      <c r="G5" s="114">
        <v>1</v>
      </c>
      <c r="H5" s="50" t="s">
        <v>3630</v>
      </c>
      <c r="I5" s="50">
        <v>0</v>
      </c>
      <c r="J5" s="50">
        <v>0</v>
      </c>
      <c r="K5" s="50">
        <v>0</v>
      </c>
      <c r="L5" s="50">
        <v>0</v>
      </c>
      <c r="M5" s="50">
        <v>0</v>
      </c>
      <c r="N5" s="50" t="s">
        <v>3621</v>
      </c>
      <c r="O5" s="50">
        <v>0</v>
      </c>
      <c r="P5" s="50" t="s">
        <v>3621</v>
      </c>
    </row>
    <row r="6" spans="2:16">
      <c r="B6" s="113" t="s">
        <v>3576</v>
      </c>
      <c r="C6" s="50">
        <v>6</v>
      </c>
      <c r="D6" s="50" t="s">
        <v>4050</v>
      </c>
      <c r="E6" s="111">
        <v>45471</v>
      </c>
      <c r="F6" s="50">
        <v>1</v>
      </c>
      <c r="G6" s="50" cm="1">
        <f t="array" ref="G6">SUMPRODUCT(--(I6:P6&gt;0))/COUNTA(I6:P6)</f>
        <v>1</v>
      </c>
      <c r="H6" s="50" t="s">
        <v>3630</v>
      </c>
      <c r="I6" s="50">
        <v>2</v>
      </c>
      <c r="J6" s="50">
        <v>30</v>
      </c>
      <c r="K6" s="50">
        <v>10</v>
      </c>
      <c r="L6" s="50">
        <v>1</v>
      </c>
      <c r="M6" s="50">
        <v>1</v>
      </c>
      <c r="N6" s="50">
        <v>10</v>
      </c>
      <c r="O6" s="50">
        <v>10</v>
      </c>
      <c r="P6" s="50">
        <v>21</v>
      </c>
    </row>
    <row r="7" spans="2:16">
      <c r="B7" s="50" t="s">
        <v>3579</v>
      </c>
      <c r="C7" s="50">
        <v>7</v>
      </c>
      <c r="D7" s="50" t="s">
        <v>4051</v>
      </c>
      <c r="E7" s="111">
        <v>45471</v>
      </c>
      <c r="F7" s="50">
        <v>1</v>
      </c>
      <c r="G7" s="50" cm="1">
        <f t="array" aca="1" ref="G7" ca="1">SUMPRODUCT(--(I7:P7&lt;=I24:P24))/COUNTA(I24:P24)</f>
        <v>1</v>
      </c>
      <c r="H7" s="50" t="s">
        <v>3630</v>
      </c>
      <c r="I7" s="50">
        <v>2</v>
      </c>
      <c r="J7" s="50">
        <v>30</v>
      </c>
      <c r="K7" s="50">
        <v>10</v>
      </c>
      <c r="L7" s="50">
        <v>1</v>
      </c>
      <c r="M7" s="50">
        <v>4</v>
      </c>
      <c r="N7" s="50">
        <v>10</v>
      </c>
      <c r="O7" s="50">
        <v>10</v>
      </c>
      <c r="P7" s="50">
        <v>21</v>
      </c>
    </row>
    <row r="8" spans="2:16">
      <c r="B8" s="50" t="s">
        <v>3582</v>
      </c>
      <c r="C8" s="50">
        <v>8</v>
      </c>
      <c r="D8" s="50" t="s">
        <v>4052</v>
      </c>
      <c r="E8" s="111">
        <v>45471</v>
      </c>
      <c r="F8" s="50">
        <v>1</v>
      </c>
      <c r="G8" s="50" t="s">
        <v>3621</v>
      </c>
      <c r="H8" s="50" t="s">
        <v>3630</v>
      </c>
      <c r="I8" s="50">
        <v>31</v>
      </c>
      <c r="J8" s="50">
        <v>162304820002470</v>
      </c>
      <c r="K8" s="50">
        <v>0</v>
      </c>
      <c r="L8" s="50">
        <v>0</v>
      </c>
      <c r="M8" s="50">
        <v>0</v>
      </c>
      <c r="N8" s="50" t="s">
        <v>3629</v>
      </c>
      <c r="O8" s="111">
        <v>45471</v>
      </c>
      <c r="P8" s="50" t="s">
        <v>4053</v>
      </c>
    </row>
    <row r="9" spans="2:16">
      <c r="B9" s="50" t="s">
        <v>3584</v>
      </c>
      <c r="C9" s="50">
        <v>9</v>
      </c>
      <c r="D9" s="50" t="s">
        <v>4054</v>
      </c>
      <c r="E9" s="111">
        <v>45471</v>
      </c>
      <c r="F9" s="50">
        <v>1</v>
      </c>
      <c r="G9" s="50" t="s">
        <v>3621</v>
      </c>
      <c r="H9" s="50" t="s">
        <v>3630</v>
      </c>
      <c r="I9" s="50">
        <v>31</v>
      </c>
      <c r="J9" s="50">
        <v>162304820002470</v>
      </c>
      <c r="K9" s="50">
        <v>0</v>
      </c>
      <c r="L9" s="50">
        <v>0</v>
      </c>
      <c r="M9" s="50">
        <v>0</v>
      </c>
      <c r="N9" s="50" t="s">
        <v>3629</v>
      </c>
      <c r="O9" s="111">
        <v>45471</v>
      </c>
      <c r="P9" s="50" t="s">
        <v>4055</v>
      </c>
    </row>
    <row r="10" spans="2:16">
      <c r="B10" s="113" t="s">
        <v>3586</v>
      </c>
      <c r="C10" s="50">
        <v>10</v>
      </c>
      <c r="D10" s="50" t="s">
        <v>4056</v>
      </c>
      <c r="E10" s="111">
        <v>45471</v>
      </c>
      <c r="F10" s="50">
        <v>1</v>
      </c>
      <c r="G10" s="50" t="s">
        <v>3621</v>
      </c>
      <c r="H10" s="50" t="s">
        <v>3630</v>
      </c>
      <c r="I10" s="50">
        <v>89</v>
      </c>
      <c r="J10" s="50">
        <v>8.8780038000002303E+29</v>
      </c>
      <c r="K10" s="50">
        <v>9961000426</v>
      </c>
      <c r="L10" s="50" t="s">
        <v>4057</v>
      </c>
      <c r="M10" s="50">
        <v>1057</v>
      </c>
      <c r="N10" s="111">
        <v>2958465</v>
      </c>
      <c r="O10" s="111">
        <v>45471</v>
      </c>
      <c r="P10" s="50" t="s">
        <v>4053</v>
      </c>
    </row>
    <row r="11" spans="2:16">
      <c r="B11" s="50" t="s">
        <v>3588</v>
      </c>
      <c r="C11" s="50">
        <v>11</v>
      </c>
      <c r="D11" s="50" t="s">
        <v>4058</v>
      </c>
      <c r="E11" s="111">
        <v>45471</v>
      </c>
      <c r="F11" s="50">
        <v>1</v>
      </c>
      <c r="G11" s="50" t="s">
        <v>3621</v>
      </c>
      <c r="H11" s="50" t="s">
        <v>3630</v>
      </c>
      <c r="I11" s="50">
        <v>89</v>
      </c>
      <c r="J11" s="50">
        <v>8.8780038000002303E+29</v>
      </c>
      <c r="K11" s="50">
        <v>9961000426</v>
      </c>
      <c r="L11" s="50" t="s">
        <v>4057</v>
      </c>
      <c r="M11" s="50">
        <v>1057</v>
      </c>
      <c r="N11" s="111">
        <v>2958465</v>
      </c>
      <c r="O11" s="111">
        <v>45471</v>
      </c>
      <c r="P11" s="50" t="s">
        <v>4059</v>
      </c>
    </row>
    <row r="12" spans="2:16">
      <c r="B12" s="50" t="s">
        <v>3590</v>
      </c>
      <c r="C12" s="50">
        <v>12</v>
      </c>
      <c r="D12" s="50" t="s">
        <v>4060</v>
      </c>
      <c r="E12" s="111">
        <v>45471</v>
      </c>
      <c r="F12" s="50">
        <v>1</v>
      </c>
      <c r="G12" s="50">
        <v>1</v>
      </c>
      <c r="H12" s="50" t="s">
        <v>3630</v>
      </c>
      <c r="I12" s="50">
        <v>0</v>
      </c>
      <c r="J12" s="50">
        <v>0</v>
      </c>
      <c r="K12" s="50">
        <v>0</v>
      </c>
      <c r="L12" s="50">
        <v>0</v>
      </c>
      <c r="M12" s="50">
        <v>0</v>
      </c>
      <c r="N12" s="111">
        <v>0</v>
      </c>
      <c r="O12" s="111">
        <v>0</v>
      </c>
      <c r="P12" s="50">
        <v>0</v>
      </c>
    </row>
    <row r="13" spans="2:16">
      <c r="B13" s="50" t="s">
        <v>3592</v>
      </c>
      <c r="C13" s="50">
        <v>13</v>
      </c>
      <c r="D13" s="50" t="s">
        <v>4061</v>
      </c>
      <c r="E13" s="111">
        <v>45471</v>
      </c>
      <c r="F13" s="50">
        <v>1</v>
      </c>
      <c r="G13" s="50">
        <v>1</v>
      </c>
      <c r="H13" s="50" t="s">
        <v>3630</v>
      </c>
      <c r="I13" s="50" t="s">
        <v>3621</v>
      </c>
      <c r="J13" s="50" t="s">
        <v>3621</v>
      </c>
      <c r="K13" s="50" t="s">
        <v>3621</v>
      </c>
      <c r="L13" s="50" t="s">
        <v>3621</v>
      </c>
      <c r="M13" s="50" t="s">
        <v>3621</v>
      </c>
      <c r="N13" s="111">
        <v>0</v>
      </c>
      <c r="O13" s="111" t="s">
        <v>3621</v>
      </c>
      <c r="P13" s="50" t="s">
        <v>3621</v>
      </c>
    </row>
    <row r="14" spans="2:16">
      <c r="B14" s="50" t="s">
        <v>3594</v>
      </c>
      <c r="C14" s="50">
        <v>14</v>
      </c>
      <c r="D14" s="50" t="s">
        <v>4062</v>
      </c>
      <c r="E14" s="111">
        <v>45471</v>
      </c>
      <c r="F14" s="50">
        <v>1</v>
      </c>
      <c r="G14" s="50">
        <v>1</v>
      </c>
      <c r="H14" s="50" t="s">
        <v>3630</v>
      </c>
      <c r="I14" s="50" t="s">
        <v>3621</v>
      </c>
      <c r="J14" s="50" t="s">
        <v>3621</v>
      </c>
      <c r="K14" s="50" t="s">
        <v>3621</v>
      </c>
      <c r="L14" s="50">
        <v>0</v>
      </c>
      <c r="M14" s="50" t="s">
        <v>3621</v>
      </c>
      <c r="N14" s="50" t="s">
        <v>3621</v>
      </c>
      <c r="O14" s="50" t="s">
        <v>3621</v>
      </c>
      <c r="P14" s="50" t="s">
        <v>3621</v>
      </c>
    </row>
    <row r="15" spans="2:16">
      <c r="B15" s="50" t="s">
        <v>3596</v>
      </c>
      <c r="C15" s="50">
        <v>15</v>
      </c>
      <c r="D15" s="50" t="s">
        <v>4063</v>
      </c>
      <c r="E15" s="111">
        <v>45471</v>
      </c>
      <c r="F15" s="50">
        <v>1</v>
      </c>
      <c r="G15" s="50">
        <v>1</v>
      </c>
      <c r="H15" s="50" t="s">
        <v>3630</v>
      </c>
      <c r="I15" s="50" t="s">
        <v>3621</v>
      </c>
      <c r="J15" s="50" t="s">
        <v>3621</v>
      </c>
      <c r="K15" s="50" t="s">
        <v>3621</v>
      </c>
      <c r="L15" s="50" t="s">
        <v>3621</v>
      </c>
      <c r="M15" s="50" t="s">
        <v>3621</v>
      </c>
      <c r="N15" s="113" t="s">
        <v>3621</v>
      </c>
      <c r="O15" s="50" t="s">
        <v>3621</v>
      </c>
      <c r="P15" s="50" t="s">
        <v>3621</v>
      </c>
    </row>
    <row r="16" spans="2:16">
      <c r="B16" s="50" t="s">
        <v>3598</v>
      </c>
      <c r="C16" s="50">
        <v>16</v>
      </c>
      <c r="D16" s="50" t="s">
        <v>4063</v>
      </c>
      <c r="E16" s="111">
        <v>45471</v>
      </c>
      <c r="F16" s="50">
        <v>1</v>
      </c>
      <c r="G16" s="50">
        <v>1</v>
      </c>
      <c r="H16" s="50" t="s">
        <v>3630</v>
      </c>
      <c r="I16" s="50" t="s">
        <v>3621</v>
      </c>
      <c r="J16" s="50" t="s">
        <v>3621</v>
      </c>
      <c r="K16" s="50" t="s">
        <v>3621</v>
      </c>
      <c r="L16" s="50" t="s">
        <v>3621</v>
      </c>
      <c r="M16" s="50" t="s">
        <v>3621</v>
      </c>
      <c r="N16" s="50" t="s">
        <v>3621</v>
      </c>
      <c r="O16" s="50" t="s">
        <v>3621</v>
      </c>
      <c r="P16" s="50" t="s">
        <v>3621</v>
      </c>
    </row>
    <row r="17" spans="2:16">
      <c r="B17" s="50" t="s">
        <v>3604</v>
      </c>
      <c r="C17" s="50">
        <v>19</v>
      </c>
      <c r="D17" s="50" t="s">
        <v>4064</v>
      </c>
      <c r="E17" s="111">
        <v>45471</v>
      </c>
      <c r="F17" s="50">
        <v>1</v>
      </c>
      <c r="G17" s="50" cm="1">
        <f t="array" aca="1" ref="G17" ca="1">SUMPRODUCT(--(ISNUMBER((SEARCH(I24:P24,I17:P17)))))/COUNTA(I17:P17)</f>
        <v>0.75</v>
      </c>
      <c r="H17" s="50" t="s">
        <v>3630</v>
      </c>
      <c r="I17" s="50" t="s">
        <v>3655</v>
      </c>
      <c r="J17" s="50" t="s">
        <v>3655</v>
      </c>
      <c r="K17" s="50" t="s">
        <v>3655</v>
      </c>
      <c r="L17" s="50" t="s">
        <v>3655</v>
      </c>
      <c r="M17" s="50" t="s">
        <v>4039</v>
      </c>
      <c r="N17" s="50" t="s">
        <v>3970</v>
      </c>
      <c r="O17" s="50" t="s">
        <v>3655</v>
      </c>
      <c r="P17" s="50" t="s">
        <v>3657</v>
      </c>
    </row>
    <row r="18" spans="2:16">
      <c r="B18" s="50" t="s">
        <v>3607</v>
      </c>
      <c r="C18" s="50">
        <v>20</v>
      </c>
      <c r="D18" s="50"/>
      <c r="E18" s="111">
        <v>45471</v>
      </c>
      <c r="F18" s="50">
        <v>1</v>
      </c>
      <c r="G18" s="50" cm="1">
        <f t="array" ref="G18">SUM(IF(I2:P2 = I23:P23, 1, 0))/ COUNTA(I2:P2)</f>
        <v>0.875</v>
      </c>
      <c r="H18" s="50" t="s">
        <v>3630</v>
      </c>
      <c r="I18" s="50" t="s">
        <v>3621</v>
      </c>
      <c r="J18" s="50" t="s">
        <v>3621</v>
      </c>
      <c r="K18" s="50" t="s">
        <v>3621</v>
      </c>
      <c r="L18" s="50" t="s">
        <v>3621</v>
      </c>
      <c r="M18" s="50" t="s">
        <v>3621</v>
      </c>
      <c r="N18" s="50" t="s">
        <v>3621</v>
      </c>
      <c r="O18" s="50" t="s">
        <v>3621</v>
      </c>
      <c r="P18" s="50" t="s">
        <v>3621</v>
      </c>
    </row>
    <row r="19" spans="2:16">
      <c r="B19" s="50" t="s">
        <v>3610</v>
      </c>
      <c r="C19" s="50">
        <v>21</v>
      </c>
      <c r="D19" s="50"/>
      <c r="E19" s="111">
        <v>45471</v>
      </c>
      <c r="F19" s="50">
        <v>1</v>
      </c>
      <c r="G19" s="50" cm="1">
        <f t="array" aca="1" ref="G19" ca="1">SUM(IF(IF(G3:G18="null",1,G3:G18)=1,1,0))/COUNT(IF(G3:G18="null",1,1))</f>
        <v>0.875</v>
      </c>
      <c r="H19" s="50" t="s">
        <v>3630</v>
      </c>
      <c r="I19" s="50" t="s">
        <v>3621</v>
      </c>
      <c r="J19" s="50" t="s">
        <v>3621</v>
      </c>
      <c r="K19" s="50" t="s">
        <v>3621</v>
      </c>
      <c r="L19" s="50" t="s">
        <v>3621</v>
      </c>
      <c r="M19" s="50" t="s">
        <v>3621</v>
      </c>
      <c r="N19" s="50">
        <v>0</v>
      </c>
      <c r="O19" s="50" t="s">
        <v>3621</v>
      </c>
      <c r="P19" s="50" t="s">
        <v>3621</v>
      </c>
    </row>
    <row r="22" spans="2:16">
      <c r="B22" s="146" t="s">
        <v>4065</v>
      </c>
    </row>
    <row r="23" spans="2:16">
      <c r="B23" s="144" t="s">
        <v>3613</v>
      </c>
      <c r="C23" s="145" t="s">
        <v>3614</v>
      </c>
      <c r="D23" s="145" t="s">
        <v>3615</v>
      </c>
      <c r="E23" s="145" t="s">
        <v>3616</v>
      </c>
      <c r="F23" s="145" t="s">
        <v>3617</v>
      </c>
      <c r="G23" s="145" t="s">
        <v>3618</v>
      </c>
      <c r="H23" s="145" t="s">
        <v>3619</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c r="B24" s="137" t="s">
        <v>372</v>
      </c>
      <c r="C24" s="129">
        <v>21</v>
      </c>
      <c r="D24" s="130" t="s">
        <v>3659</v>
      </c>
      <c r="E24" s="129" t="s">
        <v>3660</v>
      </c>
      <c r="F24" s="129" t="s">
        <v>372</v>
      </c>
      <c r="G24" s="129" t="s">
        <v>372</v>
      </c>
      <c r="H24" s="129" t="s">
        <v>372</v>
      </c>
      <c r="I24" s="12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9" t="str">
        <f ca="1"/>
        <v>STRING</v>
      </c>
      <c r="K24" s="129" t="str">
        <f ca="1"/>
        <v>STRING</v>
      </c>
      <c r="L24" s="129" t="str">
        <f ca="1"/>
        <v>STRING</v>
      </c>
      <c r="M24" s="129" t="str">
        <f ca="1"/>
        <v>BIGINT</v>
      </c>
      <c r="N24" s="129" t="str">
        <f ca="1"/>
        <v>STRING</v>
      </c>
      <c r="O24" s="129" t="str">
        <f ca="1"/>
        <v>STRING</v>
      </c>
      <c r="P24" s="136" t="str">
        <f ca="1"/>
        <v>TIMESTAMP</v>
      </c>
    </row>
    <row r="25" spans="2:16">
      <c r="B25" s="137" t="s">
        <v>372</v>
      </c>
      <c r="C25" s="129">
        <v>7</v>
      </c>
      <c r="D25" s="130" t="s">
        <v>3659</v>
      </c>
      <c r="E25" s="129" t="s">
        <v>3660</v>
      </c>
      <c r="F25" s="129" t="s">
        <v>372</v>
      </c>
      <c r="G25" s="129" t="s">
        <v>372</v>
      </c>
      <c r="H25" s="129" t="s">
        <v>372</v>
      </c>
      <c r="I25" s="129">
        <f ca="1"/>
        <v>4</v>
      </c>
      <c r="J25" s="129">
        <f ca="1"/>
        <v>30</v>
      </c>
      <c r="K25" s="129">
        <f ca="1"/>
        <v>10</v>
      </c>
      <c r="L25" s="129">
        <f ca="1"/>
        <v>4</v>
      </c>
      <c r="M25" s="129">
        <f ca="1"/>
        <v>9999999</v>
      </c>
      <c r="N25" s="129">
        <f ca="1"/>
        <v>10</v>
      </c>
      <c r="O25" s="129">
        <f ca="1"/>
        <v>10</v>
      </c>
      <c r="P25" s="136">
        <f ca="1"/>
        <v>23</v>
      </c>
    </row>
    <row r="26" spans="2:16">
      <c r="B26" s="50"/>
      <c r="C26" s="50"/>
      <c r="D26" s="112"/>
      <c r="E26" s="50"/>
      <c r="F26" s="50"/>
      <c r="G26" s="50"/>
      <c r="H26" s="50"/>
      <c r="I26" s="50"/>
      <c r="J26" s="50"/>
      <c r="K26" s="50"/>
      <c r="L26" s="50"/>
      <c r="M26" s="50"/>
      <c r="N26" s="50"/>
      <c r="O26" s="50"/>
      <c r="P26" s="50"/>
    </row>
    <row r="27" spans="2:16">
      <c r="B27" s="156" t="s">
        <v>3662</v>
      </c>
    </row>
    <row r="28" spans="2:16">
      <c r="B28" s="165" t="s">
        <v>3663</v>
      </c>
      <c r="C28" s="147" t="s">
        <v>3664</v>
      </c>
      <c r="D28" s="166" t="s">
        <v>3665</v>
      </c>
      <c r="E28" s="147" t="s">
        <v>3666</v>
      </c>
      <c r="F28" s="166" t="s">
        <v>3667</v>
      </c>
    </row>
    <row r="29" spans="2:16" ht="29.1">
      <c r="B29" s="54" t="s">
        <v>4066</v>
      </c>
      <c r="C29" s="54" t="s">
        <v>1144</v>
      </c>
      <c r="D29" s="53" t="s">
        <v>4067</v>
      </c>
      <c r="E29" s="172" t="s">
        <v>4068</v>
      </c>
      <c r="F29" s="5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7" customWidth="1"/>
    <col min="11" max="11" width="23.85546875" style="177" bestFit="1" customWidth="1"/>
    <col min="12" max="12" width="22.7109375" style="177" bestFit="1" customWidth="1"/>
    <col min="13" max="13" width="30" style="177" bestFit="1" customWidth="1"/>
    <col min="14" max="21" width="30" style="177" customWidth="1"/>
    <col min="22" max="24" width="30.7109375" style="177" bestFit="1" customWidth="1"/>
    <col min="25" max="31" width="30.7109375" style="177" customWidth="1"/>
    <col min="32" max="32" width="30.7109375" style="177" bestFit="1" customWidth="1"/>
    <col min="33" max="33" width="31.28515625" style="177" customWidth="1"/>
    <col min="34" max="34" width="26.85546875" style="177" bestFit="1" customWidth="1"/>
    <col min="35" max="35" width="30.7109375" style="177" bestFit="1" customWidth="1"/>
    <col min="36" max="40" width="30.7109375" style="177" customWidth="1"/>
    <col min="41" max="41" width="43.28515625" style="177" customWidth="1"/>
    <col min="42" max="45" width="30.7109375" style="177" bestFit="1" customWidth="1"/>
    <col min="46" max="46" width="24.5703125" style="177" bestFit="1" customWidth="1"/>
    <col min="47" max="47" width="30.7109375" style="177" bestFit="1" customWidth="1"/>
    <col min="48" max="48" width="16.42578125" style="177" bestFit="1" customWidth="1"/>
    <col min="49" max="49" width="26.85546875" style="177" bestFit="1" customWidth="1"/>
    <col min="50" max="50" width="30.7109375" style="177" bestFit="1" customWidth="1"/>
    <col min="51" max="51" width="25.140625" style="177" bestFit="1" customWidth="1"/>
    <col min="52" max="52" width="45.7109375" style="177" bestFit="1" customWidth="1"/>
    <col min="53" max="53" width="44.28515625" style="177"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1" t="s">
        <v>3738</v>
      </c>
      <c r="C2" s="91" t="s">
        <v>3614</v>
      </c>
      <c r="D2" s="91" t="s">
        <v>3615</v>
      </c>
      <c r="E2" s="91" t="s">
        <v>3616</v>
      </c>
      <c r="F2" s="91" t="s">
        <v>3617</v>
      </c>
      <c r="G2" s="91" t="s">
        <v>3618</v>
      </c>
      <c r="H2" s="91" t="s">
        <v>3619</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c r="B3" s="50" t="s">
        <v>3567</v>
      </c>
      <c r="C3" s="50">
        <v>1</v>
      </c>
      <c r="D3" t="s">
        <v>4069</v>
      </c>
      <c r="E3" s="293">
        <v>45390</v>
      </c>
      <c r="F3" s="109">
        <v>1</v>
      </c>
      <c r="G3" s="292">
        <v>1</v>
      </c>
      <c r="H3" s="109">
        <v>125228</v>
      </c>
      <c r="I3" s="109" t="s">
        <v>3621</v>
      </c>
      <c r="J3" s="109" t="s">
        <v>3621</v>
      </c>
      <c r="K3" s="109" t="s">
        <v>3621</v>
      </c>
      <c r="L3" s="109" t="s">
        <v>3621</v>
      </c>
      <c r="M3" s="109" t="s">
        <v>3621</v>
      </c>
      <c r="N3" s="109" t="s">
        <v>3621</v>
      </c>
      <c r="O3" s="109" t="s">
        <v>3621</v>
      </c>
      <c r="P3" s="109" t="s">
        <v>3621</v>
      </c>
      <c r="Q3" s="109" t="s">
        <v>3621</v>
      </c>
      <c r="R3" s="109" t="s">
        <v>3621</v>
      </c>
      <c r="S3" s="109" t="s">
        <v>3621</v>
      </c>
      <c r="T3" s="109" t="s">
        <v>3621</v>
      </c>
      <c r="U3" s="109" t="s">
        <v>3621</v>
      </c>
      <c r="V3" s="109" t="s">
        <v>3621</v>
      </c>
      <c r="W3" s="109" t="s">
        <v>3621</v>
      </c>
      <c r="X3" s="109" t="s">
        <v>3621</v>
      </c>
      <c r="Y3" s="109" t="s">
        <v>3621</v>
      </c>
      <c r="Z3" s="109" t="s">
        <v>3621</v>
      </c>
      <c r="AA3" s="109" t="s">
        <v>3621</v>
      </c>
      <c r="AB3" s="109" t="s">
        <v>3621</v>
      </c>
      <c r="AC3" s="109" t="s">
        <v>3621</v>
      </c>
      <c r="AD3" s="109" t="s">
        <v>3621</v>
      </c>
      <c r="AE3" s="109" t="s">
        <v>3621</v>
      </c>
      <c r="AF3" s="109" t="s">
        <v>3621</v>
      </c>
      <c r="AG3" s="109" t="s">
        <v>3621</v>
      </c>
      <c r="AH3" s="109" t="s">
        <v>3621</v>
      </c>
      <c r="AI3" s="109" t="s">
        <v>3621</v>
      </c>
      <c r="AJ3" s="109" t="s">
        <v>3621</v>
      </c>
      <c r="AK3" s="109" t="s">
        <v>3621</v>
      </c>
      <c r="AL3" s="109" t="s">
        <v>3621</v>
      </c>
      <c r="AM3" s="109" t="s">
        <v>3621</v>
      </c>
      <c r="AN3" s="109" t="s">
        <v>3621</v>
      </c>
      <c r="AO3" s="109" t="s">
        <v>3621</v>
      </c>
      <c r="AP3" s="109" t="s">
        <v>3621</v>
      </c>
      <c r="AQ3" s="109" t="s">
        <v>3621</v>
      </c>
      <c r="AR3" s="109" t="s">
        <v>3621</v>
      </c>
      <c r="AS3" s="109" t="s">
        <v>3621</v>
      </c>
      <c r="AT3" s="109" t="s">
        <v>3621</v>
      </c>
      <c r="AU3" s="109" t="s">
        <v>3621</v>
      </c>
      <c r="AV3" s="109" t="s">
        <v>3621</v>
      </c>
      <c r="AW3" s="109" t="s">
        <v>3621</v>
      </c>
      <c r="AX3" s="109" t="s">
        <v>3621</v>
      </c>
      <c r="AY3" s="109" t="s">
        <v>3621</v>
      </c>
      <c r="AZ3" s="109" t="s">
        <v>3621</v>
      </c>
      <c r="BA3" s="109" t="s">
        <v>3621</v>
      </c>
    </row>
    <row r="4" spans="2:53">
      <c r="B4" s="50" t="s">
        <v>3569</v>
      </c>
      <c r="C4" s="50">
        <v>2</v>
      </c>
      <c r="D4" t="s">
        <v>4070</v>
      </c>
      <c r="E4" s="293">
        <v>45390</v>
      </c>
      <c r="F4" s="109">
        <v>1</v>
      </c>
      <c r="G4" s="292">
        <v>0.99999199999999999</v>
      </c>
      <c r="H4" s="291">
        <v>1</v>
      </c>
      <c r="I4" s="109" t="s">
        <v>3621</v>
      </c>
      <c r="J4" s="109" t="s">
        <v>3621</v>
      </c>
      <c r="K4" s="109" t="s">
        <v>3621</v>
      </c>
      <c r="L4" s="109" t="s">
        <v>3621</v>
      </c>
      <c r="M4" s="109" t="s">
        <v>3621</v>
      </c>
      <c r="N4" s="109" t="s">
        <v>3621</v>
      </c>
      <c r="O4" s="109" t="s">
        <v>3621</v>
      </c>
      <c r="P4" s="109" t="s">
        <v>3621</v>
      </c>
      <c r="Q4" s="109" t="s">
        <v>3621</v>
      </c>
      <c r="R4" s="109" t="s">
        <v>3621</v>
      </c>
      <c r="S4" s="109" t="s">
        <v>3621</v>
      </c>
      <c r="T4" s="109" t="s">
        <v>3621</v>
      </c>
      <c r="U4" s="109" t="s">
        <v>3621</v>
      </c>
      <c r="V4" s="109" t="s">
        <v>3621</v>
      </c>
      <c r="W4" s="109" t="s">
        <v>3621</v>
      </c>
      <c r="X4" s="109" t="s">
        <v>3621</v>
      </c>
      <c r="Y4" s="109" t="s">
        <v>3621</v>
      </c>
      <c r="Z4" s="109" t="s">
        <v>3621</v>
      </c>
      <c r="AA4" s="109" t="s">
        <v>3621</v>
      </c>
      <c r="AB4" s="109" t="s">
        <v>3621</v>
      </c>
      <c r="AC4" s="109" t="s">
        <v>3621</v>
      </c>
      <c r="AD4" s="109" t="s">
        <v>3621</v>
      </c>
      <c r="AE4" s="109" t="s">
        <v>3621</v>
      </c>
      <c r="AF4" s="109" t="s">
        <v>3621</v>
      </c>
      <c r="AG4" s="109" t="s">
        <v>3621</v>
      </c>
      <c r="AH4" s="109" t="s">
        <v>3621</v>
      </c>
      <c r="AI4" s="109" t="s">
        <v>3621</v>
      </c>
      <c r="AJ4" s="109" t="s">
        <v>3621</v>
      </c>
      <c r="AK4" s="109" t="s">
        <v>3621</v>
      </c>
      <c r="AL4" s="109" t="s">
        <v>3621</v>
      </c>
      <c r="AM4" s="109" t="s">
        <v>3621</v>
      </c>
      <c r="AN4" s="109" t="s">
        <v>3621</v>
      </c>
      <c r="AO4" s="109" t="s">
        <v>3621</v>
      </c>
      <c r="AP4" s="109" t="s">
        <v>3621</v>
      </c>
      <c r="AQ4" s="109" t="s">
        <v>3621</v>
      </c>
      <c r="AR4" s="109" t="s">
        <v>3621</v>
      </c>
      <c r="AS4" s="109" t="s">
        <v>3621</v>
      </c>
      <c r="AT4" s="109" t="s">
        <v>3621</v>
      </c>
      <c r="AU4" s="109" t="s">
        <v>3621</v>
      </c>
      <c r="AV4" s="109" t="s">
        <v>3621</v>
      </c>
      <c r="AW4" s="109" t="s">
        <v>3621</v>
      </c>
      <c r="AX4" s="109" t="s">
        <v>3621</v>
      </c>
      <c r="AY4" s="109" t="s">
        <v>3621</v>
      </c>
      <c r="AZ4" s="109" t="s">
        <v>3621</v>
      </c>
      <c r="BA4" s="109" t="s">
        <v>3621</v>
      </c>
    </row>
    <row r="5" spans="2:53">
      <c r="B5" s="50" t="s">
        <v>3571</v>
      </c>
      <c r="C5" s="50">
        <v>3</v>
      </c>
      <c r="D5" t="s">
        <v>4071</v>
      </c>
      <c r="E5" s="293">
        <v>45390</v>
      </c>
      <c r="F5" s="109">
        <v>1</v>
      </c>
      <c r="G5" s="292">
        <v>1</v>
      </c>
      <c r="H5" s="109">
        <v>0</v>
      </c>
      <c r="I5" s="109">
        <v>0</v>
      </c>
      <c r="J5" s="109">
        <v>0</v>
      </c>
      <c r="K5" s="109" t="s">
        <v>3621</v>
      </c>
      <c r="L5" s="109" t="s">
        <v>3621</v>
      </c>
      <c r="M5" s="109" t="s">
        <v>3621</v>
      </c>
      <c r="N5" s="109" t="s">
        <v>3621</v>
      </c>
      <c r="O5" s="109" t="s">
        <v>3621</v>
      </c>
      <c r="P5" s="109" t="s">
        <v>3621</v>
      </c>
      <c r="Q5" s="109" t="s">
        <v>3621</v>
      </c>
      <c r="R5" s="109" t="s">
        <v>3621</v>
      </c>
      <c r="S5" s="109" t="s">
        <v>3621</v>
      </c>
      <c r="T5" s="109" t="s">
        <v>3621</v>
      </c>
      <c r="U5" s="109" t="s">
        <v>3621</v>
      </c>
      <c r="V5" s="109" t="s">
        <v>3621</v>
      </c>
      <c r="W5" s="109" t="s">
        <v>3621</v>
      </c>
      <c r="X5" s="109" t="s">
        <v>3621</v>
      </c>
      <c r="Y5" s="109" t="s">
        <v>3621</v>
      </c>
      <c r="Z5" s="109" t="s">
        <v>3621</v>
      </c>
      <c r="AA5" s="109" t="s">
        <v>3621</v>
      </c>
      <c r="AB5" s="109" t="s">
        <v>3621</v>
      </c>
      <c r="AC5" s="109" t="s">
        <v>3621</v>
      </c>
      <c r="AD5" s="109" t="s">
        <v>3621</v>
      </c>
      <c r="AE5" s="109" t="s">
        <v>3621</v>
      </c>
      <c r="AF5" s="109" t="s">
        <v>3621</v>
      </c>
      <c r="AG5" s="109" t="s">
        <v>3621</v>
      </c>
      <c r="AH5" s="109" t="s">
        <v>3621</v>
      </c>
      <c r="AI5" s="109" t="s">
        <v>3621</v>
      </c>
      <c r="AJ5" s="109" t="s">
        <v>3621</v>
      </c>
      <c r="AK5" s="109" t="s">
        <v>3621</v>
      </c>
      <c r="AL5" s="109" t="s">
        <v>3621</v>
      </c>
      <c r="AM5" s="109" t="s">
        <v>3621</v>
      </c>
      <c r="AN5" s="109" t="s">
        <v>3621</v>
      </c>
      <c r="AO5" s="109" t="s">
        <v>3621</v>
      </c>
      <c r="AP5" s="109" t="s">
        <v>3621</v>
      </c>
      <c r="AQ5" s="109" t="s">
        <v>3621</v>
      </c>
      <c r="AR5" s="109" t="s">
        <v>3621</v>
      </c>
      <c r="AS5" s="109" t="s">
        <v>3621</v>
      </c>
      <c r="AT5" s="109" t="s">
        <v>3621</v>
      </c>
      <c r="AU5" s="109" t="s">
        <v>3621</v>
      </c>
      <c r="AV5" s="109" t="s">
        <v>3621</v>
      </c>
      <c r="AW5" s="109" t="s">
        <v>3621</v>
      </c>
      <c r="AX5" s="109" t="s">
        <v>3621</v>
      </c>
      <c r="AY5" s="109" t="s">
        <v>3621</v>
      </c>
      <c r="AZ5" s="109">
        <v>0</v>
      </c>
      <c r="BA5" s="109" t="s">
        <v>3621</v>
      </c>
    </row>
    <row r="6" spans="2:53">
      <c r="B6" s="113" t="s">
        <v>3573</v>
      </c>
      <c r="C6" s="50">
        <v>4</v>
      </c>
      <c r="D6" t="s">
        <v>3624</v>
      </c>
      <c r="E6" s="293">
        <v>45390</v>
      </c>
      <c r="F6" s="109">
        <v>1</v>
      </c>
      <c r="G6" s="292" t="s">
        <v>3621</v>
      </c>
      <c r="H6" s="109" t="s">
        <v>3621</v>
      </c>
      <c r="I6" s="109" t="s">
        <v>3621</v>
      </c>
      <c r="J6" s="109" t="s">
        <v>3621</v>
      </c>
      <c r="K6" s="109" t="s">
        <v>3621</v>
      </c>
      <c r="L6" s="109" t="s">
        <v>3621</v>
      </c>
      <c r="M6" s="109" t="s">
        <v>3621</v>
      </c>
      <c r="N6" s="109" t="s">
        <v>3621</v>
      </c>
      <c r="O6" s="109" t="s">
        <v>3621</v>
      </c>
      <c r="P6" s="109" t="s">
        <v>3621</v>
      </c>
      <c r="Q6" s="109" t="s">
        <v>3621</v>
      </c>
      <c r="R6" s="109" t="s">
        <v>3621</v>
      </c>
      <c r="S6" s="109" t="s">
        <v>3621</v>
      </c>
      <c r="T6" s="109" t="s">
        <v>3621</v>
      </c>
      <c r="U6" s="109" t="s">
        <v>3621</v>
      </c>
      <c r="V6" s="109" t="s">
        <v>3621</v>
      </c>
      <c r="W6" s="109" t="s">
        <v>3621</v>
      </c>
      <c r="X6" s="109" t="s">
        <v>3621</v>
      </c>
      <c r="Y6" s="109" t="s">
        <v>3621</v>
      </c>
      <c r="Z6" s="109" t="s">
        <v>3621</v>
      </c>
      <c r="AA6" s="109" t="s">
        <v>3621</v>
      </c>
      <c r="AB6" s="109" t="s">
        <v>3621</v>
      </c>
      <c r="AC6" s="109" t="s">
        <v>3621</v>
      </c>
      <c r="AD6" s="109" t="s">
        <v>3621</v>
      </c>
      <c r="AE6" s="109" t="s">
        <v>3621</v>
      </c>
      <c r="AF6" s="109" t="s">
        <v>3621</v>
      </c>
      <c r="AG6" s="109" t="s">
        <v>3621</v>
      </c>
      <c r="AH6" s="109" t="s">
        <v>3621</v>
      </c>
      <c r="AI6" s="109" t="s">
        <v>3621</v>
      </c>
      <c r="AJ6" s="109" t="s">
        <v>3621</v>
      </c>
      <c r="AK6" s="109" t="s">
        <v>3621</v>
      </c>
      <c r="AL6" s="109" t="s">
        <v>3621</v>
      </c>
      <c r="AM6" s="109" t="s">
        <v>3621</v>
      </c>
      <c r="AN6" s="109" t="s">
        <v>3621</v>
      </c>
      <c r="AO6" s="109" t="s">
        <v>3621</v>
      </c>
      <c r="AP6" s="109" t="s">
        <v>3621</v>
      </c>
      <c r="AQ6" s="109" t="s">
        <v>3621</v>
      </c>
      <c r="AR6" s="109" t="s">
        <v>3621</v>
      </c>
      <c r="AS6" s="109" t="s">
        <v>3621</v>
      </c>
      <c r="AT6" s="109" t="s">
        <v>3621</v>
      </c>
      <c r="AU6" s="109" t="s">
        <v>3621</v>
      </c>
      <c r="AV6" s="109" t="s">
        <v>3621</v>
      </c>
      <c r="AW6" s="109" t="s">
        <v>3621</v>
      </c>
      <c r="AX6" s="109" t="s">
        <v>3621</v>
      </c>
      <c r="AY6" s="109" t="s">
        <v>3621</v>
      </c>
      <c r="AZ6" s="109" t="s">
        <v>3621</v>
      </c>
      <c r="BA6" s="109" t="s">
        <v>3621</v>
      </c>
    </row>
    <row r="7" spans="2:53">
      <c r="B7" s="113" t="s">
        <v>3575</v>
      </c>
      <c r="C7" s="50">
        <v>5</v>
      </c>
      <c r="D7" t="s">
        <v>3624</v>
      </c>
      <c r="E7" s="293">
        <v>45390</v>
      </c>
      <c r="F7" s="109">
        <v>1</v>
      </c>
      <c r="G7" s="292" t="s">
        <v>3621</v>
      </c>
      <c r="H7" s="109" t="s">
        <v>3621</v>
      </c>
      <c r="I7" s="109" t="s">
        <v>3621</v>
      </c>
      <c r="J7" s="109" t="s">
        <v>3621</v>
      </c>
      <c r="K7" s="109" t="s">
        <v>3621</v>
      </c>
      <c r="L7" s="109" t="s">
        <v>3621</v>
      </c>
      <c r="M7" s="109" t="s">
        <v>3621</v>
      </c>
      <c r="N7" s="109" t="s">
        <v>3621</v>
      </c>
      <c r="O7" s="109" t="s">
        <v>3621</v>
      </c>
      <c r="P7" s="109" t="s">
        <v>3621</v>
      </c>
      <c r="Q7" s="109" t="s">
        <v>3621</v>
      </c>
      <c r="R7" s="109" t="s">
        <v>3621</v>
      </c>
      <c r="S7" s="109" t="s">
        <v>3621</v>
      </c>
      <c r="T7" s="109" t="s">
        <v>3621</v>
      </c>
      <c r="U7" s="109" t="s">
        <v>3621</v>
      </c>
      <c r="V7" s="109" t="s">
        <v>3621</v>
      </c>
      <c r="W7" s="109" t="s">
        <v>3621</v>
      </c>
      <c r="X7" s="109" t="s">
        <v>3621</v>
      </c>
      <c r="Y7" s="109" t="s">
        <v>3621</v>
      </c>
      <c r="Z7" s="109" t="s">
        <v>3621</v>
      </c>
      <c r="AA7" s="109" t="s">
        <v>3621</v>
      </c>
      <c r="AB7" s="109" t="s">
        <v>3621</v>
      </c>
      <c r="AC7" s="109" t="s">
        <v>3621</v>
      </c>
      <c r="AD7" s="109" t="s">
        <v>3621</v>
      </c>
      <c r="AE7" s="109" t="s">
        <v>3621</v>
      </c>
      <c r="AF7" s="109" t="s">
        <v>3621</v>
      </c>
      <c r="AG7" s="109" t="s">
        <v>3621</v>
      </c>
      <c r="AH7" s="109" t="s">
        <v>3621</v>
      </c>
      <c r="AI7" s="109" t="s">
        <v>3621</v>
      </c>
      <c r="AJ7" s="109" t="s">
        <v>3621</v>
      </c>
      <c r="AK7" s="109" t="s">
        <v>3621</v>
      </c>
      <c r="AL7" s="109" t="s">
        <v>3621</v>
      </c>
      <c r="AM7" s="109" t="s">
        <v>3621</v>
      </c>
      <c r="AN7" s="109" t="s">
        <v>3621</v>
      </c>
      <c r="AO7" s="109" t="s">
        <v>3621</v>
      </c>
      <c r="AP7" s="109" t="s">
        <v>3621</v>
      </c>
      <c r="AQ7" s="109" t="s">
        <v>3621</v>
      </c>
      <c r="AR7" s="109" t="s">
        <v>3621</v>
      </c>
      <c r="AS7" s="109" t="s">
        <v>3621</v>
      </c>
      <c r="AT7" s="109" t="s">
        <v>3621</v>
      </c>
      <c r="AU7" s="109" t="s">
        <v>3621</v>
      </c>
      <c r="AV7" s="109" t="s">
        <v>3621</v>
      </c>
      <c r="AW7" s="109" t="s">
        <v>3621</v>
      </c>
      <c r="AX7" s="109" t="s">
        <v>3621</v>
      </c>
      <c r="AY7" s="109" t="s">
        <v>3621</v>
      </c>
      <c r="AZ7" s="109" t="s">
        <v>3621</v>
      </c>
      <c r="BA7" s="109" t="s">
        <v>3621</v>
      </c>
    </row>
    <row r="8" spans="2:53">
      <c r="B8" s="113" t="s">
        <v>3576</v>
      </c>
      <c r="C8" s="50">
        <v>6</v>
      </c>
      <c r="D8" t="s">
        <v>4072</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c r="B9" s="50" t="s">
        <v>3579</v>
      </c>
      <c r="C9" s="50">
        <v>7</v>
      </c>
      <c r="D9" t="s">
        <v>4073</v>
      </c>
      <c r="E9" s="293">
        <v>45390</v>
      </c>
      <c r="F9" s="109">
        <v>1</v>
      </c>
      <c r="G9" s="292" cm="1">
        <f t="array" aca="1" ref="G9" ca="1">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c r="B10" s="50" t="s">
        <v>3582</v>
      </c>
      <c r="C10" s="50">
        <v>8</v>
      </c>
      <c r="D10" t="s">
        <v>4074</v>
      </c>
      <c r="E10" s="293">
        <v>45390</v>
      </c>
      <c r="F10" s="109">
        <v>1</v>
      </c>
      <c r="G10" s="292" t="s">
        <v>3621</v>
      </c>
      <c r="H10" s="109">
        <v>0</v>
      </c>
      <c r="I10" s="109">
        <v>31</v>
      </c>
      <c r="J10" s="109" t="s">
        <v>4075</v>
      </c>
      <c r="K10" s="109" t="s">
        <v>4076</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3630</v>
      </c>
      <c r="AC10" s="293">
        <v>-11976360000</v>
      </c>
      <c r="AD10" s="291">
        <v>-1240000000000</v>
      </c>
      <c r="AE10" s="109" t="s">
        <v>3630</v>
      </c>
      <c r="AF10" s="109" t="e">
        <v>#N/A</v>
      </c>
      <c r="AG10" s="293" t="e">
        <v>#N/A</v>
      </c>
      <c r="AH10" s="109" t="s">
        <v>3630</v>
      </c>
      <c r="AI10" s="109" t="e">
        <v>#N/A</v>
      </c>
      <c r="AJ10" s="109" t="s">
        <v>3630</v>
      </c>
      <c r="AK10" s="291" t="s">
        <v>3630</v>
      </c>
      <c r="AL10" s="109" t="e">
        <v>#N/A</v>
      </c>
      <c r="AM10" s="291" t="e">
        <v>#N/A</v>
      </c>
      <c r="AN10" s="291" t="s">
        <v>4077</v>
      </c>
      <c r="AO10" s="109" t="s">
        <v>3630</v>
      </c>
      <c r="AP10" s="109" t="s">
        <v>3630</v>
      </c>
      <c r="AQ10" s="109" t="e">
        <v>#N/A</v>
      </c>
      <c r="AR10" s="109" t="e">
        <v>#N/A</v>
      </c>
      <c r="AS10" s="109" t="s">
        <v>4078</v>
      </c>
      <c r="AT10" s="109" t="s">
        <v>3630</v>
      </c>
      <c r="AU10" s="109" t="s">
        <v>3630</v>
      </c>
      <c r="AV10" s="109" t="e">
        <v>#N/A</v>
      </c>
      <c r="AW10" s="109" t="s">
        <v>3631</v>
      </c>
      <c r="AX10" s="109" t="s">
        <v>3632</v>
      </c>
      <c r="AY10" s="109" t="s">
        <v>3749</v>
      </c>
      <c r="AZ10" s="293">
        <v>45390</v>
      </c>
      <c r="BA10" s="109" t="s">
        <v>4079</v>
      </c>
    </row>
    <row r="11" spans="2:53">
      <c r="B11" s="50" t="s">
        <v>3584</v>
      </c>
      <c r="C11" s="50">
        <v>9</v>
      </c>
      <c r="D11" t="s">
        <v>4080</v>
      </c>
      <c r="E11" s="293">
        <v>45390</v>
      </c>
      <c r="F11" s="109">
        <v>1</v>
      </c>
      <c r="G11" s="292" t="s">
        <v>3621</v>
      </c>
      <c r="H11" s="109">
        <v>0</v>
      </c>
      <c r="I11" s="109">
        <v>31</v>
      </c>
      <c r="J11" s="109" t="s">
        <v>4075</v>
      </c>
      <c r="K11" s="109" t="s">
        <v>4076</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3630</v>
      </c>
      <c r="AC11" s="293">
        <v>-11976360000</v>
      </c>
      <c r="AD11" s="291">
        <v>-1240000000000</v>
      </c>
      <c r="AE11" s="109" t="s">
        <v>3630</v>
      </c>
      <c r="AF11" s="109" t="e">
        <v>#N/A</v>
      </c>
      <c r="AG11" s="293" t="e">
        <v>#N/A</v>
      </c>
      <c r="AH11" s="109" t="s">
        <v>3630</v>
      </c>
      <c r="AI11" s="109" t="e">
        <v>#N/A</v>
      </c>
      <c r="AJ11" s="109" t="s">
        <v>3630</v>
      </c>
      <c r="AK11" s="291" t="s">
        <v>3630</v>
      </c>
      <c r="AL11" s="109" t="e">
        <v>#N/A</v>
      </c>
      <c r="AM11" s="291" t="e">
        <v>#N/A</v>
      </c>
      <c r="AN11" s="291" t="s">
        <v>4077</v>
      </c>
      <c r="AO11" s="109" t="s">
        <v>3630</v>
      </c>
      <c r="AP11" s="109" t="s">
        <v>3630</v>
      </c>
      <c r="AQ11" s="109" t="e">
        <v>#N/A</v>
      </c>
      <c r="AR11" s="109" t="e">
        <v>#N/A</v>
      </c>
      <c r="AS11" s="109" t="s">
        <v>4078</v>
      </c>
      <c r="AT11" s="109" t="s">
        <v>3630</v>
      </c>
      <c r="AU11" s="109" t="s">
        <v>3630</v>
      </c>
      <c r="AV11" s="109" t="e">
        <v>#N/A</v>
      </c>
      <c r="AW11" s="109" t="s">
        <v>3631</v>
      </c>
      <c r="AX11" s="109" t="s">
        <v>3632</v>
      </c>
      <c r="AY11" s="109" t="s">
        <v>3749</v>
      </c>
      <c r="AZ11" s="293">
        <v>45390</v>
      </c>
      <c r="BA11" s="109" t="s">
        <v>4079</v>
      </c>
    </row>
    <row r="12" spans="2:53">
      <c r="B12" s="113" t="s">
        <v>3586</v>
      </c>
      <c r="C12" s="50">
        <v>10</v>
      </c>
      <c r="D12" t="s">
        <v>4081</v>
      </c>
      <c r="E12" s="293">
        <v>45390</v>
      </c>
      <c r="F12" s="109">
        <v>1</v>
      </c>
      <c r="G12" s="292" t="s">
        <v>3621</v>
      </c>
      <c r="H12" s="109">
        <v>0</v>
      </c>
      <c r="I12" s="109">
        <v>89</v>
      </c>
      <c r="J12" s="109">
        <v>3.1172498702899997E+26</v>
      </c>
      <c r="K12" s="109" t="s">
        <v>4076</v>
      </c>
      <c r="L12" s="109" t="s">
        <v>4082</v>
      </c>
      <c r="M12" s="109" t="s">
        <v>4083</v>
      </c>
      <c r="N12" s="109">
        <v>31</v>
      </c>
      <c r="O12" s="109">
        <v>2.3930278393702E+29</v>
      </c>
      <c r="P12" s="109" t="s">
        <v>3992</v>
      </c>
      <c r="Q12" s="109">
        <v>31</v>
      </c>
      <c r="R12" s="109">
        <v>2.3930278393702E+29</v>
      </c>
      <c r="S12" s="109" t="s">
        <v>3992</v>
      </c>
      <c r="T12" s="109">
        <v>31</v>
      </c>
      <c r="U12" s="109">
        <v>20240000133</v>
      </c>
      <c r="V12" s="293">
        <v>45390</v>
      </c>
      <c r="W12" s="293">
        <v>2958465</v>
      </c>
      <c r="X12" s="109" t="s">
        <v>3995</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3700</v>
      </c>
      <c r="AM12" s="291" t="s">
        <v>4084</v>
      </c>
      <c r="AN12" s="291" t="s">
        <v>4085</v>
      </c>
      <c r="AO12" s="291">
        <v>5750000</v>
      </c>
      <c r="AP12" s="291">
        <v>5750000</v>
      </c>
      <c r="AQ12" s="109" t="s">
        <v>3700</v>
      </c>
      <c r="AR12" s="291" t="s">
        <v>4086</v>
      </c>
      <c r="AS12" s="291">
        <v>4160000</v>
      </c>
      <c r="AT12" s="291">
        <v>5000000</v>
      </c>
      <c r="AU12" s="291">
        <v>8923000</v>
      </c>
      <c r="AV12" s="291">
        <v>1</v>
      </c>
      <c r="AW12" s="291" t="s">
        <v>3640</v>
      </c>
      <c r="AX12" s="291" t="s">
        <v>3632</v>
      </c>
      <c r="AY12" s="109" t="s">
        <v>3641</v>
      </c>
      <c r="AZ12" s="293">
        <v>45390</v>
      </c>
      <c r="BA12" s="109" t="s">
        <v>4079</v>
      </c>
    </row>
    <row r="13" spans="2:53">
      <c r="B13" s="50" t="s">
        <v>3588</v>
      </c>
      <c r="C13" s="50">
        <v>11</v>
      </c>
      <c r="D13" t="s">
        <v>4087</v>
      </c>
      <c r="E13" s="293">
        <v>45390</v>
      </c>
      <c r="F13" s="109">
        <v>1</v>
      </c>
      <c r="G13" s="292" t="s">
        <v>3621</v>
      </c>
      <c r="H13" s="109">
        <v>0</v>
      </c>
      <c r="I13" s="109">
        <v>89</v>
      </c>
      <c r="J13" s="109">
        <v>3.1172498702899997E+26</v>
      </c>
      <c r="K13" s="109" t="s">
        <v>4076</v>
      </c>
      <c r="L13" s="109" t="s">
        <v>4082</v>
      </c>
      <c r="M13" s="109" t="s">
        <v>4083</v>
      </c>
      <c r="N13" s="109">
        <v>31</v>
      </c>
      <c r="O13" s="109">
        <v>2.3930278393702E+29</v>
      </c>
      <c r="P13" s="109" t="s">
        <v>3992</v>
      </c>
      <c r="Q13" s="109">
        <v>31</v>
      </c>
      <c r="R13" s="109">
        <v>2.3930278393702E+29</v>
      </c>
      <c r="S13" s="109" t="s">
        <v>3992</v>
      </c>
      <c r="T13" s="109">
        <v>31</v>
      </c>
      <c r="U13" s="109">
        <v>20240000133</v>
      </c>
      <c r="V13" s="293">
        <v>45390</v>
      </c>
      <c r="W13" s="293">
        <v>2958465</v>
      </c>
      <c r="X13" s="109" t="s">
        <v>3995</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3700</v>
      </c>
      <c r="AM13" s="291" t="s">
        <v>4084</v>
      </c>
      <c r="AN13" s="291" t="s">
        <v>4085</v>
      </c>
      <c r="AO13" s="291">
        <v>5750000</v>
      </c>
      <c r="AP13" s="291">
        <v>5750000</v>
      </c>
      <c r="AQ13" s="109" t="s">
        <v>3700</v>
      </c>
      <c r="AR13" s="291" t="s">
        <v>4086</v>
      </c>
      <c r="AS13" s="291">
        <v>4160000</v>
      </c>
      <c r="AT13" s="291">
        <v>5000000</v>
      </c>
      <c r="AU13" s="291">
        <v>8923000</v>
      </c>
      <c r="AV13" s="291">
        <v>1</v>
      </c>
      <c r="AW13" s="291" t="s">
        <v>3640</v>
      </c>
      <c r="AX13" s="291" t="s">
        <v>3632</v>
      </c>
      <c r="AY13" s="109" t="s">
        <v>3641</v>
      </c>
      <c r="AZ13" s="293">
        <v>45390</v>
      </c>
      <c r="BA13" s="109" t="s">
        <v>4079</v>
      </c>
    </row>
    <row r="14" spans="2:53">
      <c r="B14" s="50" t="s">
        <v>3590</v>
      </c>
      <c r="C14" s="50">
        <v>12</v>
      </c>
      <c r="D14" t="s">
        <v>4088</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c r="B15" s="50" t="s">
        <v>3592</v>
      </c>
      <c r="C15" s="50">
        <v>13</v>
      </c>
      <c r="D15" t="s">
        <v>4089</v>
      </c>
      <c r="E15" s="293">
        <v>45390</v>
      </c>
      <c r="F15" s="109">
        <v>1</v>
      </c>
      <c r="G15" s="292">
        <v>1</v>
      </c>
      <c r="H15" s="109">
        <v>0</v>
      </c>
      <c r="I15" s="109" t="s">
        <v>3621</v>
      </c>
      <c r="J15" s="109" t="s">
        <v>3621</v>
      </c>
      <c r="K15" s="109" t="s">
        <v>3621</v>
      </c>
      <c r="L15" s="109" t="s">
        <v>3621</v>
      </c>
      <c r="M15" s="109" t="s">
        <v>3621</v>
      </c>
      <c r="N15" s="109" t="s">
        <v>3621</v>
      </c>
      <c r="O15" s="109" t="s">
        <v>3621</v>
      </c>
      <c r="P15" s="109" t="s">
        <v>3621</v>
      </c>
      <c r="Q15" s="109" t="s">
        <v>3621</v>
      </c>
      <c r="R15" s="109" t="s">
        <v>3621</v>
      </c>
      <c r="S15" s="109" t="s">
        <v>3621</v>
      </c>
      <c r="T15" s="109" t="s">
        <v>3621</v>
      </c>
      <c r="U15" s="109" t="s">
        <v>3621</v>
      </c>
      <c r="V15" s="109">
        <v>0</v>
      </c>
      <c r="W15" s="109">
        <v>0</v>
      </c>
      <c r="X15" s="109" t="s">
        <v>3621</v>
      </c>
      <c r="Y15" s="109" t="s">
        <v>3621</v>
      </c>
      <c r="Z15" s="109" t="s">
        <v>3621</v>
      </c>
      <c r="AA15" s="109" t="s">
        <v>3621</v>
      </c>
      <c r="AB15" s="109" t="s">
        <v>3621</v>
      </c>
      <c r="AC15" s="109" t="s">
        <v>3621</v>
      </c>
      <c r="AD15" s="109" t="s">
        <v>3621</v>
      </c>
      <c r="AE15" s="109" t="s">
        <v>3621</v>
      </c>
      <c r="AF15" s="109">
        <v>0</v>
      </c>
      <c r="AG15" s="109">
        <v>0</v>
      </c>
      <c r="AH15" s="109" t="s">
        <v>3621</v>
      </c>
      <c r="AI15" s="109">
        <v>0</v>
      </c>
      <c r="AJ15" s="109" t="s">
        <v>3621</v>
      </c>
      <c r="AK15" s="109" t="s">
        <v>3621</v>
      </c>
      <c r="AL15" s="109" t="s">
        <v>3621</v>
      </c>
      <c r="AM15" s="109" t="s">
        <v>3621</v>
      </c>
      <c r="AN15" s="109" t="s">
        <v>3621</v>
      </c>
      <c r="AO15" s="109" t="s">
        <v>3621</v>
      </c>
      <c r="AP15" s="109" t="s">
        <v>3621</v>
      </c>
      <c r="AQ15" s="109" t="s">
        <v>3621</v>
      </c>
      <c r="AR15" s="109" t="s">
        <v>3621</v>
      </c>
      <c r="AS15" s="109" t="s">
        <v>3621</v>
      </c>
      <c r="AT15" s="109" t="s">
        <v>3621</v>
      </c>
      <c r="AU15" s="109" t="s">
        <v>3621</v>
      </c>
      <c r="AV15" s="109" t="s">
        <v>3621</v>
      </c>
      <c r="AW15" s="109" t="s">
        <v>3621</v>
      </c>
      <c r="AX15" s="109" t="s">
        <v>3621</v>
      </c>
      <c r="AY15" s="109" t="s">
        <v>3621</v>
      </c>
      <c r="AZ15" s="109" t="s">
        <v>3621</v>
      </c>
      <c r="BA15" s="109" t="s">
        <v>3621</v>
      </c>
    </row>
    <row r="16" spans="2:53">
      <c r="B16" s="50" t="s">
        <v>3594</v>
      </c>
      <c r="C16" s="50">
        <v>14</v>
      </c>
      <c r="D16" t="s">
        <v>4090</v>
      </c>
      <c r="E16" s="293">
        <v>45390</v>
      </c>
      <c r="F16" s="109">
        <v>1</v>
      </c>
      <c r="G16" s="292">
        <v>1</v>
      </c>
      <c r="H16" s="109">
        <v>0</v>
      </c>
      <c r="I16" s="109" t="s">
        <v>3621</v>
      </c>
      <c r="J16" s="109" t="s">
        <v>3621</v>
      </c>
      <c r="K16" s="109">
        <v>0</v>
      </c>
      <c r="L16" s="109">
        <v>0</v>
      </c>
      <c r="M16" s="109">
        <v>0</v>
      </c>
      <c r="N16" s="109" t="s">
        <v>3621</v>
      </c>
      <c r="O16" s="109" t="s">
        <v>3621</v>
      </c>
      <c r="P16" s="109">
        <v>0</v>
      </c>
      <c r="Q16" s="109" t="s">
        <v>3621</v>
      </c>
      <c r="R16" s="109" t="s">
        <v>3621</v>
      </c>
      <c r="S16" s="109">
        <v>0</v>
      </c>
      <c r="T16" s="109" t="s">
        <v>3621</v>
      </c>
      <c r="U16" s="109" t="s">
        <v>3621</v>
      </c>
      <c r="V16" s="296" t="s">
        <v>3621</v>
      </c>
      <c r="W16" s="296" t="s">
        <v>3621</v>
      </c>
      <c r="X16" s="109">
        <v>0</v>
      </c>
      <c r="Y16" s="296">
        <v>0</v>
      </c>
      <c r="Z16" s="296" t="s">
        <v>3621</v>
      </c>
      <c r="AA16" s="109" t="s">
        <v>3621</v>
      </c>
      <c r="AB16" s="109" t="s">
        <v>3621</v>
      </c>
      <c r="AC16" s="296" t="s">
        <v>3621</v>
      </c>
      <c r="AD16" s="109" t="s">
        <v>3621</v>
      </c>
      <c r="AE16" s="109" t="s">
        <v>3621</v>
      </c>
      <c r="AF16" s="109" t="s">
        <v>3621</v>
      </c>
      <c r="AG16" s="296" t="s">
        <v>3621</v>
      </c>
      <c r="AH16" s="109" t="s">
        <v>3621</v>
      </c>
      <c r="AI16" s="109" t="s">
        <v>3621</v>
      </c>
      <c r="AJ16" s="109" t="s">
        <v>3621</v>
      </c>
      <c r="AK16" s="109" t="s">
        <v>3621</v>
      </c>
      <c r="AL16" s="109">
        <v>0</v>
      </c>
      <c r="AM16" s="109">
        <v>0</v>
      </c>
      <c r="AN16" s="109" t="s">
        <v>3621</v>
      </c>
      <c r="AO16" s="109" t="s">
        <v>3621</v>
      </c>
      <c r="AP16" s="109" t="s">
        <v>3621</v>
      </c>
      <c r="AQ16" s="109">
        <v>0</v>
      </c>
      <c r="AR16" s="109">
        <v>0</v>
      </c>
      <c r="AS16" s="109" t="s">
        <v>3621</v>
      </c>
      <c r="AT16" s="109" t="s">
        <v>3621</v>
      </c>
      <c r="AU16" s="109" t="s">
        <v>3621</v>
      </c>
      <c r="AV16" s="109">
        <v>0</v>
      </c>
      <c r="AW16" s="109">
        <v>0</v>
      </c>
      <c r="AX16" s="109">
        <v>0</v>
      </c>
      <c r="AY16" s="109">
        <v>0</v>
      </c>
      <c r="AZ16" s="109" t="s">
        <v>3621</v>
      </c>
      <c r="BA16" s="109" t="s">
        <v>3621</v>
      </c>
    </row>
    <row r="17" spans="2:53">
      <c r="B17" s="50" t="s">
        <v>3596</v>
      </c>
      <c r="C17" s="50">
        <v>15</v>
      </c>
      <c r="D17" t="s">
        <v>4091</v>
      </c>
      <c r="E17" s="293">
        <v>45390</v>
      </c>
      <c r="F17" s="109">
        <v>1</v>
      </c>
      <c r="G17" s="292">
        <v>0.99992800000000004</v>
      </c>
      <c r="H17" s="109">
        <v>0</v>
      </c>
      <c r="I17" s="109" t="s">
        <v>3621</v>
      </c>
      <c r="J17" s="109" t="s">
        <v>3621</v>
      </c>
      <c r="K17" s="109" t="s">
        <v>3621</v>
      </c>
      <c r="L17" s="109" t="s">
        <v>3621</v>
      </c>
      <c r="M17" s="109" t="s">
        <v>3621</v>
      </c>
      <c r="N17" s="109" t="s">
        <v>3621</v>
      </c>
      <c r="O17" s="109" t="s">
        <v>3621</v>
      </c>
      <c r="P17" s="109" t="s">
        <v>3621</v>
      </c>
      <c r="Q17" s="109" t="s">
        <v>3621</v>
      </c>
      <c r="R17" s="109" t="s">
        <v>3621</v>
      </c>
      <c r="S17" s="109" t="s">
        <v>3621</v>
      </c>
      <c r="T17" s="109" t="s">
        <v>3621</v>
      </c>
      <c r="U17" s="109" t="s">
        <v>3621</v>
      </c>
      <c r="V17" s="109" t="s">
        <v>3621</v>
      </c>
      <c r="W17" s="109" t="s">
        <v>3621</v>
      </c>
      <c r="X17" s="109" t="s">
        <v>3621</v>
      </c>
      <c r="Y17" s="109" t="s">
        <v>3621</v>
      </c>
      <c r="Z17" s="109" t="s">
        <v>3621</v>
      </c>
      <c r="AA17" s="109" t="s">
        <v>3621</v>
      </c>
      <c r="AB17" s="109" t="s">
        <v>3621</v>
      </c>
      <c r="AC17" s="109" t="s">
        <v>3621</v>
      </c>
      <c r="AD17" s="109" t="s">
        <v>3621</v>
      </c>
      <c r="AE17" s="109" t="s">
        <v>3621</v>
      </c>
      <c r="AF17" s="109" t="s">
        <v>3621</v>
      </c>
      <c r="AG17" s="109" t="s">
        <v>3621</v>
      </c>
      <c r="AH17" s="109" t="s">
        <v>3621</v>
      </c>
      <c r="AI17" s="109" t="s">
        <v>3621</v>
      </c>
      <c r="AJ17" s="109" t="s">
        <v>3621</v>
      </c>
      <c r="AK17" s="109" t="s">
        <v>3621</v>
      </c>
      <c r="AL17" s="109" t="s">
        <v>3621</v>
      </c>
      <c r="AM17" s="109" t="s">
        <v>3621</v>
      </c>
      <c r="AN17" s="109" t="s">
        <v>3621</v>
      </c>
      <c r="AO17" s="109" t="s">
        <v>3621</v>
      </c>
      <c r="AP17" s="109" t="s">
        <v>3621</v>
      </c>
      <c r="AQ17" s="109" t="s">
        <v>3621</v>
      </c>
      <c r="AR17" s="109" t="s">
        <v>3621</v>
      </c>
      <c r="AS17" s="109" t="s">
        <v>3621</v>
      </c>
      <c r="AT17" s="109" t="s">
        <v>3621</v>
      </c>
      <c r="AU17" s="109" t="s">
        <v>3621</v>
      </c>
      <c r="AV17" s="109" t="s">
        <v>3621</v>
      </c>
      <c r="AW17" s="109" t="s">
        <v>3621</v>
      </c>
      <c r="AX17" s="109" t="s">
        <v>3621</v>
      </c>
      <c r="AY17" s="109" t="s">
        <v>3621</v>
      </c>
      <c r="AZ17" s="109" t="s">
        <v>3621</v>
      </c>
      <c r="BA17" s="109" t="s">
        <v>3621</v>
      </c>
    </row>
    <row r="18" spans="2:53">
      <c r="B18" s="50" t="s">
        <v>3598</v>
      </c>
      <c r="C18" s="50">
        <v>16</v>
      </c>
      <c r="D18" t="s">
        <v>4091</v>
      </c>
      <c r="E18" s="293">
        <v>45390</v>
      </c>
      <c r="F18" s="109">
        <v>1</v>
      </c>
      <c r="G18" s="292">
        <v>0.99992800000000004</v>
      </c>
      <c r="H18" s="109">
        <v>0</v>
      </c>
      <c r="I18" s="109" t="s">
        <v>3621</v>
      </c>
      <c r="J18" s="109" t="s">
        <v>3621</v>
      </c>
      <c r="K18" s="109" t="s">
        <v>3621</v>
      </c>
      <c r="L18" s="109" t="s">
        <v>3621</v>
      </c>
      <c r="M18" s="109" t="s">
        <v>3621</v>
      </c>
      <c r="N18" s="109" t="s">
        <v>3621</v>
      </c>
      <c r="O18" s="109" t="s">
        <v>3621</v>
      </c>
      <c r="P18" s="109" t="s">
        <v>3621</v>
      </c>
      <c r="Q18" s="109" t="s">
        <v>3621</v>
      </c>
      <c r="R18" s="109" t="s">
        <v>3621</v>
      </c>
      <c r="S18" s="109" t="s">
        <v>3621</v>
      </c>
      <c r="T18" s="109" t="s">
        <v>3621</v>
      </c>
      <c r="U18" s="109" t="s">
        <v>3621</v>
      </c>
      <c r="V18" s="109" t="s">
        <v>3621</v>
      </c>
      <c r="W18" s="109" t="s">
        <v>3621</v>
      </c>
      <c r="X18" s="109" t="s">
        <v>3621</v>
      </c>
      <c r="Y18" s="109" t="s">
        <v>3621</v>
      </c>
      <c r="Z18" s="109" t="s">
        <v>3621</v>
      </c>
      <c r="AA18" s="109" t="s">
        <v>3621</v>
      </c>
      <c r="AB18" s="296" t="s">
        <v>3621</v>
      </c>
      <c r="AC18" s="109" t="s">
        <v>3621</v>
      </c>
      <c r="AD18" s="109" t="s">
        <v>3621</v>
      </c>
      <c r="AE18" s="109" t="s">
        <v>3621</v>
      </c>
      <c r="AF18" s="296" t="s">
        <v>3621</v>
      </c>
      <c r="AG18" s="109" t="s">
        <v>3621</v>
      </c>
      <c r="AH18" s="109" t="s">
        <v>3621</v>
      </c>
      <c r="AI18" s="109" t="s">
        <v>3621</v>
      </c>
      <c r="AJ18" s="109" t="s">
        <v>3621</v>
      </c>
      <c r="AK18" s="109" t="s">
        <v>3621</v>
      </c>
      <c r="AL18" s="109" t="s">
        <v>3621</v>
      </c>
      <c r="AM18" s="109" t="s">
        <v>3621</v>
      </c>
      <c r="AN18" s="109" t="s">
        <v>3621</v>
      </c>
      <c r="AO18" s="109" t="s">
        <v>3621</v>
      </c>
      <c r="AP18" s="109" t="s">
        <v>3621</v>
      </c>
      <c r="AQ18" s="109" t="s">
        <v>3621</v>
      </c>
      <c r="AR18" s="109" t="s">
        <v>3621</v>
      </c>
      <c r="AS18" s="109" t="s">
        <v>3621</v>
      </c>
      <c r="AT18" s="109" t="s">
        <v>3621</v>
      </c>
      <c r="AU18" s="109" t="s">
        <v>3621</v>
      </c>
      <c r="AV18" s="109" t="s">
        <v>3621</v>
      </c>
      <c r="AW18" s="109" t="s">
        <v>3621</v>
      </c>
      <c r="AX18" s="109" t="s">
        <v>3621</v>
      </c>
      <c r="AY18" s="109" t="s">
        <v>3621</v>
      </c>
      <c r="AZ18" s="109" t="s">
        <v>3621</v>
      </c>
      <c r="BA18" s="109" t="s">
        <v>3621</v>
      </c>
    </row>
    <row r="19" spans="2:53">
      <c r="B19" s="50" t="s">
        <v>3600</v>
      </c>
      <c r="C19" s="50">
        <v>17</v>
      </c>
      <c r="D19" t="s">
        <v>4091</v>
      </c>
      <c r="E19" s="293">
        <v>45390</v>
      </c>
      <c r="F19" s="109">
        <v>1</v>
      </c>
      <c r="G19" s="225">
        <f>1-13292/H3</f>
        <v>0.89385760373079504</v>
      </c>
      <c r="H19" s="50">
        <v>13292</v>
      </c>
      <c r="I19" s="109" t="s">
        <v>3621</v>
      </c>
      <c r="J19" s="109" t="s">
        <v>3621</v>
      </c>
      <c r="K19" s="109" t="s">
        <v>3621</v>
      </c>
      <c r="L19" s="109" t="s">
        <v>3621</v>
      </c>
      <c r="M19" s="109" t="s">
        <v>3621</v>
      </c>
      <c r="N19" s="109" t="s">
        <v>3621</v>
      </c>
      <c r="O19" s="109" t="s">
        <v>3621</v>
      </c>
      <c r="P19" s="109" t="s">
        <v>3621</v>
      </c>
      <c r="Q19" s="109" t="s">
        <v>3621</v>
      </c>
      <c r="R19" s="109" t="s">
        <v>3621</v>
      </c>
      <c r="S19" s="109" t="s">
        <v>3621</v>
      </c>
      <c r="T19" s="109" t="s">
        <v>3621</v>
      </c>
      <c r="U19" s="109" t="s">
        <v>3621</v>
      </c>
      <c r="V19" s="109" t="s">
        <v>3621</v>
      </c>
      <c r="W19" s="109" t="s">
        <v>3621</v>
      </c>
      <c r="X19" s="109" t="s">
        <v>3621</v>
      </c>
      <c r="Y19" s="109" t="s">
        <v>3621</v>
      </c>
      <c r="Z19" s="109" t="s">
        <v>3621</v>
      </c>
      <c r="AA19" s="109" t="s">
        <v>3621</v>
      </c>
      <c r="AB19" s="109" t="s">
        <v>3621</v>
      </c>
      <c r="AC19" s="109" t="s">
        <v>3621</v>
      </c>
      <c r="AD19" s="109" t="s">
        <v>3621</v>
      </c>
      <c r="AE19" s="109" t="s">
        <v>3621</v>
      </c>
      <c r="AF19" s="109" t="s">
        <v>3621</v>
      </c>
      <c r="AG19" s="109" t="s">
        <v>3621</v>
      </c>
      <c r="AH19" s="109" t="s">
        <v>3621</v>
      </c>
      <c r="AI19" s="109" t="s">
        <v>3621</v>
      </c>
      <c r="AJ19" s="109" t="s">
        <v>3621</v>
      </c>
      <c r="AK19" s="109" t="s">
        <v>3621</v>
      </c>
      <c r="AL19" s="109" t="s">
        <v>3621</v>
      </c>
      <c r="AM19" s="109" t="s">
        <v>3621</v>
      </c>
      <c r="AN19" s="109" t="s">
        <v>3621</v>
      </c>
      <c r="AO19" s="109" t="s">
        <v>3621</v>
      </c>
      <c r="AP19" s="109" t="s">
        <v>3621</v>
      </c>
      <c r="AQ19" s="109" t="s">
        <v>3621</v>
      </c>
      <c r="AR19" s="109" t="s">
        <v>3621</v>
      </c>
      <c r="AS19" s="109" t="s">
        <v>3621</v>
      </c>
      <c r="AT19" s="109" t="s">
        <v>3621</v>
      </c>
      <c r="AU19" s="109" t="s">
        <v>3621</v>
      </c>
      <c r="AV19" s="109" t="s">
        <v>3621</v>
      </c>
      <c r="AW19" s="109" t="s">
        <v>3621</v>
      </c>
      <c r="AX19" s="109" t="s">
        <v>3621</v>
      </c>
      <c r="AY19" s="109" t="s">
        <v>3621</v>
      </c>
      <c r="AZ19" s="109" t="s">
        <v>3621</v>
      </c>
      <c r="BA19" s="109" t="s">
        <v>3621</v>
      </c>
    </row>
    <row r="20" spans="2:53">
      <c r="B20" s="50" t="s">
        <v>3602</v>
      </c>
      <c r="C20" s="50">
        <v>18</v>
      </c>
      <c r="D20" t="s">
        <v>4091</v>
      </c>
      <c r="E20" s="293">
        <v>45390</v>
      </c>
      <c r="F20" s="109">
        <v>1</v>
      </c>
      <c r="G20" s="225">
        <f>1 - 3682/199733</f>
        <v>0.98156538979537677</v>
      </c>
      <c r="H20" s="50">
        <v>3682</v>
      </c>
      <c r="I20" s="109" t="s">
        <v>3621</v>
      </c>
      <c r="J20" s="109" t="s">
        <v>3621</v>
      </c>
      <c r="K20" s="109" t="s">
        <v>3621</v>
      </c>
      <c r="L20" s="109" t="s">
        <v>3621</v>
      </c>
      <c r="M20" s="109" t="s">
        <v>3621</v>
      </c>
      <c r="N20" s="109" t="s">
        <v>3621</v>
      </c>
      <c r="O20" s="109" t="s">
        <v>3621</v>
      </c>
      <c r="P20" s="109" t="s">
        <v>3621</v>
      </c>
      <c r="Q20" s="109" t="s">
        <v>3621</v>
      </c>
      <c r="R20" s="109" t="s">
        <v>3621</v>
      </c>
      <c r="S20" s="109" t="s">
        <v>3621</v>
      </c>
      <c r="T20" s="109" t="s">
        <v>3621</v>
      </c>
      <c r="U20" s="109" t="s">
        <v>3621</v>
      </c>
      <c r="V20" s="109" t="s">
        <v>3621</v>
      </c>
      <c r="W20" s="109" t="s">
        <v>3621</v>
      </c>
      <c r="X20" s="109" t="s">
        <v>3621</v>
      </c>
      <c r="Y20" s="109" t="s">
        <v>3621</v>
      </c>
      <c r="Z20" s="109" t="s">
        <v>3621</v>
      </c>
      <c r="AA20" s="109" t="s">
        <v>3621</v>
      </c>
      <c r="AB20" s="109" t="s">
        <v>3621</v>
      </c>
      <c r="AC20" s="109" t="s">
        <v>3621</v>
      </c>
      <c r="AD20" s="109" t="s">
        <v>3621</v>
      </c>
      <c r="AE20" s="109" t="s">
        <v>3621</v>
      </c>
      <c r="AF20" s="109" t="s">
        <v>3621</v>
      </c>
      <c r="AG20" s="109" t="s">
        <v>3621</v>
      </c>
      <c r="AH20" s="109" t="s">
        <v>3621</v>
      </c>
      <c r="AI20" s="109" t="s">
        <v>3621</v>
      </c>
      <c r="AJ20" s="109" t="s">
        <v>3621</v>
      </c>
      <c r="AK20" s="109" t="s">
        <v>3621</v>
      </c>
      <c r="AL20" s="109" t="s">
        <v>3621</v>
      </c>
      <c r="AM20" s="109" t="s">
        <v>3621</v>
      </c>
      <c r="AN20" s="109" t="s">
        <v>3621</v>
      </c>
      <c r="AO20" s="109" t="s">
        <v>3621</v>
      </c>
      <c r="AP20" s="109" t="s">
        <v>3621</v>
      </c>
      <c r="AQ20" s="109" t="s">
        <v>3621</v>
      </c>
      <c r="AR20" s="109" t="s">
        <v>3621</v>
      </c>
      <c r="AS20" s="109" t="s">
        <v>3621</v>
      </c>
      <c r="AT20" s="109" t="s">
        <v>3621</v>
      </c>
      <c r="AU20" s="109" t="s">
        <v>3621</v>
      </c>
      <c r="AV20" s="109" t="s">
        <v>3621</v>
      </c>
      <c r="AW20" s="109" t="s">
        <v>3621</v>
      </c>
      <c r="AX20" s="109" t="s">
        <v>3621</v>
      </c>
      <c r="AY20" s="109" t="s">
        <v>3621</v>
      </c>
      <c r="AZ20" s="109" t="s">
        <v>3621</v>
      </c>
      <c r="BA20" s="109" t="s">
        <v>3621</v>
      </c>
    </row>
    <row r="21" spans="2:53">
      <c r="B21" s="50" t="s">
        <v>3604</v>
      </c>
      <c r="C21" s="50">
        <v>19</v>
      </c>
      <c r="D21" t="s">
        <v>4092</v>
      </c>
      <c r="E21" s="293">
        <v>45390</v>
      </c>
      <c r="F21" s="109">
        <v>1</v>
      </c>
      <c r="G21" s="225" cm="1">
        <f t="array" aca="1" ref="G21" ca="1">SUMPRODUCT(--(ISNUMBER((SEARCH(I27:BA27,I21:BA21)))))/COUNTA(I21:BA21)</f>
        <v>0.97777777777777775</v>
      </c>
      <c r="H21" s="50" t="s">
        <v>3621</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3655</v>
      </c>
      <c r="Z21" s="50" t="s">
        <v>3656</v>
      </c>
      <c r="AA21" s="50" t="s">
        <v>3656</v>
      </c>
      <c r="AB21" s="50" t="s">
        <v>3656</v>
      </c>
      <c r="AC21" s="50" t="s">
        <v>3656</v>
      </c>
      <c r="AD21" s="50" t="s">
        <v>3656</v>
      </c>
      <c r="AE21" s="50" t="s">
        <v>3656</v>
      </c>
      <c r="AF21" s="50" t="s">
        <v>3655</v>
      </c>
      <c r="AG21" s="50" t="s">
        <v>3655</v>
      </c>
      <c r="AH21" s="50" t="s">
        <v>3656</v>
      </c>
      <c r="AI21" s="50" t="s">
        <v>3655</v>
      </c>
      <c r="AJ21" s="50" t="s">
        <v>3656</v>
      </c>
      <c r="AK21" s="50" t="s">
        <v>3656</v>
      </c>
      <c r="AL21" s="50" t="s">
        <v>3655</v>
      </c>
      <c r="AM21" s="50" t="s">
        <v>3655</v>
      </c>
      <c r="AN21" s="50" t="s">
        <v>3656</v>
      </c>
      <c r="AO21" s="50" t="s">
        <v>3656</v>
      </c>
      <c r="AP21" s="50" t="s">
        <v>3656</v>
      </c>
      <c r="AQ21" s="50" t="s">
        <v>3655</v>
      </c>
      <c r="AR21" s="50" t="s">
        <v>3655</v>
      </c>
      <c r="AS21" s="50" t="s">
        <v>3656</v>
      </c>
      <c r="AT21" s="50" t="s">
        <v>3656</v>
      </c>
      <c r="AU21" s="50" t="s">
        <v>3656</v>
      </c>
      <c r="AV21" s="50" t="s">
        <v>3655</v>
      </c>
      <c r="AW21" s="50" t="s">
        <v>3655</v>
      </c>
      <c r="AX21" s="50" t="s">
        <v>3655</v>
      </c>
      <c r="AY21" s="50" t="s">
        <v>3655</v>
      </c>
      <c r="AZ21" s="50" t="s">
        <v>3655</v>
      </c>
      <c r="BA21" s="50" t="s">
        <v>3657</v>
      </c>
    </row>
    <row r="22" spans="2:53">
      <c r="B22" s="50" t="s">
        <v>3607</v>
      </c>
      <c r="C22" s="50">
        <v>20</v>
      </c>
      <c r="D22" t="s">
        <v>4091</v>
      </c>
      <c r="E22" s="293">
        <v>45390</v>
      </c>
      <c r="F22" s="109">
        <v>1</v>
      </c>
      <c r="G22" s="292" cm="1">
        <f t="array" ref="G22">SUM(IF(I2:BA2 = I26:BA26, 1, 0))/ COUNTA(I2:BA2)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row>
    <row r="23" spans="2:53">
      <c r="B23" s="50" t="s">
        <v>3610</v>
      </c>
      <c r="C23" s="50">
        <v>21</v>
      </c>
      <c r="D23" t="s">
        <v>4091</v>
      </c>
      <c r="E23" s="293">
        <v>45390</v>
      </c>
      <c r="F23" s="109">
        <v>1</v>
      </c>
      <c r="G23" s="225" cm="1">
        <f t="array" aca="1" ref="G23" ca="1">SUM(IF(IF(G3:G22="null",1,G3:G22)=1,1,0))/COUNT(IF(G3:G22="null",1,1))</f>
        <v>0.6</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row>
    <row r="25" spans="2:53">
      <c r="B25" s="146" t="s">
        <v>3727</v>
      </c>
    </row>
    <row r="26" spans="2:53">
      <c r="B26" s="184" t="s">
        <v>3613</v>
      </c>
      <c r="C26" s="183" t="s">
        <v>3614</v>
      </c>
      <c r="D26" s="183" t="s">
        <v>3615</v>
      </c>
      <c r="E26" s="183" t="s">
        <v>3616</v>
      </c>
      <c r="F26" s="183" t="s">
        <v>3617</v>
      </c>
      <c r="G26" s="183" t="s">
        <v>3618</v>
      </c>
      <c r="H26" s="183" t="s">
        <v>3619</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c r="B27" s="123" t="s">
        <v>3658</v>
      </c>
      <c r="C27" s="126">
        <v>21</v>
      </c>
      <c r="D27" s="120" t="s">
        <v>3659</v>
      </c>
      <c r="E27" s="119" t="s">
        <v>3660</v>
      </c>
      <c r="F27" s="119" t="s">
        <v>372</v>
      </c>
      <c r="G27" s="119" t="s">
        <v>372</v>
      </c>
      <c r="H27" s="119" t="s">
        <v>372</v>
      </c>
      <c r="I27" s="119"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0" t="str">
        <f ca="1"/>
        <v>STRING</v>
      </c>
      <c r="K27" s="180" t="str">
        <f ca="1"/>
        <v>STRING</v>
      </c>
      <c r="L27" s="180" t="str">
        <f ca="1"/>
        <v>STRING</v>
      </c>
      <c r="M27" s="180" t="str">
        <f ca="1"/>
        <v>STRING</v>
      </c>
      <c r="N27" s="180" t="str">
        <f ca="1"/>
        <v>STRING</v>
      </c>
      <c r="O27" s="180" t="str">
        <f ca="1"/>
        <v>STRING</v>
      </c>
      <c r="P27" s="180" t="str">
        <f ca="1"/>
        <v>STRING</v>
      </c>
      <c r="Q27" s="180" t="str">
        <f ca="1"/>
        <v>STRING</v>
      </c>
      <c r="R27" s="180" t="str">
        <f ca="1"/>
        <v>STRING</v>
      </c>
      <c r="S27" s="180" t="str">
        <f ca="1"/>
        <v>STRING</v>
      </c>
      <c r="T27" s="180" t="str">
        <f ca="1"/>
        <v>STRING</v>
      </c>
      <c r="U27" s="180" t="str">
        <f ca="1"/>
        <v>STRING</v>
      </c>
      <c r="V27" s="180" t="str">
        <f ca="1"/>
        <v>STRING</v>
      </c>
      <c r="W27" s="180" t="str">
        <f ca="1"/>
        <v>STRING</v>
      </c>
      <c r="X27" s="180" t="str">
        <f ca="1"/>
        <v>STRING</v>
      </c>
      <c r="Y27" s="180" t="str">
        <f ca="1"/>
        <v>STRING</v>
      </c>
      <c r="Z27" s="180" t="str">
        <f ca="1"/>
        <v>DECIMAL</v>
      </c>
      <c r="AA27" s="180" t="str">
        <f ca="1"/>
        <v>DECIMAL</v>
      </c>
      <c r="AB27" s="180" t="str">
        <f ca="1"/>
        <v>DECIMAL</v>
      </c>
      <c r="AC27" s="180" t="str">
        <f ca="1"/>
        <v>DECIMAL</v>
      </c>
      <c r="AD27" s="180" t="str">
        <f ca="1"/>
        <v>DECIMAL</v>
      </c>
      <c r="AE27" s="180" t="str">
        <f ca="1"/>
        <v>DECIMAL</v>
      </c>
      <c r="AF27" s="180" t="str">
        <f ca="1"/>
        <v>STRING</v>
      </c>
      <c r="AG27" s="180" t="str">
        <f ca="1"/>
        <v>STRING</v>
      </c>
      <c r="AH27" s="180" t="str">
        <f ca="1"/>
        <v>DECIMAL</v>
      </c>
      <c r="AI27" s="180" t="str">
        <f ca="1"/>
        <v>STRING</v>
      </c>
      <c r="AJ27" s="180" t="str">
        <f ca="1"/>
        <v>STRING</v>
      </c>
      <c r="AK27" s="180" t="str">
        <f ca="1"/>
        <v>DECIMAL</v>
      </c>
      <c r="AL27" s="180" t="str">
        <f ca="1"/>
        <v>STRING</v>
      </c>
      <c r="AM27" s="180" t="str">
        <f ca="1"/>
        <v>STRING</v>
      </c>
      <c r="AN27" s="180" t="str">
        <f ca="1"/>
        <v>DECIMAL</v>
      </c>
      <c r="AO27" s="180" t="str">
        <f ca="1"/>
        <v>DECIMAL</v>
      </c>
      <c r="AP27" s="180" t="str">
        <f ca="1"/>
        <v>DECIMAL</v>
      </c>
      <c r="AQ27" s="180" t="str">
        <f ca="1"/>
        <v>STRING</v>
      </c>
      <c r="AR27" s="180" t="str">
        <f ca="1"/>
        <v>STRING</v>
      </c>
      <c r="AS27" s="180" t="str">
        <f ca="1"/>
        <v>DECIMAL</v>
      </c>
      <c r="AT27" s="180" t="str">
        <f ca="1"/>
        <v>DECIMAL</v>
      </c>
      <c r="AU27" s="180" t="str">
        <f ca="1"/>
        <v>DECIMAL</v>
      </c>
      <c r="AV27" s="180" t="str">
        <f ca="1"/>
        <v>STRING</v>
      </c>
      <c r="AW27" s="180" t="str">
        <f ca="1"/>
        <v>STRING</v>
      </c>
      <c r="AX27" s="180" t="str">
        <f ca="1"/>
        <v>STRING</v>
      </c>
      <c r="AY27" s="180" t="str">
        <f ca="1"/>
        <v>STRING</v>
      </c>
      <c r="AZ27" s="180" t="str">
        <f ca="1"/>
        <v>STRING</v>
      </c>
      <c r="BA27" s="187" t="str">
        <f ca="1"/>
        <v>TIMESTAMP</v>
      </c>
    </row>
    <row r="28" spans="2:53">
      <c r="B28" s="123" t="s">
        <v>3661</v>
      </c>
      <c r="C28" s="126">
        <v>7</v>
      </c>
      <c r="D28" s="120" t="s">
        <v>3659</v>
      </c>
      <c r="E28" s="119" t="s">
        <v>3660</v>
      </c>
      <c r="F28" s="121" t="s">
        <v>372</v>
      </c>
      <c r="G28" s="121" t="s">
        <v>372</v>
      </c>
      <c r="H28" s="121" t="s">
        <v>372</v>
      </c>
      <c r="I28" s="167">
        <f ca="1"/>
        <v>4</v>
      </c>
      <c r="J28" s="181">
        <f ca="1"/>
        <v>30</v>
      </c>
      <c r="K28" s="181">
        <f ca="1"/>
        <v>3</v>
      </c>
      <c r="L28" s="181">
        <f ca="1"/>
        <v>3</v>
      </c>
      <c r="M28" s="181">
        <f ca="1"/>
        <v>3</v>
      </c>
      <c r="N28" s="181">
        <f ca="1"/>
        <v>4</v>
      </c>
      <c r="O28" s="181">
        <f ca="1"/>
        <v>30</v>
      </c>
      <c r="P28" s="181">
        <f ca="1"/>
        <v>21</v>
      </c>
      <c r="Q28" s="181">
        <f ca="1"/>
        <v>4</v>
      </c>
      <c r="R28" s="181">
        <f ca="1"/>
        <v>30</v>
      </c>
      <c r="S28" s="181">
        <f ca="1"/>
        <v>21</v>
      </c>
      <c r="T28" s="181">
        <f ca="1"/>
        <v>4</v>
      </c>
      <c r="U28" s="181">
        <f ca="1"/>
        <v>15</v>
      </c>
      <c r="V28" s="181">
        <f ca="1"/>
        <v>10</v>
      </c>
      <c r="W28" s="181">
        <f ca="1"/>
        <v>10</v>
      </c>
      <c r="X28" s="181">
        <f ca="1"/>
        <v>3</v>
      </c>
      <c r="Y28" s="181">
        <f ca="1"/>
        <v>9999999</v>
      </c>
      <c r="Z28" s="181">
        <f ca="1"/>
        <v>23</v>
      </c>
      <c r="AA28" s="181">
        <f ca="1"/>
        <v>23</v>
      </c>
      <c r="AB28" s="181">
        <f ca="1"/>
        <v>23</v>
      </c>
      <c r="AC28" s="181">
        <f ca="1"/>
        <v>23</v>
      </c>
      <c r="AD28" s="181">
        <f ca="1"/>
        <v>23</v>
      </c>
      <c r="AE28" s="181">
        <f ca="1"/>
        <v>23</v>
      </c>
      <c r="AF28" s="181">
        <f ca="1"/>
        <v>10</v>
      </c>
      <c r="AG28" s="181">
        <f ca="1"/>
        <v>10</v>
      </c>
      <c r="AH28" s="181">
        <f ca="1"/>
        <v>23</v>
      </c>
      <c r="AI28" s="181">
        <f ca="1"/>
        <v>10</v>
      </c>
      <c r="AJ28" s="181">
        <f ca="1"/>
        <v>9999999</v>
      </c>
      <c r="AK28" s="181">
        <f ca="1"/>
        <v>23</v>
      </c>
      <c r="AL28" s="181">
        <f ca="1"/>
        <v>9999999</v>
      </c>
      <c r="AM28" s="181">
        <f ca="1"/>
        <v>3</v>
      </c>
      <c r="AN28" s="181">
        <f ca="1"/>
        <v>23</v>
      </c>
      <c r="AO28" s="181">
        <f ca="1"/>
        <v>23</v>
      </c>
      <c r="AP28" s="181">
        <f ca="1"/>
        <v>23</v>
      </c>
      <c r="AQ28" s="181">
        <f ca="1"/>
        <v>3</v>
      </c>
      <c r="AR28" s="181">
        <f ca="1"/>
        <v>3</v>
      </c>
      <c r="AS28" s="181">
        <f ca="1"/>
        <v>23</v>
      </c>
      <c r="AT28" s="181">
        <f ca="1"/>
        <v>23</v>
      </c>
      <c r="AU28" s="181">
        <f ca="1"/>
        <v>23</v>
      </c>
      <c r="AV28" s="181">
        <f ca="1"/>
        <v>9999999</v>
      </c>
      <c r="AW28" s="181">
        <f ca="1"/>
        <v>3</v>
      </c>
      <c r="AX28" s="181">
        <f ca="1"/>
        <v>3</v>
      </c>
      <c r="AY28" s="180">
        <f ca="1"/>
        <v>2</v>
      </c>
      <c r="AZ28" s="180">
        <f ca="1"/>
        <v>10</v>
      </c>
      <c r="BA28" s="187">
        <f ca="1"/>
        <v>23</v>
      </c>
    </row>
    <row r="30" spans="2:53">
      <c r="B30" s="156" t="s">
        <v>3662</v>
      </c>
    </row>
    <row r="31" spans="2:53">
      <c r="B31" s="150" t="s">
        <v>3663</v>
      </c>
      <c r="C31" s="150" t="s">
        <v>3664</v>
      </c>
      <c r="D31" s="151" t="s">
        <v>3665</v>
      </c>
      <c r="E31" s="150" t="s">
        <v>3666</v>
      </c>
      <c r="F31" s="150" t="s">
        <v>3667</v>
      </c>
    </row>
    <row r="32" spans="2:53" ht="29.1">
      <c r="B32" s="297" t="s">
        <v>3771</v>
      </c>
      <c r="C32" s="298" t="s">
        <v>1833</v>
      </c>
      <c r="D32" s="72" t="s">
        <v>4093</v>
      </c>
      <c r="E32" s="299"/>
      <c r="F32" s="300"/>
    </row>
    <row r="33" spans="2:31" ht="29.1">
      <c r="B33" s="297" t="s">
        <v>3771</v>
      </c>
      <c r="C33" s="298" t="s">
        <v>1860</v>
      </c>
      <c r="D33" s="72" t="s">
        <v>4093</v>
      </c>
      <c r="E33" s="299"/>
      <c r="F33" s="300"/>
    </row>
    <row r="34" spans="2:31" ht="29.1">
      <c r="B34" s="134" t="s">
        <v>3668</v>
      </c>
      <c r="C34" s="137" t="s">
        <v>168</v>
      </c>
      <c r="D34" s="53" t="s">
        <v>4094</v>
      </c>
      <c r="E34" s="169" t="s">
        <v>4095</v>
      </c>
      <c r="F34" s="152" t="s">
        <v>4096</v>
      </c>
      <c r="G34" t="s">
        <v>4097</v>
      </c>
    </row>
    <row r="35" spans="2:31" ht="43.5">
      <c r="B35" s="134" t="s">
        <v>3668</v>
      </c>
      <c r="C35" s="137" t="s">
        <v>177</v>
      </c>
      <c r="D35" s="53" t="s">
        <v>4098</v>
      </c>
      <c r="E35" s="169" t="s">
        <v>4099</v>
      </c>
      <c r="F35" s="152" t="s">
        <v>3671</v>
      </c>
    </row>
    <row r="36" spans="2:31" ht="43.5">
      <c r="B36" s="134" t="s">
        <v>3668</v>
      </c>
      <c r="C36" s="137" t="s">
        <v>188</v>
      </c>
      <c r="D36" s="53" t="s">
        <v>4098</v>
      </c>
      <c r="E36" s="169" t="s">
        <v>4099</v>
      </c>
      <c r="F36" s="152" t="s">
        <v>3671</v>
      </c>
    </row>
    <row r="37" spans="2:31" ht="87">
      <c r="B37" s="134" t="s">
        <v>3668</v>
      </c>
      <c r="C37" s="133" t="s">
        <v>1833</v>
      </c>
      <c r="D37" s="53" t="s">
        <v>4100</v>
      </c>
      <c r="E37" s="169" t="s">
        <v>4101</v>
      </c>
      <c r="F37" s="152" t="s">
        <v>4102</v>
      </c>
    </row>
    <row r="38" spans="2:31" ht="43.5">
      <c r="B38" s="134" t="s">
        <v>3668</v>
      </c>
      <c r="C38" s="137" t="s">
        <v>1842</v>
      </c>
      <c r="D38" s="53" t="s">
        <v>4098</v>
      </c>
      <c r="E38" s="169" t="s">
        <v>4099</v>
      </c>
      <c r="F38" s="152" t="s">
        <v>3671</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3.5">
      <c r="B39" s="134" t="s">
        <v>3668</v>
      </c>
      <c r="C39" s="137" t="s">
        <v>1851</v>
      </c>
      <c r="D39" s="53" t="s">
        <v>4098</v>
      </c>
      <c r="E39" s="169" t="s">
        <v>4099</v>
      </c>
      <c r="F39" s="152" t="s">
        <v>3671</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87">
      <c r="B40" s="134" t="s">
        <v>3668</v>
      </c>
      <c r="C40" s="133" t="s">
        <v>1860</v>
      </c>
      <c r="D40" s="53" t="s">
        <v>4100</v>
      </c>
      <c r="E40" s="169" t="s">
        <v>4101</v>
      </c>
      <c r="F40" s="152" t="s">
        <v>4102</v>
      </c>
    </row>
    <row r="41" spans="2:31" ht="43.5">
      <c r="B41" s="134" t="s">
        <v>3668</v>
      </c>
      <c r="C41" s="154" t="s">
        <v>625</v>
      </c>
      <c r="D41" s="53" t="s">
        <v>4098</v>
      </c>
      <c r="E41" s="169" t="s">
        <v>4099</v>
      </c>
      <c r="F41" s="152" t="s">
        <v>3671</v>
      </c>
    </row>
    <row r="42" spans="2:31" ht="43.5">
      <c r="B42" s="134" t="s">
        <v>3668</v>
      </c>
      <c r="C42" s="154" t="s">
        <v>575</v>
      </c>
      <c r="D42" s="53" t="s">
        <v>4098</v>
      </c>
      <c r="E42" s="169" t="s">
        <v>4099</v>
      </c>
      <c r="F42" s="152" t="s">
        <v>3671</v>
      </c>
    </row>
    <row r="43" spans="2:31" ht="43.5">
      <c r="B43" s="134" t="s">
        <v>3668</v>
      </c>
      <c r="C43" s="154" t="s">
        <v>261</v>
      </c>
      <c r="D43" s="53" t="s">
        <v>4098</v>
      </c>
      <c r="E43" s="169" t="s">
        <v>4099</v>
      </c>
      <c r="F43" s="152" t="s">
        <v>3671</v>
      </c>
    </row>
    <row r="44" spans="2:31" ht="72.599999999999994">
      <c r="B44" s="153" t="s">
        <v>3668</v>
      </c>
      <c r="C44" s="154" t="s">
        <v>880</v>
      </c>
      <c r="D44" s="53" t="s">
        <v>4103</v>
      </c>
      <c r="E44" s="169" t="s">
        <v>4104</v>
      </c>
      <c r="F44" s="152" t="s">
        <v>4105</v>
      </c>
    </row>
    <row r="45" spans="2:31" ht="43.5">
      <c r="B45" s="127" t="s">
        <v>3668</v>
      </c>
      <c r="C45" s="131" t="s">
        <v>1909</v>
      </c>
      <c r="D45" s="53" t="s">
        <v>4098</v>
      </c>
      <c r="E45" s="169" t="s">
        <v>4099</v>
      </c>
      <c r="F45" s="152" t="s">
        <v>3671</v>
      </c>
    </row>
    <row r="46" spans="2:31" ht="29.1">
      <c r="B46" s="127" t="s">
        <v>3668</v>
      </c>
      <c r="C46" s="131" t="s">
        <v>4106</v>
      </c>
      <c r="D46" s="53" t="s">
        <v>4107</v>
      </c>
      <c r="E46" s="169" t="s">
        <v>4108</v>
      </c>
      <c r="F46" s="152" t="s">
        <v>3677</v>
      </c>
    </row>
    <row r="47" spans="2:31" ht="29.1">
      <c r="B47" s="127" t="s">
        <v>3668</v>
      </c>
      <c r="C47" s="131" t="s">
        <v>272</v>
      </c>
      <c r="D47" s="191" t="s">
        <v>4109</v>
      </c>
      <c r="E47" s="169" t="s">
        <v>4110</v>
      </c>
      <c r="F47" s="152" t="s">
        <v>3677</v>
      </c>
    </row>
    <row r="48" spans="2:31" ht="57.95">
      <c r="B48" s="127" t="s">
        <v>3668</v>
      </c>
      <c r="C48" s="131" t="s">
        <v>429</v>
      </c>
      <c r="D48" s="53" t="s">
        <v>4111</v>
      </c>
      <c r="E48" s="304" t="s">
        <v>4112</v>
      </c>
      <c r="F48" s="152" t="s">
        <v>4113</v>
      </c>
    </row>
    <row r="49" spans="2:6" ht="57.95">
      <c r="B49" s="127" t="s">
        <v>3668</v>
      </c>
      <c r="C49" s="131" t="s">
        <v>715</v>
      </c>
      <c r="D49" s="53" t="s">
        <v>4111</v>
      </c>
      <c r="E49" s="304" t="s">
        <v>4112</v>
      </c>
      <c r="F49" s="152" t="s">
        <v>4113</v>
      </c>
    </row>
    <row r="50" spans="2:6" ht="43.5">
      <c r="B50" s="127" t="s">
        <v>3668</v>
      </c>
      <c r="C50" s="131" t="s">
        <v>4114</v>
      </c>
      <c r="D50" s="53" t="s">
        <v>4098</v>
      </c>
      <c r="E50" s="169" t="s">
        <v>4099</v>
      </c>
      <c r="F50" s="152" t="s">
        <v>3671</v>
      </c>
    </row>
    <row r="51" spans="2:6" ht="57.95">
      <c r="B51" s="127" t="s">
        <v>3668</v>
      </c>
      <c r="C51" s="131" t="s">
        <v>944</v>
      </c>
      <c r="D51" s="53" t="s">
        <v>4115</v>
      </c>
      <c r="E51" s="169" t="s">
        <v>4116</v>
      </c>
      <c r="F51" s="152" t="s">
        <v>4117</v>
      </c>
    </row>
    <row r="52" spans="2:6" ht="87">
      <c r="B52" s="127" t="s">
        <v>3668</v>
      </c>
      <c r="C52" s="131" t="s">
        <v>1956</v>
      </c>
      <c r="D52" s="53" t="s">
        <v>4118</v>
      </c>
      <c r="E52" s="169" t="s">
        <v>4119</v>
      </c>
      <c r="F52" s="152" t="s">
        <v>4120</v>
      </c>
    </row>
    <row r="53" spans="2:6" ht="87">
      <c r="B53" s="127" t="s">
        <v>3668</v>
      </c>
      <c r="C53" s="131" t="s">
        <v>965</v>
      </c>
      <c r="D53" s="53" t="s">
        <v>4121</v>
      </c>
      <c r="E53" s="169" t="s">
        <v>4122</v>
      </c>
      <c r="F53" s="152" t="s">
        <v>4120</v>
      </c>
    </row>
    <row r="54" spans="2:6" ht="43.5">
      <c r="B54" s="127" t="s">
        <v>3668</v>
      </c>
      <c r="C54" s="301" t="s">
        <v>4123</v>
      </c>
      <c r="D54" s="53" t="s">
        <v>4098</v>
      </c>
      <c r="E54" s="169" t="s">
        <v>4099</v>
      </c>
      <c r="F54" s="152" t="s">
        <v>3671</v>
      </c>
    </row>
    <row r="55" spans="2:6" ht="43.5">
      <c r="B55" s="127" t="s">
        <v>3668</v>
      </c>
      <c r="C55" s="302" t="s">
        <v>1977</v>
      </c>
      <c r="D55" s="53" t="s">
        <v>4098</v>
      </c>
      <c r="E55" s="169" t="s">
        <v>4099</v>
      </c>
      <c r="F55" s="152" t="s">
        <v>3671</v>
      </c>
    </row>
    <row r="56" spans="2:6" ht="43.5">
      <c r="B56" s="127" t="s">
        <v>3668</v>
      </c>
      <c r="C56" s="302" t="s">
        <v>1988</v>
      </c>
      <c r="D56" s="53" t="s">
        <v>4098</v>
      </c>
      <c r="E56" s="169" t="s">
        <v>4099</v>
      </c>
      <c r="F56" s="152" t="s">
        <v>3671</v>
      </c>
    </row>
    <row r="57" spans="2:6" ht="43.5">
      <c r="B57" s="127" t="s">
        <v>3668</v>
      </c>
      <c r="C57" s="302" t="s">
        <v>1998</v>
      </c>
      <c r="D57" s="53" t="s">
        <v>4098</v>
      </c>
      <c r="E57" s="169" t="s">
        <v>4099</v>
      </c>
      <c r="F57" s="152" t="s">
        <v>3671</v>
      </c>
    </row>
    <row r="58" spans="2:6" ht="43.5">
      <c r="B58" s="127" t="s">
        <v>3668</v>
      </c>
      <c r="C58" s="303" t="s">
        <v>1515</v>
      </c>
      <c r="D58" s="53" t="s">
        <v>4098</v>
      </c>
      <c r="E58" s="169" t="s">
        <v>4099</v>
      </c>
      <c r="F58" s="152" t="s">
        <v>3671</v>
      </c>
    </row>
    <row r="59" spans="2:6" ht="43.5">
      <c r="B59" s="127" t="s">
        <v>3668</v>
      </c>
      <c r="C59" s="303" t="s">
        <v>1522</v>
      </c>
      <c r="D59" s="53" t="s">
        <v>4098</v>
      </c>
      <c r="E59" s="169" t="s">
        <v>4099</v>
      </c>
      <c r="F59" s="152" t="s">
        <v>3671</v>
      </c>
    </row>
    <row r="60" spans="2:6" ht="43.5">
      <c r="B60" s="127" t="s">
        <v>3668</v>
      </c>
      <c r="C60" s="303" t="s">
        <v>756</v>
      </c>
      <c r="D60" s="53" t="s">
        <v>4098</v>
      </c>
      <c r="E60" s="169" t="s">
        <v>4099</v>
      </c>
      <c r="F60" s="152" t="s">
        <v>3671</v>
      </c>
    </row>
    <row r="61" spans="2:6" ht="43.5">
      <c r="B61" s="127" t="s">
        <v>3668</v>
      </c>
      <c r="C61" s="303" t="s">
        <v>766</v>
      </c>
      <c r="D61" s="53" t="s">
        <v>4098</v>
      </c>
      <c r="E61" s="169" t="s">
        <v>4099</v>
      </c>
      <c r="F61" s="152" t="s">
        <v>3671</v>
      </c>
    </row>
    <row r="62" spans="2:6" ht="43.5">
      <c r="B62" s="127" t="s">
        <v>3668</v>
      </c>
      <c r="C62" s="303" t="s">
        <v>776</v>
      </c>
      <c r="D62" s="53" t="s">
        <v>4098</v>
      </c>
      <c r="E62" s="169" t="s">
        <v>4099</v>
      </c>
      <c r="F62" s="152" t="s">
        <v>3671</v>
      </c>
    </row>
    <row r="63" spans="2:6" ht="43.5">
      <c r="B63" s="127" t="s">
        <v>3668</v>
      </c>
      <c r="C63" s="303" t="s">
        <v>785</v>
      </c>
      <c r="D63" s="53" t="s">
        <v>4098</v>
      </c>
      <c r="E63" s="169" t="s">
        <v>4099</v>
      </c>
      <c r="F63" s="152" t="s">
        <v>3671</v>
      </c>
    </row>
    <row r="64" spans="2:6" ht="87">
      <c r="B64" s="153" t="s">
        <v>3678</v>
      </c>
      <c r="C64" s="154" t="s">
        <v>3679</v>
      </c>
      <c r="D64" s="155" t="s">
        <v>4124</v>
      </c>
      <c r="E64" s="113" t="s">
        <v>4125</v>
      </c>
      <c r="F64" s="205" t="s">
        <v>4126</v>
      </c>
    </row>
    <row r="65" spans="2:7" ht="130.5">
      <c r="B65" s="153" t="s">
        <v>3736</v>
      </c>
      <c r="C65" s="154" t="s">
        <v>3679</v>
      </c>
      <c r="D65" s="155" t="s">
        <v>4127</v>
      </c>
      <c r="E65" s="113" t="s">
        <v>4128</v>
      </c>
      <c r="F65" s="205" t="s">
        <v>4126</v>
      </c>
      <c r="G65" t="s">
        <v>4129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3613</v>
      </c>
      <c r="C2" s="91" t="s">
        <v>3614</v>
      </c>
      <c r="D2" s="91" t="s">
        <v>3615</v>
      </c>
      <c r="E2" s="91" t="s">
        <v>3616</v>
      </c>
      <c r="F2" s="91" t="s">
        <v>3617</v>
      </c>
      <c r="G2" s="91" t="s">
        <v>3618</v>
      </c>
      <c r="H2" s="91" t="s">
        <v>3619</v>
      </c>
      <c r="I2" s="91" t="s">
        <v>1156</v>
      </c>
      <c r="J2" s="91" t="s">
        <v>4130</v>
      </c>
      <c r="K2" s="91" t="s">
        <v>4131</v>
      </c>
      <c r="L2" s="91" t="s">
        <v>4132</v>
      </c>
      <c r="M2" s="91" t="s">
        <v>1200</v>
      </c>
      <c r="N2" s="91" t="s">
        <v>1208</v>
      </c>
      <c r="O2" s="91" t="s">
        <v>1216</v>
      </c>
      <c r="P2" s="91" t="s">
        <v>1227</v>
      </c>
      <c r="Q2" s="91" t="s">
        <v>1235</v>
      </c>
      <c r="R2" s="91" t="s">
        <v>327</v>
      </c>
      <c r="S2" s="91" t="s">
        <v>334</v>
      </c>
    </row>
    <row r="3" spans="2:19">
      <c r="B3" s="50" t="s">
        <v>3567</v>
      </c>
      <c r="C3" s="50">
        <v>1</v>
      </c>
      <c r="D3" s="50" t="s">
        <v>4133</v>
      </c>
      <c r="E3" s="111">
        <v>45483</v>
      </c>
      <c r="F3" s="50">
        <v>1</v>
      </c>
      <c r="G3" s="209">
        <v>1</v>
      </c>
      <c r="H3" s="201">
        <v>468593</v>
      </c>
      <c r="I3" s="50" t="s">
        <v>3621</v>
      </c>
      <c r="J3" s="50" t="s">
        <v>3621</v>
      </c>
      <c r="K3" s="50" t="s">
        <v>3621</v>
      </c>
      <c r="L3" s="50" t="s">
        <v>3621</v>
      </c>
      <c r="M3" s="50" t="s">
        <v>3621</v>
      </c>
      <c r="N3" s="50" t="s">
        <v>3621</v>
      </c>
      <c r="O3" s="50" t="s">
        <v>3621</v>
      </c>
      <c r="P3" s="50" t="s">
        <v>3621</v>
      </c>
      <c r="Q3" s="50" t="s">
        <v>3621</v>
      </c>
      <c r="R3" s="50" t="s">
        <v>3621</v>
      </c>
      <c r="S3" s="50" t="s">
        <v>3621</v>
      </c>
    </row>
    <row r="4" spans="2:19">
      <c r="B4" s="50" t="s">
        <v>3569</v>
      </c>
      <c r="C4" s="50">
        <v>2</v>
      </c>
      <c r="D4" s="50" t="s">
        <v>4134</v>
      </c>
      <c r="E4" s="111">
        <v>45483</v>
      </c>
      <c r="F4" s="50">
        <v>1</v>
      </c>
      <c r="G4" s="209">
        <v>1</v>
      </c>
      <c r="H4" s="201">
        <v>0</v>
      </c>
      <c r="I4" s="50" t="s">
        <v>3621</v>
      </c>
      <c r="J4" s="50" t="s">
        <v>3621</v>
      </c>
      <c r="K4" s="50" t="s">
        <v>3621</v>
      </c>
      <c r="L4" s="50" t="s">
        <v>3621</v>
      </c>
      <c r="M4" s="50" t="s">
        <v>3621</v>
      </c>
      <c r="N4" s="50" t="s">
        <v>3621</v>
      </c>
      <c r="O4" s="50" t="s">
        <v>3621</v>
      </c>
      <c r="P4" s="50" t="s">
        <v>3621</v>
      </c>
      <c r="Q4" s="50" t="s">
        <v>3621</v>
      </c>
      <c r="R4" s="50" t="s">
        <v>3621</v>
      </c>
      <c r="S4" s="50" t="s">
        <v>3621</v>
      </c>
    </row>
    <row r="5" spans="2:19">
      <c r="B5" s="50" t="s">
        <v>3571</v>
      </c>
      <c r="C5" s="50">
        <v>3</v>
      </c>
      <c r="D5" s="50" t="s">
        <v>4135</v>
      </c>
      <c r="E5" s="111">
        <v>45483</v>
      </c>
      <c r="F5" s="50">
        <v>1</v>
      </c>
      <c r="G5" s="209">
        <v>1</v>
      </c>
      <c r="H5" s="201">
        <v>0</v>
      </c>
      <c r="I5" s="50">
        <v>0</v>
      </c>
      <c r="J5" s="50" t="s">
        <v>3621</v>
      </c>
      <c r="K5" s="50" t="s">
        <v>3621</v>
      </c>
      <c r="L5" s="50" t="s">
        <v>3621</v>
      </c>
      <c r="M5" s="50" t="s">
        <v>3621</v>
      </c>
      <c r="N5" s="50" t="s">
        <v>3621</v>
      </c>
      <c r="O5" s="50" t="s">
        <v>3621</v>
      </c>
      <c r="P5" s="50" t="s">
        <v>3621</v>
      </c>
      <c r="Q5" s="50" t="s">
        <v>3621</v>
      </c>
      <c r="R5" s="50">
        <v>0</v>
      </c>
      <c r="S5" s="50" t="s">
        <v>3621</v>
      </c>
    </row>
    <row r="6" spans="2:19">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c r="B8" s="113" t="s">
        <v>3576</v>
      </c>
      <c r="C8" s="50">
        <v>6</v>
      </c>
      <c r="D8" s="50" t="s">
        <v>4136</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c r="B9" s="50" t="s">
        <v>3579</v>
      </c>
      <c r="C9" s="50">
        <v>7</v>
      </c>
      <c r="D9" s="50" t="s">
        <v>4137</v>
      </c>
      <c r="E9" s="111">
        <v>45483</v>
      </c>
      <c r="F9" s="50">
        <v>1</v>
      </c>
      <c r="G9" s="238" cm="1">
        <f t="array" aca="1" ref="G9" ca="1">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c r="B10" s="50" t="s">
        <v>3582</v>
      </c>
      <c r="C10" s="50">
        <v>8</v>
      </c>
      <c r="D10" s="50" t="s">
        <v>4138</v>
      </c>
      <c r="E10" s="111">
        <v>45483</v>
      </c>
      <c r="F10" s="50">
        <v>1</v>
      </c>
      <c r="G10" s="50" t="s">
        <v>3621</v>
      </c>
      <c r="H10" s="201">
        <v>0</v>
      </c>
      <c r="I10" s="50">
        <v>4293430451808770</v>
      </c>
      <c r="J10" s="50">
        <v>31</v>
      </c>
      <c r="K10" s="50">
        <v>3163579860010</v>
      </c>
      <c r="L10" s="50">
        <v>0</v>
      </c>
      <c r="M10" s="50">
        <v>0</v>
      </c>
      <c r="N10" s="50" t="s">
        <v>4139</v>
      </c>
      <c r="O10" s="50" t="s">
        <v>3630</v>
      </c>
      <c r="P10" s="111">
        <v>750000000</v>
      </c>
      <c r="Q10" s="111" t="s">
        <v>3699</v>
      </c>
      <c r="R10" s="111">
        <v>45483</v>
      </c>
      <c r="S10" s="114" t="s">
        <v>4140</v>
      </c>
    </row>
    <row r="11" spans="2:19">
      <c r="B11" s="50" t="s">
        <v>3584</v>
      </c>
      <c r="C11" s="50">
        <v>9</v>
      </c>
      <c r="D11" s="50" t="s">
        <v>4141</v>
      </c>
      <c r="E11" s="111">
        <v>45483</v>
      </c>
      <c r="F11" s="50">
        <v>1</v>
      </c>
      <c r="G11" s="50" t="s">
        <v>3621</v>
      </c>
      <c r="H11" s="201">
        <v>0</v>
      </c>
      <c r="I11" s="50">
        <v>4293430451808770</v>
      </c>
      <c r="J11" s="50">
        <v>31</v>
      </c>
      <c r="K11" s="50">
        <v>3163579860010</v>
      </c>
      <c r="L11" s="50">
        <v>0</v>
      </c>
      <c r="M11" s="50">
        <v>0</v>
      </c>
      <c r="N11" s="50">
        <v>202407</v>
      </c>
      <c r="O11" s="50" t="s">
        <v>3630</v>
      </c>
      <c r="P11" s="111">
        <v>750000000</v>
      </c>
      <c r="Q11" s="111">
        <v>15</v>
      </c>
      <c r="R11" s="111">
        <v>45483</v>
      </c>
      <c r="S11" s="50" t="s">
        <v>4142</v>
      </c>
    </row>
    <row r="12" spans="2:19">
      <c r="B12" s="113" t="s">
        <v>3586</v>
      </c>
      <c r="C12" s="50">
        <v>10</v>
      </c>
      <c r="D12" s="50" t="s">
        <v>4143</v>
      </c>
      <c r="E12" s="111">
        <v>45483</v>
      </c>
      <c r="F12" s="50">
        <v>1</v>
      </c>
      <c r="G12" s="50" t="s">
        <v>3621</v>
      </c>
      <c r="H12" s="201">
        <v>0</v>
      </c>
      <c r="I12" s="50">
        <v>5166320263218330</v>
      </c>
      <c r="J12" s="201">
        <v>31</v>
      </c>
      <c r="K12" s="50">
        <v>5131570000010</v>
      </c>
      <c r="L12" s="50">
        <v>8</v>
      </c>
      <c r="M12" s="111">
        <v>45483</v>
      </c>
      <c r="N12" s="50" t="s">
        <v>4144</v>
      </c>
      <c r="O12" s="114">
        <v>999999999000000</v>
      </c>
      <c r="P12" s="111">
        <v>999999999000000</v>
      </c>
      <c r="Q12" s="111" t="s">
        <v>3699</v>
      </c>
      <c r="R12" s="111">
        <v>45483</v>
      </c>
      <c r="S12" s="173" t="s">
        <v>4140</v>
      </c>
    </row>
    <row r="13" spans="2:19">
      <c r="B13" s="50" t="s">
        <v>3588</v>
      </c>
      <c r="C13" s="50">
        <v>11</v>
      </c>
      <c r="D13" s="50" t="s">
        <v>4145</v>
      </c>
      <c r="E13" s="111">
        <v>45483</v>
      </c>
      <c r="F13" s="50">
        <v>1</v>
      </c>
      <c r="G13" s="50" t="s">
        <v>3621</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4146</v>
      </c>
    </row>
    <row r="14" spans="2:19">
      <c r="B14" s="50" t="s">
        <v>3590</v>
      </c>
      <c r="C14" s="50">
        <v>12</v>
      </c>
      <c r="D14" s="50" t="s">
        <v>4147</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3592</v>
      </c>
      <c r="C15" s="50">
        <v>13</v>
      </c>
      <c r="D15" s="50" t="s">
        <v>4148</v>
      </c>
      <c r="E15" s="111">
        <v>45483</v>
      </c>
      <c r="F15" s="50">
        <v>1</v>
      </c>
      <c r="G15" s="209">
        <v>1</v>
      </c>
      <c r="H15" s="201">
        <v>0</v>
      </c>
      <c r="I15" s="50" t="s">
        <v>3621</v>
      </c>
      <c r="J15" s="50" t="s">
        <v>3621</v>
      </c>
      <c r="K15" s="50" t="s">
        <v>3621</v>
      </c>
      <c r="L15" s="50" t="s">
        <v>3621</v>
      </c>
      <c r="M15" s="50">
        <v>0</v>
      </c>
      <c r="N15" s="50">
        <v>0</v>
      </c>
      <c r="O15" s="50" t="s">
        <v>3621</v>
      </c>
      <c r="P15" s="50" t="s">
        <v>3621</v>
      </c>
      <c r="Q15" s="50" t="s">
        <v>3621</v>
      </c>
      <c r="R15" s="50" t="s">
        <v>3621</v>
      </c>
      <c r="S15" s="50" t="s">
        <v>3621</v>
      </c>
    </row>
    <row r="16" spans="2:19">
      <c r="B16" s="50" t="s">
        <v>3594</v>
      </c>
      <c r="C16" s="50">
        <v>14</v>
      </c>
      <c r="D16" s="50" t="s">
        <v>4149</v>
      </c>
      <c r="E16" s="111">
        <v>45483</v>
      </c>
      <c r="F16" s="50">
        <v>1</v>
      </c>
      <c r="G16" s="209">
        <v>1</v>
      </c>
      <c r="H16" s="201">
        <v>0</v>
      </c>
      <c r="I16" s="50" t="s">
        <v>3621</v>
      </c>
      <c r="J16" s="50">
        <v>0</v>
      </c>
      <c r="K16" s="50">
        <v>0</v>
      </c>
      <c r="L16" s="50" t="s">
        <v>3621</v>
      </c>
      <c r="M16" s="50" t="s">
        <v>3621</v>
      </c>
      <c r="N16" s="50" t="s">
        <v>3621</v>
      </c>
      <c r="O16" s="50" t="s">
        <v>3621</v>
      </c>
      <c r="P16" s="50" t="s">
        <v>3621</v>
      </c>
      <c r="Q16" s="50">
        <v>0</v>
      </c>
      <c r="R16" s="50" t="s">
        <v>3621</v>
      </c>
      <c r="S16" s="50" t="s">
        <v>3621</v>
      </c>
    </row>
    <row r="17" spans="2:20">
      <c r="B17" s="50" t="s">
        <v>3596</v>
      </c>
      <c r="C17" s="50">
        <v>15</v>
      </c>
      <c r="D17" s="50" t="s">
        <v>4150</v>
      </c>
      <c r="E17" s="111">
        <v>45483</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c r="B18" s="50" t="s">
        <v>3598</v>
      </c>
      <c r="C18" s="50">
        <v>16</v>
      </c>
      <c r="D18" s="50" t="s">
        <v>4150</v>
      </c>
      <c r="E18" s="111">
        <v>45483</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c r="B19" s="50" t="s">
        <v>3604</v>
      </c>
      <c r="C19" s="50">
        <v>19</v>
      </c>
      <c r="D19" s="50" t="s">
        <v>4151</v>
      </c>
      <c r="E19" s="111">
        <v>45483</v>
      </c>
      <c r="F19" s="50">
        <v>1</v>
      </c>
      <c r="G19" s="209" cm="1">
        <f t="array" aca="1" ref="G19" ca="1">SUMPRODUCT(--(ISNUMBER((SEARCH(I25:S25,I19:S19)))))/COUNTA(I19:S19)</f>
        <v>0.63636363636363635</v>
      </c>
      <c r="H19" s="111"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c r="B20" s="50" t="s">
        <v>3607</v>
      </c>
      <c r="C20" s="50">
        <v>20</v>
      </c>
      <c r="D20" s="50" t="s">
        <v>4152</v>
      </c>
      <c r="E20" s="111">
        <v>45483</v>
      </c>
      <c r="F20" s="50">
        <v>1</v>
      </c>
      <c r="G20" s="209" cm="1">
        <f t="array" ref="G20">SUM(IF(I2:S2 = I24:S24, 1, 0))/ COUNTA(I2:S2)</f>
        <v>9.0909090909090912E-2</v>
      </c>
      <c r="H20" s="209" t="s">
        <v>3621</v>
      </c>
      <c r="I20" s="209" t="s">
        <v>3621</v>
      </c>
      <c r="J20" s="209" t="s">
        <v>3621</v>
      </c>
      <c r="K20" s="209" t="s">
        <v>3621</v>
      </c>
      <c r="L20" s="209" t="s">
        <v>3621</v>
      </c>
      <c r="M20" s="209" t="s">
        <v>3621</v>
      </c>
      <c r="N20" s="209" t="s">
        <v>3621</v>
      </c>
      <c r="O20" s="209" t="s">
        <v>3621</v>
      </c>
      <c r="P20" s="209" t="s">
        <v>3621</v>
      </c>
      <c r="Q20" s="209" t="s">
        <v>3621</v>
      </c>
      <c r="R20" s="209" t="s">
        <v>3621</v>
      </c>
      <c r="S20" s="209" t="s">
        <v>3621</v>
      </c>
    </row>
    <row r="21" spans="2:20">
      <c r="B21" s="50" t="s">
        <v>3610</v>
      </c>
      <c r="C21" s="50">
        <v>21</v>
      </c>
      <c r="D21" s="50" t="s">
        <v>4152</v>
      </c>
      <c r="E21" s="111">
        <v>45483</v>
      </c>
      <c r="F21" s="50">
        <v>1</v>
      </c>
      <c r="G21" s="209" cm="1">
        <f t="array" aca="1" ref="G21" ca="1">SUM(IF(IF(G3:G20="null",1,G3:G20)=1,1,0))/COUNT(IF(G3:G20="null",1,1))</f>
        <v>0.83333333333333337</v>
      </c>
      <c r="H21" s="209" t="s">
        <v>3621</v>
      </c>
      <c r="I21" s="209" t="s">
        <v>3621</v>
      </c>
      <c r="J21" s="209" t="s">
        <v>3621</v>
      </c>
      <c r="K21" s="209" t="s">
        <v>3621</v>
      </c>
      <c r="L21" s="209" t="s">
        <v>3621</v>
      </c>
      <c r="M21" s="209" t="s">
        <v>3621</v>
      </c>
      <c r="N21" s="209" t="s">
        <v>3621</v>
      </c>
      <c r="O21" s="209" t="s">
        <v>3621</v>
      </c>
      <c r="P21" s="209" t="s">
        <v>3621</v>
      </c>
      <c r="Q21" s="209" t="s">
        <v>3621</v>
      </c>
      <c r="R21" s="209" t="s">
        <v>3621</v>
      </c>
      <c r="S21" s="209" t="s">
        <v>3621</v>
      </c>
    </row>
    <row r="22" spans="2:20">
      <c r="B22" s="50"/>
      <c r="C22" s="50"/>
      <c r="D22" s="50"/>
      <c r="E22" s="111"/>
      <c r="F22" s="50"/>
      <c r="G22" s="50"/>
      <c r="H22" s="50"/>
      <c r="I22" s="50"/>
      <c r="J22" s="50"/>
      <c r="K22" s="50"/>
      <c r="L22" s="50"/>
      <c r="M22" s="50"/>
      <c r="N22" s="50"/>
      <c r="O22" s="50"/>
      <c r="P22" s="50"/>
      <c r="Q22" s="50"/>
      <c r="R22" s="50"/>
      <c r="S22" s="50"/>
    </row>
    <row r="23" spans="2:20">
      <c r="B23" s="146" t="s">
        <v>3727</v>
      </c>
    </row>
    <row r="24" spans="2:20">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3658</v>
      </c>
      <c r="C25" s="126">
        <v>21</v>
      </c>
      <c r="D25" s="120" t="s">
        <v>3659</v>
      </c>
      <c r="E25" s="119" t="s">
        <v>3660</v>
      </c>
      <c r="F25" s="119" t="s">
        <v>372</v>
      </c>
      <c r="G25" s="119" t="s">
        <v>372</v>
      </c>
      <c r="H25" s="119" t="s">
        <v>372</v>
      </c>
      <c r="I25" s="119" t="str" cm="1">
        <f t="array" aca="1" ref="I25:T26" ca="1">TRANSPOSE(_xlfn.SORTBY(_xlfn._xlws.FILTER(IF(Table3[FORMATO]:Table3[COMP_ CAMPO]&lt;&gt;"",Table3[FORMATO]:Table3[COMP_ CAMPO],9999999),Table3[NOME FÍSICO TABELA]="prepaid_card"), _xlfn._xlws.FILTER(Table3[ORDEM], Table3[NOME FÍSICO TABELA]="prepaid_card"),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3661</v>
      </c>
      <c r="C26" s="126">
        <v>7</v>
      </c>
      <c r="D26" s="120" t="s">
        <v>3659</v>
      </c>
      <c r="E26" s="119" t="s">
        <v>3660</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3662</v>
      </c>
    </row>
    <row r="29" spans="2:20">
      <c r="B29" s="150" t="s">
        <v>3663</v>
      </c>
      <c r="C29" s="150" t="s">
        <v>3664</v>
      </c>
      <c r="D29" s="151" t="s">
        <v>3665</v>
      </c>
      <c r="E29" s="150" t="s">
        <v>3666</v>
      </c>
      <c r="F29" s="150" t="s">
        <v>3667</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3613</v>
      </c>
      <c r="C2" s="91" t="s">
        <v>3614</v>
      </c>
      <c r="D2" s="91" t="s">
        <v>3615</v>
      </c>
      <c r="E2" s="91" t="s">
        <v>3616</v>
      </c>
      <c r="F2" s="91" t="s">
        <v>3617</v>
      </c>
      <c r="G2" s="91" t="s">
        <v>3618</v>
      </c>
      <c r="H2" s="91" t="s">
        <v>3619</v>
      </c>
      <c r="I2" s="91" t="s">
        <v>1156</v>
      </c>
      <c r="J2" s="91" t="s">
        <v>4153</v>
      </c>
      <c r="K2" s="91" t="s">
        <v>4154</v>
      </c>
      <c r="L2" s="91" t="s">
        <v>4132</v>
      </c>
      <c r="M2" s="91" t="s">
        <v>1200</v>
      </c>
      <c r="N2" s="91" t="s">
        <v>1208</v>
      </c>
      <c r="O2" s="91" t="s">
        <v>1216</v>
      </c>
      <c r="P2" s="91" t="s">
        <v>1227</v>
      </c>
      <c r="Q2" s="91" t="s">
        <v>1235</v>
      </c>
      <c r="R2" s="91" t="s">
        <v>327</v>
      </c>
      <c r="S2" s="91" t="s">
        <v>334</v>
      </c>
    </row>
    <row r="3" spans="2:19">
      <c r="B3" s="50" t="s">
        <v>3567</v>
      </c>
      <c r="C3" s="50">
        <v>1</v>
      </c>
      <c r="D3" s="50" t="s">
        <v>4155</v>
      </c>
      <c r="E3" s="111">
        <v>45485</v>
      </c>
      <c r="F3" s="50">
        <v>1</v>
      </c>
      <c r="G3" s="209">
        <v>1</v>
      </c>
      <c r="H3" s="201">
        <v>650320</v>
      </c>
      <c r="I3" s="50" t="s">
        <v>3621</v>
      </c>
      <c r="J3" s="50" t="s">
        <v>3621</v>
      </c>
      <c r="K3" s="50" t="s">
        <v>3621</v>
      </c>
      <c r="L3" s="50" t="s">
        <v>3621</v>
      </c>
      <c r="M3" s="50" t="s">
        <v>3621</v>
      </c>
      <c r="N3" s="50" t="s">
        <v>3621</v>
      </c>
      <c r="O3" s="50" t="s">
        <v>3621</v>
      </c>
      <c r="P3" s="50" t="s">
        <v>3621</v>
      </c>
      <c r="Q3" s="50" t="s">
        <v>3621</v>
      </c>
      <c r="R3" s="50" t="s">
        <v>3621</v>
      </c>
      <c r="S3" s="50" t="s">
        <v>3621</v>
      </c>
    </row>
    <row r="4" spans="2:19">
      <c r="B4" s="50" t="s">
        <v>3569</v>
      </c>
      <c r="C4" s="50">
        <v>2</v>
      </c>
      <c r="D4" s="50" t="s">
        <v>4156</v>
      </c>
      <c r="E4" s="111">
        <v>45485</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c r="B5" s="50" t="s">
        <v>3571</v>
      </c>
      <c r="C5" s="50">
        <v>3</v>
      </c>
      <c r="D5" s="50" t="s">
        <v>4157</v>
      </c>
      <c r="E5" s="111">
        <v>45485</v>
      </c>
      <c r="F5" s="50">
        <v>1</v>
      </c>
      <c r="G5" s="209">
        <v>1</v>
      </c>
      <c r="H5" s="50">
        <v>0</v>
      </c>
      <c r="I5" s="50">
        <v>0</v>
      </c>
      <c r="J5" s="50" t="s">
        <v>3621</v>
      </c>
      <c r="K5" s="50" t="s">
        <v>3621</v>
      </c>
      <c r="L5" s="50" t="s">
        <v>3621</v>
      </c>
      <c r="M5" s="50" t="s">
        <v>3621</v>
      </c>
      <c r="N5" s="50" t="s">
        <v>3621</v>
      </c>
      <c r="O5" s="50" t="s">
        <v>3621</v>
      </c>
      <c r="P5" s="50" t="s">
        <v>3621</v>
      </c>
      <c r="Q5" s="50" t="s">
        <v>3621</v>
      </c>
      <c r="R5" s="50">
        <v>0</v>
      </c>
      <c r="S5" s="50" t="s">
        <v>3621</v>
      </c>
    </row>
    <row r="6" spans="2:19">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c r="B8" s="113" t="s">
        <v>3576</v>
      </c>
      <c r="C8" s="50">
        <v>6</v>
      </c>
      <c r="D8" s="50" t="s">
        <v>4158</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3579</v>
      </c>
      <c r="C9" s="50">
        <v>7</v>
      </c>
      <c r="D9" s="50" t="s">
        <v>4159</v>
      </c>
      <c r="E9" s="111">
        <v>45485</v>
      </c>
      <c r="F9" s="50">
        <v>1</v>
      </c>
      <c r="G9" s="209"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3582</v>
      </c>
      <c r="C10" s="50">
        <v>8</v>
      </c>
      <c r="D10" s="50" t="s">
        <v>4160</v>
      </c>
      <c r="E10" s="111">
        <v>45485</v>
      </c>
      <c r="F10" s="50">
        <v>1</v>
      </c>
      <c r="G10" s="50" t="s">
        <v>3621</v>
      </c>
      <c r="H10" s="50">
        <v>0</v>
      </c>
      <c r="I10" s="50">
        <v>4001900051800820</v>
      </c>
      <c r="J10" s="50">
        <v>31</v>
      </c>
      <c r="K10" s="50">
        <v>1100827510011</v>
      </c>
      <c r="L10" s="50">
        <v>0</v>
      </c>
      <c r="M10" s="50">
        <v>0</v>
      </c>
      <c r="N10" s="111" t="s">
        <v>4139</v>
      </c>
      <c r="O10" s="50" t="s">
        <v>3630</v>
      </c>
      <c r="P10" s="111" t="s">
        <v>3630</v>
      </c>
      <c r="Q10" s="111" t="s">
        <v>3699</v>
      </c>
      <c r="R10" s="111">
        <v>45485</v>
      </c>
      <c r="S10" s="114" t="s">
        <v>4161</v>
      </c>
    </row>
    <row r="11" spans="2:19">
      <c r="B11" s="50" t="s">
        <v>3584</v>
      </c>
      <c r="C11" s="50">
        <v>9</v>
      </c>
      <c r="D11" s="50" t="s">
        <v>4162</v>
      </c>
      <c r="E11" s="111">
        <v>45485</v>
      </c>
      <c r="F11" s="50">
        <v>1</v>
      </c>
      <c r="G11" s="50" t="s">
        <v>3621</v>
      </c>
      <c r="H11" s="50">
        <v>0</v>
      </c>
      <c r="I11" s="50">
        <v>4001900051800820</v>
      </c>
      <c r="J11" s="50"/>
      <c r="K11" s="50">
        <v>1100827510011</v>
      </c>
      <c r="L11" s="50">
        <v>0</v>
      </c>
      <c r="M11" s="50">
        <v>0</v>
      </c>
      <c r="N11" s="111" t="s">
        <v>4139</v>
      </c>
      <c r="O11" s="50">
        <v>0</v>
      </c>
      <c r="P11" s="50">
        <v>0</v>
      </c>
      <c r="Q11" s="50">
        <v>15</v>
      </c>
      <c r="R11" s="111">
        <v>45485</v>
      </c>
      <c r="S11" s="50" t="s">
        <v>4163</v>
      </c>
    </row>
    <row r="12" spans="2:19">
      <c r="B12" s="113" t="s">
        <v>3586</v>
      </c>
      <c r="C12" s="50">
        <v>10</v>
      </c>
      <c r="D12" s="50" t="s">
        <v>4164</v>
      </c>
      <c r="E12" s="111">
        <v>45485</v>
      </c>
      <c r="F12" s="50">
        <v>1</v>
      </c>
      <c r="G12" s="50" t="s">
        <v>3621</v>
      </c>
      <c r="H12" s="50">
        <v>0</v>
      </c>
      <c r="I12" s="50">
        <v>5492260069819360</v>
      </c>
      <c r="J12" s="201">
        <v>31</v>
      </c>
      <c r="K12" s="50">
        <v>5131606960011</v>
      </c>
      <c r="L12" s="50">
        <v>99</v>
      </c>
      <c r="M12" s="111">
        <v>45488</v>
      </c>
      <c r="N12" s="111" t="s">
        <v>4165</v>
      </c>
      <c r="O12" s="114">
        <v>150000000000</v>
      </c>
      <c r="P12" s="209">
        <v>150000000000</v>
      </c>
      <c r="Q12" s="111" t="s">
        <v>3699</v>
      </c>
      <c r="R12" s="111">
        <v>45485</v>
      </c>
      <c r="S12" s="173" t="s">
        <v>4161</v>
      </c>
    </row>
    <row r="13" spans="2:19">
      <c r="B13" s="50" t="s">
        <v>3588</v>
      </c>
      <c r="C13" s="50">
        <v>11</v>
      </c>
      <c r="D13" s="50" t="s">
        <v>4166</v>
      </c>
      <c r="E13" s="111">
        <v>45485</v>
      </c>
      <c r="F13" s="50">
        <v>1</v>
      </c>
      <c r="G13" s="50" t="s">
        <v>3621</v>
      </c>
      <c r="H13" s="50">
        <v>0</v>
      </c>
      <c r="I13" s="50">
        <v>5492260069819360</v>
      </c>
      <c r="J13" s="201"/>
      <c r="K13" s="50">
        <v>5131606960011</v>
      </c>
      <c r="L13" s="50">
        <v>99</v>
      </c>
      <c r="M13" s="111">
        <v>20240715</v>
      </c>
      <c r="N13" s="111" t="s">
        <v>4165</v>
      </c>
      <c r="O13" s="50">
        <v>9000</v>
      </c>
      <c r="P13" s="50">
        <v>998</v>
      </c>
      <c r="Q13" s="50">
        <v>5</v>
      </c>
      <c r="R13" s="111">
        <v>45485</v>
      </c>
      <c r="S13" s="50" t="s">
        <v>4167</v>
      </c>
    </row>
    <row r="14" spans="2:19">
      <c r="B14" s="50" t="s">
        <v>3590</v>
      </c>
      <c r="C14" s="50">
        <v>12</v>
      </c>
      <c r="D14" s="50" t="s">
        <v>4168</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c r="B15" s="50" t="s">
        <v>3592</v>
      </c>
      <c r="C15" s="50">
        <v>13</v>
      </c>
      <c r="D15" s="50" t="s">
        <v>4169</v>
      </c>
      <c r="E15" s="111">
        <v>45485</v>
      </c>
      <c r="F15" s="50">
        <v>1</v>
      </c>
      <c r="G15" s="209">
        <v>1</v>
      </c>
      <c r="H15" s="50">
        <v>0</v>
      </c>
      <c r="I15" s="50" t="s">
        <v>3621</v>
      </c>
      <c r="J15" s="50" t="s">
        <v>3621</v>
      </c>
      <c r="K15" s="50" t="s">
        <v>3621</v>
      </c>
      <c r="L15" s="50" t="s">
        <v>3621</v>
      </c>
      <c r="M15" s="50">
        <v>0</v>
      </c>
      <c r="N15" s="50">
        <v>0</v>
      </c>
      <c r="O15" s="50" t="s">
        <v>3621</v>
      </c>
      <c r="P15" s="50" t="s">
        <v>3621</v>
      </c>
      <c r="Q15" s="50" t="s">
        <v>3621</v>
      </c>
      <c r="R15" s="50" t="s">
        <v>3621</v>
      </c>
      <c r="S15" s="50" t="s">
        <v>3621</v>
      </c>
    </row>
    <row r="16" spans="2:19">
      <c r="B16" s="50" t="s">
        <v>3594</v>
      </c>
      <c r="C16" s="50">
        <v>14</v>
      </c>
      <c r="D16" s="50" t="s">
        <v>4170</v>
      </c>
      <c r="E16" s="111">
        <v>45485</v>
      </c>
      <c r="F16" s="50">
        <v>1</v>
      </c>
      <c r="G16" s="209">
        <v>1</v>
      </c>
      <c r="H16" s="50">
        <v>0</v>
      </c>
      <c r="I16" s="50" t="s">
        <v>3621</v>
      </c>
      <c r="J16" s="50">
        <v>0</v>
      </c>
      <c r="K16" s="50">
        <v>0</v>
      </c>
      <c r="L16" s="50" t="s">
        <v>3621</v>
      </c>
      <c r="M16" s="50" t="s">
        <v>3621</v>
      </c>
      <c r="N16" s="50" t="s">
        <v>3621</v>
      </c>
      <c r="O16" s="50" t="s">
        <v>3621</v>
      </c>
      <c r="P16" s="50" t="s">
        <v>3621</v>
      </c>
      <c r="Q16" s="50">
        <v>0</v>
      </c>
      <c r="R16" s="50" t="s">
        <v>3621</v>
      </c>
      <c r="S16" s="50" t="s">
        <v>3621</v>
      </c>
    </row>
    <row r="17" spans="2:20">
      <c r="B17" s="50" t="s">
        <v>3596</v>
      </c>
      <c r="C17" s="50">
        <v>15</v>
      </c>
      <c r="D17" s="50" t="s">
        <v>4171</v>
      </c>
      <c r="E17" s="111">
        <v>45485</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c r="B18" s="50" t="s">
        <v>3598</v>
      </c>
      <c r="C18" s="50">
        <v>16</v>
      </c>
      <c r="D18" s="50" t="s">
        <v>4171</v>
      </c>
      <c r="E18" s="111">
        <v>45485</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c r="B19" s="50" t="s">
        <v>3604</v>
      </c>
      <c r="C19" s="50">
        <v>19</v>
      </c>
      <c r="D19" s="50" t="s">
        <v>4172</v>
      </c>
      <c r="E19" s="111">
        <v>45485</v>
      </c>
      <c r="F19" s="50">
        <v>1</v>
      </c>
      <c r="G19" s="209" cm="1">
        <f t="array" aca="1" ref="G19" ca="1">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c r="B20" s="50" t="s">
        <v>3607</v>
      </c>
      <c r="C20" s="50">
        <v>20</v>
      </c>
      <c r="D20" s="50" t="s">
        <v>4173</v>
      </c>
      <c r="E20" s="111">
        <v>45485</v>
      </c>
      <c r="F20" s="50">
        <v>1</v>
      </c>
      <c r="G20" s="209" cm="1">
        <f t="array" ref="G20">SUM(IF(I2:S2 = I24:S24, 1, 0))/ COUNTA(I2:S2)</f>
        <v>9.0909090909090912E-2</v>
      </c>
      <c r="H20" s="50" t="s">
        <v>3621</v>
      </c>
      <c r="I20" s="50"/>
      <c r="J20" s="50"/>
      <c r="K20" s="50"/>
      <c r="L20" s="50"/>
      <c r="M20" s="50"/>
      <c r="N20" s="50"/>
      <c r="O20" s="50"/>
      <c r="P20" s="50"/>
      <c r="Q20" s="50"/>
      <c r="R20" s="50"/>
      <c r="S20" s="50"/>
    </row>
    <row r="21" spans="2:20">
      <c r="B21" s="50" t="s">
        <v>3610</v>
      </c>
      <c r="C21" s="50">
        <v>21</v>
      </c>
      <c r="D21" s="50" t="s">
        <v>4173</v>
      </c>
      <c r="E21" s="111">
        <v>45485</v>
      </c>
      <c r="F21" s="50">
        <v>1</v>
      </c>
      <c r="G21" s="209" cm="1">
        <f t="array" aca="1" ref="G21" ca="1">SUM(IF(IF(G3:G20="null",1,G3:G20)=1,1,0))/COUNT(IF(G3:G20="null",1,1))</f>
        <v>0.83333333333333337</v>
      </c>
      <c r="H21" s="50" t="s">
        <v>3621</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3727</v>
      </c>
    </row>
    <row r="24" spans="2:20">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3658</v>
      </c>
      <c r="C25" s="126">
        <v>21</v>
      </c>
      <c r="D25" s="120" t="s">
        <v>3659</v>
      </c>
      <c r="E25" s="119" t="s">
        <v>3660</v>
      </c>
      <c r="F25" s="119" t="s">
        <v>372</v>
      </c>
      <c r="G25" s="119" t="s">
        <v>372</v>
      </c>
      <c r="H25" s="119" t="s">
        <v>372</v>
      </c>
      <c r="I25" s="119" t="str" cm="1">
        <f t="array" aca="1" ref="I25:T26" ca="1">TRANSPOSE(_xlfn.SORTBY(_xlfn._xlws.FILTER(IF(Table3[FORMATO]:Table3[COMP_ CAMPO]&lt;&gt;"",Table3[FORMATO]:Table3[COMP_ CAMPO],9999999),Table3[NOME FÍSICO TABELA]="credit_card"), _xlfn._xlws.FILTER(Table3[ORDEM], Table3[NOME FÍSICO TABELA]="credit_card"),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3661</v>
      </c>
      <c r="C26" s="126">
        <v>7</v>
      </c>
      <c r="D26" s="120" t="s">
        <v>3659</v>
      </c>
      <c r="E26" s="119" t="s">
        <v>3660</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3662</v>
      </c>
    </row>
    <row r="29" spans="2:20">
      <c r="B29" s="150" t="s">
        <v>3663</v>
      </c>
      <c r="C29" s="150" t="s">
        <v>3664</v>
      </c>
      <c r="D29" s="151" t="s">
        <v>3665</v>
      </c>
      <c r="E29" s="150" t="s">
        <v>3666</v>
      </c>
      <c r="F29" s="150" t="s">
        <v>3667</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c r="B3" s="50" t="s">
        <v>3567</v>
      </c>
      <c r="C3" s="50">
        <v>1</v>
      </c>
      <c r="D3" s="50" t="s">
        <v>4174</v>
      </c>
      <c r="E3" s="111">
        <v>45485</v>
      </c>
      <c r="F3" s="50">
        <v>2</v>
      </c>
      <c r="G3" s="225">
        <v>1</v>
      </c>
      <c r="H3" s="241">
        <v>2097675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4175</v>
      </c>
      <c r="E4" s="111">
        <v>45485</v>
      </c>
      <c r="F4" s="50">
        <v>2</v>
      </c>
      <c r="G4" s="225">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4176</v>
      </c>
      <c r="E5" s="111">
        <v>45485</v>
      </c>
      <c r="F5" s="50">
        <v>2</v>
      </c>
      <c r="G5" s="225">
        <v>1</v>
      </c>
      <c r="H5" s="201">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3624</v>
      </c>
      <c r="E6" s="111" t="s">
        <v>3621</v>
      </c>
      <c r="F6" s="50">
        <v>2</v>
      </c>
      <c r="G6" s="225"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3624</v>
      </c>
      <c r="E7" s="111" t="s">
        <v>3621</v>
      </c>
      <c r="F7" s="50">
        <v>2</v>
      </c>
      <c r="G7" s="225"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4177</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3579</v>
      </c>
      <c r="C9" s="50">
        <v>7</v>
      </c>
      <c r="D9" s="50" t="s">
        <v>4178</v>
      </c>
      <c r="E9" s="111">
        <v>45485</v>
      </c>
      <c r="F9" s="50">
        <v>2</v>
      </c>
      <c r="G9" s="225" cm="1">
        <f t="array" aca="1" ref="G9" ca="1">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3582</v>
      </c>
      <c r="C10" s="50">
        <v>8</v>
      </c>
      <c r="D10" s="50" t="s">
        <v>4179</v>
      </c>
      <c r="E10" s="111">
        <v>45485</v>
      </c>
      <c r="F10" s="50">
        <v>2</v>
      </c>
      <c r="G10" s="225" t="s">
        <v>3621</v>
      </c>
      <c r="H10" s="201">
        <v>0</v>
      </c>
      <c r="I10" s="50">
        <v>31</v>
      </c>
      <c r="J10" s="50">
        <v>1100750280010</v>
      </c>
      <c r="K10" s="50" t="s">
        <v>3699</v>
      </c>
      <c r="L10" s="50">
        <v>10</v>
      </c>
      <c r="M10" s="50">
        <v>14</v>
      </c>
      <c r="N10" s="111">
        <v>31</v>
      </c>
      <c r="O10" s="50">
        <v>20113001</v>
      </c>
      <c r="P10" s="111">
        <v>33879</v>
      </c>
      <c r="Q10" s="111">
        <v>2958465</v>
      </c>
      <c r="R10" s="111">
        <v>978</v>
      </c>
      <c r="S10" s="50" t="s">
        <v>3699</v>
      </c>
      <c r="T10" s="50" t="s">
        <v>3699</v>
      </c>
      <c r="U10" s="111" t="s">
        <v>3752</v>
      </c>
      <c r="V10" s="111">
        <v>45485</v>
      </c>
      <c r="W10" s="50" t="s">
        <v>4180</v>
      </c>
    </row>
    <row r="11" spans="2:23">
      <c r="B11" s="50" t="s">
        <v>3584</v>
      </c>
      <c r="C11" s="50">
        <v>9</v>
      </c>
      <c r="D11" s="50" t="s">
        <v>4181</v>
      </c>
      <c r="E11" s="111">
        <v>45485</v>
      </c>
      <c r="F11" s="50">
        <v>2</v>
      </c>
      <c r="G11" s="225" t="s">
        <v>3621</v>
      </c>
      <c r="H11" s="201">
        <v>0</v>
      </c>
      <c r="I11" s="50">
        <v>31</v>
      </c>
      <c r="J11" s="50">
        <v>1100750280010</v>
      </c>
      <c r="K11" s="50"/>
      <c r="L11" s="50">
        <v>10</v>
      </c>
      <c r="M11" s="50">
        <v>14</v>
      </c>
      <c r="N11" s="111">
        <v>31</v>
      </c>
      <c r="O11" s="50">
        <v>20113001</v>
      </c>
      <c r="P11" s="111">
        <v>33879</v>
      </c>
      <c r="Q11" s="111">
        <v>2958465</v>
      </c>
      <c r="R11" s="111">
        <v>978</v>
      </c>
      <c r="S11" s="50">
        <v>0</v>
      </c>
      <c r="T11" s="50" t="s">
        <v>4182</v>
      </c>
      <c r="U11" s="111" t="s">
        <v>3752</v>
      </c>
      <c r="V11" s="111">
        <v>45485</v>
      </c>
      <c r="W11" s="50" t="s">
        <v>4183</v>
      </c>
    </row>
    <row r="12" spans="2:23">
      <c r="B12" s="113" t="s">
        <v>3586</v>
      </c>
      <c r="C12" s="50">
        <v>10</v>
      </c>
      <c r="D12" s="50" t="s">
        <v>4184</v>
      </c>
      <c r="E12" s="111">
        <v>45485</v>
      </c>
      <c r="F12" s="50">
        <v>2</v>
      </c>
      <c r="G12" s="225" t="s">
        <v>3621</v>
      </c>
      <c r="H12" s="201">
        <v>0</v>
      </c>
      <c r="I12" s="50">
        <v>31</v>
      </c>
      <c r="J12" s="201">
        <v>5131606970010</v>
      </c>
      <c r="K12" s="50" t="s">
        <v>3699</v>
      </c>
      <c r="L12" s="50">
        <v>10</v>
      </c>
      <c r="M12" s="111" t="s">
        <v>4185</v>
      </c>
      <c r="N12" s="111">
        <v>31</v>
      </c>
      <c r="O12" s="114">
        <v>239702322521020</v>
      </c>
      <c r="P12" s="111">
        <v>45488</v>
      </c>
      <c r="Q12" s="111">
        <v>2958465</v>
      </c>
      <c r="R12" s="111">
        <v>978</v>
      </c>
      <c r="S12" s="50" t="s">
        <v>3699</v>
      </c>
      <c r="T12" s="50" t="s">
        <v>3699</v>
      </c>
      <c r="U12" s="111" t="s">
        <v>3752</v>
      </c>
      <c r="V12" s="111">
        <v>45485</v>
      </c>
      <c r="W12" s="50" t="s">
        <v>4180</v>
      </c>
    </row>
    <row r="13" spans="2:23">
      <c r="B13" s="50" t="s">
        <v>3588</v>
      </c>
      <c r="C13" s="50">
        <v>11</v>
      </c>
      <c r="D13" s="50" t="s">
        <v>4186</v>
      </c>
      <c r="E13" s="111">
        <v>45485</v>
      </c>
      <c r="F13" s="50">
        <v>2</v>
      </c>
      <c r="G13" s="225" t="s">
        <v>3621</v>
      </c>
      <c r="H13" s="201">
        <v>0</v>
      </c>
      <c r="I13" s="50">
        <v>31</v>
      </c>
      <c r="J13" s="201">
        <v>5131606970010</v>
      </c>
      <c r="K13" s="50"/>
      <c r="L13" s="50">
        <v>10</v>
      </c>
      <c r="M13" s="111" t="s">
        <v>4185</v>
      </c>
      <c r="N13" s="111">
        <v>31</v>
      </c>
      <c r="O13" s="50">
        <v>239702322521020</v>
      </c>
      <c r="P13" s="111">
        <v>45488</v>
      </c>
      <c r="Q13" s="111">
        <v>2958465</v>
      </c>
      <c r="R13" s="111">
        <v>978</v>
      </c>
      <c r="S13" s="50">
        <v>3</v>
      </c>
      <c r="T13" s="50" t="s">
        <v>4187</v>
      </c>
      <c r="U13" s="111" t="s">
        <v>3752</v>
      </c>
      <c r="V13" s="111">
        <v>45485</v>
      </c>
      <c r="W13" s="50" t="s">
        <v>4188</v>
      </c>
    </row>
    <row r="14" spans="2:23">
      <c r="B14" s="50" t="s">
        <v>3590</v>
      </c>
      <c r="C14" s="50">
        <v>12</v>
      </c>
      <c r="D14" s="50" t="s">
        <v>4189</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c r="B15" s="50" t="s">
        <v>3592</v>
      </c>
      <c r="C15" s="50">
        <v>13</v>
      </c>
      <c r="D15" s="50" t="s">
        <v>4190</v>
      </c>
      <c r="E15" s="111">
        <v>45485</v>
      </c>
      <c r="F15" s="50">
        <v>2</v>
      </c>
      <c r="G15" s="225">
        <v>1</v>
      </c>
      <c r="H15" s="201">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4191</v>
      </c>
      <c r="E16" s="111">
        <v>45485</v>
      </c>
      <c r="F16" s="50">
        <v>2</v>
      </c>
      <c r="G16" s="225">
        <v>1</v>
      </c>
      <c r="H16" s="201">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c r="B17" s="50" t="s">
        <v>3596</v>
      </c>
      <c r="C17" s="50">
        <v>15</v>
      </c>
      <c r="D17" s="50" t="s">
        <v>4192</v>
      </c>
      <c r="E17" s="111">
        <v>45485</v>
      </c>
      <c r="F17" s="50">
        <v>2</v>
      </c>
      <c r="G17" s="225">
        <v>1</v>
      </c>
      <c r="H17" s="201">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c r="B18" s="50" t="s">
        <v>3598</v>
      </c>
      <c r="C18" s="50">
        <v>16</v>
      </c>
      <c r="D18" s="50" t="s">
        <v>4192</v>
      </c>
      <c r="E18" s="111">
        <v>45485</v>
      </c>
      <c r="F18" s="50">
        <v>2</v>
      </c>
      <c r="G18" s="225">
        <v>1</v>
      </c>
      <c r="H18" s="20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c r="B19" s="50" t="s">
        <v>3604</v>
      </c>
      <c r="C19" s="50">
        <v>19</v>
      </c>
      <c r="D19" s="50" t="s">
        <v>4193</v>
      </c>
      <c r="E19" s="111">
        <v>45485</v>
      </c>
      <c r="F19" s="50">
        <v>2</v>
      </c>
      <c r="G19" s="225" cm="1">
        <f t="array" aca="1" ref="G19" ca="1">SUMPRODUCT(--(ISNUMBER((SEARCH(I25:W25,I19:V19)))))/COUNTA(I19:V19)</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c r="B20" s="50" t="s">
        <v>3607</v>
      </c>
      <c r="C20" s="50">
        <v>20</v>
      </c>
      <c r="D20" s="50" t="s">
        <v>4193</v>
      </c>
      <c r="E20" s="111">
        <v>45485</v>
      </c>
      <c r="F20" s="50">
        <v>2</v>
      </c>
      <c r="G20" s="225" cm="1">
        <f t="array" ref="G20">SUM(IF(I2:W2 = I24:W24, 1, 0))/ COUNTA(I2:W2)</f>
        <v>1</v>
      </c>
      <c r="H20" s="50" t="s">
        <v>3621</v>
      </c>
      <c r="I20" s="50" t="s">
        <v>3655</v>
      </c>
      <c r="J20" s="50" t="s">
        <v>3655</v>
      </c>
      <c r="K20" s="50" t="s">
        <v>3655</v>
      </c>
      <c r="L20" s="50" t="s">
        <v>3655</v>
      </c>
      <c r="M20" s="50" t="s">
        <v>3655</v>
      </c>
      <c r="N20" s="50" t="s">
        <v>3655</v>
      </c>
      <c r="O20" s="50" t="s">
        <v>3655</v>
      </c>
      <c r="P20" s="50" t="s">
        <v>3655</v>
      </c>
      <c r="Q20" s="50" t="s">
        <v>3655</v>
      </c>
      <c r="R20" s="50" t="s">
        <v>3655</v>
      </c>
      <c r="S20" s="50" t="s">
        <v>3655</v>
      </c>
      <c r="T20" s="50" t="s">
        <v>3655</v>
      </c>
      <c r="U20" s="50" t="s">
        <v>3655</v>
      </c>
      <c r="V20" s="50" t="s">
        <v>3655</v>
      </c>
      <c r="W20" s="50" t="s">
        <v>3657</v>
      </c>
    </row>
    <row r="21" spans="2:24">
      <c r="B21" s="50" t="s">
        <v>3610</v>
      </c>
      <c r="C21" s="50">
        <v>21</v>
      </c>
      <c r="D21" s="50"/>
      <c r="E21" s="111"/>
      <c r="F21" s="50">
        <v>1</v>
      </c>
      <c r="G21" s="225" cm="1">
        <f t="array" aca="1" ref="G21" ca="1">SUM(IF(IF(G3:G20="null",1,G3:G20)=1,1,0))/COUNT(IF(G3:G20="null",1,1))</f>
        <v>0.94444444444444442</v>
      </c>
      <c r="H21" s="50" t="s">
        <v>3621</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3727</v>
      </c>
    </row>
    <row r="24" spans="2:24">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3662</v>
      </c>
    </row>
    <row r="29" spans="2:24">
      <c r="B29" s="150" t="s">
        <v>3663</v>
      </c>
      <c r="C29" s="150" t="s">
        <v>3664</v>
      </c>
      <c r="D29" s="151" t="s">
        <v>3665</v>
      </c>
      <c r="E29" s="150" t="s">
        <v>3666</v>
      </c>
      <c r="F29" s="150" t="s">
        <v>3667</v>
      </c>
    </row>
    <row r="30" spans="2:24" ht="43.5">
      <c r="B30" s="134" t="s">
        <v>3668</v>
      </c>
      <c r="C30" s="133" t="s">
        <v>305</v>
      </c>
      <c r="D30" s="139" t="s">
        <v>4194</v>
      </c>
      <c r="E30" s="162" t="s">
        <v>4195</v>
      </c>
      <c r="F30"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3613</v>
      </c>
      <c r="C2" s="91" t="s">
        <v>3614</v>
      </c>
      <c r="D2" s="91" t="s">
        <v>3615</v>
      </c>
      <c r="E2" s="91" t="s">
        <v>3616</v>
      </c>
      <c r="F2" s="91" t="s">
        <v>3617</v>
      </c>
      <c r="G2" s="91" t="s">
        <v>3618</v>
      </c>
      <c r="H2" s="91" t="s">
        <v>3619</v>
      </c>
      <c r="I2" s="91" t="s">
        <v>1156</v>
      </c>
      <c r="J2" s="91" t="s">
        <v>4130</v>
      </c>
      <c r="K2" s="91" t="s">
        <v>4131</v>
      </c>
      <c r="L2" s="91" t="s">
        <v>4132</v>
      </c>
      <c r="M2" s="91" t="s">
        <v>1200</v>
      </c>
      <c r="N2" s="91" t="s">
        <v>1208</v>
      </c>
      <c r="O2" s="91" t="s">
        <v>1216</v>
      </c>
      <c r="P2" s="91" t="s">
        <v>1227</v>
      </c>
      <c r="Q2" s="91" t="s">
        <v>1235</v>
      </c>
      <c r="R2" s="91" t="s">
        <v>327</v>
      </c>
      <c r="S2" s="91" t="s">
        <v>334</v>
      </c>
    </row>
    <row r="3" spans="2:19">
      <c r="B3" s="50" t="s">
        <v>3567</v>
      </c>
      <c r="C3" s="50">
        <v>1</v>
      </c>
      <c r="D3" s="50" t="s">
        <v>4196</v>
      </c>
      <c r="E3" s="111">
        <v>45483</v>
      </c>
      <c r="F3" s="50">
        <v>1</v>
      </c>
      <c r="G3" s="114">
        <v>1</v>
      </c>
      <c r="H3" s="201">
        <v>1722768</v>
      </c>
      <c r="I3" s="50" t="s">
        <v>3621</v>
      </c>
      <c r="J3" s="50" t="s">
        <v>3621</v>
      </c>
      <c r="K3" s="50" t="s">
        <v>3621</v>
      </c>
      <c r="L3" s="50" t="s">
        <v>3621</v>
      </c>
      <c r="M3" s="50" t="s">
        <v>3621</v>
      </c>
      <c r="N3" s="50" t="s">
        <v>3621</v>
      </c>
      <c r="O3" s="50" t="s">
        <v>3621</v>
      </c>
      <c r="P3" s="50" t="s">
        <v>3621</v>
      </c>
      <c r="Q3" s="50" t="s">
        <v>3621</v>
      </c>
      <c r="R3" s="50" t="s">
        <v>3621</v>
      </c>
      <c r="S3" s="50" t="s">
        <v>3621</v>
      </c>
    </row>
    <row r="4" spans="2:19">
      <c r="B4" s="50" t="s">
        <v>3569</v>
      </c>
      <c r="C4" s="50">
        <v>2</v>
      </c>
      <c r="D4" s="50" t="s">
        <v>4197</v>
      </c>
      <c r="E4" s="111">
        <v>45483</v>
      </c>
      <c r="F4" s="50">
        <v>1</v>
      </c>
      <c r="G4" s="114">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c r="B5" s="50" t="s">
        <v>3571</v>
      </c>
      <c r="C5" s="50">
        <v>3</v>
      </c>
      <c r="D5" s="50" t="s">
        <v>4198</v>
      </c>
      <c r="E5" s="111">
        <v>45483</v>
      </c>
      <c r="F5" s="50">
        <v>1</v>
      </c>
      <c r="G5" s="114">
        <v>1</v>
      </c>
      <c r="H5" s="50">
        <v>0</v>
      </c>
      <c r="I5" s="50">
        <v>0</v>
      </c>
      <c r="J5" s="50" t="s">
        <v>3621</v>
      </c>
      <c r="K5" s="50" t="s">
        <v>3621</v>
      </c>
      <c r="L5" s="50" t="s">
        <v>3621</v>
      </c>
      <c r="M5" s="50" t="s">
        <v>3621</v>
      </c>
      <c r="N5" s="50" t="s">
        <v>3621</v>
      </c>
      <c r="O5" s="50" t="s">
        <v>3621</v>
      </c>
      <c r="P5" s="50" t="s">
        <v>3621</v>
      </c>
      <c r="Q5" s="50" t="s">
        <v>3621</v>
      </c>
      <c r="R5" s="50">
        <v>0</v>
      </c>
      <c r="S5" s="50" t="s">
        <v>3621</v>
      </c>
    </row>
    <row r="6" spans="2:19">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c r="B8" s="113" t="s">
        <v>3576</v>
      </c>
      <c r="C8" s="50">
        <v>6</v>
      </c>
      <c r="D8" s="50" t="s">
        <v>4199</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c r="B9" s="50" t="s">
        <v>3579</v>
      </c>
      <c r="C9" s="50">
        <v>7</v>
      </c>
      <c r="D9" s="50" t="s">
        <v>4200</v>
      </c>
      <c r="E9" s="111">
        <v>45483</v>
      </c>
      <c r="F9" s="50">
        <v>1</v>
      </c>
      <c r="G9" s="209" cm="1">
        <f t="array" aca="1" ref="G9" ca="1">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c r="B10" s="50" t="s">
        <v>3582</v>
      </c>
      <c r="C10" s="50">
        <v>8</v>
      </c>
      <c r="D10" s="50" t="s">
        <v>4201</v>
      </c>
      <c r="E10" s="111">
        <v>45483</v>
      </c>
      <c r="F10" s="50">
        <v>1</v>
      </c>
      <c r="G10" s="50" t="s">
        <v>3621</v>
      </c>
      <c r="H10" s="201">
        <v>0</v>
      </c>
      <c r="I10" s="50">
        <v>4008110051813620</v>
      </c>
      <c r="J10" s="50">
        <v>31</v>
      </c>
      <c r="K10" s="50">
        <v>1100751730010</v>
      </c>
      <c r="L10" s="50">
        <v>0</v>
      </c>
      <c r="M10" s="50">
        <v>0</v>
      </c>
      <c r="N10" s="111" t="s">
        <v>4139</v>
      </c>
      <c r="O10" s="50" t="s">
        <v>3630</v>
      </c>
      <c r="P10" s="111" t="s">
        <v>3630</v>
      </c>
      <c r="Q10" s="111" t="s">
        <v>3699</v>
      </c>
      <c r="R10" s="111">
        <v>45483</v>
      </c>
      <c r="S10" s="114" t="s">
        <v>4202</v>
      </c>
    </row>
    <row r="11" spans="2:19">
      <c r="B11" s="50" t="s">
        <v>3584</v>
      </c>
      <c r="C11" s="50">
        <v>9</v>
      </c>
      <c r="D11" s="50" t="s">
        <v>4203</v>
      </c>
      <c r="E11" s="111">
        <v>45483</v>
      </c>
      <c r="F11" s="50">
        <v>1</v>
      </c>
      <c r="G11" s="50" t="s">
        <v>3621</v>
      </c>
      <c r="H11" s="201">
        <v>0</v>
      </c>
      <c r="I11" s="50">
        <v>4008110051813620</v>
      </c>
      <c r="J11" s="50">
        <v>31</v>
      </c>
      <c r="K11" s="50">
        <v>1100751730010</v>
      </c>
      <c r="L11" s="50">
        <v>0</v>
      </c>
      <c r="M11" s="50">
        <v>0</v>
      </c>
      <c r="N11" s="111" t="s">
        <v>4139</v>
      </c>
      <c r="O11" s="50" t="s">
        <v>3630</v>
      </c>
      <c r="P11" s="50" t="s">
        <v>3630</v>
      </c>
      <c r="Q11" s="50">
        <v>15</v>
      </c>
      <c r="R11" s="111">
        <v>45483</v>
      </c>
      <c r="S11" s="50" t="s">
        <v>4204</v>
      </c>
    </row>
    <row r="12" spans="2:19">
      <c r="B12" s="113" t="s">
        <v>3586</v>
      </c>
      <c r="C12" s="50">
        <v>10</v>
      </c>
      <c r="D12" s="50" t="s">
        <v>4205</v>
      </c>
      <c r="E12" s="111">
        <v>45483</v>
      </c>
      <c r="F12" s="50">
        <v>1</v>
      </c>
      <c r="G12" s="50" t="s">
        <v>3621</v>
      </c>
      <c r="H12" s="201">
        <v>0</v>
      </c>
      <c r="I12" s="50">
        <v>5890770069838630</v>
      </c>
      <c r="J12" s="201">
        <v>31</v>
      </c>
      <c r="K12" s="50">
        <v>5131570010010</v>
      </c>
      <c r="L12" s="50">
        <v>97</v>
      </c>
      <c r="M12" s="111">
        <v>45484</v>
      </c>
      <c r="N12" s="111" t="s">
        <v>4206</v>
      </c>
      <c r="O12" s="114">
        <v>999999999000000</v>
      </c>
      <c r="P12" s="209">
        <v>999999999000000</v>
      </c>
      <c r="Q12" s="111" t="s">
        <v>3699</v>
      </c>
      <c r="R12" s="111">
        <v>45483</v>
      </c>
      <c r="S12" s="173" t="s">
        <v>4202</v>
      </c>
    </row>
    <row r="13" spans="2:19">
      <c r="B13" s="50" t="s">
        <v>3588</v>
      </c>
      <c r="C13" s="50">
        <v>11</v>
      </c>
      <c r="D13" s="50" t="s">
        <v>4207</v>
      </c>
      <c r="E13" s="111">
        <v>45483</v>
      </c>
      <c r="F13" s="50">
        <v>1</v>
      </c>
      <c r="G13" s="50" t="s">
        <v>3621</v>
      </c>
      <c r="H13" s="201">
        <v>0</v>
      </c>
      <c r="I13" s="50">
        <v>5890770069838630</v>
      </c>
      <c r="J13" s="201">
        <v>31</v>
      </c>
      <c r="K13" s="50">
        <v>5131570010010</v>
      </c>
      <c r="L13" s="50">
        <v>97</v>
      </c>
      <c r="M13" s="111">
        <v>20240711</v>
      </c>
      <c r="N13" s="111" t="s">
        <v>4206</v>
      </c>
      <c r="O13" s="114">
        <v>999999999000000</v>
      </c>
      <c r="P13" s="111">
        <v>999999999000000</v>
      </c>
      <c r="Q13" s="50">
        <v>5</v>
      </c>
      <c r="R13" s="111">
        <v>45483</v>
      </c>
      <c r="S13" s="50" t="s">
        <v>4208</v>
      </c>
    </row>
    <row r="14" spans="2:19">
      <c r="B14" s="50" t="s">
        <v>3590</v>
      </c>
      <c r="C14" s="50">
        <v>12</v>
      </c>
      <c r="D14" s="50" t="s">
        <v>4209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3592</v>
      </c>
      <c r="C15" s="50">
        <v>13</v>
      </c>
      <c r="D15" s="50" t="s">
        <v>4210</v>
      </c>
      <c r="E15" s="111">
        <v>45483</v>
      </c>
      <c r="F15" s="50">
        <v>1</v>
      </c>
      <c r="G15" s="209">
        <v>1</v>
      </c>
      <c r="H15" s="201">
        <v>0</v>
      </c>
      <c r="I15" s="50" t="s">
        <v>3621</v>
      </c>
      <c r="J15" s="50" t="s">
        <v>3621</v>
      </c>
      <c r="K15" s="50" t="s">
        <v>3621</v>
      </c>
      <c r="L15" s="50" t="s">
        <v>3621</v>
      </c>
      <c r="M15" s="50">
        <v>0</v>
      </c>
      <c r="N15" s="50">
        <v>0</v>
      </c>
      <c r="O15" s="50" t="s">
        <v>3621</v>
      </c>
      <c r="P15" s="50" t="s">
        <v>3621</v>
      </c>
      <c r="Q15" s="50" t="s">
        <v>3621</v>
      </c>
      <c r="R15" s="50" t="s">
        <v>3621</v>
      </c>
      <c r="S15" s="50" t="s">
        <v>3621</v>
      </c>
    </row>
    <row r="16" spans="2:19">
      <c r="B16" s="50" t="s">
        <v>3594</v>
      </c>
      <c r="C16" s="50">
        <v>14</v>
      </c>
      <c r="D16" s="50" t="s">
        <v>4211</v>
      </c>
      <c r="E16" s="111">
        <v>45483</v>
      </c>
      <c r="F16" s="50">
        <v>1</v>
      </c>
      <c r="G16" s="209">
        <v>1</v>
      </c>
      <c r="H16" s="201">
        <v>0</v>
      </c>
      <c r="I16" s="50">
        <v>0</v>
      </c>
      <c r="J16" s="50">
        <v>0</v>
      </c>
      <c r="K16" s="50">
        <v>0</v>
      </c>
      <c r="L16" s="50">
        <v>0</v>
      </c>
      <c r="M16" s="50" t="s">
        <v>3621</v>
      </c>
      <c r="N16" s="50" t="s">
        <v>3621</v>
      </c>
      <c r="O16" s="50" t="s">
        <v>3621</v>
      </c>
      <c r="P16" s="50" t="s">
        <v>3621</v>
      </c>
      <c r="Q16" s="50">
        <v>0</v>
      </c>
      <c r="R16" s="50" t="s">
        <v>3621</v>
      </c>
      <c r="S16" s="50" t="s">
        <v>3621</v>
      </c>
    </row>
    <row r="17" spans="2:20">
      <c r="B17" s="50" t="s">
        <v>3596</v>
      </c>
      <c r="C17" s="50">
        <v>15</v>
      </c>
      <c r="D17" s="50" t="s">
        <v>4212</v>
      </c>
      <c r="E17" s="111">
        <v>45483</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c r="B18" s="50" t="s">
        <v>3598</v>
      </c>
      <c r="C18" s="50">
        <v>16</v>
      </c>
      <c r="D18" s="50" t="s">
        <v>4212</v>
      </c>
      <c r="E18" s="111">
        <v>45483</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c r="B19" s="50" t="s">
        <v>3604</v>
      </c>
      <c r="C19" s="50">
        <v>19</v>
      </c>
      <c r="D19" s="50" t="s">
        <v>4213</v>
      </c>
      <c r="E19" s="111">
        <v>45483</v>
      </c>
      <c r="F19" s="50">
        <v>1</v>
      </c>
      <c r="G19" s="209" cm="1">
        <f t="array" aca="1" ref="G19" ca="1">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c r="B20" s="50" t="s">
        <v>3607</v>
      </c>
      <c r="C20" s="50">
        <v>20</v>
      </c>
      <c r="D20" s="50" t="s">
        <v>4214</v>
      </c>
      <c r="E20" s="111">
        <v>45483</v>
      </c>
      <c r="F20" s="50">
        <v>1</v>
      </c>
      <c r="G20" s="209" cm="1">
        <f t="array" ref="G20">SUM(IF(I2:S2 = I24:S24, 1, 0))/ COUNTA(I2:S2)</f>
        <v>9.0909090909090912E-2</v>
      </c>
      <c r="H20" s="50" t="s">
        <v>3621</v>
      </c>
      <c r="I20" s="50"/>
      <c r="J20" s="50"/>
      <c r="K20" s="50"/>
      <c r="L20" s="50"/>
      <c r="M20" s="50"/>
      <c r="N20" s="50"/>
      <c r="O20" s="50"/>
      <c r="P20" s="50"/>
      <c r="Q20" s="50"/>
      <c r="R20" s="50"/>
      <c r="S20" s="50"/>
    </row>
    <row r="21" spans="2:20">
      <c r="B21" s="50" t="s">
        <v>3610</v>
      </c>
      <c r="C21" s="50">
        <v>21</v>
      </c>
      <c r="D21" s="50" t="s">
        <v>4214</v>
      </c>
      <c r="E21" s="111">
        <v>45483</v>
      </c>
      <c r="F21" s="50">
        <v>1</v>
      </c>
      <c r="G21" s="209" cm="1">
        <f t="array" aca="1" ref="G21" ca="1">SUM(IF(IF(G3:G20="null",1,G3:G20)=1,1,0))/COUNT(IF(G3:G20="null",1,1))</f>
        <v>0.83333333333333337</v>
      </c>
      <c r="H21" s="50" t="s">
        <v>3621</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3727</v>
      </c>
    </row>
    <row r="24" spans="2:20">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3658</v>
      </c>
      <c r="C25" s="126">
        <v>21</v>
      </c>
      <c r="D25" s="120" t="s">
        <v>3659</v>
      </c>
      <c r="E25" s="119" t="s">
        <v>3660</v>
      </c>
      <c r="F25" s="119" t="s">
        <v>372</v>
      </c>
      <c r="G25" s="119" t="s">
        <v>372</v>
      </c>
      <c r="H25" s="119" t="s">
        <v>372</v>
      </c>
      <c r="I25" s="119" t="str" cm="1">
        <f t="array" aca="1" ref="I25:T26" ca="1">TRANSPOSE(_xlfn.SORTBY(_xlfn._xlws.FILTER(IF(Table3[FORMATO]:Table3[COMP_ CAMPO]&lt;&gt;"",Table3[FORMATO]:Table3[COMP_ CAMPO],9999999),Table3[NOME FÍSICO TABELA]="debit_card"), _xlfn._xlws.FILTER(Table3[ORDEM], Table3[NOME FÍSICO TABELA]="debit_card"),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3661</v>
      </c>
      <c r="C26" s="126">
        <v>7</v>
      </c>
      <c r="D26" s="120" t="s">
        <v>3659</v>
      </c>
      <c r="E26" s="119" t="s">
        <v>3660</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3662</v>
      </c>
    </row>
    <row r="29" spans="2:20">
      <c r="B29" s="150" t="s">
        <v>3663</v>
      </c>
      <c r="C29" s="150" t="s">
        <v>3664</v>
      </c>
      <c r="D29" s="151" t="s">
        <v>3665</v>
      </c>
      <c r="E29" s="150" t="s">
        <v>3666</v>
      </c>
      <c r="F29" s="150" t="s">
        <v>3667</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1" t="s">
        <v>3613</v>
      </c>
      <c r="C2" s="91" t="s">
        <v>3614</v>
      </c>
      <c r="D2" s="91" t="s">
        <v>3615</v>
      </c>
      <c r="E2" s="91" t="s">
        <v>3616</v>
      </c>
      <c r="F2" s="91" t="s">
        <v>3617</v>
      </c>
      <c r="G2" s="91" t="s">
        <v>3618</v>
      </c>
      <c r="H2" s="91" t="s">
        <v>3619</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c r="B3" s="50" t="s">
        <v>3567</v>
      </c>
      <c r="C3" s="50">
        <v>1</v>
      </c>
      <c r="D3" s="50" t="s">
        <v>4215</v>
      </c>
      <c r="E3" s="111">
        <v>45490</v>
      </c>
      <c r="F3" s="50">
        <v>1</v>
      </c>
      <c r="G3" s="209">
        <v>1</v>
      </c>
      <c r="H3" s="241">
        <v>759069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row>
    <row r="4" spans="2:21">
      <c r="B4" s="50" t="s">
        <v>3569</v>
      </c>
      <c r="C4" s="50">
        <v>2</v>
      </c>
      <c r="D4" s="50" t="s">
        <v>4216</v>
      </c>
      <c r="E4" s="111">
        <v>45490</v>
      </c>
      <c r="F4" s="50">
        <v>1</v>
      </c>
      <c r="G4" s="209">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row>
    <row r="5" spans="2:21">
      <c r="B5" s="50" t="s">
        <v>3571</v>
      </c>
      <c r="C5" s="50">
        <v>3</v>
      </c>
      <c r="D5" s="50" t="s">
        <v>4217</v>
      </c>
      <c r="E5" s="111">
        <v>45490</v>
      </c>
      <c r="F5" s="50">
        <v>1</v>
      </c>
      <c r="G5" s="209">
        <v>1</v>
      </c>
      <c r="H5" s="201">
        <v>0</v>
      </c>
      <c r="I5" s="50">
        <v>0</v>
      </c>
      <c r="J5" s="50">
        <v>0</v>
      </c>
      <c r="K5" s="50" t="s">
        <v>3621</v>
      </c>
      <c r="L5" s="50" t="s">
        <v>3621</v>
      </c>
      <c r="M5" s="50" t="s">
        <v>3621</v>
      </c>
      <c r="N5" s="50" t="s">
        <v>3621</v>
      </c>
      <c r="O5" s="50" t="s">
        <v>3621</v>
      </c>
      <c r="P5" s="50" t="s">
        <v>3621</v>
      </c>
      <c r="Q5" s="50" t="s">
        <v>3621</v>
      </c>
      <c r="R5" s="50" t="s">
        <v>3621</v>
      </c>
      <c r="S5" s="50" t="s">
        <v>3621</v>
      </c>
      <c r="T5" s="50">
        <v>0</v>
      </c>
      <c r="U5" s="50" t="s">
        <v>3621</v>
      </c>
    </row>
    <row r="6" spans="2:21">
      <c r="B6" s="113" t="s">
        <v>3573</v>
      </c>
      <c r="C6" s="50">
        <v>4</v>
      </c>
      <c r="D6" s="50" t="s">
        <v>3624</v>
      </c>
      <c r="E6" s="111" t="s">
        <v>3621</v>
      </c>
      <c r="F6" s="50">
        <v>1</v>
      </c>
      <c r="G6" s="111"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row>
    <row r="7" spans="2:21">
      <c r="B7" s="50" t="s">
        <v>3575</v>
      </c>
      <c r="C7" s="50">
        <v>5</v>
      </c>
      <c r="D7" s="50" t="s">
        <v>3624</v>
      </c>
      <c r="E7" s="111" t="s">
        <v>3621</v>
      </c>
      <c r="F7" s="50">
        <v>1</v>
      </c>
      <c r="G7" s="111"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row>
    <row r="8" spans="2:21">
      <c r="B8" s="113" t="s">
        <v>3576</v>
      </c>
      <c r="C8" s="50">
        <v>6</v>
      </c>
      <c r="D8" s="50" t="s">
        <v>4218</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c r="B9" s="50" t="s">
        <v>3579</v>
      </c>
      <c r="C9" s="50">
        <v>7</v>
      </c>
      <c r="D9" s="50" t="s">
        <v>4219</v>
      </c>
      <c r="E9" s="111">
        <v>45490</v>
      </c>
      <c r="F9" s="50">
        <v>1</v>
      </c>
      <c r="G9" s="209" cm="1">
        <f t="array" aca="1" ref="G9" ca="1">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c r="B10" s="50" t="s">
        <v>3582</v>
      </c>
      <c r="C10" s="50">
        <v>8</v>
      </c>
      <c r="D10" s="50" t="s">
        <v>4220</v>
      </c>
      <c r="E10" s="111">
        <v>45490</v>
      </c>
      <c r="F10" s="50">
        <v>1</v>
      </c>
      <c r="G10" s="111" t="s">
        <v>3621</v>
      </c>
      <c r="H10" s="201">
        <v>0</v>
      </c>
      <c r="I10" s="50">
        <v>31</v>
      </c>
      <c r="J10" s="50">
        <v>1100827510011</v>
      </c>
      <c r="K10" s="50" t="s">
        <v>3699</v>
      </c>
      <c r="L10" s="50">
        <v>11</v>
      </c>
      <c r="M10" s="50" t="s">
        <v>4221</v>
      </c>
      <c r="N10" s="50">
        <v>31</v>
      </c>
      <c r="O10" s="50">
        <v>2.079771E+21</v>
      </c>
      <c r="P10" s="111">
        <v>35711</v>
      </c>
      <c r="Q10" s="111">
        <v>2958465</v>
      </c>
      <c r="R10" s="111">
        <v>978</v>
      </c>
      <c r="S10" s="114" t="s">
        <v>3699</v>
      </c>
      <c r="T10" s="111">
        <v>45490</v>
      </c>
      <c r="U10" s="50" t="s">
        <v>4222</v>
      </c>
    </row>
    <row r="11" spans="2:21">
      <c r="B11" s="50" t="s">
        <v>3584</v>
      </c>
      <c r="C11" s="50">
        <v>9</v>
      </c>
      <c r="D11" s="50" t="s">
        <v>4223</v>
      </c>
      <c r="E11" s="111">
        <v>45490</v>
      </c>
      <c r="F11" s="50">
        <v>1</v>
      </c>
      <c r="G11" s="111" t="s">
        <v>3621</v>
      </c>
      <c r="H11" s="201">
        <v>0</v>
      </c>
      <c r="I11" s="50">
        <v>31</v>
      </c>
      <c r="J11" s="50">
        <v>1100827510011</v>
      </c>
      <c r="K11" s="50">
        <v>31</v>
      </c>
      <c r="L11" s="50">
        <v>11</v>
      </c>
      <c r="M11" s="50" t="s">
        <v>4221</v>
      </c>
      <c r="N11" s="111">
        <v>31</v>
      </c>
      <c r="O11" s="50">
        <v>2.079771E+21</v>
      </c>
      <c r="P11" s="111">
        <v>35711</v>
      </c>
      <c r="Q11" s="111">
        <v>2958465</v>
      </c>
      <c r="R11" s="111">
        <v>978</v>
      </c>
      <c r="S11" s="50">
        <v>0</v>
      </c>
      <c r="T11" s="111">
        <v>45490</v>
      </c>
      <c r="U11" s="50" t="s">
        <v>4224</v>
      </c>
    </row>
    <row r="12" spans="2:21">
      <c r="B12" s="113" t="s">
        <v>3586</v>
      </c>
      <c r="C12" s="50">
        <v>10</v>
      </c>
      <c r="D12" s="50" t="s">
        <v>4225</v>
      </c>
      <c r="E12" s="111">
        <v>45490</v>
      </c>
      <c r="F12" s="50">
        <v>1</v>
      </c>
      <c r="G12" s="111" t="s">
        <v>3621</v>
      </c>
      <c r="H12" s="201">
        <v>0</v>
      </c>
      <c r="I12" s="50">
        <v>31</v>
      </c>
      <c r="J12" s="201">
        <v>5131651710011</v>
      </c>
      <c r="K12" s="50" t="s">
        <v>3699</v>
      </c>
      <c r="L12" s="50">
        <v>11</v>
      </c>
      <c r="M12" s="111" t="s">
        <v>4226</v>
      </c>
      <c r="N12" s="50">
        <v>31</v>
      </c>
      <c r="O12" s="114">
        <v>9.9999999999999903E+29</v>
      </c>
      <c r="P12" s="209">
        <v>45491</v>
      </c>
      <c r="Q12" s="111">
        <v>2958465</v>
      </c>
      <c r="R12" s="111">
        <v>978</v>
      </c>
      <c r="S12" s="173" t="s">
        <v>3699</v>
      </c>
      <c r="T12" s="111">
        <v>45490</v>
      </c>
      <c r="U12" s="50" t="s">
        <v>4222</v>
      </c>
    </row>
    <row r="13" spans="2:21">
      <c r="B13" s="50" t="s">
        <v>3588</v>
      </c>
      <c r="C13" s="50">
        <v>11</v>
      </c>
      <c r="D13" s="50" t="s">
        <v>4227</v>
      </c>
      <c r="E13" s="111">
        <v>45490</v>
      </c>
      <c r="F13" s="50">
        <v>1</v>
      </c>
      <c r="G13" s="111" t="s">
        <v>3621</v>
      </c>
      <c r="H13" s="201">
        <v>0</v>
      </c>
      <c r="I13" s="50">
        <v>31</v>
      </c>
      <c r="J13" s="201">
        <v>5131651710011</v>
      </c>
      <c r="K13" s="50">
        <v>31</v>
      </c>
      <c r="L13" s="50">
        <v>11</v>
      </c>
      <c r="M13" s="111" t="s">
        <v>4226</v>
      </c>
      <c r="N13" s="111">
        <v>31</v>
      </c>
      <c r="O13" s="50">
        <v>9.9999999999999903E+29</v>
      </c>
      <c r="P13" s="111">
        <v>45491</v>
      </c>
      <c r="Q13" s="111">
        <v>2958465</v>
      </c>
      <c r="R13" s="111">
        <v>978</v>
      </c>
      <c r="S13" s="50">
        <v>4</v>
      </c>
      <c r="T13" s="111">
        <v>45490</v>
      </c>
      <c r="U13" s="50" t="s">
        <v>4228</v>
      </c>
    </row>
    <row r="14" spans="2:21">
      <c r="B14" s="50" t="s">
        <v>3590</v>
      </c>
      <c r="C14" s="50">
        <v>12</v>
      </c>
      <c r="D14" s="50" t="s">
        <v>4229</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c r="B15" s="50" t="s">
        <v>3592</v>
      </c>
      <c r="C15" s="50">
        <v>13</v>
      </c>
      <c r="D15" s="50" t="s">
        <v>4230</v>
      </c>
      <c r="E15" s="111">
        <v>45490</v>
      </c>
      <c r="F15" s="50">
        <v>1</v>
      </c>
      <c r="G15" s="209">
        <v>1</v>
      </c>
      <c r="H15" s="201">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row>
    <row r="16" spans="2:21">
      <c r="B16" s="50" t="s">
        <v>3594</v>
      </c>
      <c r="C16" s="50">
        <v>14</v>
      </c>
      <c r="D16" s="50" t="s">
        <v>4231</v>
      </c>
      <c r="E16" s="111">
        <v>45490</v>
      </c>
      <c r="F16" s="50">
        <v>1</v>
      </c>
      <c r="G16" s="209">
        <v>1</v>
      </c>
      <c r="H16" s="201">
        <v>0</v>
      </c>
      <c r="I16" s="50">
        <v>0</v>
      </c>
      <c r="J16" s="50">
        <v>0</v>
      </c>
      <c r="K16" s="50">
        <v>0</v>
      </c>
      <c r="L16" s="50">
        <v>0</v>
      </c>
      <c r="M16" s="50">
        <v>0</v>
      </c>
      <c r="N16" s="50">
        <v>0</v>
      </c>
      <c r="O16" s="50">
        <v>0</v>
      </c>
      <c r="P16" s="50" t="s">
        <v>3621</v>
      </c>
      <c r="Q16" s="50" t="s">
        <v>3621</v>
      </c>
      <c r="R16" s="50">
        <v>0</v>
      </c>
      <c r="S16" s="50">
        <v>0</v>
      </c>
      <c r="T16" s="50" t="s">
        <v>3621</v>
      </c>
      <c r="U16" s="50" t="s">
        <v>3621</v>
      </c>
    </row>
    <row r="17" spans="2:21">
      <c r="B17" s="50" t="s">
        <v>3596</v>
      </c>
      <c r="C17" s="50">
        <v>15</v>
      </c>
      <c r="D17" s="50" t="s">
        <v>4232</v>
      </c>
      <c r="E17" s="111">
        <v>45490</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row>
    <row r="18" spans="2:21">
      <c r="B18" s="50" t="s">
        <v>3598</v>
      </c>
      <c r="C18" s="50">
        <v>16</v>
      </c>
      <c r="D18" s="50" t="s">
        <v>4232</v>
      </c>
      <c r="E18" s="111">
        <v>45490</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row>
    <row r="19" spans="2:21">
      <c r="B19" s="50" t="s">
        <v>3604</v>
      </c>
      <c r="C19" s="50">
        <v>19</v>
      </c>
      <c r="D19" s="50" t="s">
        <v>4233</v>
      </c>
      <c r="E19" s="111">
        <v>45490</v>
      </c>
      <c r="F19" s="50">
        <v>1</v>
      </c>
      <c r="G19" s="209" cm="1">
        <f t="array" aca="1" ref="G19" ca="1">SUMPRODUCT(--(ISNUMBER((SEARCH(I25:U25,I19:U19)))))/COUNTA(I19:U19)</f>
        <v>1</v>
      </c>
      <c r="H19" s="201">
        <v>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3657</v>
      </c>
    </row>
    <row r="20" spans="2:21">
      <c r="B20" s="50" t="s">
        <v>3607</v>
      </c>
      <c r="C20" s="50">
        <v>20</v>
      </c>
      <c r="D20" s="50" t="s">
        <v>4233</v>
      </c>
      <c r="E20" s="111">
        <v>45490</v>
      </c>
      <c r="F20" s="50">
        <v>1</v>
      </c>
      <c r="G20" s="209" cm="1">
        <f t="array" ref="G20">SUM(IF(I2:S2 = I24:S24, 1, 0))/ COUNTA(I2:S2)</f>
        <v>1</v>
      </c>
      <c r="H20" s="50" t="s">
        <v>3621</v>
      </c>
      <c r="I20" s="50"/>
      <c r="J20" s="50"/>
      <c r="K20" s="50"/>
      <c r="L20" s="50"/>
      <c r="M20" s="50"/>
      <c r="N20" s="50"/>
      <c r="O20" s="50"/>
      <c r="P20" s="50"/>
      <c r="Q20" s="50"/>
      <c r="R20" s="50"/>
      <c r="S20" s="50"/>
      <c r="T20" s="50"/>
      <c r="U20" s="50"/>
    </row>
    <row r="21" spans="2:21">
      <c r="B21" s="50" t="s">
        <v>3610</v>
      </c>
      <c r="C21" s="50">
        <v>21</v>
      </c>
      <c r="D21" s="50" t="s">
        <v>4233</v>
      </c>
      <c r="E21" s="111">
        <v>45490</v>
      </c>
      <c r="F21" s="50">
        <v>1</v>
      </c>
      <c r="G21" s="209" cm="1">
        <f t="array" aca="1" ref="G21" ca="1">SUM(IF(IF(G3:G20="null",1,G3:G20)=1,1,0))/COUNT(IF(G3:G20="null",1,1))</f>
        <v>1</v>
      </c>
      <c r="H21" s="50" t="s">
        <v>3621</v>
      </c>
      <c r="I21" s="50"/>
      <c r="J21" s="50"/>
      <c r="K21" s="50"/>
      <c r="L21" s="50"/>
      <c r="M21" s="50"/>
      <c r="N21" s="50"/>
      <c r="O21" s="50"/>
      <c r="P21" s="50"/>
      <c r="Q21" s="50"/>
      <c r="R21" s="50"/>
      <c r="S21" s="50"/>
      <c r="T21" s="50"/>
      <c r="U21" s="50"/>
    </row>
    <row r="22" spans="2:21">
      <c r="B22" s="50"/>
      <c r="C22" s="50"/>
      <c r="D22" s="50"/>
      <c r="E22" s="111"/>
      <c r="F22" s="50"/>
      <c r="G22" s="50"/>
      <c r="H22" s="50"/>
      <c r="I22" s="50"/>
      <c r="J22" s="50"/>
      <c r="K22" s="50"/>
      <c r="L22" s="50"/>
      <c r="M22" s="50"/>
      <c r="N22" s="50"/>
      <c r="O22" s="50"/>
      <c r="P22" s="50"/>
      <c r="Q22" s="50"/>
      <c r="R22" s="50"/>
      <c r="S22" s="50"/>
    </row>
    <row r="23" spans="2:21">
      <c r="B23" s="146" t="s">
        <v>3727</v>
      </c>
    </row>
    <row r="24" spans="2:21">
      <c r="B24" s="144" t="s">
        <v>3613</v>
      </c>
      <c r="C24" s="145" t="s">
        <v>3614</v>
      </c>
      <c r="D24" s="145" t="s">
        <v>3615</v>
      </c>
      <c r="E24" s="145" t="s">
        <v>3616</v>
      </c>
      <c r="F24" s="145" t="s">
        <v>3617</v>
      </c>
      <c r="G24" s="145" t="s">
        <v>3618</v>
      </c>
      <c r="H24" s="145" t="s">
        <v>3619</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c r="B25" s="123" t="s">
        <v>3658</v>
      </c>
      <c r="C25" s="126">
        <v>21</v>
      </c>
      <c r="D25" s="120" t="s">
        <v>3659</v>
      </c>
      <c r="E25" s="119" t="s">
        <v>3660</v>
      </c>
      <c r="F25" s="119" t="s">
        <v>372</v>
      </c>
      <c r="G25" s="119" t="s">
        <v>372</v>
      </c>
      <c r="H25" s="119" t="s">
        <v>372</v>
      </c>
      <c r="I25" s="119"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TIMESTAMP</v>
      </c>
    </row>
    <row r="26" spans="2:21">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10</v>
      </c>
      <c r="U26" s="167">
        <f ca="1"/>
        <v>23</v>
      </c>
    </row>
    <row r="28" spans="2:21">
      <c r="B28" s="156" t="s">
        <v>3662</v>
      </c>
    </row>
    <row r="29" spans="2:21">
      <c r="B29" s="150" t="s">
        <v>3663</v>
      </c>
      <c r="C29" s="150" t="s">
        <v>3664</v>
      </c>
      <c r="D29" s="151" t="s">
        <v>3665</v>
      </c>
      <c r="E29" s="150" t="s">
        <v>3666</v>
      </c>
      <c r="F29" s="150" t="s">
        <v>3667</v>
      </c>
    </row>
    <row r="30" spans="2:21">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c r="B3" s="50" t="s">
        <v>3567</v>
      </c>
      <c r="C3" s="50">
        <v>1</v>
      </c>
      <c r="D3" s="50" t="s">
        <v>4234</v>
      </c>
      <c r="E3" s="111">
        <v>45492</v>
      </c>
      <c r="F3" s="50">
        <v>1</v>
      </c>
      <c r="G3" s="209">
        <v>1</v>
      </c>
      <c r="H3" s="207">
        <v>2843480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4235</v>
      </c>
      <c r="E4" s="111">
        <v>45492</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4236</v>
      </c>
      <c r="E5" s="111">
        <v>45492</v>
      </c>
      <c r="F5" s="50">
        <v>1</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4237</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3579</v>
      </c>
      <c r="C9" s="50">
        <v>7</v>
      </c>
      <c r="D9" s="50" t="s">
        <v>4238</v>
      </c>
      <c r="E9" s="111">
        <v>45492</v>
      </c>
      <c r="F9" s="50">
        <v>1</v>
      </c>
      <c r="G9" s="209"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3582</v>
      </c>
      <c r="C10" s="50">
        <v>8</v>
      </c>
      <c r="D10" s="50" t="s">
        <v>4239</v>
      </c>
      <c r="E10" s="111">
        <v>45492</v>
      </c>
      <c r="F10" s="50">
        <v>1</v>
      </c>
      <c r="G10" s="50" t="s">
        <v>3621</v>
      </c>
      <c r="H10" s="50">
        <v>0</v>
      </c>
      <c r="I10" s="50">
        <v>31</v>
      </c>
      <c r="J10" s="50">
        <v>1104388490010</v>
      </c>
      <c r="K10" s="50" t="s">
        <v>3699</v>
      </c>
      <c r="L10" s="50">
        <v>10</v>
      </c>
      <c r="M10" s="50">
        <v>10</v>
      </c>
      <c r="N10" s="50">
        <v>31</v>
      </c>
      <c r="O10" s="50">
        <v>0</v>
      </c>
      <c r="P10" s="111">
        <v>37403</v>
      </c>
      <c r="Q10" s="111">
        <v>2958465</v>
      </c>
      <c r="R10" s="111">
        <v>978</v>
      </c>
      <c r="S10" s="50" t="s">
        <v>3699</v>
      </c>
      <c r="T10" s="50" t="s">
        <v>3699</v>
      </c>
      <c r="U10" s="111" t="s">
        <v>3752</v>
      </c>
      <c r="V10" s="111">
        <v>45492</v>
      </c>
      <c r="W10" s="50" t="s">
        <v>4240</v>
      </c>
    </row>
    <row r="11" spans="2:23">
      <c r="B11" s="50" t="s">
        <v>3584</v>
      </c>
      <c r="C11" s="50">
        <v>9</v>
      </c>
      <c r="D11" s="50" t="s">
        <v>4241</v>
      </c>
      <c r="E11" s="111">
        <v>45492</v>
      </c>
      <c r="F11" s="50">
        <v>1</v>
      </c>
      <c r="G11" s="50" t="s">
        <v>3621</v>
      </c>
      <c r="H11" s="50">
        <v>0</v>
      </c>
      <c r="I11" s="50">
        <v>31</v>
      </c>
      <c r="J11" s="50">
        <v>1104388490010</v>
      </c>
      <c r="K11" s="50">
        <v>31</v>
      </c>
      <c r="L11" s="50">
        <v>10</v>
      </c>
      <c r="M11" s="50">
        <v>10</v>
      </c>
      <c r="N11" s="111">
        <v>31</v>
      </c>
      <c r="O11" s="50">
        <v>0</v>
      </c>
      <c r="P11" s="111">
        <v>37403</v>
      </c>
      <c r="Q11" s="111">
        <v>2958465</v>
      </c>
      <c r="R11" s="111">
        <v>978</v>
      </c>
      <c r="S11" s="50">
        <v>0</v>
      </c>
      <c r="T11" s="50" t="s">
        <v>4242</v>
      </c>
      <c r="U11" s="111" t="s">
        <v>3752</v>
      </c>
      <c r="V11" s="111">
        <v>45492</v>
      </c>
      <c r="W11" s="50" t="s">
        <v>4243</v>
      </c>
    </row>
    <row r="12" spans="2:23">
      <c r="B12" s="113" t="s">
        <v>3586</v>
      </c>
      <c r="C12" s="50">
        <v>10</v>
      </c>
      <c r="D12" s="50" t="s">
        <v>4244</v>
      </c>
      <c r="E12" s="111">
        <v>45492</v>
      </c>
      <c r="F12" s="50">
        <v>1</v>
      </c>
      <c r="G12" s="50" t="s">
        <v>3621</v>
      </c>
      <c r="H12" s="50">
        <v>0</v>
      </c>
      <c r="I12" s="50">
        <v>31</v>
      </c>
      <c r="J12" s="201">
        <v>5131680060010</v>
      </c>
      <c r="K12" s="50" t="s">
        <v>3699</v>
      </c>
      <c r="L12" s="50">
        <v>11</v>
      </c>
      <c r="M12" s="111" t="s">
        <v>4245</v>
      </c>
      <c r="N12" s="50">
        <v>31</v>
      </c>
      <c r="O12" s="114">
        <v>999999999999999</v>
      </c>
      <c r="P12" s="209">
        <v>45495</v>
      </c>
      <c r="Q12" s="111">
        <v>2958465</v>
      </c>
      <c r="R12" s="111">
        <v>978</v>
      </c>
      <c r="S12" s="50" t="s">
        <v>3699</v>
      </c>
      <c r="T12" s="50" t="s">
        <v>3699</v>
      </c>
      <c r="U12" s="111" t="s">
        <v>3752</v>
      </c>
      <c r="V12" s="111">
        <v>45492</v>
      </c>
      <c r="W12" s="50" t="s">
        <v>4240</v>
      </c>
    </row>
    <row r="13" spans="2:23">
      <c r="B13" s="50" t="s">
        <v>3588</v>
      </c>
      <c r="C13" s="50">
        <v>11</v>
      </c>
      <c r="D13" s="50" t="s">
        <v>4246</v>
      </c>
      <c r="E13" s="111">
        <v>45492</v>
      </c>
      <c r="F13" s="50">
        <v>1</v>
      </c>
      <c r="G13" s="50" t="s">
        <v>3621</v>
      </c>
      <c r="H13" s="50">
        <v>0</v>
      </c>
      <c r="I13" s="50">
        <v>31</v>
      </c>
      <c r="J13" s="201">
        <v>5131680060010</v>
      </c>
      <c r="K13" s="50">
        <v>31</v>
      </c>
      <c r="L13" s="50">
        <v>11</v>
      </c>
      <c r="M13" s="111" t="s">
        <v>4245</v>
      </c>
      <c r="N13" s="111">
        <v>31</v>
      </c>
      <c r="O13" s="50">
        <v>999999999999999</v>
      </c>
      <c r="P13" s="111">
        <v>45495</v>
      </c>
      <c r="Q13" s="111">
        <v>2958465</v>
      </c>
      <c r="R13" s="111">
        <v>978</v>
      </c>
      <c r="S13" s="50">
        <v>0</v>
      </c>
      <c r="T13" s="50" t="s">
        <v>4247</v>
      </c>
      <c r="U13" s="111" t="s">
        <v>3752</v>
      </c>
      <c r="V13" s="111">
        <v>45492</v>
      </c>
      <c r="W13" s="50" t="s">
        <v>4248</v>
      </c>
    </row>
    <row r="14" spans="2:23">
      <c r="B14" s="50" t="s">
        <v>3590</v>
      </c>
      <c r="C14" s="50">
        <v>12</v>
      </c>
      <c r="D14" s="50" t="s">
        <v>4249</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3592</v>
      </c>
      <c r="C15" s="50">
        <v>13</v>
      </c>
      <c r="D15" s="50" t="s">
        <v>4250</v>
      </c>
      <c r="E15" s="111">
        <v>45492</v>
      </c>
      <c r="F15" s="50">
        <v>1</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4251</v>
      </c>
      <c r="E16" s="111">
        <v>45492</v>
      </c>
      <c r="F16" s="50">
        <v>1</v>
      </c>
      <c r="G16" s="209">
        <v>1</v>
      </c>
      <c r="H16" s="50">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c r="B17" s="50" t="s">
        <v>3596</v>
      </c>
      <c r="C17" s="50">
        <v>15</v>
      </c>
      <c r="D17" s="50" t="s">
        <v>4252</v>
      </c>
      <c r="E17" s="111">
        <v>45492</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c r="B18" s="50" t="s">
        <v>3598</v>
      </c>
      <c r="C18" s="50">
        <v>16</v>
      </c>
      <c r="D18" s="50" t="s">
        <v>4252</v>
      </c>
      <c r="E18" s="111">
        <v>45492</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c r="B19" s="50" t="s">
        <v>3604</v>
      </c>
      <c r="C19" s="50">
        <v>19</v>
      </c>
      <c r="D19" s="50" t="s">
        <v>4253</v>
      </c>
      <c r="E19" s="111">
        <v>45492</v>
      </c>
      <c r="F19" s="50">
        <v>1</v>
      </c>
      <c r="G19" s="209" cm="1">
        <f t="array" ref="G19">SUM(IF(I2:V2 = I24:V24, 1, 0))/ COUNTA(I2:V2)</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c r="B20" s="50" t="s">
        <v>3607</v>
      </c>
      <c r="C20" s="50">
        <v>20</v>
      </c>
      <c r="D20" s="50" t="s">
        <v>4254</v>
      </c>
      <c r="E20" s="111">
        <v>45492</v>
      </c>
      <c r="F20" s="50">
        <v>1</v>
      </c>
      <c r="G20" s="209" cm="1">
        <f t="array" ref="G20">SUM(IF(I2:W2 = I24:W24, 1, 0))/ COUNTA(I2:W2)</f>
        <v>1</v>
      </c>
      <c r="H20" s="50" t="s">
        <v>3621</v>
      </c>
      <c r="I20" s="50"/>
      <c r="J20" s="50"/>
      <c r="K20" s="50"/>
      <c r="L20" s="50"/>
      <c r="M20" s="50"/>
      <c r="N20" s="50"/>
      <c r="O20" s="50"/>
      <c r="P20" s="50"/>
      <c r="Q20" s="50"/>
      <c r="R20" s="50"/>
      <c r="S20" s="50"/>
      <c r="T20" s="50"/>
      <c r="U20" s="50"/>
      <c r="V20" s="50"/>
      <c r="W20" s="50"/>
    </row>
    <row r="21" spans="2:24">
      <c r="B21" s="50" t="s">
        <v>3610</v>
      </c>
      <c r="C21" s="50">
        <v>21</v>
      </c>
      <c r="D21" s="50" t="s">
        <v>4255</v>
      </c>
      <c r="E21" s="111">
        <v>45492</v>
      </c>
      <c r="F21" s="50">
        <v>1</v>
      </c>
      <c r="G21" s="209" cm="1">
        <f t="array" aca="1" ref="G21" ca="1">SUM(IF(IF(G3:G20="null",1,G3:G20)=1,1,0))/COUNT(IF(G3:G20="null",1,1))</f>
        <v>0.94444444444444442</v>
      </c>
      <c r="H21" s="50" t="s">
        <v>3621</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3727</v>
      </c>
    </row>
    <row r="24" spans="2:24">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3662</v>
      </c>
    </row>
    <row r="29" spans="2:24">
      <c r="B29" s="150" t="s">
        <v>3663</v>
      </c>
      <c r="C29" s="150" t="s">
        <v>3664</v>
      </c>
      <c r="D29" s="151" t="s">
        <v>3665</v>
      </c>
      <c r="E29" s="150" t="s">
        <v>3666</v>
      </c>
      <c r="F29" s="150" t="s">
        <v>3667</v>
      </c>
    </row>
    <row r="30" spans="2:24" ht="43.5">
      <c r="B30" s="134" t="s">
        <v>3668</v>
      </c>
      <c r="C30" s="133" t="s">
        <v>305</v>
      </c>
      <c r="D30" s="139" t="s">
        <v>4256</v>
      </c>
      <c r="E30" s="162" t="s">
        <v>4257</v>
      </c>
      <c r="F30"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1" t="s">
        <v>3613</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4153</v>
      </c>
      <c r="Q2" s="91" t="s">
        <v>4154</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c r="B3" s="50" t="s">
        <v>3567</v>
      </c>
      <c r="C3" s="50">
        <v>1</v>
      </c>
      <c r="D3" s="50" t="s">
        <v>4258</v>
      </c>
      <c r="E3" s="111">
        <v>45485</v>
      </c>
      <c r="F3" s="50">
        <v>2</v>
      </c>
      <c r="G3" s="225" t="s">
        <v>4259</v>
      </c>
      <c r="H3" s="198" t="s">
        <v>4260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row>
    <row r="4" spans="2:51">
      <c r="B4" s="50" t="s">
        <v>3569</v>
      </c>
      <c r="C4" s="50">
        <v>2</v>
      </c>
      <c r="D4" s="50" t="s">
        <v>4261</v>
      </c>
      <c r="E4" s="111">
        <v>45485</v>
      </c>
      <c r="F4" s="50">
        <v>2</v>
      </c>
      <c r="G4" s="225">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row>
    <row r="5" spans="2:51">
      <c r="B5" s="50" t="s">
        <v>3571</v>
      </c>
      <c r="C5" s="50">
        <v>3</v>
      </c>
      <c r="D5" s="50" t="s">
        <v>4262</v>
      </c>
      <c r="E5" s="111">
        <v>45485</v>
      </c>
      <c r="F5" s="50">
        <v>2</v>
      </c>
      <c r="G5" s="225">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v>0</v>
      </c>
      <c r="AY5" s="50" t="s">
        <v>3621</v>
      </c>
    </row>
    <row r="6" spans="2:51">
      <c r="B6" s="113" t="s">
        <v>3573</v>
      </c>
      <c r="C6" s="50">
        <v>4</v>
      </c>
      <c r="D6" s="50" t="s">
        <v>3624</v>
      </c>
      <c r="E6" s="111" t="s">
        <v>3621</v>
      </c>
      <c r="F6" s="50">
        <v>2</v>
      </c>
      <c r="G6" s="111"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row>
    <row r="7" spans="2:51">
      <c r="B7" s="50" t="s">
        <v>3575</v>
      </c>
      <c r="C7" s="50">
        <v>5</v>
      </c>
      <c r="D7" s="50" t="s">
        <v>3624</v>
      </c>
      <c r="E7" s="111" t="s">
        <v>3621</v>
      </c>
      <c r="F7" s="50">
        <v>2</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row>
    <row r="8" spans="2:51">
      <c r="B8" s="113" t="s">
        <v>3576</v>
      </c>
      <c r="C8" s="50">
        <v>6</v>
      </c>
      <c r="D8" s="50" t="s">
        <v>4263</v>
      </c>
      <c r="E8" s="111">
        <v>45485</v>
      </c>
      <c r="F8" s="50">
        <v>2</v>
      </c>
      <c r="G8" s="225" cm="1">
        <f t="array" ref="G8">SUMPRODUCT(--(I8:AY8&gt;0))/COUNTA(I8:AY8)</f>
        <v>1</v>
      </c>
      <c r="H8" s="50" t="s">
        <v>3630</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3579</v>
      </c>
      <c r="C9" s="50">
        <v>7</v>
      </c>
      <c r="D9" s="50" t="s">
        <v>4264</v>
      </c>
      <c r="E9" s="111">
        <v>45485</v>
      </c>
      <c r="F9" s="50">
        <v>2</v>
      </c>
      <c r="G9" s="225" t="e" cm="1">
        <f t="array" ref="G9">SUMPRODUCT(--(I9:AY9&lt;=I26:AY26))/COUNTA(I26:AY26)</f>
        <v>#DIV/0!</v>
      </c>
      <c r="H9" s="50" t="s">
        <v>3630</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3582</v>
      </c>
      <c r="C10" s="50">
        <v>8</v>
      </c>
      <c r="D10" s="50" t="s">
        <v>4265</v>
      </c>
      <c r="E10" s="111">
        <v>45485</v>
      </c>
      <c r="F10" s="50">
        <v>2</v>
      </c>
      <c r="G10" s="111" t="s">
        <v>3621</v>
      </c>
      <c r="H10" s="50" t="s">
        <v>3630</v>
      </c>
      <c r="I10" s="50">
        <v>31</v>
      </c>
      <c r="J10" s="50">
        <v>3.1101216902910999E+26</v>
      </c>
      <c r="K10" s="50" t="s">
        <v>4266</v>
      </c>
      <c r="L10" s="50">
        <v>11</v>
      </c>
      <c r="M10" s="50" t="s">
        <v>4221</v>
      </c>
      <c r="N10" s="111" t="e">
        <v>#N/A</v>
      </c>
      <c r="O10" s="50" t="e">
        <v>#N/A</v>
      </c>
      <c r="P10" s="111" t="e">
        <v>#N/A</v>
      </c>
      <c r="Q10" s="111" t="e">
        <v>#N/A</v>
      </c>
      <c r="R10" s="111">
        <v>35711</v>
      </c>
      <c r="S10" s="114">
        <v>39366</v>
      </c>
      <c r="T10" s="50">
        <v>978</v>
      </c>
      <c r="U10" s="50">
        <v>0</v>
      </c>
      <c r="V10" s="50" t="e">
        <v>#N/A</v>
      </c>
      <c r="W10" s="50" t="e">
        <v>#N/A</v>
      </c>
      <c r="X10" s="50" t="e">
        <v>#N/A</v>
      </c>
      <c r="Y10" s="50" t="e">
        <v>#N/A</v>
      </c>
      <c r="Z10" s="50" t="s">
        <v>3630</v>
      </c>
      <c r="AA10" s="50" t="s">
        <v>3630</v>
      </c>
      <c r="AB10" s="50" t="s">
        <v>3630</v>
      </c>
      <c r="AC10" s="114">
        <v>-8696880000</v>
      </c>
      <c r="AD10" s="50" t="s">
        <v>3630</v>
      </c>
      <c r="AE10" s="114">
        <v>-199340000</v>
      </c>
      <c r="AF10" s="50" t="s">
        <v>3630</v>
      </c>
      <c r="AG10" s="50" t="e">
        <v>#N/A</v>
      </c>
      <c r="AH10" s="50" t="e">
        <v>#N/A</v>
      </c>
      <c r="AI10" s="50" t="e">
        <v>#N/A</v>
      </c>
      <c r="AJ10" s="114" t="e">
        <v>#N/A</v>
      </c>
      <c r="AK10" s="50" t="e">
        <v>#N/A</v>
      </c>
      <c r="AL10" s="50" t="e">
        <v>#N/A</v>
      </c>
      <c r="AM10" s="50" t="e">
        <v>#N/A</v>
      </c>
      <c r="AN10" s="50" t="e">
        <v>#N/A</v>
      </c>
      <c r="AO10" s="50" t="e">
        <v>#N/A</v>
      </c>
      <c r="AP10" s="50" t="s">
        <v>4267</v>
      </c>
      <c r="AQ10" s="50" t="s">
        <v>3630</v>
      </c>
      <c r="AR10" s="50" t="s">
        <v>4267</v>
      </c>
      <c r="AS10" s="50" t="s">
        <v>3630</v>
      </c>
      <c r="AT10" s="50">
        <v>0</v>
      </c>
      <c r="AU10" s="50" t="s">
        <v>3631</v>
      </c>
      <c r="AV10" s="50" t="s">
        <v>4268</v>
      </c>
      <c r="AW10" s="50" t="s">
        <v>3752</v>
      </c>
      <c r="AX10" s="111">
        <v>45503</v>
      </c>
      <c r="AY10" s="50" t="s">
        <v>4269</v>
      </c>
    </row>
    <row r="11" spans="2:51">
      <c r="B11" s="50" t="s">
        <v>3584</v>
      </c>
      <c r="C11" s="50">
        <v>9</v>
      </c>
      <c r="D11" s="50" t="s">
        <v>4270</v>
      </c>
      <c r="E11" s="111">
        <v>45485</v>
      </c>
      <c r="F11" s="50">
        <v>2</v>
      </c>
      <c r="G11" s="111" t="s">
        <v>3621</v>
      </c>
      <c r="H11" s="50" t="s">
        <v>3630</v>
      </c>
      <c r="I11" s="50">
        <v>31</v>
      </c>
      <c r="J11" s="50">
        <v>3.1101216902910999E+26</v>
      </c>
      <c r="K11" s="50"/>
      <c r="L11" s="50">
        <v>11</v>
      </c>
      <c r="M11" s="50" t="s">
        <v>4221</v>
      </c>
      <c r="N11" s="111"/>
      <c r="O11" s="50" t="e">
        <v>#N/A</v>
      </c>
      <c r="P11" s="50"/>
      <c r="Q11" s="50" t="e">
        <v>#N/A</v>
      </c>
      <c r="R11" s="111">
        <v>35711</v>
      </c>
      <c r="S11" s="111">
        <v>39366</v>
      </c>
      <c r="T11" s="50">
        <v>978</v>
      </c>
      <c r="U11" s="50">
        <v>0</v>
      </c>
      <c r="V11" s="50" t="e">
        <v>#N/A</v>
      </c>
      <c r="W11" s="50">
        <v>0</v>
      </c>
      <c r="X11" s="50" t="s">
        <v>4271</v>
      </c>
      <c r="Y11" s="50">
        <v>3</v>
      </c>
      <c r="Z11" s="50">
        <v>0</v>
      </c>
      <c r="AA11" s="50">
        <v>0</v>
      </c>
      <c r="AB11" s="114" t="s">
        <v>3630</v>
      </c>
      <c r="AC11" s="50" t="s">
        <v>4272</v>
      </c>
      <c r="AD11" s="114" t="s">
        <v>3630</v>
      </c>
      <c r="AE11" s="114">
        <v>-199340000</v>
      </c>
      <c r="AF11" s="50" t="s">
        <v>3630</v>
      </c>
      <c r="AG11" s="50" t="e">
        <v>#N/A</v>
      </c>
      <c r="AH11" s="50" t="s">
        <v>3630</v>
      </c>
      <c r="AI11" s="50" t="e">
        <v>#N/A</v>
      </c>
      <c r="AJ11" s="114">
        <v>5300000</v>
      </c>
      <c r="AK11" s="50" t="e">
        <v>#N/A</v>
      </c>
      <c r="AL11" s="50" t="s">
        <v>3630</v>
      </c>
      <c r="AM11" s="50" t="e">
        <v>#N/A</v>
      </c>
      <c r="AN11" s="50" t="s">
        <v>3630</v>
      </c>
      <c r="AO11" s="50">
        <v>1</v>
      </c>
      <c r="AP11" s="50" t="e">
        <v>#N/A</v>
      </c>
      <c r="AQ11" s="50" t="s">
        <v>4271</v>
      </c>
      <c r="AR11" s="50" t="e">
        <v>#N/A</v>
      </c>
      <c r="AS11" s="50" t="s">
        <v>4271</v>
      </c>
      <c r="AT11" s="50">
        <v>0</v>
      </c>
      <c r="AU11" s="50">
        <v>0</v>
      </c>
      <c r="AV11" s="50" t="s">
        <v>3636</v>
      </c>
      <c r="AW11" s="50" t="s">
        <v>3752</v>
      </c>
      <c r="AX11" s="111">
        <v>45503</v>
      </c>
      <c r="AY11" s="50" t="s">
        <v>4273</v>
      </c>
    </row>
    <row r="12" spans="2:51">
      <c r="B12" s="113" t="s">
        <v>3586</v>
      </c>
      <c r="C12" s="50">
        <v>10</v>
      </c>
      <c r="D12" s="50" t="s">
        <v>4274</v>
      </c>
      <c r="E12" s="111">
        <v>45485</v>
      </c>
      <c r="F12" s="50">
        <v>2</v>
      </c>
      <c r="G12" s="111" t="s">
        <v>3621</v>
      </c>
      <c r="H12" s="50" t="s">
        <v>3630</v>
      </c>
      <c r="I12" s="50">
        <v>31</v>
      </c>
      <c r="J12" s="201">
        <v>5.1317900200110001E+27</v>
      </c>
      <c r="K12" s="50" t="s">
        <v>4266</v>
      </c>
      <c r="L12" s="50">
        <v>29</v>
      </c>
      <c r="M12" s="111" t="s">
        <v>4226</v>
      </c>
      <c r="N12" s="111">
        <v>31</v>
      </c>
      <c r="O12" s="114">
        <v>9.9999999999999903E+29</v>
      </c>
      <c r="P12" s="209">
        <v>31</v>
      </c>
      <c r="Q12" s="111">
        <v>5131790020011</v>
      </c>
      <c r="R12" s="111">
        <v>45504</v>
      </c>
      <c r="S12" s="173" t="s">
        <v>4275</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4267</v>
      </c>
      <c r="AQ12" s="114">
        <v>28000000</v>
      </c>
      <c r="AR12" s="50" t="s">
        <v>4267</v>
      </c>
      <c r="AS12" s="114">
        <v>28000000</v>
      </c>
      <c r="AT12" s="50">
        <v>1</v>
      </c>
      <c r="AU12" s="50" t="s">
        <v>3640</v>
      </c>
      <c r="AV12" s="50" t="s">
        <v>4276</v>
      </c>
      <c r="AW12" s="50" t="s">
        <v>3641</v>
      </c>
      <c r="AX12" s="111">
        <v>45503</v>
      </c>
      <c r="AY12" s="50" t="s">
        <v>4269</v>
      </c>
    </row>
    <row r="13" spans="2:51">
      <c r="B13" s="50" t="s">
        <v>3588</v>
      </c>
      <c r="C13" s="50">
        <v>11</v>
      </c>
      <c r="D13" s="50" t="s">
        <v>4277</v>
      </c>
      <c r="E13" s="111">
        <v>45485</v>
      </c>
      <c r="F13" s="50">
        <v>2</v>
      </c>
      <c r="G13" s="111" t="s">
        <v>3621</v>
      </c>
      <c r="H13" s="50" t="s">
        <v>3630</v>
      </c>
      <c r="I13" s="50">
        <v>31</v>
      </c>
      <c r="J13" s="201">
        <v>5.1317900200110001E+27</v>
      </c>
      <c r="K13" s="50"/>
      <c r="L13" s="50">
        <v>29</v>
      </c>
      <c r="M13" s="111" t="s">
        <v>4226</v>
      </c>
      <c r="N13" s="111">
        <v>31</v>
      </c>
      <c r="O13" s="114">
        <v>9.9999999999999903E+29</v>
      </c>
      <c r="P13" s="111">
        <v>31</v>
      </c>
      <c r="Q13" s="50">
        <v>5131790020011</v>
      </c>
      <c r="R13" s="111">
        <v>45504</v>
      </c>
      <c r="S13" s="111">
        <v>2958465</v>
      </c>
      <c r="T13" s="50" t="s">
        <v>3639</v>
      </c>
      <c r="U13" s="50">
        <v>1</v>
      </c>
      <c r="V13" s="50">
        <v>3</v>
      </c>
      <c r="W13" s="50">
        <v>93</v>
      </c>
      <c r="X13" s="50" t="s">
        <v>4278</v>
      </c>
      <c r="Y13" s="114">
        <v>36</v>
      </c>
      <c r="Z13" s="111" t="s">
        <v>4279</v>
      </c>
      <c r="AA13" s="111" t="s">
        <v>4279</v>
      </c>
      <c r="AB13" s="114">
        <v>494947820000</v>
      </c>
      <c r="AC13" s="50" t="s">
        <v>4280</v>
      </c>
      <c r="AD13" s="114">
        <v>9727520000</v>
      </c>
      <c r="AE13" s="114">
        <v>67544900000</v>
      </c>
      <c r="AF13" s="114">
        <v>20457260000</v>
      </c>
      <c r="AG13" s="111" t="e">
        <v>#N/A</v>
      </c>
      <c r="AH13" s="114">
        <v>2096690000</v>
      </c>
      <c r="AI13" s="114">
        <v>45488</v>
      </c>
      <c r="AJ13" s="114">
        <v>2093980000</v>
      </c>
      <c r="AK13" s="50" t="e">
        <v>#N/A</v>
      </c>
      <c r="AL13" s="114" t="s">
        <v>3630</v>
      </c>
      <c r="AM13" s="111">
        <v>45504</v>
      </c>
      <c r="AN13" s="114">
        <v>2093980000</v>
      </c>
      <c r="AO13" s="114">
        <v>36</v>
      </c>
      <c r="AP13" s="50" t="s">
        <v>4267</v>
      </c>
      <c r="AQ13" s="50" t="s">
        <v>4281</v>
      </c>
      <c r="AR13" s="50" t="s">
        <v>4267</v>
      </c>
      <c r="AS13" s="50" t="s">
        <v>4281</v>
      </c>
      <c r="AT13" s="50">
        <v>1</v>
      </c>
      <c r="AU13" s="50" t="s">
        <v>4282</v>
      </c>
      <c r="AV13" s="50" t="s">
        <v>3636</v>
      </c>
      <c r="AW13" s="50" t="s">
        <v>3641</v>
      </c>
      <c r="AX13" s="111">
        <v>45503</v>
      </c>
      <c r="AY13" s="50" t="s">
        <v>4283</v>
      </c>
    </row>
    <row r="14" spans="2:51">
      <c r="B14" s="50" t="s">
        <v>3590</v>
      </c>
      <c r="C14" s="50">
        <v>12</v>
      </c>
      <c r="D14" s="50" t="s">
        <v>4284</v>
      </c>
      <c r="E14" s="111">
        <v>45485</v>
      </c>
      <c r="F14" s="50">
        <v>2</v>
      </c>
      <c r="G14" s="225" t="s">
        <v>4285</v>
      </c>
      <c r="H14" s="50" t="s">
        <v>3630</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3592</v>
      </c>
      <c r="C15" s="50">
        <v>13</v>
      </c>
      <c r="D15" s="50" t="s">
        <v>4286</v>
      </c>
      <c r="E15" s="111">
        <v>45485</v>
      </c>
      <c r="F15" s="50">
        <v>2</v>
      </c>
      <c r="G15" s="225">
        <v>1</v>
      </c>
      <c r="H15" s="50" t="s">
        <v>3630</v>
      </c>
      <c r="I15" s="50" t="s">
        <v>3621</v>
      </c>
      <c r="J15" s="50" t="s">
        <v>3621</v>
      </c>
      <c r="K15" s="50" t="s">
        <v>3621</v>
      </c>
      <c r="L15" s="50" t="s">
        <v>3621</v>
      </c>
      <c r="M15" s="50" t="s">
        <v>3621</v>
      </c>
      <c r="N15" s="50" t="s">
        <v>3621</v>
      </c>
      <c r="O15" s="50" t="s">
        <v>3621</v>
      </c>
      <c r="P15" s="50" t="s">
        <v>3621</v>
      </c>
      <c r="Q15" s="50" t="s">
        <v>3621</v>
      </c>
      <c r="R15" s="50">
        <v>0</v>
      </c>
      <c r="S15" s="50">
        <v>0</v>
      </c>
      <c r="T15" s="50"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v>0</v>
      </c>
      <c r="AH15" s="50" t="s">
        <v>3621</v>
      </c>
      <c r="AI15" s="50">
        <v>0</v>
      </c>
      <c r="AJ15" s="50" t="s">
        <v>3621</v>
      </c>
      <c r="AK15" s="50">
        <v>0</v>
      </c>
      <c r="AL15" s="50" t="s">
        <v>3621</v>
      </c>
      <c r="AM15" s="50">
        <v>0</v>
      </c>
      <c r="AN15" s="50" t="s">
        <v>3621</v>
      </c>
      <c r="AO15" s="50" t="s">
        <v>3621</v>
      </c>
      <c r="AP15" s="50" t="s">
        <v>3621</v>
      </c>
      <c r="AQ15" s="50" t="s">
        <v>3621</v>
      </c>
      <c r="AR15" s="50" t="s">
        <v>3621</v>
      </c>
      <c r="AS15" s="50" t="s">
        <v>3621</v>
      </c>
      <c r="AT15" s="50" t="s">
        <v>3621</v>
      </c>
      <c r="AU15" s="50" t="s">
        <v>3621</v>
      </c>
      <c r="AV15" s="50" t="s">
        <v>3621</v>
      </c>
      <c r="AW15" s="50" t="s">
        <v>3621</v>
      </c>
      <c r="AX15" s="50">
        <v>0</v>
      </c>
      <c r="AY15" s="50" t="s">
        <v>3621</v>
      </c>
    </row>
    <row r="16" spans="2:51">
      <c r="B16" s="50" t="s">
        <v>3594</v>
      </c>
      <c r="C16" s="50">
        <v>14</v>
      </c>
      <c r="D16" s="50" t="s">
        <v>4287</v>
      </c>
      <c r="E16" s="111">
        <v>45485</v>
      </c>
      <c r="F16" s="50">
        <v>2</v>
      </c>
      <c r="G16" s="225">
        <v>1</v>
      </c>
      <c r="H16" s="50" t="s">
        <v>3630</v>
      </c>
      <c r="I16" s="50" t="s">
        <v>3621</v>
      </c>
      <c r="J16" s="50" t="s">
        <v>3621</v>
      </c>
      <c r="K16" s="50">
        <v>0</v>
      </c>
      <c r="L16" s="50">
        <v>0</v>
      </c>
      <c r="M16" s="50">
        <v>0</v>
      </c>
      <c r="N16" s="50">
        <v>0</v>
      </c>
      <c r="O16" s="50">
        <v>0</v>
      </c>
      <c r="P16" s="50">
        <v>0</v>
      </c>
      <c r="Q16" s="50">
        <v>0</v>
      </c>
      <c r="R16" s="50">
        <v>0</v>
      </c>
      <c r="S16" s="50">
        <v>0</v>
      </c>
      <c r="T16" s="50">
        <v>0</v>
      </c>
      <c r="U16" s="50" t="s">
        <v>3621</v>
      </c>
      <c r="V16" s="50">
        <v>0</v>
      </c>
      <c r="W16" s="50" t="s">
        <v>3621</v>
      </c>
      <c r="X16" s="50" t="s">
        <v>3621</v>
      </c>
      <c r="Y16" s="50" t="s">
        <v>3621</v>
      </c>
      <c r="Z16" s="50" t="s">
        <v>3621</v>
      </c>
      <c r="AA16" s="50" t="s">
        <v>3621</v>
      </c>
      <c r="AB16" s="50" t="s">
        <v>3621</v>
      </c>
      <c r="AC16" s="50" t="s">
        <v>3621</v>
      </c>
      <c r="AD16" s="50" t="s">
        <v>3621</v>
      </c>
      <c r="AE16" s="50" t="s">
        <v>3621</v>
      </c>
      <c r="AF16" s="50" t="s">
        <v>3621</v>
      </c>
      <c r="AG16" s="50">
        <v>0</v>
      </c>
      <c r="AH16" s="50" t="s">
        <v>3621</v>
      </c>
      <c r="AI16" s="50">
        <v>0</v>
      </c>
      <c r="AJ16" s="50" t="s">
        <v>3621</v>
      </c>
      <c r="AK16" s="50">
        <v>0</v>
      </c>
      <c r="AL16" s="50" t="s">
        <v>3621</v>
      </c>
      <c r="AM16" s="50">
        <v>0</v>
      </c>
      <c r="AN16" s="50" t="s">
        <v>3621</v>
      </c>
      <c r="AO16" s="50" t="s">
        <v>3621</v>
      </c>
      <c r="AP16" s="50">
        <v>0</v>
      </c>
      <c r="AQ16" s="50" t="s">
        <v>3621</v>
      </c>
      <c r="AR16" s="50">
        <v>0</v>
      </c>
      <c r="AS16" s="50" t="s">
        <v>3621</v>
      </c>
      <c r="AT16" s="50" t="s">
        <v>3621</v>
      </c>
      <c r="AU16" s="50">
        <v>0</v>
      </c>
      <c r="AV16" s="50">
        <v>0</v>
      </c>
      <c r="AW16" s="50">
        <v>0</v>
      </c>
      <c r="AX16" s="50" t="s">
        <v>3621</v>
      </c>
      <c r="AY16" s="50" t="s">
        <v>3621</v>
      </c>
    </row>
    <row r="17" spans="2:51">
      <c r="B17" s="50" t="s">
        <v>3596</v>
      </c>
      <c r="C17" s="50">
        <v>15</v>
      </c>
      <c r="D17" s="50" t="s">
        <v>4288</v>
      </c>
      <c r="E17" s="111">
        <v>45485</v>
      </c>
      <c r="F17" s="50">
        <v>2</v>
      </c>
      <c r="G17" s="225" t="s">
        <v>4259</v>
      </c>
      <c r="H17" s="198" t="s">
        <v>4289</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row>
    <row r="18" spans="2:51">
      <c r="B18" s="50" t="s">
        <v>3598</v>
      </c>
      <c r="C18" s="50">
        <v>16</v>
      </c>
      <c r="D18" s="50" t="s">
        <v>4288</v>
      </c>
      <c r="E18" s="111">
        <v>45485</v>
      </c>
      <c r="F18" s="50">
        <v>2</v>
      </c>
      <c r="G18" s="225">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row>
    <row r="19" spans="2:51">
      <c r="B19" s="229" t="s">
        <v>4290</v>
      </c>
      <c r="C19" s="50">
        <v>19</v>
      </c>
      <c r="D19" s="50" t="s">
        <v>4291</v>
      </c>
      <c r="E19" s="111">
        <v>45485</v>
      </c>
      <c r="F19" s="50">
        <v>2</v>
      </c>
      <c r="G19" s="225" t="e" cm="1" vm="1">
        <f t="array" ref="G19">SUM(IF(I2:AY2 = I24:AY24, 1, 0))/ COUNTA(I2:AY2)</f>
        <v>#VALUE!</v>
      </c>
      <c r="H19" s="50" t="s">
        <v>3630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3655</v>
      </c>
      <c r="X19" s="50" t="s">
        <v>3655</v>
      </c>
      <c r="Y19" s="50" t="s">
        <v>3655</v>
      </c>
      <c r="Z19" s="50" t="s">
        <v>3656</v>
      </c>
      <c r="AA19" s="50" t="s">
        <v>3656</v>
      </c>
      <c r="AB19" s="50" t="s">
        <v>3656</v>
      </c>
      <c r="AC19" s="50" t="s">
        <v>3656</v>
      </c>
      <c r="AD19" s="50" t="s">
        <v>3656</v>
      </c>
      <c r="AE19" s="50" t="s">
        <v>3656</v>
      </c>
      <c r="AF19" s="50" t="s">
        <v>3656</v>
      </c>
      <c r="AG19" s="50" t="s">
        <v>3655</v>
      </c>
      <c r="AH19" s="50" t="s">
        <v>3655</v>
      </c>
      <c r="AI19" s="50" t="s">
        <v>3655</v>
      </c>
      <c r="AJ19" s="50" t="s">
        <v>3655</v>
      </c>
      <c r="AK19" s="50" t="s">
        <v>3655</v>
      </c>
      <c r="AL19" s="50" t="s">
        <v>3655</v>
      </c>
      <c r="AM19" s="50" t="s">
        <v>3655</v>
      </c>
      <c r="AN19" s="50" t="s">
        <v>3655</v>
      </c>
      <c r="AO19" s="50" t="s">
        <v>3655</v>
      </c>
      <c r="AP19" s="50" t="s">
        <v>3655</v>
      </c>
      <c r="AQ19" s="50" t="s">
        <v>3656</v>
      </c>
      <c r="AR19" s="50" t="s">
        <v>3655</v>
      </c>
      <c r="AS19" s="50" t="s">
        <v>3656</v>
      </c>
      <c r="AT19" s="50" t="s">
        <v>3655</v>
      </c>
      <c r="AU19" s="50" t="s">
        <v>3655</v>
      </c>
      <c r="AV19" s="50" t="s">
        <v>3655</v>
      </c>
      <c r="AW19" s="50" t="s">
        <v>3655</v>
      </c>
      <c r="AX19" s="50" t="s">
        <v>3655</v>
      </c>
      <c r="AY19" s="50" t="s">
        <v>3657</v>
      </c>
    </row>
    <row r="20" spans="2:51">
      <c r="B20" s="50" t="s">
        <v>3607</v>
      </c>
      <c r="C20" s="50">
        <v>20</v>
      </c>
      <c r="D20" s="50" t="s">
        <v>4292</v>
      </c>
      <c r="E20" s="111">
        <v>45503</v>
      </c>
      <c r="F20" s="50">
        <v>2</v>
      </c>
      <c r="G20" s="209" t="e" cm="1" vm="1">
        <f t="array" ref="G20">SUM(IF(I2:AY2 = I24:AY24, 1, 0))/ COUNTA(I2:AY2)</f>
        <v>#VALUE!</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row>
    <row r="21" spans="2:51">
      <c r="B21" s="50" t="s">
        <v>3610</v>
      </c>
      <c r="C21" s="50">
        <v>21</v>
      </c>
      <c r="D21" s="50" t="s">
        <v>4292</v>
      </c>
      <c r="E21" s="111">
        <v>45503</v>
      </c>
      <c r="F21" s="50">
        <v>2</v>
      </c>
      <c r="G21" s="209" t="e" cm="1">
        <f t="array" ref="G21">SUM(IF(IF(G3:G20="null",1,G3:G20)=1,1,0))/COUNT(IF(G3:G20="null",1,1))</f>
        <v>#DIV/0!</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c r="X21" s="50" t="s">
        <v>3621</v>
      </c>
      <c r="Y21" s="50" t="s">
        <v>3621</v>
      </c>
      <c r="Z21" s="50" t="s">
        <v>3621</v>
      </c>
      <c r="AA21" s="50" t="s">
        <v>3621</v>
      </c>
      <c r="AB21" s="50" t="s">
        <v>3621</v>
      </c>
      <c r="AC21" s="50" t="s">
        <v>3621</v>
      </c>
      <c r="AD21" s="50" t="s">
        <v>3621</v>
      </c>
      <c r="AE21" s="50" t="s">
        <v>3621</v>
      </c>
      <c r="AF21" s="50" t="s">
        <v>3621</v>
      </c>
      <c r="AG21" s="50" t="s">
        <v>3621</v>
      </c>
      <c r="AH21" s="50" t="s">
        <v>3621</v>
      </c>
      <c r="AI21" s="50" t="s">
        <v>3621</v>
      </c>
      <c r="AJ21" s="50" t="s">
        <v>3621</v>
      </c>
      <c r="AK21" s="50" t="s">
        <v>3621</v>
      </c>
      <c r="AL21" s="50" t="s">
        <v>3621</v>
      </c>
      <c r="AM21" s="50" t="s">
        <v>3621</v>
      </c>
      <c r="AN21" s="50" t="s">
        <v>3621</v>
      </c>
      <c r="AO21" s="50" t="s">
        <v>3621</v>
      </c>
      <c r="AP21" s="50" t="s">
        <v>3621</v>
      </c>
      <c r="AQ21" s="50" t="s">
        <v>3621</v>
      </c>
      <c r="AR21" s="50" t="s">
        <v>3621</v>
      </c>
      <c r="AS21" s="50" t="s">
        <v>3621</v>
      </c>
      <c r="AT21" s="50" t="s">
        <v>3621</v>
      </c>
      <c r="AU21" s="50" t="s">
        <v>3621</v>
      </c>
      <c r="AV21" s="50" t="s">
        <v>3621</v>
      </c>
      <c r="AW21" s="50" t="s">
        <v>3621</v>
      </c>
      <c r="AX21" s="50" t="s">
        <v>3621</v>
      </c>
      <c r="AY21" s="50" t="s">
        <v>3621</v>
      </c>
    </row>
    <row r="22" spans="2:51">
      <c r="B22" s="50"/>
      <c r="C22" s="50"/>
      <c r="D22" s="50"/>
      <c r="E22" s="111"/>
      <c r="F22" s="50"/>
      <c r="G22" s="50"/>
      <c r="H22" s="50"/>
      <c r="I22" s="50"/>
      <c r="J22" s="50"/>
      <c r="K22" s="50"/>
      <c r="L22" s="50"/>
      <c r="M22" s="50"/>
      <c r="N22" s="50"/>
      <c r="O22" s="50"/>
      <c r="P22" s="50"/>
      <c r="Q22" s="50"/>
      <c r="R22" s="50"/>
      <c r="S22" s="50"/>
    </row>
    <row r="23" spans="2:51">
      <c r="B23" s="146" t="s">
        <v>3727</v>
      </c>
    </row>
    <row r="24" spans="2:51">
      <c r="B24" s="144" t="s">
        <v>3613</v>
      </c>
      <c r="C24" s="145" t="s">
        <v>3614</v>
      </c>
      <c r="D24" s="145" t="s">
        <v>3615</v>
      </c>
      <c r="E24" s="145" t="s">
        <v>3616</v>
      </c>
      <c r="F24" s="145" t="s">
        <v>3617</v>
      </c>
      <c r="G24" s="145" t="s">
        <v>3618</v>
      </c>
      <c r="H24" s="145" t="s">
        <v>3619</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c r="B25" s="123" t="s">
        <v>3658</v>
      </c>
      <c r="C25" s="126">
        <v>21</v>
      </c>
      <c r="D25" s="120" t="s">
        <v>3659</v>
      </c>
      <c r="E25" s="119" t="s">
        <v>3660</v>
      </c>
      <c r="F25" s="119" t="s">
        <v>372</v>
      </c>
      <c r="G25" s="119" t="s">
        <v>372</v>
      </c>
      <c r="H25" s="119" t="s">
        <v>372</v>
      </c>
      <c r="I25" s="119"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c r="B26" s="123" t="s">
        <v>3661</v>
      </c>
      <c r="C26" s="126">
        <v>7</v>
      </c>
      <c r="D26" s="120" t="s">
        <v>3659</v>
      </c>
      <c r="E26" s="119" t="s">
        <v>3660</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c r="B28" s="156" t="s">
        <v>3662</v>
      </c>
    </row>
    <row r="29" spans="2:51">
      <c r="B29" s="150" t="s">
        <v>3663</v>
      </c>
      <c r="C29" s="150" t="s">
        <v>3664</v>
      </c>
      <c r="D29" s="151" t="s">
        <v>3665</v>
      </c>
      <c r="E29" s="150" t="s">
        <v>3666</v>
      </c>
      <c r="F29" s="150" t="s">
        <v>3667</v>
      </c>
    </row>
    <row r="30" spans="2:51" ht="43.5">
      <c r="B30" s="153" t="s">
        <v>3668</v>
      </c>
      <c r="C30" s="154" t="s">
        <v>4293</v>
      </c>
      <c r="D30" s="253" t="s">
        <v>4294</v>
      </c>
      <c r="E30" s="254" t="s">
        <v>4295</v>
      </c>
      <c r="F30" s="205" t="s">
        <v>3677</v>
      </c>
      <c r="H30" s="251"/>
      <c r="J30" t="s">
        <v>4296</v>
      </c>
      <c r="K30">
        <v>20748</v>
      </c>
    </row>
    <row r="31" spans="2:51" ht="43.5">
      <c r="B31" s="153" t="s">
        <v>3668</v>
      </c>
      <c r="C31" s="154" t="s">
        <v>649</v>
      </c>
      <c r="D31" s="253" t="s">
        <v>4297</v>
      </c>
      <c r="E31" s="254" t="s">
        <v>4298</v>
      </c>
      <c r="F31" s="205" t="s">
        <v>3674</v>
      </c>
      <c r="H31" s="252"/>
      <c r="J31" t="s">
        <v>4299</v>
      </c>
      <c r="K31">
        <v>760260</v>
      </c>
      <c r="L31">
        <f>K31+K30</f>
        <v>781008</v>
      </c>
    </row>
    <row r="32" spans="2:51" ht="29.1">
      <c r="B32" s="153" t="s">
        <v>3668</v>
      </c>
      <c r="C32" s="131" t="s">
        <v>715</v>
      </c>
      <c r="D32" s="255" t="s">
        <v>4300</v>
      </c>
      <c r="E32" s="162" t="s">
        <v>4301</v>
      </c>
      <c r="F32" s="152" t="s">
        <v>3674</v>
      </c>
      <c r="J32" t="s">
        <v>4302</v>
      </c>
      <c r="K32">
        <v>8461</v>
      </c>
      <c r="L32">
        <f>K31+K32</f>
        <v>768721</v>
      </c>
      <c r="M32">
        <f>L31+K32</f>
        <v>789469</v>
      </c>
    </row>
    <row r="33" spans="2:12" ht="72.599999999999994">
      <c r="B33" s="153" t="s">
        <v>3668</v>
      </c>
      <c r="C33" s="131" t="s">
        <v>1458</v>
      </c>
      <c r="D33" s="255" t="s">
        <v>4303</v>
      </c>
      <c r="E33" s="162" t="s">
        <v>4304</v>
      </c>
      <c r="F33" s="205" t="s">
        <v>3671</v>
      </c>
      <c r="J33" t="s">
        <v>4305</v>
      </c>
      <c r="K33">
        <v>26</v>
      </c>
    </row>
    <row r="34" spans="2:12" ht="101.45">
      <c r="B34" s="153" t="s">
        <v>3668</v>
      </c>
      <c r="C34" s="131" t="s">
        <v>1467</v>
      </c>
      <c r="D34" s="255" t="s">
        <v>4306</v>
      </c>
      <c r="E34" s="162" t="s">
        <v>4307</v>
      </c>
      <c r="F34" s="152" t="s">
        <v>3671</v>
      </c>
      <c r="J34" t="s">
        <v>4308</v>
      </c>
      <c r="K34">
        <v>478</v>
      </c>
      <c r="L34">
        <f>K32+K34</f>
        <v>8939</v>
      </c>
    </row>
    <row r="35" spans="2:12" ht="72.599999999999994">
      <c r="B35" s="127" t="s">
        <v>3668</v>
      </c>
      <c r="C35" s="131" t="s">
        <v>1473</v>
      </c>
      <c r="D35" s="255" t="s">
        <v>4309</v>
      </c>
      <c r="E35" s="162" t="s">
        <v>4310</v>
      </c>
      <c r="F35" s="152" t="s">
        <v>3838</v>
      </c>
      <c r="K35">
        <f>SUM(K30:K34)</f>
        <v>789973</v>
      </c>
    </row>
    <row r="36" spans="2:12" ht="72.599999999999994">
      <c r="B36" s="127" t="s">
        <v>3668</v>
      </c>
      <c r="C36" s="131" t="s">
        <v>1481</v>
      </c>
      <c r="D36" s="255" t="s">
        <v>4309</v>
      </c>
      <c r="E36" s="162" t="s">
        <v>4311</v>
      </c>
      <c r="F36" s="152" t="s">
        <v>3838</v>
      </c>
    </row>
    <row r="37" spans="2:12" ht="116.1">
      <c r="B37" s="127" t="s">
        <v>3668</v>
      </c>
      <c r="C37" s="131" t="s">
        <v>429</v>
      </c>
      <c r="D37" s="255" t="s">
        <v>4312</v>
      </c>
      <c r="E37" s="162" t="s">
        <v>4313</v>
      </c>
      <c r="F37" s="152" t="s">
        <v>3671</v>
      </c>
    </row>
    <row r="38" spans="2:12" ht="116.1">
      <c r="B38" s="127" t="s">
        <v>3668</v>
      </c>
      <c r="C38" s="131" t="s">
        <v>439</v>
      </c>
      <c r="D38" s="255" t="s">
        <v>4312</v>
      </c>
      <c r="E38" s="162" t="s">
        <v>4313</v>
      </c>
      <c r="F38" s="152" t="s">
        <v>4314</v>
      </c>
    </row>
    <row r="39" spans="2:12" ht="43.5">
      <c r="B39" s="134" t="s">
        <v>3668</v>
      </c>
      <c r="C39" s="133" t="s">
        <v>1501</v>
      </c>
      <c r="D39" s="256" t="s">
        <v>4315</v>
      </c>
      <c r="E39" s="162" t="s">
        <v>4316</v>
      </c>
      <c r="F39" s="152" t="s">
        <v>3674</v>
      </c>
    </row>
    <row r="40" spans="2:12" ht="87">
      <c r="B40" s="127" t="s">
        <v>3668</v>
      </c>
      <c r="C40" s="131" t="s">
        <v>1508</v>
      </c>
      <c r="D40" s="256" t="s">
        <v>4317</v>
      </c>
      <c r="E40" s="162" t="s">
        <v>4318</v>
      </c>
      <c r="F40" s="205" t="s">
        <v>3671</v>
      </c>
    </row>
    <row r="41" spans="2:12" ht="87">
      <c r="B41" s="127" t="s">
        <v>3668</v>
      </c>
      <c r="C41" s="131" t="s">
        <v>1515</v>
      </c>
      <c r="D41" s="256" t="s">
        <v>4319</v>
      </c>
      <c r="E41" s="162" t="s">
        <v>4318</v>
      </c>
      <c r="F41" s="205" t="s">
        <v>3671</v>
      </c>
    </row>
    <row r="42" spans="2:12" ht="87">
      <c r="B42" s="127" t="s">
        <v>3668</v>
      </c>
      <c r="C42" s="131" t="s">
        <v>1522</v>
      </c>
      <c r="D42" s="256" t="s">
        <v>4320</v>
      </c>
      <c r="E42" s="162" t="s">
        <v>4318</v>
      </c>
      <c r="F42" s="205" t="s">
        <v>3671</v>
      </c>
    </row>
    <row r="43" spans="2:12" ht="87">
      <c r="B43" s="127" t="s">
        <v>3668</v>
      </c>
      <c r="C43" s="131" t="s">
        <v>785</v>
      </c>
      <c r="D43" s="256" t="s">
        <v>4321</v>
      </c>
      <c r="E43" s="162" t="s">
        <v>4318</v>
      </c>
      <c r="F43" s="205" t="s">
        <v>3671</v>
      </c>
    </row>
    <row r="44" spans="2:12" ht="101.45">
      <c r="B44" s="153" t="s">
        <v>3668</v>
      </c>
      <c r="C44" s="154" t="s">
        <v>305</v>
      </c>
      <c r="D44" s="257" t="s">
        <v>4322</v>
      </c>
      <c r="E44" s="163" t="s">
        <v>4323</v>
      </c>
      <c r="F44" s="205" t="s">
        <v>3677</v>
      </c>
    </row>
    <row r="45" spans="2:12" ht="29.1">
      <c r="B45" s="127" t="s">
        <v>3678</v>
      </c>
      <c r="C45" s="131" t="s">
        <v>3895</v>
      </c>
      <c r="D45" s="139" t="s">
        <v>4324</v>
      </c>
      <c r="E45" s="162" t="s">
        <v>4325</v>
      </c>
      <c r="F45" s="205" t="s">
        <v>3677</v>
      </c>
    </row>
    <row r="46" spans="2:12" ht="72.599999999999994">
      <c r="B46" s="153" t="s">
        <v>3736</v>
      </c>
      <c r="C46" s="131" t="s">
        <v>3895</v>
      </c>
      <c r="D46" s="257" t="s">
        <v>4326</v>
      </c>
      <c r="E46" s="163" t="s">
        <v>4327</v>
      </c>
      <c r="F46" s="205" t="s">
        <v>4328</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1" t="s">
        <v>3613</v>
      </c>
      <c r="C2" s="91" t="s">
        <v>3614</v>
      </c>
      <c r="D2" s="91" t="s">
        <v>3615</v>
      </c>
      <c r="E2" s="91" t="s">
        <v>4329</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4330</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c r="B3" s="50" t="s">
        <v>3567</v>
      </c>
      <c r="C3" s="50">
        <v>1</v>
      </c>
      <c r="D3" s="50" t="s">
        <v>4331</v>
      </c>
      <c r="E3" s="111">
        <v>45492</v>
      </c>
      <c r="F3" s="50">
        <v>6</v>
      </c>
      <c r="G3" s="225">
        <v>1</v>
      </c>
      <c r="H3" s="114">
        <v>994692</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row>
    <row r="4" spans="2:54">
      <c r="B4" s="50" t="s">
        <v>3569</v>
      </c>
      <c r="C4" s="50">
        <v>2</v>
      </c>
      <c r="D4" s="50" t="s">
        <v>4332</v>
      </c>
      <c r="E4" s="111">
        <v>45492</v>
      </c>
      <c r="F4" s="50">
        <v>6</v>
      </c>
      <c r="G4" s="225">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row>
    <row r="5" spans="2:54">
      <c r="B5" s="50" t="s">
        <v>3571</v>
      </c>
      <c r="C5" s="50">
        <v>3</v>
      </c>
      <c r="D5" s="50" t="s">
        <v>4333</v>
      </c>
      <c r="E5" s="111">
        <v>45492</v>
      </c>
      <c r="F5" s="50">
        <v>6</v>
      </c>
      <c r="G5" s="225">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v>0</v>
      </c>
      <c r="BB5" s="50" t="s">
        <v>3621</v>
      </c>
    </row>
    <row r="6" spans="2:54">
      <c r="B6" s="113" t="s">
        <v>3573</v>
      </c>
      <c r="C6" s="50">
        <v>4</v>
      </c>
      <c r="D6" s="50" t="s">
        <v>3624</v>
      </c>
      <c r="E6" s="111" t="s">
        <v>3621</v>
      </c>
      <c r="F6" s="50">
        <v>6</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row>
    <row r="7" spans="2:54">
      <c r="B7" s="50" t="s">
        <v>3575</v>
      </c>
      <c r="C7" s="50">
        <v>5</v>
      </c>
      <c r="D7" s="50" t="s">
        <v>3624</v>
      </c>
      <c r="E7" s="111" t="s">
        <v>3621</v>
      </c>
      <c r="F7" s="50">
        <v>6</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row>
    <row r="8" spans="2:54">
      <c r="B8" s="113" t="s">
        <v>3576</v>
      </c>
      <c r="C8" s="50">
        <v>6</v>
      </c>
      <c r="D8" s="50" t="s">
        <v>4334</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3579</v>
      </c>
      <c r="C9" s="50">
        <v>7</v>
      </c>
      <c r="D9" s="50" t="s">
        <v>4335</v>
      </c>
      <c r="E9" s="111">
        <v>45492</v>
      </c>
      <c r="F9" s="50">
        <v>6</v>
      </c>
      <c r="G9" s="225"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3582</v>
      </c>
      <c r="C10" s="50">
        <v>8</v>
      </c>
      <c r="D10" s="50" t="s">
        <v>4336</v>
      </c>
      <c r="E10" s="111">
        <v>45492</v>
      </c>
      <c r="F10" s="50">
        <v>6</v>
      </c>
      <c r="G10" s="50" t="s">
        <v>3621</v>
      </c>
      <c r="H10" s="50" t="s">
        <v>3621</v>
      </c>
      <c r="I10" s="50">
        <v>31</v>
      </c>
      <c r="J10" s="50">
        <v>2.317541E+21</v>
      </c>
      <c r="K10" s="50" t="s">
        <v>4337</v>
      </c>
      <c r="L10" s="50">
        <v>96</v>
      </c>
      <c r="M10" s="50">
        <v>1</v>
      </c>
      <c r="N10" s="111">
        <v>31</v>
      </c>
      <c r="O10" s="50">
        <v>1.3033148999999999E+22</v>
      </c>
      <c r="P10" s="111" t="s">
        <v>3629</v>
      </c>
      <c r="Q10" s="111" t="s">
        <v>3629</v>
      </c>
      <c r="R10" s="111">
        <v>578</v>
      </c>
      <c r="S10" s="114">
        <v>0</v>
      </c>
      <c r="T10" s="50">
        <v>0</v>
      </c>
      <c r="U10" s="50" t="s">
        <v>3630</v>
      </c>
      <c r="V10" s="50" t="s">
        <v>3630</v>
      </c>
      <c r="W10" s="50" t="s">
        <v>3630</v>
      </c>
      <c r="X10" s="50" t="s">
        <v>3630</v>
      </c>
      <c r="Y10" s="50" t="s">
        <v>3630</v>
      </c>
      <c r="Z10" s="50" t="s">
        <v>3630</v>
      </c>
      <c r="AA10" s="111" t="s">
        <v>3629</v>
      </c>
      <c r="AB10" s="114">
        <v>-28990000</v>
      </c>
      <c r="AC10" s="114" t="s">
        <v>3630</v>
      </c>
      <c r="AD10" s="111">
        <v>35480</v>
      </c>
      <c r="AE10" s="114">
        <v>-81710000</v>
      </c>
      <c r="AF10" s="111">
        <v>36984</v>
      </c>
      <c r="AG10" s="50" t="s">
        <v>3630</v>
      </c>
      <c r="AH10" s="111">
        <v>38499</v>
      </c>
      <c r="AI10" s="50" t="s">
        <v>4338</v>
      </c>
      <c r="AJ10" s="114">
        <v>1</v>
      </c>
      <c r="AK10" s="50"/>
      <c r="AL10" s="50" t="s">
        <v>4267</v>
      </c>
      <c r="AM10" s="50" t="e">
        <v>#N/A</v>
      </c>
      <c r="AN10" s="114">
        <v>-10000000</v>
      </c>
      <c r="AO10" s="50" t="s">
        <v>3630</v>
      </c>
      <c r="AP10" s="50" t="s">
        <v>3630</v>
      </c>
      <c r="AQ10" s="50" t="s">
        <v>3630</v>
      </c>
      <c r="AR10" s="50" t="s">
        <v>4267</v>
      </c>
      <c r="AS10" s="50" t="e">
        <v>#N/A</v>
      </c>
      <c r="AT10" s="114">
        <v>-11000000</v>
      </c>
      <c r="AU10" s="50" t="s">
        <v>4339</v>
      </c>
      <c r="AV10" s="50" t="s">
        <v>4340</v>
      </c>
      <c r="AW10" s="50" t="s">
        <v>3630</v>
      </c>
      <c r="AX10" s="111" t="s">
        <v>3631</v>
      </c>
      <c r="AY10" s="50" t="s">
        <v>4268</v>
      </c>
      <c r="AZ10" s="50" t="s">
        <v>4341</v>
      </c>
      <c r="BA10" s="111">
        <v>45491</v>
      </c>
      <c r="BB10" s="50" t="s">
        <v>4342</v>
      </c>
    </row>
    <row r="11" spans="2:54">
      <c r="B11" s="50" t="s">
        <v>3584</v>
      </c>
      <c r="C11" s="50">
        <v>9</v>
      </c>
      <c r="D11" s="50" t="s">
        <v>4343</v>
      </c>
      <c r="E11" s="111">
        <v>45492</v>
      </c>
      <c r="F11" s="50">
        <v>6</v>
      </c>
      <c r="G11" s="50" t="s">
        <v>3621</v>
      </c>
      <c r="H11" s="50" t="s">
        <v>3621</v>
      </c>
      <c r="I11" s="50">
        <v>31</v>
      </c>
      <c r="J11" s="50">
        <v>2.317541E+21</v>
      </c>
      <c r="K11" s="50"/>
      <c r="L11" s="50">
        <v>96</v>
      </c>
      <c r="M11" s="50">
        <v>1</v>
      </c>
      <c r="N11" s="111"/>
      <c r="O11" s="50">
        <v>1.3033148999999999E+22</v>
      </c>
      <c r="P11" s="111" t="s">
        <v>3629</v>
      </c>
      <c r="Q11" s="111" t="s">
        <v>3629</v>
      </c>
      <c r="R11" s="111">
        <v>578</v>
      </c>
      <c r="S11" s="111">
        <v>0</v>
      </c>
      <c r="T11" s="50">
        <v>0</v>
      </c>
      <c r="U11" s="50" t="s">
        <v>3630</v>
      </c>
      <c r="V11" s="50" t="s">
        <v>3630</v>
      </c>
      <c r="W11" s="50" t="s">
        <v>3630</v>
      </c>
      <c r="X11" s="50" t="s">
        <v>3630</v>
      </c>
      <c r="Y11" s="50" t="s">
        <v>3630</v>
      </c>
      <c r="Z11" s="50" t="s">
        <v>3630</v>
      </c>
      <c r="AA11" s="111" t="s">
        <v>3629</v>
      </c>
      <c r="AB11" s="114">
        <v>-28990000</v>
      </c>
      <c r="AC11" s="50" t="s">
        <v>3630</v>
      </c>
      <c r="AD11" s="114">
        <v>35480</v>
      </c>
      <c r="AE11" s="114">
        <v>-81710000</v>
      </c>
      <c r="AF11" s="111">
        <v>36984</v>
      </c>
      <c r="AG11" s="50" t="s">
        <v>3630</v>
      </c>
      <c r="AH11" s="111">
        <v>38499</v>
      </c>
      <c r="AI11" s="50" t="s">
        <v>4338</v>
      </c>
      <c r="AJ11" s="114">
        <v>1</v>
      </c>
      <c r="AK11" s="50"/>
      <c r="AL11" s="50" t="s">
        <v>4267</v>
      </c>
      <c r="AM11" s="50" t="e">
        <v>#N/A</v>
      </c>
      <c r="AN11" s="114">
        <v>-10000000</v>
      </c>
      <c r="AO11" s="50" t="s">
        <v>3630</v>
      </c>
      <c r="AP11" s="50" t="s">
        <v>3630</v>
      </c>
      <c r="AQ11" s="50" t="s">
        <v>3630</v>
      </c>
      <c r="AR11" s="50" t="s">
        <v>4267</v>
      </c>
      <c r="AS11" s="50" t="e">
        <v>#N/A</v>
      </c>
      <c r="AT11" s="114">
        <v>-11000000</v>
      </c>
      <c r="AU11" s="50" t="s">
        <v>4339</v>
      </c>
      <c r="AV11" s="50" t="s">
        <v>4340</v>
      </c>
      <c r="AW11" s="50" t="s">
        <v>3630</v>
      </c>
      <c r="AX11" s="111">
        <v>0</v>
      </c>
      <c r="AY11" s="50" t="s">
        <v>3744</v>
      </c>
      <c r="AZ11" s="50" t="s">
        <v>4341</v>
      </c>
      <c r="BA11" s="111">
        <v>45491</v>
      </c>
      <c r="BB11" s="50" t="s">
        <v>4344</v>
      </c>
    </row>
    <row r="12" spans="2:54">
      <c r="B12" s="113" t="s">
        <v>3586</v>
      </c>
      <c r="C12" s="50">
        <v>10</v>
      </c>
      <c r="D12" s="50" t="s">
        <v>4345</v>
      </c>
      <c r="E12" s="111">
        <v>45492</v>
      </c>
      <c r="F12" s="50">
        <v>6</v>
      </c>
      <c r="G12" s="50" t="s">
        <v>3621</v>
      </c>
      <c r="H12" s="50" t="s">
        <v>3621</v>
      </c>
      <c r="I12" s="50">
        <v>31</v>
      </c>
      <c r="J12" s="201">
        <v>6.8350096000050594E+29</v>
      </c>
      <c r="K12" s="50" t="s">
        <v>4337</v>
      </c>
      <c r="L12" s="50">
        <v>96</v>
      </c>
      <c r="M12" s="111" t="s">
        <v>4346</v>
      </c>
      <c r="N12" s="111">
        <v>31</v>
      </c>
      <c r="O12" s="114">
        <v>2.3950569509102E+29</v>
      </c>
      <c r="P12" s="209">
        <v>110541</v>
      </c>
      <c r="Q12" s="111">
        <v>100616</v>
      </c>
      <c r="R12" s="111">
        <v>978</v>
      </c>
      <c r="S12" s="173" t="s">
        <v>4347</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3869</v>
      </c>
      <c r="AL12" s="114" t="s">
        <v>3700</v>
      </c>
      <c r="AM12" s="111" t="s">
        <v>4348</v>
      </c>
      <c r="AN12" s="114">
        <v>2480712000</v>
      </c>
      <c r="AO12" s="114">
        <v>126000000</v>
      </c>
      <c r="AP12" s="114">
        <v>99999999</v>
      </c>
      <c r="AQ12" s="114">
        <v>13241605</v>
      </c>
      <c r="AR12" s="50" t="s">
        <v>3700</v>
      </c>
      <c r="AS12" s="114" t="s">
        <v>4348</v>
      </c>
      <c r="AT12" s="114">
        <v>2431200000</v>
      </c>
      <c r="AU12" s="114">
        <v>120000000</v>
      </c>
      <c r="AV12" s="114">
        <v>20722600</v>
      </c>
      <c r="AW12" s="114">
        <v>13241605</v>
      </c>
      <c r="AX12" s="111" t="s">
        <v>3860</v>
      </c>
      <c r="AY12" s="50" t="s">
        <v>4276</v>
      </c>
      <c r="AZ12" s="50" t="s">
        <v>3641</v>
      </c>
      <c r="BA12" s="111">
        <v>45492</v>
      </c>
      <c r="BB12" s="50" t="s">
        <v>4342</v>
      </c>
    </row>
    <row r="13" spans="2:54">
      <c r="B13" s="50" t="s">
        <v>3588</v>
      </c>
      <c r="C13" s="50">
        <v>11</v>
      </c>
      <c r="D13" s="50" t="s">
        <v>4349</v>
      </c>
      <c r="E13" s="111">
        <v>45492</v>
      </c>
      <c r="F13" s="50">
        <v>6</v>
      </c>
      <c r="G13" s="50" t="s">
        <v>3621</v>
      </c>
      <c r="H13" s="50" t="s">
        <v>3621</v>
      </c>
      <c r="I13" s="50">
        <v>31</v>
      </c>
      <c r="J13" s="201">
        <v>6.8350096000050594E+29</v>
      </c>
      <c r="K13" s="50"/>
      <c r="L13" s="50">
        <v>96</v>
      </c>
      <c r="M13" s="111" t="s">
        <v>4346</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3869</v>
      </c>
      <c r="AL13" s="114" t="s">
        <v>3700</v>
      </c>
      <c r="AM13" s="111" t="s">
        <v>4348</v>
      </c>
      <c r="AN13" s="114">
        <v>2480712000</v>
      </c>
      <c r="AO13" s="114">
        <v>126000000</v>
      </c>
      <c r="AP13" s="114">
        <v>99999999</v>
      </c>
      <c r="AQ13" s="114">
        <v>13241605</v>
      </c>
      <c r="AR13" s="50" t="s">
        <v>3700</v>
      </c>
      <c r="AS13" s="50" t="s">
        <v>4348</v>
      </c>
      <c r="AT13" s="114">
        <v>2431200000</v>
      </c>
      <c r="AU13" s="114">
        <v>120000000</v>
      </c>
      <c r="AV13" s="114">
        <v>20722600</v>
      </c>
      <c r="AW13" s="114">
        <v>13241605</v>
      </c>
      <c r="AX13" s="111" t="s">
        <v>4350</v>
      </c>
      <c r="AY13" s="50" t="s">
        <v>3744</v>
      </c>
      <c r="AZ13" s="50" t="s">
        <v>3641</v>
      </c>
      <c r="BA13" s="111">
        <v>45492</v>
      </c>
      <c r="BB13" s="50" t="s">
        <v>4351</v>
      </c>
    </row>
    <row r="14" spans="2:54">
      <c r="B14" s="50" t="s">
        <v>3590</v>
      </c>
      <c r="C14" s="50">
        <v>12</v>
      </c>
      <c r="D14" s="50" t="s">
        <v>4352</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3592</v>
      </c>
      <c r="C15" s="50">
        <v>13</v>
      </c>
      <c r="D15" s="50" t="s">
        <v>4353</v>
      </c>
      <c r="E15" s="111">
        <v>45492</v>
      </c>
      <c r="F15" s="50">
        <v>6</v>
      </c>
      <c r="G15" s="225">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50" t="s">
        <v>3621</v>
      </c>
      <c r="AA15" s="50">
        <v>0</v>
      </c>
      <c r="AB15" s="50" t="s">
        <v>3621</v>
      </c>
      <c r="AC15" s="50" t="s">
        <v>3621</v>
      </c>
      <c r="AD15" s="50">
        <v>0</v>
      </c>
      <c r="AE15" s="50" t="s">
        <v>3621</v>
      </c>
      <c r="AF15" s="50">
        <v>0</v>
      </c>
      <c r="AG15" s="50" t="s">
        <v>3621</v>
      </c>
      <c r="AH15" s="50">
        <v>0</v>
      </c>
      <c r="AI15" s="50" t="s">
        <v>3621</v>
      </c>
      <c r="AJ15" s="50" t="s">
        <v>3621</v>
      </c>
      <c r="AK15" s="50" t="s">
        <v>3621</v>
      </c>
      <c r="AL15" s="50" t="s">
        <v>3621</v>
      </c>
      <c r="AM15" s="50" t="s">
        <v>3621</v>
      </c>
      <c r="AN15" s="50" t="s">
        <v>3621</v>
      </c>
      <c r="AO15" s="50" t="s">
        <v>3621</v>
      </c>
      <c r="AP15" s="50" t="s">
        <v>3621</v>
      </c>
      <c r="AQ15" s="50" t="s">
        <v>3621</v>
      </c>
      <c r="AR15" s="50" t="s">
        <v>3621</v>
      </c>
      <c r="AS15" s="50" t="s">
        <v>3621</v>
      </c>
      <c r="AT15" s="50" t="s">
        <v>3621</v>
      </c>
      <c r="AU15" s="50" t="s">
        <v>3621</v>
      </c>
      <c r="AV15" s="50" t="s">
        <v>3621</v>
      </c>
      <c r="AW15" s="50" t="s">
        <v>3621</v>
      </c>
      <c r="AX15" s="50" t="s">
        <v>3621</v>
      </c>
      <c r="AY15" s="50" t="s">
        <v>3621</v>
      </c>
      <c r="AZ15" s="50" t="s">
        <v>3621</v>
      </c>
      <c r="BA15" s="50" t="s">
        <v>3621</v>
      </c>
      <c r="BB15" s="50" t="s">
        <v>3621</v>
      </c>
    </row>
    <row r="16" spans="2:54">
      <c r="B16" s="50" t="s">
        <v>3594</v>
      </c>
      <c r="C16" s="50">
        <v>14</v>
      </c>
      <c r="D16" s="50" t="s">
        <v>4354</v>
      </c>
      <c r="E16" s="111">
        <v>45492</v>
      </c>
      <c r="F16" s="50">
        <v>6</v>
      </c>
      <c r="G16" s="225">
        <v>1</v>
      </c>
      <c r="H16" s="50">
        <v>0</v>
      </c>
      <c r="I16" s="50" t="s">
        <v>3621</v>
      </c>
      <c r="J16" s="50" t="s">
        <v>3621</v>
      </c>
      <c r="K16" s="50">
        <v>0</v>
      </c>
      <c r="L16" s="50">
        <v>0</v>
      </c>
      <c r="M16" s="50">
        <v>0</v>
      </c>
      <c r="N16" s="50" t="s">
        <v>3621</v>
      </c>
      <c r="O16" s="50" t="s">
        <v>3621</v>
      </c>
      <c r="P16" s="50" t="s">
        <v>3621</v>
      </c>
      <c r="Q16" s="50" t="s">
        <v>3621</v>
      </c>
      <c r="R16" s="50">
        <v>0</v>
      </c>
      <c r="S16" s="50"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v>0</v>
      </c>
      <c r="AN16" s="50" t="s">
        <v>3621</v>
      </c>
      <c r="AO16" s="50" t="s">
        <v>3621</v>
      </c>
      <c r="AP16" s="50" t="s">
        <v>3621</v>
      </c>
      <c r="AQ16" s="50" t="s">
        <v>3621</v>
      </c>
      <c r="AR16" s="50">
        <v>0</v>
      </c>
      <c r="AS16" s="50">
        <v>0</v>
      </c>
      <c r="AT16" s="50" t="s">
        <v>3621</v>
      </c>
      <c r="AU16" s="50" t="s">
        <v>3621</v>
      </c>
      <c r="AV16" s="50" t="s">
        <v>3621</v>
      </c>
      <c r="AW16" s="50" t="s">
        <v>3621</v>
      </c>
      <c r="AX16" s="50">
        <v>0</v>
      </c>
      <c r="AY16" s="50">
        <v>0</v>
      </c>
      <c r="AZ16" s="50">
        <v>0</v>
      </c>
      <c r="BA16" s="50">
        <v>0</v>
      </c>
      <c r="BB16" s="50" t="s">
        <v>3621</v>
      </c>
    </row>
    <row r="17" spans="2:54">
      <c r="B17" s="50" t="s">
        <v>3596</v>
      </c>
      <c r="C17" s="50">
        <v>15</v>
      </c>
      <c r="D17" s="50" t="s">
        <v>4355</v>
      </c>
      <c r="E17" s="111">
        <v>45492</v>
      </c>
      <c r="F17" s="50">
        <v>6</v>
      </c>
      <c r="G17" s="225">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row>
    <row r="18" spans="2:54">
      <c r="B18" s="50" t="s">
        <v>3598</v>
      </c>
      <c r="C18" s="50">
        <v>16</v>
      </c>
      <c r="D18" s="50" t="s">
        <v>4355</v>
      </c>
      <c r="E18" s="111">
        <v>45492</v>
      </c>
      <c r="F18" s="50">
        <v>6</v>
      </c>
      <c r="G18" s="225">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row>
    <row r="19" spans="2:54">
      <c r="B19" s="50" t="s">
        <v>3600</v>
      </c>
      <c r="C19" s="50">
        <v>17</v>
      </c>
      <c r="D19" s="50" t="s">
        <v>4356</v>
      </c>
      <c r="E19" s="111">
        <v>45492</v>
      </c>
      <c r="F19" s="50">
        <v>6</v>
      </c>
      <c r="G19" s="209">
        <v>0.72939600000000004</v>
      </c>
      <c r="H19" s="201">
        <v>269168</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row>
    <row r="20" spans="2:54">
      <c r="B20" s="50" t="s">
        <v>3602</v>
      </c>
      <c r="C20" s="113">
        <v>18</v>
      </c>
      <c r="D20" s="50" t="s">
        <v>4356</v>
      </c>
      <c r="E20" s="111">
        <v>45492</v>
      </c>
      <c r="F20" s="50">
        <v>6</v>
      </c>
      <c r="G20" s="209">
        <v>0.99998100000000001</v>
      </c>
      <c r="H20" s="114">
        <v>27</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row>
    <row r="21" spans="2:54">
      <c r="B21" s="229" t="s">
        <v>4290</v>
      </c>
      <c r="C21" s="50">
        <v>19</v>
      </c>
      <c r="D21" s="50" t="s">
        <v>4356</v>
      </c>
      <c r="E21" s="111">
        <v>45492</v>
      </c>
      <c r="F21" s="50">
        <v>6</v>
      </c>
      <c r="G21" s="225" cm="1">
        <f t="array" aca="1" ref="G21" ca="1">SUMPRODUCT(--(ISNUMBER((SEARCH(I27:BB27,I21:BB21)))))/COUNTA(I21:BB21)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4039</v>
      </c>
      <c r="U21" s="50" t="s">
        <v>3656</v>
      </c>
      <c r="V21" s="50" t="s">
        <v>3656</v>
      </c>
      <c r="W21" s="50" t="s">
        <v>3656</v>
      </c>
      <c r="X21" s="50" t="s">
        <v>3656</v>
      </c>
      <c r="Y21" s="50" t="s">
        <v>3656</v>
      </c>
      <c r="Z21" s="50" t="s">
        <v>3656</v>
      </c>
      <c r="AA21" s="50" t="s">
        <v>3655</v>
      </c>
      <c r="AB21" s="50" t="s">
        <v>3656</v>
      </c>
      <c r="AC21" s="50" t="s">
        <v>3656</v>
      </c>
      <c r="AD21" s="50" t="s">
        <v>3655</v>
      </c>
      <c r="AE21" s="50" t="s">
        <v>3656</v>
      </c>
      <c r="AF21" s="50" t="s">
        <v>3655</v>
      </c>
      <c r="AG21" s="50" t="s">
        <v>3656</v>
      </c>
      <c r="AH21" s="50" t="s">
        <v>3655</v>
      </c>
      <c r="AI21" s="50" t="s">
        <v>3656</v>
      </c>
      <c r="AJ21" s="50" t="s">
        <v>4039</v>
      </c>
      <c r="AK21" s="50" t="s">
        <v>3655</v>
      </c>
      <c r="AL21" s="50" t="s">
        <v>3655</v>
      </c>
      <c r="AM21" s="50" t="s">
        <v>3655</v>
      </c>
      <c r="AN21" s="50" t="s">
        <v>3656</v>
      </c>
      <c r="AO21" s="50" t="s">
        <v>3656</v>
      </c>
      <c r="AP21" s="50" t="s">
        <v>3656</v>
      </c>
      <c r="AQ21" s="50" t="s">
        <v>3656</v>
      </c>
      <c r="AR21" s="50" t="s">
        <v>3655</v>
      </c>
      <c r="AS21" s="50" t="s">
        <v>3655</v>
      </c>
      <c r="AT21" s="50" t="s">
        <v>3656</v>
      </c>
      <c r="AU21" s="50" t="s">
        <v>3656</v>
      </c>
      <c r="AV21" s="50" t="s">
        <v>3656</v>
      </c>
      <c r="AW21" s="50" t="s">
        <v>3656</v>
      </c>
      <c r="AX21" s="50" t="s">
        <v>3655</v>
      </c>
      <c r="AY21" s="50" t="s">
        <v>3655</v>
      </c>
      <c r="AZ21" s="50" t="s">
        <v>3655</v>
      </c>
      <c r="BA21" s="50" t="s">
        <v>3655</v>
      </c>
      <c r="BB21" s="50" t="s">
        <v>3657</v>
      </c>
    </row>
    <row r="22" spans="2:54">
      <c r="B22" s="50" t="s">
        <v>3607</v>
      </c>
      <c r="C22" s="50">
        <v>20</v>
      </c>
      <c r="D22" s="50" t="s">
        <v>4356</v>
      </c>
      <c r="E22" s="111">
        <v>45492</v>
      </c>
      <c r="F22" s="50">
        <v>6</v>
      </c>
      <c r="G22" s="209" cm="1">
        <f t="array" ref="G22">SUM(IF(I2:BB2 = I26:BB26, 1, 0))/ COUNTA(I2:BB2)</f>
        <v>0.95652173913043481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c r="BB22" s="50" t="s">
        <v>3621</v>
      </c>
    </row>
    <row r="23" spans="2:54">
      <c r="B23" s="50" t="s">
        <v>3610</v>
      </c>
      <c r="C23" s="50">
        <v>21</v>
      </c>
      <c r="D23" s="50" t="s">
        <v>4356</v>
      </c>
      <c r="E23" s="111">
        <v>45492</v>
      </c>
      <c r="F23" s="50">
        <v>6</v>
      </c>
      <c r="G23" s="209" cm="1">
        <f t="array" aca="1" ref="G23" ca="1">SUM(IF(IF(G3:G22="null",1,G3:G22)=1,1,0))/COUNT(IF(G3:G22="null",1,1))</f>
        <v>0.8</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c r="BB23" s="50" t="s">
        <v>3621</v>
      </c>
    </row>
    <row r="24" spans="2:54">
      <c r="B24" s="50"/>
      <c r="C24" s="50"/>
      <c r="D24" s="50"/>
      <c r="E24" s="111"/>
      <c r="F24" s="50"/>
      <c r="G24" s="50"/>
      <c r="H24" s="50"/>
      <c r="I24" s="50"/>
      <c r="J24" s="50"/>
      <c r="K24" s="50"/>
      <c r="L24" s="50"/>
      <c r="M24" s="50"/>
      <c r="N24" s="50"/>
      <c r="O24" s="50"/>
      <c r="P24" s="50"/>
      <c r="Q24" s="50"/>
      <c r="R24" s="50"/>
      <c r="S24" s="50"/>
    </row>
    <row r="25" spans="2:54">
      <c r="B25" s="146" t="s">
        <v>3727</v>
      </c>
    </row>
    <row r="26" spans="2:54">
      <c r="B26" s="144" t="s">
        <v>3613</v>
      </c>
      <c r="C26" s="145" t="s">
        <v>3614</v>
      </c>
      <c r="D26" s="145" t="s">
        <v>3615</v>
      </c>
      <c r="E26" s="145" t="s">
        <v>3616</v>
      </c>
      <c r="F26" s="145" t="s">
        <v>3617</v>
      </c>
      <c r="G26" s="145" t="s">
        <v>3618</v>
      </c>
      <c r="H26" s="145" t="s">
        <v>3619</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next_subsidized_reg_amort_amount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c r="B27" s="123" t="s">
        <v>3658</v>
      </c>
      <c r="C27" s="126">
        <v>21</v>
      </c>
      <c r="D27" s="120" t="s">
        <v>3659</v>
      </c>
      <c r="E27" s="119" t="s">
        <v>3660</v>
      </c>
      <c r="F27" s="119" t="s">
        <v>372</v>
      </c>
      <c r="G27" s="119" t="s">
        <v>372</v>
      </c>
      <c r="H27" s="119" t="s">
        <v>372</v>
      </c>
      <c r="I27" s="119" t="str" cm="1">
        <f t="array" aca="1" ref="I27:BB28" ca="1">TRANSPOSE(_xlfn.SORTBY(_xlfn._xlws.FILTER(IF(Table3[FORMATO]:Table3[COMP_ CAMPO]&lt;&gt;"",Table3[FORMATO]:Table3[COMP_ CAMPO],9999999),Table3[NOME FÍSICO TABELA]="loan"), _xlfn._xlws.FILTER(Table3[ORDEM], Table3[NOME FÍSICO TABELA]="loan"),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19" t="str">
        <f ca="1"/>
        <v>STRING</v>
      </c>
      <c r="T27" s="119" t="str">
        <f ca="1"/>
        <v>INT</v>
      </c>
      <c r="U27" s="119" t="str">
        <f ca="1"/>
        <v>DECIMAL</v>
      </c>
      <c r="V27" s="119" t="str">
        <f ca="1"/>
        <v>DECIMAL</v>
      </c>
      <c r="W27" s="119" t="str">
        <f ca="1"/>
        <v>DECIMAL</v>
      </c>
      <c r="X27" s="119" t="str">
        <f ca="1"/>
        <v>DECIMAL</v>
      </c>
      <c r="Y27" s="119" t="str">
        <f ca="1"/>
        <v>DECIMAL</v>
      </c>
      <c r="Z27" s="119" t="str">
        <f ca="1"/>
        <v>DECIMAL</v>
      </c>
      <c r="AA27" s="119" t="str">
        <f ca="1"/>
        <v>STRING</v>
      </c>
      <c r="AB27" s="119" t="str">
        <f ca="1"/>
        <v>DECIMAL</v>
      </c>
      <c r="AC27" s="119" t="str">
        <f ca="1"/>
        <v>DECIMAL</v>
      </c>
      <c r="AD27" s="259" t="str">
        <f ca="1"/>
        <v>STRING</v>
      </c>
      <c r="AE27" s="119" t="str">
        <f ca="1"/>
        <v>DECIMAL</v>
      </c>
      <c r="AF27" s="119" t="str">
        <f ca="1"/>
        <v>STRING</v>
      </c>
      <c r="AG27" s="250" t="str">
        <f ca="1"/>
        <v>DECIMAL</v>
      </c>
      <c r="AH27" s="250" t="str">
        <f ca="1"/>
        <v>STRING</v>
      </c>
      <c r="AI27" s="119" t="str">
        <f ca="1"/>
        <v>DECIMAL</v>
      </c>
      <c r="AJ27" s="119" t="str">
        <f ca="1"/>
        <v>INT</v>
      </c>
      <c r="AK27" s="119" t="str">
        <f ca="1"/>
        <v>STRING</v>
      </c>
      <c r="AL27" s="119" t="str">
        <f ca="1"/>
        <v>STRING</v>
      </c>
      <c r="AM27" s="119" t="str">
        <f ca="1"/>
        <v>STRING</v>
      </c>
      <c r="AN27" s="119" t="str">
        <f ca="1"/>
        <v>DECIMAL</v>
      </c>
      <c r="AO27" s="119" t="str">
        <f ca="1"/>
        <v>DECIMAL</v>
      </c>
      <c r="AP27" s="119" t="str">
        <f ca="1"/>
        <v>DECIMAL</v>
      </c>
      <c r="AQ27" s="119" t="str">
        <f ca="1"/>
        <v>DECIMAL</v>
      </c>
      <c r="AR27" s="119" t="str">
        <f ca="1"/>
        <v>STRING</v>
      </c>
      <c r="AS27" s="119" t="str">
        <f ca="1"/>
        <v>STRING</v>
      </c>
      <c r="AT27" s="119" t="str">
        <f ca="1"/>
        <v>DECIMAL</v>
      </c>
      <c r="AU27" s="119" t="str">
        <f ca="1"/>
        <v>DECIMAL</v>
      </c>
      <c r="AV27" s="119" t="str">
        <f ca="1"/>
        <v>DECIMAL</v>
      </c>
      <c r="AW27" s="119" t="str">
        <f ca="1"/>
        <v>DECIMAL</v>
      </c>
      <c r="AX27" s="119" t="str">
        <f ca="1"/>
        <v>STRING</v>
      </c>
      <c r="AY27" s="121" t="str">
        <f ca="1"/>
        <v>STRING</v>
      </c>
      <c r="AZ27" s="121" t="str">
        <f ca="1"/>
        <v>STRING</v>
      </c>
      <c r="BA27" s="121" t="str">
        <f ca="1"/>
        <v>STRING</v>
      </c>
      <c r="BB27" s="125" t="str">
        <f ca="1"/>
        <v>TIMESTAMP</v>
      </c>
    </row>
    <row r="28" spans="2:54">
      <c r="B28" s="123" t="s">
        <v>3661</v>
      </c>
      <c r="C28" s="126">
        <v>7</v>
      </c>
      <c r="D28" s="120" t="s">
        <v>3659</v>
      </c>
      <c r="E28" s="119" t="s">
        <v>3660</v>
      </c>
      <c r="F28" s="121" t="s">
        <v>372</v>
      </c>
      <c r="G28" s="121" t="s">
        <v>372</v>
      </c>
      <c r="H28" s="121" t="s">
        <v>372</v>
      </c>
      <c r="I28" s="167">
        <f ca="1"/>
        <v>4</v>
      </c>
      <c r="J28" s="167">
        <f ca="1"/>
        <v>30</v>
      </c>
      <c r="K28" s="167">
        <f ca="1"/>
        <v>4</v>
      </c>
      <c r="L28" s="167">
        <f ca="1"/>
        <v>4</v>
      </c>
      <c r="M28" s="167">
        <f ca="1"/>
        <v>4</v>
      </c>
      <c r="N28" s="167">
        <f ca="1"/>
        <v>4</v>
      </c>
      <c r="O28" s="167">
        <f ca="1"/>
        <v>30</v>
      </c>
      <c r="P28" s="167">
        <f ca="1"/>
        <v>10</v>
      </c>
      <c r="Q28" s="167">
        <f ca="1"/>
        <v>10</v>
      </c>
      <c r="R28" s="167">
        <f ca="1"/>
        <v>4</v>
      </c>
      <c r="S28" s="167">
        <f ca="1"/>
        <v>4</v>
      </c>
      <c r="T28" s="167">
        <f ca="1"/>
        <v>9999999</v>
      </c>
      <c r="U28" s="167">
        <f ca="1"/>
        <v>23</v>
      </c>
      <c r="V28" s="167">
        <f ca="1"/>
        <v>23</v>
      </c>
      <c r="W28" s="167">
        <f ca="1"/>
        <v>23</v>
      </c>
      <c r="X28" s="167">
        <f ca="1"/>
        <v>23</v>
      </c>
      <c r="Y28" s="167">
        <f ca="1"/>
        <v>23</v>
      </c>
      <c r="Z28" s="167">
        <f ca="1"/>
        <v>23</v>
      </c>
      <c r="AA28" s="167">
        <f ca="1"/>
        <v>10</v>
      </c>
      <c r="AB28" s="167">
        <f ca="1"/>
        <v>23</v>
      </c>
      <c r="AC28" s="167">
        <f ca="1"/>
        <v>23</v>
      </c>
      <c r="AD28" s="260">
        <f ca="1"/>
        <v>10</v>
      </c>
      <c r="AE28" s="167">
        <f ca="1"/>
        <v>23</v>
      </c>
      <c r="AF28" s="167">
        <f ca="1"/>
        <v>10</v>
      </c>
      <c r="AG28" s="167">
        <f ca="1"/>
        <v>23</v>
      </c>
      <c r="AH28" s="167">
        <f ca="1"/>
        <v>10</v>
      </c>
      <c r="AI28" s="167">
        <f ca="1"/>
        <v>23</v>
      </c>
      <c r="AJ28" s="167">
        <f ca="1"/>
        <v>9999999</v>
      </c>
      <c r="AK28" s="167">
        <f ca="1"/>
        <v>4</v>
      </c>
      <c r="AL28" s="167">
        <f ca="1"/>
        <v>4</v>
      </c>
      <c r="AM28" s="167">
        <f ca="1"/>
        <v>20</v>
      </c>
      <c r="AN28" s="167">
        <f ca="1"/>
        <v>23</v>
      </c>
      <c r="AO28" s="167">
        <f ca="1"/>
        <v>23</v>
      </c>
      <c r="AP28" s="167">
        <f ca="1"/>
        <v>23</v>
      </c>
      <c r="AQ28" s="167">
        <f ca="1"/>
        <v>23</v>
      </c>
      <c r="AR28" s="167">
        <f ca="1"/>
        <v>3</v>
      </c>
      <c r="AS28" s="167">
        <f ca="1"/>
        <v>20</v>
      </c>
      <c r="AT28" s="167">
        <f ca="1"/>
        <v>23</v>
      </c>
      <c r="AU28" s="167">
        <f ca="1"/>
        <v>23</v>
      </c>
      <c r="AV28" s="167">
        <f ca="1"/>
        <v>23</v>
      </c>
      <c r="AW28" s="167">
        <f ca="1"/>
        <v>23</v>
      </c>
      <c r="AX28" s="167">
        <f ca="1"/>
        <v>4</v>
      </c>
      <c r="AY28" s="167">
        <f ca="1"/>
        <v>4</v>
      </c>
      <c r="AZ28" s="167">
        <f ca="1"/>
        <v>2</v>
      </c>
      <c r="BA28" s="167">
        <f ca="1"/>
        <v>10</v>
      </c>
      <c r="BB28" s="168">
        <f ca="1"/>
        <v>23</v>
      </c>
    </row>
    <row r="30" spans="2:54">
      <c r="B30" s="156" t="s">
        <v>3662</v>
      </c>
    </row>
    <row r="31" spans="2:54">
      <c r="B31" s="150" t="s">
        <v>3663</v>
      </c>
      <c r="C31" s="150" t="s">
        <v>3664</v>
      </c>
      <c r="D31" s="151" t="s">
        <v>3665</v>
      </c>
      <c r="E31" s="150" t="s">
        <v>3666</v>
      </c>
      <c r="F31" s="150" t="s">
        <v>3667</v>
      </c>
      <c r="H31" t="s">
        <v>4357</v>
      </c>
    </row>
    <row r="32" spans="2:54" ht="43.5">
      <c r="B32" s="153" t="s">
        <v>3668</v>
      </c>
      <c r="C32" s="154" t="s">
        <v>188</v>
      </c>
      <c r="D32" s="253" t="s">
        <v>4358</v>
      </c>
      <c r="E32" s="254" t="s">
        <v>4359</v>
      </c>
      <c r="F32" s="205" t="s">
        <v>3677</v>
      </c>
      <c r="H32" s="268" t="s">
        <v>4360</v>
      </c>
      <c r="J32" s="49"/>
      <c r="L32" s="49"/>
    </row>
    <row r="33" spans="2:12" ht="29.1">
      <c r="B33" s="153" t="s">
        <v>3668</v>
      </c>
      <c r="C33" s="131" t="s">
        <v>2344</v>
      </c>
      <c r="D33" s="255" t="s">
        <v>4361</v>
      </c>
      <c r="E33" s="162" t="s">
        <v>4362</v>
      </c>
      <c r="F33" s="152" t="s">
        <v>3674</v>
      </c>
      <c r="H33" s="252"/>
      <c r="J33" s="49"/>
      <c r="L33" s="49"/>
    </row>
    <row r="34" spans="2:12" ht="101.45">
      <c r="B34" s="153" t="s">
        <v>3668</v>
      </c>
      <c r="C34" s="131" t="s">
        <v>4363</v>
      </c>
      <c r="D34" s="255" t="s">
        <v>4364</v>
      </c>
      <c r="E34" s="162" t="s">
        <v>4365</v>
      </c>
      <c r="F34" s="205" t="s">
        <v>3841</v>
      </c>
    </row>
    <row r="35" spans="2:12" ht="43.5">
      <c r="B35" s="153" t="s">
        <v>3668</v>
      </c>
      <c r="C35" s="131" t="s">
        <v>4366</v>
      </c>
      <c r="D35" s="255" t="s">
        <v>4367</v>
      </c>
      <c r="E35" s="162" t="s">
        <v>4108</v>
      </c>
      <c r="F35" s="152" t="s">
        <v>3677</v>
      </c>
    </row>
    <row r="36" spans="2:12" ht="116.1">
      <c r="B36" s="269" t="s">
        <v>3668</v>
      </c>
      <c r="C36" s="190" t="s">
        <v>4368</v>
      </c>
      <c r="D36" s="270" t="s">
        <v>4369</v>
      </c>
      <c r="E36" s="271" t="s">
        <v>4370</v>
      </c>
      <c r="F36" s="193" t="s">
        <v>4371</v>
      </c>
    </row>
    <row r="37" spans="2:12" ht="43.5">
      <c r="B37" s="153" t="s">
        <v>3668</v>
      </c>
      <c r="C37" s="190" t="s">
        <v>4330</v>
      </c>
      <c r="D37" s="270" t="s">
        <v>4372</v>
      </c>
      <c r="E37" s="271" t="s">
        <v>4359</v>
      </c>
      <c r="F37" s="193" t="s">
        <v>3677</v>
      </c>
    </row>
    <row r="38" spans="2:12" ht="101.45">
      <c r="B38" s="153" t="s">
        <v>3668</v>
      </c>
      <c r="C38" s="131" t="s">
        <v>1458</v>
      </c>
      <c r="D38" s="255" t="s">
        <v>4373</v>
      </c>
      <c r="E38" s="162" t="s">
        <v>4374</v>
      </c>
      <c r="F38" s="152" t="s">
        <v>4375</v>
      </c>
    </row>
    <row r="39" spans="2:12" ht="101.45">
      <c r="B39" s="153" t="s">
        <v>3668</v>
      </c>
      <c r="C39" s="131" t="s">
        <v>1467</v>
      </c>
      <c r="D39" s="255" t="s">
        <v>4373</v>
      </c>
      <c r="E39" s="162" t="s">
        <v>4374</v>
      </c>
      <c r="F39" s="152" t="s">
        <v>4375</v>
      </c>
    </row>
    <row r="40" spans="2:12" ht="87">
      <c r="B40" s="153" t="s">
        <v>3668</v>
      </c>
      <c r="C40" s="131" t="s">
        <v>1473</v>
      </c>
      <c r="D40" s="255" t="s">
        <v>4376</v>
      </c>
      <c r="E40" s="162" t="s">
        <v>4377</v>
      </c>
      <c r="F40" s="152" t="s">
        <v>3671</v>
      </c>
    </row>
    <row r="41" spans="2:12" ht="144.94999999999999">
      <c r="B41" s="153" t="s">
        <v>3668</v>
      </c>
      <c r="C41" s="133" t="s">
        <v>1481</v>
      </c>
      <c r="D41" s="256" t="s">
        <v>4378</v>
      </c>
      <c r="E41" s="162" t="s">
        <v>4379</v>
      </c>
      <c r="F41" s="152" t="s">
        <v>4113</v>
      </c>
      <c r="H41" s="50"/>
    </row>
    <row r="42" spans="2:12" ht="130.5">
      <c r="B42" s="153" t="s">
        <v>3668</v>
      </c>
      <c r="C42" s="131" t="s">
        <v>429</v>
      </c>
      <c r="D42" s="266" t="s">
        <v>4380</v>
      </c>
      <c r="E42" s="113" t="s">
        <v>4381</v>
      </c>
      <c r="F42" s="205" t="s">
        <v>4113</v>
      </c>
    </row>
    <row r="43" spans="2:12" ht="246.6">
      <c r="B43" s="153" t="s">
        <v>3668</v>
      </c>
      <c r="C43" s="131" t="s">
        <v>439</v>
      </c>
      <c r="D43" s="266" t="s">
        <v>4382</v>
      </c>
      <c r="E43" s="162" t="s">
        <v>4383</v>
      </c>
      <c r="F43" s="205" t="s">
        <v>4044</v>
      </c>
    </row>
    <row r="44" spans="2:12" ht="261">
      <c r="B44" s="153" t="s">
        <v>3668</v>
      </c>
      <c r="C44" s="131" t="s">
        <v>1501</v>
      </c>
      <c r="D44" s="266" t="s">
        <v>4384</v>
      </c>
      <c r="E44" s="272" t="s">
        <v>4385</v>
      </c>
      <c r="F44" s="205" t="s">
        <v>4386</v>
      </c>
    </row>
    <row r="45" spans="2:12" ht="87">
      <c r="B45" s="153" t="s">
        <v>3668</v>
      </c>
      <c r="C45" s="131" t="s">
        <v>1988</v>
      </c>
      <c r="D45" s="256" t="s">
        <v>4387</v>
      </c>
      <c r="E45" s="162" t="s">
        <v>4388</v>
      </c>
      <c r="F45" s="205" t="s">
        <v>4389</v>
      </c>
      <c r="I45" s="265"/>
    </row>
    <row r="46" spans="2:12" ht="87">
      <c r="B46" s="153" t="s">
        <v>3668</v>
      </c>
      <c r="C46" s="154" t="s">
        <v>1998</v>
      </c>
      <c r="D46" s="257" t="s">
        <v>4390</v>
      </c>
      <c r="E46" s="163" t="s">
        <v>4391</v>
      </c>
      <c r="F46" s="205" t="s">
        <v>3838</v>
      </c>
      <c r="I46" s="265"/>
    </row>
    <row r="47" spans="2:12" ht="72.599999999999994">
      <c r="B47" s="153" t="s">
        <v>3668</v>
      </c>
      <c r="C47" s="131" t="s">
        <v>1515</v>
      </c>
      <c r="D47" s="257" t="s">
        <v>4392</v>
      </c>
      <c r="E47" s="162" t="s">
        <v>4393</v>
      </c>
      <c r="F47" s="205" t="s">
        <v>4389</v>
      </c>
      <c r="I47" s="50"/>
      <c r="J47" s="50"/>
      <c r="K47" s="50"/>
    </row>
    <row r="48" spans="2:12" ht="43.5">
      <c r="B48" s="153" t="s">
        <v>3668</v>
      </c>
      <c r="C48" s="131" t="s">
        <v>2715</v>
      </c>
      <c r="D48" s="257" t="s">
        <v>4394</v>
      </c>
      <c r="E48" s="163" t="s">
        <v>4395</v>
      </c>
      <c r="F48" s="205" t="s">
        <v>3677</v>
      </c>
      <c r="I48" s="265"/>
    </row>
    <row r="49" spans="2:11" ht="130.5">
      <c r="B49" s="153" t="s">
        <v>3668</v>
      </c>
      <c r="C49" s="131" t="s">
        <v>766</v>
      </c>
      <c r="D49" s="256" t="s">
        <v>4396</v>
      </c>
      <c r="E49" s="162" t="s">
        <v>4397</v>
      </c>
      <c r="F49" s="205" t="s">
        <v>4398</v>
      </c>
      <c r="I49" s="265"/>
    </row>
    <row r="50" spans="2:11" ht="87">
      <c r="B50" s="153" t="s">
        <v>3668</v>
      </c>
      <c r="C50" s="131" t="s">
        <v>776</v>
      </c>
      <c r="D50" s="257" t="s">
        <v>4390</v>
      </c>
      <c r="E50" s="163" t="s">
        <v>4399</v>
      </c>
      <c r="F50" s="205" t="s">
        <v>3838</v>
      </c>
    </row>
    <row r="51" spans="2:11" ht="87">
      <c r="B51" s="153" t="s">
        <v>3668</v>
      </c>
      <c r="C51" s="131" t="s">
        <v>785</v>
      </c>
      <c r="D51" s="257" t="s">
        <v>4400</v>
      </c>
      <c r="E51" s="162" t="s">
        <v>4401</v>
      </c>
      <c r="F51" s="205" t="s">
        <v>3838</v>
      </c>
      <c r="I51" s="50"/>
      <c r="J51" s="50"/>
    </row>
    <row r="52" spans="2:11" ht="43.5">
      <c r="B52" s="153" t="s">
        <v>3668</v>
      </c>
      <c r="C52" s="154" t="s">
        <v>2731</v>
      </c>
      <c r="D52" s="257" t="s">
        <v>4402</v>
      </c>
      <c r="E52" s="163" t="s">
        <v>4403</v>
      </c>
      <c r="F52" s="205" t="s">
        <v>3677</v>
      </c>
      <c r="K52" s="49"/>
    </row>
    <row r="53" spans="2:11" ht="29.1">
      <c r="B53" s="153" t="s">
        <v>3668</v>
      </c>
      <c r="C53" s="154" t="s">
        <v>305</v>
      </c>
      <c r="D53" s="257" t="s">
        <v>4404</v>
      </c>
      <c r="E53" s="163" t="s">
        <v>4405</v>
      </c>
      <c r="F53" s="205" t="s">
        <v>3677</v>
      </c>
    </row>
    <row r="54" spans="2:11" ht="57.95">
      <c r="B54" s="189" t="s">
        <v>3668</v>
      </c>
      <c r="C54" s="190" t="s">
        <v>294</v>
      </c>
      <c r="D54" s="273" t="s">
        <v>4406</v>
      </c>
      <c r="E54" s="271" t="s">
        <v>4407</v>
      </c>
      <c r="F54" s="193" t="s">
        <v>3677</v>
      </c>
    </row>
    <row r="55" spans="2:11" ht="304.5">
      <c r="B55" s="269" t="s">
        <v>3678</v>
      </c>
      <c r="C55" s="274" t="s">
        <v>4408</v>
      </c>
      <c r="D55" s="275" t="s">
        <v>4409</v>
      </c>
      <c r="E55" s="276" t="s">
        <v>4410</v>
      </c>
      <c r="F55" s="277" t="s">
        <v>4411</v>
      </c>
    </row>
    <row r="56" spans="2:11" ht="116.1">
      <c r="B56" s="269" t="s">
        <v>3736</v>
      </c>
      <c r="C56" s="278" t="s">
        <v>4412</v>
      </c>
      <c r="D56" s="275" t="s">
        <v>4413</v>
      </c>
      <c r="E56" s="276" t="s">
        <v>4414</v>
      </c>
      <c r="F56" s="277" t="s">
        <v>3671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2906</v>
      </c>
      <c r="T2" s="91" t="s">
        <v>1618</v>
      </c>
      <c r="U2" s="91" t="s">
        <v>2917</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c r="B3" s="50" t="s">
        <v>3567</v>
      </c>
      <c r="C3" s="50">
        <v>1</v>
      </c>
      <c r="D3" s="50" t="s">
        <v>4415</v>
      </c>
      <c r="E3" s="111">
        <v>45495</v>
      </c>
      <c r="F3" s="50">
        <v>3</v>
      </c>
      <c r="G3" s="114">
        <v>1</v>
      </c>
      <c r="H3" s="50">
        <v>269078</v>
      </c>
      <c r="I3" s="50" t="s">
        <v>3621</v>
      </c>
      <c r="J3" s="50" t="s">
        <v>3621</v>
      </c>
      <c r="K3" s="50" t="s">
        <v>3621</v>
      </c>
      <c r="L3" s="50" t="s">
        <v>3621</v>
      </c>
      <c r="M3" s="50" t="s">
        <v>3621</v>
      </c>
      <c r="N3" s="50" t="s">
        <v>3621</v>
      </c>
      <c r="O3" s="50" t="s">
        <v>3621</v>
      </c>
      <c r="P3" s="50" t="s">
        <v>3621</v>
      </c>
      <c r="Q3" s="50" t="s">
        <v>3621</v>
      </c>
      <c r="R3" s="50" t="s">
        <v>3621</v>
      </c>
      <c r="S3" s="50" t="s">
        <v>3621</v>
      </c>
      <c r="T3" s="50" t="s">
        <v>3621</v>
      </c>
      <c r="U3" s="262"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c r="B4" s="50" t="s">
        <v>3569</v>
      </c>
      <c r="C4" s="50">
        <v>2</v>
      </c>
      <c r="D4" s="50" t="s">
        <v>4416</v>
      </c>
      <c r="E4" s="111">
        <v>45495</v>
      </c>
      <c r="F4" s="50">
        <v>3</v>
      </c>
      <c r="G4" s="50">
        <v>0.99996300000000005</v>
      </c>
      <c r="H4" s="114">
        <v>10</v>
      </c>
      <c r="I4" s="50" t="s">
        <v>3621</v>
      </c>
      <c r="J4" s="50" t="s">
        <v>3621</v>
      </c>
      <c r="K4" s="50" t="s">
        <v>3621</v>
      </c>
      <c r="L4" s="50" t="s">
        <v>3621</v>
      </c>
      <c r="M4" s="50" t="s">
        <v>3621</v>
      </c>
      <c r="N4" s="50" t="s">
        <v>3621</v>
      </c>
      <c r="O4" s="50" t="s">
        <v>3621</v>
      </c>
      <c r="P4" s="50" t="s">
        <v>3621</v>
      </c>
      <c r="Q4" s="50" t="s">
        <v>3621</v>
      </c>
      <c r="R4" s="50" t="s">
        <v>3621</v>
      </c>
      <c r="S4" s="50" t="s">
        <v>3621</v>
      </c>
      <c r="T4" s="50" t="s">
        <v>3621</v>
      </c>
      <c r="U4" s="262"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c r="B5" s="50" t="s">
        <v>3571</v>
      </c>
      <c r="C5" s="50">
        <v>3</v>
      </c>
      <c r="D5" s="50" t="s">
        <v>4417</v>
      </c>
      <c r="E5" s="111">
        <v>45495</v>
      </c>
      <c r="F5" s="50">
        <v>3</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262"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c r="B6" s="113" t="s">
        <v>3573</v>
      </c>
      <c r="C6" s="50">
        <v>4</v>
      </c>
      <c r="D6" s="50" t="s">
        <v>3624</v>
      </c>
      <c r="E6" s="111" t="s">
        <v>3621</v>
      </c>
      <c r="F6" s="50">
        <v>3</v>
      </c>
      <c r="G6" s="50"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262"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c r="B7" s="50" t="s">
        <v>3575</v>
      </c>
      <c r="C7" s="50">
        <v>5</v>
      </c>
      <c r="D7" s="50" t="s">
        <v>3624</v>
      </c>
      <c r="E7" s="111" t="s">
        <v>3621</v>
      </c>
      <c r="F7" s="50">
        <v>3</v>
      </c>
      <c r="G7" s="50"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262"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c r="B8" s="113" t="s">
        <v>3576</v>
      </c>
      <c r="C8" s="50">
        <v>6</v>
      </c>
      <c r="D8" s="50" t="s">
        <v>4418</v>
      </c>
      <c r="E8" s="111">
        <v>45495</v>
      </c>
      <c r="F8" s="50">
        <v>3</v>
      </c>
      <c r="G8" s="225" cm="1">
        <f t="array" ref="G8">SUMPRODUCT(--(I8:AJ8&gt;0))/COUNTA(I8:AJ8)</f>
        <v>1</v>
      </c>
      <c r="H8" s="50" t="s">
        <v>3630</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3744</v>
      </c>
      <c r="AH8" s="50">
        <v>2</v>
      </c>
      <c r="AI8" s="50">
        <v>10</v>
      </c>
      <c r="AJ8" s="50">
        <v>22</v>
      </c>
      <c r="AK8" s="50"/>
      <c r="AL8" s="50"/>
      <c r="AM8" s="50"/>
      <c r="AN8" s="50"/>
    </row>
    <row r="9" spans="2:40">
      <c r="B9" s="50" t="s">
        <v>3579</v>
      </c>
      <c r="C9" s="50">
        <v>7</v>
      </c>
      <c r="D9" s="50" t="s">
        <v>4419</v>
      </c>
      <c r="E9" s="111">
        <v>45495</v>
      </c>
      <c r="F9" s="50">
        <v>3</v>
      </c>
      <c r="G9" s="225" cm="1">
        <f t="array" aca="1" ref="G9" ca="1">SUMPRODUCT(--(I9:AJ9 &lt;= I28:AJ28))/COUNTA(I28:AJ28)</f>
        <v>0.6071428571428571</v>
      </c>
      <c r="H9" s="50" t="s">
        <v>3630</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3744</v>
      </c>
      <c r="AH9" s="50">
        <v>2</v>
      </c>
      <c r="AI9" s="50">
        <v>10</v>
      </c>
      <c r="AJ9" s="50">
        <v>22</v>
      </c>
      <c r="AK9" s="50"/>
      <c r="AL9" s="50"/>
      <c r="AM9" s="50"/>
      <c r="AN9" s="50"/>
    </row>
    <row r="10" spans="2:40">
      <c r="B10" s="50" t="s">
        <v>3582</v>
      </c>
      <c r="C10" s="50">
        <v>8</v>
      </c>
      <c r="D10" s="50" t="s">
        <v>4420</v>
      </c>
      <c r="E10" s="111">
        <v>45495</v>
      </c>
      <c r="F10" s="50">
        <v>3</v>
      </c>
      <c r="G10" s="50" t="s">
        <v>3621</v>
      </c>
      <c r="H10" s="50" t="s">
        <v>3630</v>
      </c>
      <c r="I10" s="50">
        <v>31</v>
      </c>
      <c r="J10" s="50">
        <v>2.4845061000001999E+22</v>
      </c>
      <c r="K10" s="50" t="s">
        <v>4421</v>
      </c>
      <c r="L10" s="50">
        <v>61</v>
      </c>
      <c r="M10" s="50">
        <v>0</v>
      </c>
      <c r="N10" s="50">
        <v>31</v>
      </c>
      <c r="O10" s="50">
        <v>2.1208001000000002E+22</v>
      </c>
      <c r="P10" s="111">
        <v>26384</v>
      </c>
      <c r="Q10" s="111">
        <v>40121</v>
      </c>
      <c r="R10" s="114">
        <v>36</v>
      </c>
      <c r="S10" s="114" t="s">
        <v>3630</v>
      </c>
      <c r="T10" s="114" t="s">
        <v>3630</v>
      </c>
      <c r="U10" s="263" t="s">
        <v>2917</v>
      </c>
      <c r="V10" s="263" t="s">
        <v>2172</v>
      </c>
      <c r="W10" s="262" t="s">
        <v>2176</v>
      </c>
      <c r="X10" s="263" t="s">
        <v>2179</v>
      </c>
      <c r="Y10" s="263" t="s">
        <v>2183</v>
      </c>
      <c r="Z10" s="262" t="s">
        <v>2186</v>
      </c>
      <c r="AA10" s="262" t="s">
        <v>2190</v>
      </c>
      <c r="AB10" s="262" t="s">
        <v>2194</v>
      </c>
      <c r="AC10" s="262" t="s">
        <v>2197</v>
      </c>
      <c r="AD10" s="262" t="s">
        <v>2201</v>
      </c>
      <c r="AE10" s="262" t="s">
        <v>2204</v>
      </c>
      <c r="AF10" s="50" t="s">
        <v>3631</v>
      </c>
      <c r="AG10" s="50" t="s">
        <v>3744</v>
      </c>
      <c r="AH10" s="50" t="s">
        <v>4422</v>
      </c>
      <c r="AI10" s="111">
        <v>45495</v>
      </c>
      <c r="AJ10" s="50" t="s">
        <v>4423</v>
      </c>
      <c r="AK10" s="50"/>
      <c r="AL10" s="50"/>
      <c r="AM10" s="111"/>
      <c r="AN10" s="111"/>
    </row>
    <row r="11" spans="2:40">
      <c r="B11" s="50" t="s">
        <v>3584</v>
      </c>
      <c r="C11" s="50">
        <v>9</v>
      </c>
      <c r="D11" s="50" t="s">
        <v>4424</v>
      </c>
      <c r="E11" s="111">
        <v>45495</v>
      </c>
      <c r="F11" s="50">
        <v>3</v>
      </c>
      <c r="G11" s="50" t="s">
        <v>3621</v>
      </c>
      <c r="H11" s="50" t="s">
        <v>3630</v>
      </c>
      <c r="I11" s="50">
        <v>31</v>
      </c>
      <c r="J11" s="50">
        <v>2.4845061000001999E+22</v>
      </c>
      <c r="K11" s="50"/>
      <c r="L11" s="50">
        <v>61</v>
      </c>
      <c r="M11" s="50">
        <v>0</v>
      </c>
      <c r="N11" s="111"/>
      <c r="O11" s="50">
        <v>2.1208001000000002E+22</v>
      </c>
      <c r="P11" s="111">
        <v>26384</v>
      </c>
      <c r="Q11" s="111">
        <v>40121</v>
      </c>
      <c r="R11" s="50">
        <v>36</v>
      </c>
      <c r="S11" s="50" t="s">
        <v>3706</v>
      </c>
      <c r="T11" s="50" t="s">
        <v>3706</v>
      </c>
      <c r="U11" s="262" t="s">
        <v>2917</v>
      </c>
      <c r="V11" s="262" t="s">
        <v>2172</v>
      </c>
      <c r="W11" s="262" t="s">
        <v>2176</v>
      </c>
      <c r="X11" s="263" t="s">
        <v>2179</v>
      </c>
      <c r="Y11" s="263" t="s">
        <v>2183</v>
      </c>
      <c r="Z11" s="262" t="s">
        <v>2186</v>
      </c>
      <c r="AA11" s="262" t="s">
        <v>2190</v>
      </c>
      <c r="AB11" s="262" t="s">
        <v>2194</v>
      </c>
      <c r="AC11" s="262" t="s">
        <v>2197</v>
      </c>
      <c r="AD11" s="262" t="s">
        <v>2201</v>
      </c>
      <c r="AE11" s="262" t="s">
        <v>2204</v>
      </c>
      <c r="AF11" s="50" t="s">
        <v>3646</v>
      </c>
      <c r="AG11" s="50" t="s">
        <v>3744</v>
      </c>
      <c r="AH11" s="50" t="s">
        <v>4422</v>
      </c>
      <c r="AI11" s="111">
        <v>45495</v>
      </c>
      <c r="AJ11" s="50" t="s">
        <v>4425</v>
      </c>
      <c r="AK11" s="50"/>
      <c r="AL11" s="50"/>
      <c r="AM11" s="111"/>
      <c r="AN11" s="111"/>
    </row>
    <row r="12" spans="2:40">
      <c r="B12" s="113" t="s">
        <v>3586</v>
      </c>
      <c r="C12" s="50">
        <v>10</v>
      </c>
      <c r="D12" s="50" t="s">
        <v>4426</v>
      </c>
      <c r="E12" s="111">
        <v>45495</v>
      </c>
      <c r="F12" s="50">
        <v>3</v>
      </c>
      <c r="G12" s="50" t="s">
        <v>3621</v>
      </c>
      <c r="H12" s="50" t="s">
        <v>3630</v>
      </c>
      <c r="I12" s="50">
        <v>31</v>
      </c>
      <c r="J12" s="50">
        <v>5.4060000086906101E+29</v>
      </c>
      <c r="K12" s="50" t="s">
        <v>4421</v>
      </c>
      <c r="L12" s="50">
        <v>269</v>
      </c>
      <c r="M12" s="50" t="s">
        <v>4427</v>
      </c>
      <c r="N12" s="50">
        <v>31</v>
      </c>
      <c r="O12" s="50">
        <v>2.39700506824024E+29</v>
      </c>
      <c r="P12" s="111">
        <v>45495</v>
      </c>
      <c r="Q12" s="111">
        <v>50908</v>
      </c>
      <c r="R12" s="50">
        <v>978</v>
      </c>
      <c r="S12" s="209">
        <v>99995000000</v>
      </c>
      <c r="T12" s="114">
        <v>120000000000000</v>
      </c>
      <c r="U12" s="263" t="s">
        <v>2917</v>
      </c>
      <c r="V12" s="263" t="s">
        <v>2172</v>
      </c>
      <c r="W12" s="263" t="s">
        <v>2176</v>
      </c>
      <c r="X12" s="263" t="s">
        <v>2179</v>
      </c>
      <c r="Y12" s="263" t="s">
        <v>2183</v>
      </c>
      <c r="Z12" s="263" t="s">
        <v>2186</v>
      </c>
      <c r="AA12" s="262" t="s">
        <v>2190</v>
      </c>
      <c r="AB12" s="262" t="s">
        <v>2194</v>
      </c>
      <c r="AC12" s="264" t="s">
        <v>2197</v>
      </c>
      <c r="AD12" s="262" t="s">
        <v>2201</v>
      </c>
      <c r="AE12" s="262" t="s">
        <v>2204</v>
      </c>
      <c r="AF12" s="50" t="s">
        <v>3631</v>
      </c>
      <c r="AG12" s="50" t="s">
        <v>3744</v>
      </c>
      <c r="AH12" s="111" t="s">
        <v>4422</v>
      </c>
      <c r="AI12" s="111">
        <v>45495</v>
      </c>
      <c r="AJ12" s="50" t="s">
        <v>4423</v>
      </c>
      <c r="AK12" s="50"/>
      <c r="AL12" s="50"/>
      <c r="AM12" s="111"/>
      <c r="AN12" s="111"/>
    </row>
    <row r="13" spans="2:40">
      <c r="B13" s="50" t="s">
        <v>3588</v>
      </c>
      <c r="C13" s="50">
        <v>11</v>
      </c>
      <c r="D13" s="50" t="s">
        <v>4428</v>
      </c>
      <c r="E13" s="111">
        <v>45495</v>
      </c>
      <c r="F13" s="50">
        <v>3</v>
      </c>
      <c r="G13" s="50" t="s">
        <v>3621</v>
      </c>
      <c r="H13" s="50" t="s">
        <v>3630</v>
      </c>
      <c r="I13" s="50">
        <v>31</v>
      </c>
      <c r="J13" s="50">
        <v>5.4060000086906101E+29</v>
      </c>
      <c r="K13" s="50"/>
      <c r="L13" s="50">
        <v>269</v>
      </c>
      <c r="M13" s="50" t="s">
        <v>4427</v>
      </c>
      <c r="N13" s="111"/>
      <c r="O13" s="50">
        <v>2.39700506824024E+29</v>
      </c>
      <c r="P13" s="111">
        <v>45495</v>
      </c>
      <c r="Q13" s="111">
        <v>50908</v>
      </c>
      <c r="R13" s="50">
        <v>978</v>
      </c>
      <c r="S13" s="111" t="s">
        <v>4429</v>
      </c>
      <c r="T13" s="114" t="s">
        <v>4429</v>
      </c>
      <c r="U13" s="262" t="s">
        <v>2917</v>
      </c>
      <c r="V13" s="262" t="s">
        <v>2172</v>
      </c>
      <c r="W13" s="262" t="s">
        <v>2176</v>
      </c>
      <c r="X13" s="263" t="s">
        <v>2179</v>
      </c>
      <c r="Y13" s="263" t="s">
        <v>2183</v>
      </c>
      <c r="Z13" s="263" t="s">
        <v>2186</v>
      </c>
      <c r="AA13" s="262" t="s">
        <v>2190</v>
      </c>
      <c r="AB13" s="262" t="s">
        <v>2194</v>
      </c>
      <c r="AC13" s="264" t="s">
        <v>2197</v>
      </c>
      <c r="AD13" s="262" t="s">
        <v>2201</v>
      </c>
      <c r="AE13" s="262" t="s">
        <v>2204</v>
      </c>
      <c r="AF13" s="50" t="s">
        <v>3646</v>
      </c>
      <c r="AG13" s="50" t="s">
        <v>3744</v>
      </c>
      <c r="AH13" s="111" t="s">
        <v>4422</v>
      </c>
      <c r="AI13" s="111">
        <v>45495</v>
      </c>
      <c r="AJ13" s="50" t="s">
        <v>4430</v>
      </c>
      <c r="AK13" s="50"/>
      <c r="AL13" s="50"/>
      <c r="AM13" s="111"/>
      <c r="AN13" s="111"/>
    </row>
    <row r="14" spans="2:40">
      <c r="B14" s="50" t="s">
        <v>3590</v>
      </c>
      <c r="C14" s="50">
        <v>12</v>
      </c>
      <c r="D14" s="50" t="s">
        <v>4431</v>
      </c>
      <c r="E14" s="111">
        <v>45495</v>
      </c>
      <c r="F14" s="50">
        <v>3</v>
      </c>
      <c r="G14" s="50">
        <v>0.89285700000000001</v>
      </c>
      <c r="H14" s="50" t="s">
        <v>3630</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c r="B15" s="50" t="s">
        <v>3592</v>
      </c>
      <c r="C15" s="50">
        <v>13</v>
      </c>
      <c r="D15" s="50" t="s">
        <v>4432</v>
      </c>
      <c r="E15" s="111">
        <v>45495</v>
      </c>
      <c r="F15" s="50">
        <v>3</v>
      </c>
      <c r="G15" s="114">
        <v>1</v>
      </c>
      <c r="H15" s="50" t="s">
        <v>3630</v>
      </c>
      <c r="I15" s="50" t="s">
        <v>3621</v>
      </c>
      <c r="J15" s="50" t="s">
        <v>3621</v>
      </c>
      <c r="K15" s="50" t="s">
        <v>3621</v>
      </c>
      <c r="L15" s="50" t="s">
        <v>3621</v>
      </c>
      <c r="M15" s="50" t="s">
        <v>3621</v>
      </c>
      <c r="N15" s="111" t="s">
        <v>3621</v>
      </c>
      <c r="O15" s="111" t="s">
        <v>3621</v>
      </c>
      <c r="P15" s="50">
        <v>0</v>
      </c>
      <c r="Q15" s="50">
        <v>0</v>
      </c>
      <c r="R15" s="50" t="s">
        <v>3621</v>
      </c>
      <c r="S15" s="111" t="s">
        <v>3621</v>
      </c>
      <c r="T15" s="111" t="s">
        <v>3621</v>
      </c>
      <c r="U15" s="262" t="s">
        <v>3621</v>
      </c>
      <c r="V15" s="262" t="s">
        <v>3621</v>
      </c>
      <c r="W15" s="262" t="s">
        <v>3621</v>
      </c>
      <c r="X15" s="262" t="s">
        <v>3621</v>
      </c>
      <c r="Y15" s="262" t="s">
        <v>3621</v>
      </c>
      <c r="Z15" s="262" t="s">
        <v>3621</v>
      </c>
      <c r="AA15" s="262" t="s">
        <v>3621</v>
      </c>
      <c r="AB15" s="262" t="s">
        <v>3621</v>
      </c>
      <c r="AC15" s="264" t="s">
        <v>3621</v>
      </c>
      <c r="AD15" s="262" t="s">
        <v>3621</v>
      </c>
      <c r="AE15" s="262" t="s">
        <v>3621</v>
      </c>
      <c r="AF15" s="50" t="s">
        <v>3621</v>
      </c>
      <c r="AG15" s="50" t="s">
        <v>3621</v>
      </c>
      <c r="AH15" s="111" t="s">
        <v>3621</v>
      </c>
      <c r="AI15" s="50" t="s">
        <v>3621</v>
      </c>
      <c r="AJ15" s="50" t="s">
        <v>3621</v>
      </c>
      <c r="AK15" s="50"/>
      <c r="AL15" s="50"/>
      <c r="AM15" s="50"/>
      <c r="AN15" s="111"/>
    </row>
    <row r="16" spans="2:40">
      <c r="B16" s="50" t="s">
        <v>3594</v>
      </c>
      <c r="C16" s="50">
        <v>14</v>
      </c>
      <c r="D16" s="50" t="s">
        <v>4433</v>
      </c>
      <c r="E16" s="111">
        <v>45495</v>
      </c>
      <c r="F16" s="50">
        <v>3</v>
      </c>
      <c r="G16" s="114">
        <v>1</v>
      </c>
      <c r="H16" s="50" t="s">
        <v>3630</v>
      </c>
      <c r="I16" s="50">
        <v>0</v>
      </c>
      <c r="J16" s="50">
        <v>0</v>
      </c>
      <c r="K16" s="50">
        <v>0</v>
      </c>
      <c r="L16" s="50">
        <v>0</v>
      </c>
      <c r="M16" s="50">
        <v>0</v>
      </c>
      <c r="N16" s="50">
        <v>0</v>
      </c>
      <c r="O16" s="50">
        <v>0</v>
      </c>
      <c r="P16" s="50" t="s">
        <v>3621</v>
      </c>
      <c r="Q16" s="50" t="s">
        <v>3621</v>
      </c>
      <c r="R16" s="50">
        <v>0</v>
      </c>
      <c r="S16" s="50" t="s">
        <v>3621</v>
      </c>
      <c r="T16" s="50" t="s">
        <v>3621</v>
      </c>
      <c r="U16" s="262" t="s">
        <v>3621</v>
      </c>
      <c r="V16" s="262" t="s">
        <v>3621</v>
      </c>
      <c r="W16" s="262" t="s">
        <v>3621</v>
      </c>
      <c r="X16" s="262" t="s">
        <v>3621</v>
      </c>
      <c r="Y16" s="262" t="s">
        <v>3621</v>
      </c>
      <c r="Z16" s="262" t="s">
        <v>3621</v>
      </c>
      <c r="AA16" s="262" t="s">
        <v>3621</v>
      </c>
      <c r="AB16" s="262" t="s">
        <v>3621</v>
      </c>
      <c r="AC16" s="262" t="s">
        <v>3621</v>
      </c>
      <c r="AD16" s="262" t="s">
        <v>3621</v>
      </c>
      <c r="AE16" s="262" t="s">
        <v>3621</v>
      </c>
      <c r="AF16" s="50">
        <v>0</v>
      </c>
      <c r="AG16" s="50">
        <v>0</v>
      </c>
      <c r="AH16" s="50">
        <v>0</v>
      </c>
      <c r="AI16" s="50" t="s">
        <v>3621</v>
      </c>
      <c r="AJ16" s="50" t="s">
        <v>3621</v>
      </c>
      <c r="AK16" s="50"/>
      <c r="AL16" s="50"/>
      <c r="AM16" s="50"/>
      <c r="AN16" s="50"/>
    </row>
    <row r="17" spans="2:41">
      <c r="B17" s="50" t="s">
        <v>3596</v>
      </c>
      <c r="C17" s="50">
        <v>15</v>
      </c>
      <c r="D17" s="50" t="s">
        <v>4434</v>
      </c>
      <c r="E17" s="111">
        <v>45495</v>
      </c>
      <c r="F17" s="50">
        <v>3</v>
      </c>
      <c r="G17" s="114">
        <v>1</v>
      </c>
      <c r="H17" s="114" t="s">
        <v>3630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262"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1">
      <c r="B18" s="50" t="s">
        <v>3598</v>
      </c>
      <c r="C18" s="50">
        <v>16</v>
      </c>
      <c r="D18" s="50" t="s">
        <v>4434</v>
      </c>
      <c r="E18" s="111">
        <v>45495</v>
      </c>
      <c r="F18" s="50">
        <v>3</v>
      </c>
      <c r="G18" s="114">
        <v>1</v>
      </c>
      <c r="H18" s="114" t="s">
        <v>3630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262"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1">
      <c r="B19" s="50" t="s">
        <v>3600</v>
      </c>
      <c r="C19" s="50">
        <v>17</v>
      </c>
      <c r="D19" s="50" t="s">
        <v>4435</v>
      </c>
      <c r="E19" s="111">
        <v>45495</v>
      </c>
      <c r="F19" s="50">
        <v>3</v>
      </c>
      <c r="G19" s="50">
        <v>0.98260000000000003</v>
      </c>
      <c r="H19" s="228">
        <v>4682000000</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262"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1">
      <c r="B20" s="50" t="s">
        <v>3602</v>
      </c>
      <c r="C20" s="50">
        <v>18</v>
      </c>
      <c r="D20" s="50" t="s">
        <v>4435</v>
      </c>
      <c r="E20" s="111">
        <v>45495</v>
      </c>
      <c r="F20" s="50">
        <v>3</v>
      </c>
      <c r="G20" s="114">
        <v>1</v>
      </c>
      <c r="H20" s="209"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262"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1">
      <c r="B21" s="50" t="s">
        <v>3604</v>
      </c>
      <c r="C21" s="50">
        <v>19</v>
      </c>
      <c r="D21" s="50" t="s">
        <v>4436</v>
      </c>
      <c r="E21" s="111">
        <v>45495</v>
      </c>
      <c r="F21" s="50">
        <v>3</v>
      </c>
      <c r="G21" s="225" cm="1">
        <f t="array" aca="1" ref="G21" ca="1">SUMPRODUCT(--(ISNUMBER((SEARCH(I27:AJ27,I21:AJ21)))))/COUNTA(I21:AJ21)</f>
        <v>0.7142857142857143</v>
      </c>
      <c r="H21" s="50" t="s">
        <v>3630</v>
      </c>
      <c r="I21" s="50" t="s">
        <v>3655</v>
      </c>
      <c r="J21" s="50" t="s">
        <v>3655</v>
      </c>
      <c r="K21" s="50" t="s">
        <v>3655</v>
      </c>
      <c r="L21" s="50" t="s">
        <v>3655</v>
      </c>
      <c r="M21" s="50" t="s">
        <v>3655</v>
      </c>
      <c r="N21" s="50" t="s">
        <v>3655</v>
      </c>
      <c r="O21" s="50" t="s">
        <v>3655</v>
      </c>
      <c r="P21" s="113" t="s">
        <v>3655</v>
      </c>
      <c r="Q21" s="113" t="s">
        <v>3655</v>
      </c>
      <c r="R21" s="50" t="s">
        <v>3655</v>
      </c>
      <c r="S21" s="50" t="s">
        <v>3655</v>
      </c>
      <c r="T21" s="50" t="s">
        <v>3656</v>
      </c>
      <c r="U21" s="262" t="s">
        <v>3655</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1">
      <c r="B22" s="50" t="s">
        <v>3607</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c r="B23" s="50" t="s">
        <v>3610</v>
      </c>
      <c r="C23" s="50">
        <v>21</v>
      </c>
      <c r="D23" s="50"/>
      <c r="E23" s="111"/>
      <c r="F23" s="50"/>
      <c r="G23" s="209" cm="1">
        <f t="array" aca="1" ref="G23" ca="1">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c r="B25" s="146" t="s">
        <v>3727</v>
      </c>
    </row>
    <row r="26" spans="2:41">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c r="B27" s="123" t="s">
        <v>3658</v>
      </c>
      <c r="C27" s="109">
        <v>21</v>
      </c>
      <c r="D27" s="108" t="s">
        <v>3659</v>
      </c>
      <c r="E27" t="s">
        <v>3660</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61" t="str">
        <f ca="1"/>
        <v>TIMESTAMP</v>
      </c>
    </row>
    <row r="28" spans="2:41">
      <c r="B28" s="123" t="s">
        <v>3661</v>
      </c>
      <c r="C28" s="167">
        <v>7</v>
      </c>
      <c r="D28" s="122" t="s">
        <v>3659</v>
      </c>
      <c r="E28" s="121" t="s">
        <v>3660</v>
      </c>
      <c r="F28" s="121" t="s">
        <v>372</v>
      </c>
      <c r="G28" s="121" t="s">
        <v>372</v>
      </c>
      <c r="H28" s="121" t="s">
        <v>372</v>
      </c>
      <c r="I28" s="167">
        <f ca="1"/>
        <v>4</v>
      </c>
      <c r="J28" s="167">
        <f ca="1"/>
        <v>30</v>
      </c>
      <c r="K28" s="167">
        <f ca="1"/>
        <v>10</v>
      </c>
      <c r="L28" s="167">
        <f ca="1"/>
        <v>4</v>
      </c>
      <c r="M28" s="167">
        <f ca="1"/>
        <v>4</v>
      </c>
      <c r="N28" s="167">
        <f ca="1"/>
        <v>4</v>
      </c>
      <c r="O28" s="167">
        <f ca="1"/>
        <v>4</v>
      </c>
      <c r="P28" s="167">
        <f ca="1"/>
        <v>30</v>
      </c>
      <c r="Q28" s="167">
        <f ca="1"/>
        <v>10</v>
      </c>
      <c r="R28" s="167">
        <f ca="1"/>
        <v>4</v>
      </c>
      <c r="S28" s="167">
        <f ca="1"/>
        <v>23</v>
      </c>
      <c r="T28" s="167">
        <f ca="1"/>
        <v>23</v>
      </c>
      <c r="U28" s="167">
        <f ca="1"/>
        <v>23</v>
      </c>
      <c r="V28" s="167">
        <f ca="1"/>
        <v>4</v>
      </c>
      <c r="W28" s="167">
        <f ca="1"/>
        <v>20</v>
      </c>
      <c r="X28" s="167">
        <f ca="1"/>
        <v>23</v>
      </c>
      <c r="Y28" s="167">
        <f ca="1"/>
        <v>23</v>
      </c>
      <c r="Z28" s="167">
        <f ca="1"/>
        <v>23</v>
      </c>
      <c r="AA28" s="167">
        <f ca="1"/>
        <v>4</v>
      </c>
      <c r="AB28" s="167">
        <f ca="1"/>
        <v>20</v>
      </c>
      <c r="AC28" s="167">
        <f ca="1"/>
        <v>23</v>
      </c>
      <c r="AD28" s="167">
        <f ca="1"/>
        <v>23</v>
      </c>
      <c r="AE28" s="167">
        <f ca="1"/>
        <v>23</v>
      </c>
      <c r="AF28" s="167">
        <f ca="1"/>
        <v>4</v>
      </c>
      <c r="AG28" s="167">
        <f ca="1"/>
        <v>4</v>
      </c>
      <c r="AH28" s="167">
        <f ca="1"/>
        <v>2</v>
      </c>
      <c r="AI28" s="167">
        <f ca="1"/>
        <v>27</v>
      </c>
      <c r="AJ28" s="168">
        <f ca="1"/>
        <v>28</v>
      </c>
      <c r="AK28" s="109"/>
      <c r="AL28" s="109"/>
      <c r="AM28" s="109"/>
      <c r="AN28" s="109"/>
      <c r="AO28" s="109"/>
    </row>
    <row r="30" spans="2:41">
      <c r="B30" s="156" t="s">
        <v>3662</v>
      </c>
    </row>
    <row r="31" spans="2:41">
      <c r="B31" s="150" t="s">
        <v>3663</v>
      </c>
      <c r="C31" s="150" t="s">
        <v>3664</v>
      </c>
      <c r="D31" s="151" t="s">
        <v>3665</v>
      </c>
      <c r="E31" s="150" t="s">
        <v>3666</v>
      </c>
      <c r="F31" s="150" t="s">
        <v>3667</v>
      </c>
    </row>
    <row r="32" spans="2:41" ht="29.1">
      <c r="B32" s="127" t="s">
        <v>3668</v>
      </c>
      <c r="C32" s="131" t="s">
        <v>188</v>
      </c>
      <c r="D32" s="53" t="s">
        <v>4437</v>
      </c>
      <c r="E32" s="169" t="s">
        <v>4438</v>
      </c>
      <c r="F32" s="152" t="s">
        <v>3674</v>
      </c>
    </row>
    <row r="33" spans="2:16" ht="29.1">
      <c r="B33" s="127" t="s">
        <v>3668</v>
      </c>
      <c r="C33" s="131" t="s">
        <v>223</v>
      </c>
      <c r="D33" s="53" t="s">
        <v>4439</v>
      </c>
      <c r="E33" s="169" t="s">
        <v>4440</v>
      </c>
      <c r="F33" s="152" t="s">
        <v>3674</v>
      </c>
    </row>
    <row r="34" spans="2:16" ht="29.1">
      <c r="B34" s="127" t="s">
        <v>3668</v>
      </c>
      <c r="C34" s="131" t="s">
        <v>2906</v>
      </c>
      <c r="D34" s="53" t="s">
        <v>4439</v>
      </c>
      <c r="E34" s="169" t="s">
        <v>4440</v>
      </c>
      <c r="F34" s="152" t="s">
        <v>3674</v>
      </c>
    </row>
    <row r="35" spans="2:16" ht="29.1">
      <c r="B35" s="127" t="s">
        <v>3668</v>
      </c>
      <c r="C35" s="131" t="s">
        <v>1618</v>
      </c>
      <c r="D35" s="53" t="s">
        <v>4439</v>
      </c>
      <c r="E35" s="169" t="s">
        <v>4440</v>
      </c>
      <c r="F35" s="152" t="s">
        <v>3674</v>
      </c>
    </row>
    <row r="36" spans="2:16" ht="29.1">
      <c r="B36" s="127" t="s">
        <v>3668</v>
      </c>
      <c r="C36" s="131" t="s">
        <v>305</v>
      </c>
      <c r="D36" s="53" t="s">
        <v>4441</v>
      </c>
      <c r="E36" s="169" t="s">
        <v>4442</v>
      </c>
      <c r="F36" s="152" t="s">
        <v>3677</v>
      </c>
    </row>
    <row r="37" spans="2:16" ht="43.5">
      <c r="B37" s="127" t="s">
        <v>3683</v>
      </c>
      <c r="C37" s="131" t="s">
        <v>4443</v>
      </c>
      <c r="D37" s="53" t="s">
        <v>4444</v>
      </c>
      <c r="E37" s="169" t="s">
        <v>4445</v>
      </c>
      <c r="F37" s="152" t="s">
        <v>3677</v>
      </c>
      <c r="I37" s="174"/>
      <c r="J37" s="174"/>
      <c r="K37" s="174"/>
      <c r="L37" s="174"/>
      <c r="M37" s="174"/>
      <c r="N37" s="174"/>
      <c r="O37" s="174"/>
      <c r="P37" s="174"/>
    </row>
    <row r="38" spans="2:16" ht="29.1">
      <c r="B38" s="127" t="s">
        <v>3678</v>
      </c>
      <c r="C38" s="131" t="s">
        <v>4443</v>
      </c>
      <c r="D38" s="53" t="s">
        <v>4446</v>
      </c>
      <c r="E38" s="169" t="s">
        <v>4447</v>
      </c>
      <c r="F38"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4123</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3567</v>
      </c>
      <c r="C3" s="50">
        <v>1</v>
      </c>
      <c r="D3" s="50" t="s">
        <v>4448</v>
      </c>
      <c r="E3" s="111">
        <v>45548</v>
      </c>
      <c r="F3" s="50">
        <v>1</v>
      </c>
      <c r="G3" s="279">
        <v>1</v>
      </c>
      <c r="H3" s="241">
        <v>956041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c r="B4" s="50" t="s">
        <v>3569</v>
      </c>
      <c r="C4" s="50">
        <v>2</v>
      </c>
      <c r="D4" s="50" t="s">
        <v>4449</v>
      </c>
      <c r="E4" s="111">
        <v>45548</v>
      </c>
      <c r="F4" s="50">
        <v>1</v>
      </c>
      <c r="G4" s="279">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c r="B5" s="50" t="s">
        <v>3571</v>
      </c>
      <c r="C5" s="50">
        <v>3</v>
      </c>
      <c r="D5" s="50" t="s">
        <v>4450</v>
      </c>
      <c r="E5" s="111">
        <v>45548</v>
      </c>
      <c r="F5" s="50">
        <v>1</v>
      </c>
      <c r="G5" s="279">
        <v>1</v>
      </c>
      <c r="H5" s="201">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c r="B6" s="113" t="s">
        <v>3573</v>
      </c>
      <c r="C6" s="50">
        <v>4</v>
      </c>
      <c r="D6" s="50" t="s">
        <v>3624</v>
      </c>
      <c r="E6" s="111" t="s">
        <v>3621</v>
      </c>
      <c r="F6" s="50">
        <v>1</v>
      </c>
      <c r="G6" s="111"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c r="B7" s="50" t="s">
        <v>3575</v>
      </c>
      <c r="C7" s="50">
        <v>5</v>
      </c>
      <c r="D7" s="50" t="s">
        <v>3624</v>
      </c>
      <c r="E7" s="111" t="s">
        <v>3621</v>
      </c>
      <c r="F7" s="50">
        <v>1</v>
      </c>
      <c r="G7" s="111"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c r="B8" s="113" t="s">
        <v>3576</v>
      </c>
      <c r="C8" s="50">
        <v>6</v>
      </c>
      <c r="D8" s="50" t="s">
        <v>4451</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c r="B9" s="50" t="s">
        <v>3579</v>
      </c>
      <c r="C9" s="50">
        <v>7</v>
      </c>
      <c r="D9" s="50" t="s">
        <v>4452</v>
      </c>
      <c r="E9" s="111">
        <v>45548</v>
      </c>
      <c r="F9" s="50">
        <v>1</v>
      </c>
      <c r="G9" s="225" cm="1">
        <f t="array" aca="1" ref="G9" ca="1">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c r="B10" s="50" t="s">
        <v>3582</v>
      </c>
      <c r="C10" s="50">
        <v>8</v>
      </c>
      <c r="D10" s="50" t="s">
        <v>4453</v>
      </c>
      <c r="E10" s="111">
        <v>45548</v>
      </c>
      <c r="F10" s="50">
        <v>1</v>
      </c>
      <c r="G10" s="111" t="s">
        <v>3621</v>
      </c>
      <c r="H10" s="201">
        <v>0</v>
      </c>
      <c r="I10" s="50">
        <v>31</v>
      </c>
      <c r="J10" s="50">
        <v>1.3033148999999999E+22</v>
      </c>
      <c r="K10" s="50" t="s">
        <v>4454</v>
      </c>
      <c r="L10" s="50">
        <v>25</v>
      </c>
      <c r="M10" s="50">
        <v>0</v>
      </c>
      <c r="N10" s="111">
        <v>26456</v>
      </c>
      <c r="O10" s="111">
        <v>35577</v>
      </c>
      <c r="P10" s="50">
        <v>124</v>
      </c>
      <c r="Q10" s="50">
        <v>0</v>
      </c>
      <c r="R10" s="114">
        <v>-423629766230000</v>
      </c>
      <c r="S10" s="209" t="s">
        <v>3630</v>
      </c>
      <c r="T10" s="114">
        <v>-2157898676640000</v>
      </c>
      <c r="U10" s="114" t="s">
        <v>3630</v>
      </c>
      <c r="V10" s="263" t="s">
        <v>4123</v>
      </c>
      <c r="W10" s="263" t="s">
        <v>1977</v>
      </c>
      <c r="X10" s="262" t="s">
        <v>1988</v>
      </c>
      <c r="Y10" s="263" t="s">
        <v>1998</v>
      </c>
      <c r="Z10" s="263" t="s">
        <v>1515</v>
      </c>
      <c r="AA10" s="262" t="s">
        <v>1522</v>
      </c>
      <c r="AB10" s="262" t="s">
        <v>756</v>
      </c>
      <c r="AC10" s="262" t="s">
        <v>766</v>
      </c>
      <c r="AD10" s="262" t="s">
        <v>776</v>
      </c>
      <c r="AE10" s="262" t="s">
        <v>785</v>
      </c>
      <c r="AF10" s="50" t="s">
        <v>3631</v>
      </c>
      <c r="AG10" s="50" t="s">
        <v>3632</v>
      </c>
      <c r="AH10" s="50" t="s">
        <v>3749</v>
      </c>
      <c r="AI10" s="111">
        <v>45548</v>
      </c>
      <c r="AJ10" s="111" t="s">
        <v>4455</v>
      </c>
      <c r="AK10" s="50"/>
      <c r="AL10" s="50"/>
      <c r="AM10" s="111"/>
      <c r="AN10" s="111"/>
    </row>
    <row r="11" spans="2:40">
      <c r="B11" s="50" t="s">
        <v>3584</v>
      </c>
      <c r="C11" s="50">
        <v>9</v>
      </c>
      <c r="D11" s="50" t="s">
        <v>4456</v>
      </c>
      <c r="E11" s="111">
        <v>45548</v>
      </c>
      <c r="F11" s="50">
        <v>1</v>
      </c>
      <c r="G11" s="111" t="s">
        <v>3621</v>
      </c>
      <c r="H11" s="201">
        <v>0</v>
      </c>
      <c r="I11" s="50">
        <v>31</v>
      </c>
      <c r="J11" s="50">
        <v>1.3033148999999999E+22</v>
      </c>
      <c r="K11" s="50" t="s">
        <v>4457</v>
      </c>
      <c r="L11" s="50">
        <v>25</v>
      </c>
      <c r="M11" s="50">
        <v>0</v>
      </c>
      <c r="N11" s="111">
        <v>26456</v>
      </c>
      <c r="O11" s="111">
        <v>35577</v>
      </c>
      <c r="P11" s="50">
        <v>124</v>
      </c>
      <c r="Q11" s="50">
        <v>0</v>
      </c>
      <c r="R11" s="114">
        <v>-423629766230000</v>
      </c>
      <c r="S11" s="50" t="s">
        <v>3630</v>
      </c>
      <c r="T11" s="114">
        <v>-2157898676640000</v>
      </c>
      <c r="U11" s="50" t="s">
        <v>3630</v>
      </c>
      <c r="V11" s="262" t="s">
        <v>4123</v>
      </c>
      <c r="W11" s="262" t="s">
        <v>1977</v>
      </c>
      <c r="X11" s="262" t="s">
        <v>1988</v>
      </c>
      <c r="Y11" s="263" t="s">
        <v>1998</v>
      </c>
      <c r="Z11" s="263" t="s">
        <v>1515</v>
      </c>
      <c r="AA11" s="262" t="s">
        <v>1522</v>
      </c>
      <c r="AB11" s="262" t="s">
        <v>756</v>
      </c>
      <c r="AC11" s="262" t="s">
        <v>766</v>
      </c>
      <c r="AD11" s="262" t="s">
        <v>776</v>
      </c>
      <c r="AE11" s="262" t="s">
        <v>785</v>
      </c>
      <c r="AF11" s="50">
        <v>0</v>
      </c>
      <c r="AG11" s="50"/>
      <c r="AH11" s="50" t="s">
        <v>3749</v>
      </c>
      <c r="AI11" s="111">
        <v>45548</v>
      </c>
      <c r="AJ11" s="111" t="s">
        <v>4458</v>
      </c>
      <c r="AK11" s="50"/>
      <c r="AL11" s="50"/>
      <c r="AM11" s="111"/>
      <c r="AN11" s="111"/>
    </row>
    <row r="12" spans="2:40">
      <c r="B12" s="113" t="s">
        <v>3586</v>
      </c>
      <c r="C12" s="50">
        <v>10</v>
      </c>
      <c r="D12" s="50" t="s">
        <v>4459</v>
      </c>
      <c r="E12" s="111">
        <v>45548</v>
      </c>
      <c r="F12" s="50">
        <v>1</v>
      </c>
      <c r="G12" s="111" t="s">
        <v>3621</v>
      </c>
      <c r="H12" s="201">
        <v>0</v>
      </c>
      <c r="I12" s="50">
        <v>31</v>
      </c>
      <c r="J12" s="50">
        <v>5.3150000011502503E+29</v>
      </c>
      <c r="K12" s="50" t="s">
        <v>4454</v>
      </c>
      <c r="L12" s="50">
        <v>43</v>
      </c>
      <c r="M12" s="50" t="s">
        <v>4460</v>
      </c>
      <c r="N12" s="111">
        <v>45548</v>
      </c>
      <c r="O12" s="111">
        <v>2958465</v>
      </c>
      <c r="P12" s="50">
        <v>978</v>
      </c>
      <c r="Q12" s="50">
        <v>1</v>
      </c>
      <c r="R12" s="114">
        <v>423629766230000</v>
      </c>
      <c r="S12" s="209">
        <v>2134731276340000</v>
      </c>
      <c r="T12" s="114">
        <v>423629766230000</v>
      </c>
      <c r="U12" s="114">
        <v>328950890000</v>
      </c>
      <c r="V12" s="263" t="s">
        <v>4123</v>
      </c>
      <c r="W12" s="263" t="s">
        <v>1977</v>
      </c>
      <c r="X12" s="263" t="s">
        <v>1988</v>
      </c>
      <c r="Y12" s="263" t="s">
        <v>1998</v>
      </c>
      <c r="Z12" s="263" t="s">
        <v>1515</v>
      </c>
      <c r="AA12" s="263" t="s">
        <v>1522</v>
      </c>
      <c r="AB12" s="262" t="s">
        <v>756</v>
      </c>
      <c r="AC12" s="262" t="s">
        <v>766</v>
      </c>
      <c r="AD12" s="264" t="s">
        <v>776</v>
      </c>
      <c r="AE12" s="262" t="s">
        <v>785</v>
      </c>
      <c r="AF12" s="50" t="s">
        <v>3640</v>
      </c>
      <c r="AG12" s="50" t="s">
        <v>3632</v>
      </c>
      <c r="AH12" s="50" t="s">
        <v>3641</v>
      </c>
      <c r="AI12" s="111">
        <v>45548</v>
      </c>
      <c r="AJ12" s="111" t="s">
        <v>4455</v>
      </c>
      <c r="AK12" s="50"/>
      <c r="AL12" s="50"/>
      <c r="AM12" s="111"/>
      <c r="AN12" s="111"/>
    </row>
    <row r="13" spans="2:40">
      <c r="B13" s="50" t="s">
        <v>3588</v>
      </c>
      <c r="C13" s="50">
        <v>11</v>
      </c>
      <c r="D13" s="50" t="s">
        <v>4461</v>
      </c>
      <c r="E13" s="111">
        <v>45548</v>
      </c>
      <c r="F13" s="50">
        <v>1</v>
      </c>
      <c r="G13" s="111" t="s">
        <v>3621</v>
      </c>
      <c r="H13" s="201">
        <v>0</v>
      </c>
      <c r="I13" s="50">
        <v>31</v>
      </c>
      <c r="J13" s="50">
        <v>5.3150000011502503E+29</v>
      </c>
      <c r="K13" s="50" t="s">
        <v>4462</v>
      </c>
      <c r="L13" s="50">
        <v>43</v>
      </c>
      <c r="M13" s="50" t="s">
        <v>4460</v>
      </c>
      <c r="N13" s="111">
        <v>45548</v>
      </c>
      <c r="O13" s="111">
        <v>2958465</v>
      </c>
      <c r="P13" s="50">
        <v>978</v>
      </c>
      <c r="Q13" s="50">
        <v>1</v>
      </c>
      <c r="R13" s="114">
        <v>423629766230000</v>
      </c>
      <c r="S13" s="111">
        <v>2134731276340000</v>
      </c>
      <c r="T13" s="114">
        <v>423629766230000</v>
      </c>
      <c r="U13" s="114">
        <v>328950890000</v>
      </c>
      <c r="V13" s="262" t="s">
        <v>4123</v>
      </c>
      <c r="W13" s="262" t="s">
        <v>1977</v>
      </c>
      <c r="X13" s="262" t="s">
        <v>1988</v>
      </c>
      <c r="Y13" s="263" t="s">
        <v>1998</v>
      </c>
      <c r="Z13" s="263" t="s">
        <v>1515</v>
      </c>
      <c r="AA13" s="263" t="s">
        <v>1522</v>
      </c>
      <c r="AB13" s="262" t="s">
        <v>756</v>
      </c>
      <c r="AC13" s="262" t="s">
        <v>766</v>
      </c>
      <c r="AD13" s="264" t="s">
        <v>776</v>
      </c>
      <c r="AE13" s="262" t="s">
        <v>785</v>
      </c>
      <c r="AF13" s="50">
        <v>5</v>
      </c>
      <c r="AG13" s="50"/>
      <c r="AH13" s="50" t="s">
        <v>3641</v>
      </c>
      <c r="AI13" s="111">
        <v>45548</v>
      </c>
      <c r="AJ13" s="111" t="s">
        <v>4463</v>
      </c>
      <c r="AK13" s="50"/>
      <c r="AL13" s="50"/>
      <c r="AM13" s="111"/>
      <c r="AN13" s="111"/>
    </row>
    <row r="14" spans="2:40">
      <c r="B14" s="50" t="s">
        <v>3590</v>
      </c>
      <c r="C14" s="50">
        <v>12</v>
      </c>
      <c r="D14" s="50" t="s">
        <v>4464</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3592</v>
      </c>
      <c r="C15" s="50">
        <v>13</v>
      </c>
      <c r="D15" s="50" t="s">
        <v>4465</v>
      </c>
      <c r="E15" s="111">
        <v>45548</v>
      </c>
      <c r="F15" s="50">
        <v>1</v>
      </c>
      <c r="G15" s="279">
        <v>1</v>
      </c>
      <c r="H15" s="201">
        <v>0</v>
      </c>
      <c r="I15" s="50" t="s">
        <v>3621</v>
      </c>
      <c r="J15" s="50" t="s">
        <v>3621</v>
      </c>
      <c r="K15" s="50" t="s">
        <v>3621</v>
      </c>
      <c r="L15" s="50" t="s">
        <v>3621</v>
      </c>
      <c r="M15" s="50" t="s">
        <v>3621</v>
      </c>
      <c r="N15" s="111">
        <v>0</v>
      </c>
      <c r="O15" s="111">
        <v>0</v>
      </c>
      <c r="P15" s="50" t="s">
        <v>3621</v>
      </c>
      <c r="Q15" s="50" t="s">
        <v>3621</v>
      </c>
      <c r="R15" s="50" t="s">
        <v>3621</v>
      </c>
      <c r="S15" s="111" t="s">
        <v>3621</v>
      </c>
      <c r="T15" s="111" t="s">
        <v>3621</v>
      </c>
      <c r="U15" s="111" t="s">
        <v>3621</v>
      </c>
      <c r="V15" s="262" t="s">
        <v>3621</v>
      </c>
      <c r="W15" s="262" t="s">
        <v>3621</v>
      </c>
      <c r="X15" s="262" t="s">
        <v>3621</v>
      </c>
      <c r="Y15" s="262" t="s">
        <v>3621</v>
      </c>
      <c r="Z15" s="262" t="s">
        <v>3621</v>
      </c>
      <c r="AA15" s="262" t="s">
        <v>3621</v>
      </c>
      <c r="AB15" s="262" t="s">
        <v>3621</v>
      </c>
      <c r="AC15" s="262" t="s">
        <v>3621</v>
      </c>
      <c r="AD15" s="264" t="s">
        <v>3621</v>
      </c>
      <c r="AE15" s="262" t="s">
        <v>3621</v>
      </c>
      <c r="AF15" s="50" t="s">
        <v>3621</v>
      </c>
      <c r="AG15" s="50" t="s">
        <v>3621</v>
      </c>
      <c r="AH15" s="50" t="s">
        <v>3621</v>
      </c>
      <c r="AI15" s="111" t="s">
        <v>3621</v>
      </c>
      <c r="AJ15" s="50" t="s">
        <v>3621</v>
      </c>
      <c r="AK15" s="50"/>
      <c r="AL15" s="50"/>
      <c r="AM15" s="50"/>
      <c r="AN15" s="111"/>
    </row>
    <row r="16" spans="2:40">
      <c r="B16" s="50" t="s">
        <v>3594</v>
      </c>
      <c r="C16" s="50">
        <v>14</v>
      </c>
      <c r="D16" s="50" t="s">
        <v>4466</v>
      </c>
      <c r="E16" s="111">
        <v>45548</v>
      </c>
      <c r="F16" s="50">
        <v>1</v>
      </c>
      <c r="G16" s="279">
        <v>1</v>
      </c>
      <c r="H16" s="201">
        <v>0</v>
      </c>
      <c r="I16" s="50">
        <v>0</v>
      </c>
      <c r="J16" s="50">
        <v>0</v>
      </c>
      <c r="K16" s="50">
        <v>0</v>
      </c>
      <c r="L16" s="50">
        <v>0</v>
      </c>
      <c r="M16" s="50">
        <v>0</v>
      </c>
      <c r="N16" s="50" t="s">
        <v>3621</v>
      </c>
      <c r="O16" s="50" t="s">
        <v>3621</v>
      </c>
      <c r="P16" s="50">
        <v>0</v>
      </c>
      <c r="Q16" s="50" t="s">
        <v>3621</v>
      </c>
      <c r="R16" s="50" t="s">
        <v>3621</v>
      </c>
      <c r="S16" s="50" t="s">
        <v>3621</v>
      </c>
      <c r="T16" s="50" t="s">
        <v>3621</v>
      </c>
      <c r="U16" s="50" t="s">
        <v>3621</v>
      </c>
      <c r="V16" s="262" t="s">
        <v>3621</v>
      </c>
      <c r="W16" s="262" t="s">
        <v>3621</v>
      </c>
      <c r="X16" s="262" t="s">
        <v>3621</v>
      </c>
      <c r="Y16" s="262" t="s">
        <v>3621</v>
      </c>
      <c r="Z16" s="262" t="s">
        <v>3621</v>
      </c>
      <c r="AA16" s="262">
        <v>0</v>
      </c>
      <c r="AB16" s="262" t="s">
        <v>3621</v>
      </c>
      <c r="AC16" s="262" t="s">
        <v>3621</v>
      </c>
      <c r="AD16" s="262" t="s">
        <v>3621</v>
      </c>
      <c r="AE16" s="262" t="s">
        <v>3621</v>
      </c>
      <c r="AF16" s="50">
        <v>0</v>
      </c>
      <c r="AG16" s="50">
        <v>0</v>
      </c>
      <c r="AH16" s="50">
        <v>0</v>
      </c>
      <c r="AI16" s="50" t="s">
        <v>3621</v>
      </c>
      <c r="AJ16" s="50" t="s">
        <v>3621</v>
      </c>
      <c r="AK16" s="50"/>
      <c r="AL16" s="50"/>
      <c r="AM16" s="50"/>
      <c r="AN16" s="50"/>
    </row>
    <row r="17" spans="2:40">
      <c r="B17" s="50" t="s">
        <v>3596</v>
      </c>
      <c r="C17" s="50">
        <v>15</v>
      </c>
      <c r="D17" s="50" t="s">
        <v>4467</v>
      </c>
      <c r="E17" s="111">
        <v>45548</v>
      </c>
      <c r="F17" s="50">
        <v>1</v>
      </c>
      <c r="G17" s="279">
        <v>1</v>
      </c>
      <c r="H17" s="201">
        <v>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113"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0">
      <c r="B18" s="50" t="s">
        <v>3598</v>
      </c>
      <c r="C18" s="50">
        <v>16</v>
      </c>
      <c r="D18" s="50" t="s">
        <v>4467</v>
      </c>
      <c r="E18" s="111">
        <v>45548</v>
      </c>
      <c r="F18" s="50">
        <v>1</v>
      </c>
      <c r="G18" s="279">
        <v>1</v>
      </c>
      <c r="H18" s="201">
        <v>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50"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0">
      <c r="B19" s="50" t="s">
        <v>3600</v>
      </c>
      <c r="C19" s="50">
        <v>17</v>
      </c>
      <c r="D19" s="50" t="s">
        <v>4468</v>
      </c>
      <c r="E19" s="111">
        <v>45548</v>
      </c>
      <c r="F19" s="50">
        <v>1</v>
      </c>
      <c r="G19" s="279">
        <v>0.61778200000000005</v>
      </c>
      <c r="H19" s="241">
        <v>365684</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0">
      <c r="B20" s="50" t="s">
        <v>3602</v>
      </c>
      <c r="C20" s="50">
        <v>18</v>
      </c>
      <c r="D20" s="50" t="s">
        <v>4468</v>
      </c>
      <c r="E20" s="111">
        <v>45548</v>
      </c>
      <c r="F20" s="50">
        <v>1</v>
      </c>
      <c r="G20" s="279">
        <v>1</v>
      </c>
      <c r="H20" s="201">
        <v>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0">
      <c r="B21" s="50" t="s">
        <v>3604</v>
      </c>
      <c r="C21" s="50">
        <v>19</v>
      </c>
      <c r="D21" s="50" t="s">
        <v>4469</v>
      </c>
      <c r="E21" s="111">
        <v>45548</v>
      </c>
      <c r="F21" s="50">
        <v>1</v>
      </c>
      <c r="G21" s="225" cm="1">
        <f t="array" aca="1" ref="G21" ca="1">SUMPRODUCT(--(ISNUMBER((SEARCH(I27:AJ27,I21:AJ21)))))/COUNTA(I21:AJ21)</f>
        <v>0.7857142857142857</v>
      </c>
      <c r="H21" s="201">
        <v>0</v>
      </c>
      <c r="I21" s="50" t="s">
        <v>3655</v>
      </c>
      <c r="J21" s="50" t="s">
        <v>3655</v>
      </c>
      <c r="K21" s="50" t="s">
        <v>3655</v>
      </c>
      <c r="L21" s="50" t="s">
        <v>3655</v>
      </c>
      <c r="M21" s="50" t="s">
        <v>3655</v>
      </c>
      <c r="N21" s="50" t="s">
        <v>3655</v>
      </c>
      <c r="O21" s="50" t="s">
        <v>3655</v>
      </c>
      <c r="P21" s="113" t="s">
        <v>3655</v>
      </c>
      <c r="Q21" s="113" t="s">
        <v>3655</v>
      </c>
      <c r="R21" s="50" t="s">
        <v>3656</v>
      </c>
      <c r="S21" s="50" t="s">
        <v>3656</v>
      </c>
      <c r="T21" s="50" t="s">
        <v>3656</v>
      </c>
      <c r="U21" s="50" t="s">
        <v>3656</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0">
      <c r="B22" s="50" t="s">
        <v>3607</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3610</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3727</v>
      </c>
    </row>
    <row r="26" spans="2:40">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3658</v>
      </c>
      <c r="C27" s="109">
        <v>21</v>
      </c>
      <c r="D27" s="108" t="s">
        <v>3659</v>
      </c>
      <c r="E27" t="s">
        <v>3660</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3662</v>
      </c>
    </row>
    <row r="31" spans="2:40">
      <c r="B31" s="150" t="s">
        <v>3663</v>
      </c>
      <c r="C31" s="150" t="s">
        <v>3664</v>
      </c>
      <c r="D31" s="151" t="s">
        <v>3665</v>
      </c>
      <c r="E31" s="150" t="s">
        <v>3666</v>
      </c>
      <c r="F31" s="150" t="s">
        <v>3667</v>
      </c>
    </row>
    <row r="32" spans="2:40" ht="43.5">
      <c r="B32" s="127" t="s">
        <v>3678</v>
      </c>
      <c r="C32" s="131" t="s">
        <v>4443</v>
      </c>
      <c r="D32" s="53" t="s">
        <v>4470</v>
      </c>
      <c r="E32" s="169" t="s">
        <v>4471</v>
      </c>
      <c r="F32" s="152" t="s">
        <v>4472</v>
      </c>
    </row>
    <row r="33" spans="2:6" ht="43.5">
      <c r="B33" s="153" t="s">
        <v>3771</v>
      </c>
      <c r="C33" s="154" t="s">
        <v>4123</v>
      </c>
      <c r="D33" s="155" t="s">
        <v>3772</v>
      </c>
      <c r="E33" s="113" t="s">
        <v>4473</v>
      </c>
      <c r="F33" s="205" t="s">
        <v>3674</v>
      </c>
    </row>
    <row r="34" spans="2:6" ht="43.5">
      <c r="B34" s="153" t="s">
        <v>3771</v>
      </c>
      <c r="C34" s="154" t="s">
        <v>1977</v>
      </c>
      <c r="D34" s="155" t="s">
        <v>3772</v>
      </c>
      <c r="E34" s="113" t="s">
        <v>4473</v>
      </c>
      <c r="F34" s="205" t="s">
        <v>3674</v>
      </c>
    </row>
    <row r="35" spans="2:6" ht="43.5">
      <c r="B35" s="153" t="s">
        <v>3771</v>
      </c>
      <c r="C35" s="154" t="s">
        <v>1988</v>
      </c>
      <c r="D35" s="155" t="s">
        <v>3772</v>
      </c>
      <c r="E35" s="113" t="s">
        <v>4473</v>
      </c>
      <c r="F35" s="205" t="s">
        <v>3674</v>
      </c>
    </row>
    <row r="36" spans="2:6" ht="43.5">
      <c r="B36" s="153" t="s">
        <v>3771</v>
      </c>
      <c r="C36" s="154" t="s">
        <v>1515</v>
      </c>
      <c r="D36" s="155" t="s">
        <v>3772</v>
      </c>
      <c r="E36" s="113" t="s">
        <v>4473</v>
      </c>
      <c r="F36" s="205" t="s">
        <v>3674</v>
      </c>
    </row>
    <row r="37" spans="2:6" ht="43.5">
      <c r="B37" s="153" t="s">
        <v>3771</v>
      </c>
      <c r="C37" s="154" t="s">
        <v>1522</v>
      </c>
      <c r="D37" s="155" t="s">
        <v>3772</v>
      </c>
      <c r="E37" s="113" t="s">
        <v>4473</v>
      </c>
      <c r="F37" s="205" t="s">
        <v>3674</v>
      </c>
    </row>
    <row r="38" spans="2:6" ht="43.5">
      <c r="B38" s="153" t="s">
        <v>3771</v>
      </c>
      <c r="C38" s="154" t="s">
        <v>756</v>
      </c>
      <c r="D38" s="155" t="s">
        <v>3772</v>
      </c>
      <c r="E38" s="113" t="s">
        <v>4473</v>
      </c>
      <c r="F38" s="205" t="s">
        <v>3674</v>
      </c>
    </row>
    <row r="39" spans="2:6" ht="43.5">
      <c r="B39" s="153" t="s">
        <v>3771</v>
      </c>
      <c r="C39" s="154" t="s">
        <v>766</v>
      </c>
      <c r="D39" s="155" t="s">
        <v>3772</v>
      </c>
      <c r="E39" s="113" t="s">
        <v>4473</v>
      </c>
      <c r="F39" s="205" t="s">
        <v>3674</v>
      </c>
    </row>
    <row r="40" spans="2:6" ht="43.5">
      <c r="B40" s="153" t="s">
        <v>3771</v>
      </c>
      <c r="C40" s="154" t="s">
        <v>785</v>
      </c>
      <c r="D40" s="155" t="s">
        <v>3772</v>
      </c>
      <c r="E40" s="113" t="s">
        <v>4473</v>
      </c>
      <c r="F40" s="205" t="s">
        <v>3674</v>
      </c>
    </row>
    <row r="41" spans="2:6" ht="43.5">
      <c r="B41" s="153" t="s">
        <v>3781</v>
      </c>
      <c r="C41" s="154" t="s">
        <v>1988</v>
      </c>
      <c r="D41" s="155" t="s">
        <v>3782</v>
      </c>
      <c r="E41" s="113" t="s">
        <v>4473</v>
      </c>
      <c r="F41" s="205" t="s">
        <v>3674</v>
      </c>
    </row>
    <row r="42" spans="2:6" ht="43.5">
      <c r="B42" s="153" t="s">
        <v>3781</v>
      </c>
      <c r="C42" s="154" t="s">
        <v>1998</v>
      </c>
      <c r="D42" s="155" t="s">
        <v>3782</v>
      </c>
      <c r="E42" s="113" t="s">
        <v>4473</v>
      </c>
      <c r="F42" s="205" t="s">
        <v>3674</v>
      </c>
    </row>
    <row r="43" spans="2:6" ht="43.5">
      <c r="B43" s="153" t="s">
        <v>3781</v>
      </c>
      <c r="C43" s="154" t="s">
        <v>1515</v>
      </c>
      <c r="D43" s="155" t="s">
        <v>3782</v>
      </c>
      <c r="E43" s="113" t="s">
        <v>4473</v>
      </c>
      <c r="F43" s="205" t="s">
        <v>3674</v>
      </c>
    </row>
    <row r="44" spans="2:6" ht="43.5">
      <c r="B44" s="127" t="s">
        <v>3781</v>
      </c>
      <c r="C44" s="154" t="s">
        <v>766</v>
      </c>
      <c r="D44" s="53" t="s">
        <v>3782</v>
      </c>
      <c r="E44" s="113" t="s">
        <v>4473</v>
      </c>
      <c r="F44" s="205" t="s">
        <v>3674</v>
      </c>
    </row>
    <row r="45" spans="2:6" ht="43.5">
      <c r="B45" s="127" t="s">
        <v>3781</v>
      </c>
      <c r="C45" s="131" t="s">
        <v>776</v>
      </c>
      <c r="D45" s="53" t="s">
        <v>3782</v>
      </c>
      <c r="E45" s="113" t="s">
        <v>4473</v>
      </c>
      <c r="F45" s="205" t="s">
        <v>3674</v>
      </c>
    </row>
    <row r="46" spans="2:6" ht="43.5">
      <c r="B46" s="153" t="s">
        <v>3781</v>
      </c>
      <c r="C46" s="154" t="s">
        <v>785</v>
      </c>
      <c r="D46" s="155" t="s">
        <v>3782</v>
      </c>
      <c r="E46" s="113" t="s">
        <v>4473</v>
      </c>
      <c r="F46"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4123</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3567</v>
      </c>
      <c r="C3" s="50">
        <v>1</v>
      </c>
      <c r="D3" s="50" t="s">
        <v>4474</v>
      </c>
      <c r="E3" s="111">
        <v>45538</v>
      </c>
      <c r="F3" s="50">
        <v>1</v>
      </c>
      <c r="G3" s="279" t="s">
        <v>4347</v>
      </c>
      <c r="H3" s="198" t="s">
        <v>4475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c r="B4" s="50" t="s">
        <v>3569</v>
      </c>
      <c r="C4" s="50">
        <v>2</v>
      </c>
      <c r="D4" s="50" t="s">
        <v>4476</v>
      </c>
      <c r="E4" s="111">
        <v>45538</v>
      </c>
      <c r="F4" s="50">
        <v>1</v>
      </c>
      <c r="G4" s="279" t="s">
        <v>4347</v>
      </c>
      <c r="H4" s="114"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c r="B5" s="50" t="s">
        <v>3571</v>
      </c>
      <c r="C5" s="50">
        <v>3</v>
      </c>
      <c r="D5" s="50" t="s">
        <v>4477</v>
      </c>
      <c r="E5" s="111">
        <v>45538</v>
      </c>
      <c r="F5" s="50">
        <v>1</v>
      </c>
      <c r="G5" s="279" t="s">
        <v>4347</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c r="B6" s="113" t="s">
        <v>3573</v>
      </c>
      <c r="C6" s="50">
        <v>4</v>
      </c>
      <c r="D6" s="50" t="s">
        <v>3624</v>
      </c>
      <c r="E6" s="111" t="s">
        <v>3621</v>
      </c>
      <c r="F6" s="50">
        <v>1</v>
      </c>
      <c r="G6" s="111"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c r="B7" s="50" t="s">
        <v>3575</v>
      </c>
      <c r="C7" s="50">
        <v>5</v>
      </c>
      <c r="D7" s="50" t="s">
        <v>3624</v>
      </c>
      <c r="E7" s="111" t="s">
        <v>3621</v>
      </c>
      <c r="F7" s="50">
        <v>1</v>
      </c>
      <c r="G7" s="111"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c r="B8" s="113" t="s">
        <v>3576</v>
      </c>
      <c r="C8" s="50">
        <v>6</v>
      </c>
      <c r="D8" s="50" t="s">
        <v>4478</v>
      </c>
      <c r="E8" s="111">
        <v>45538</v>
      </c>
      <c r="F8" s="50">
        <v>1</v>
      </c>
      <c r="G8" s="225" cm="1">
        <f t="array" ref="G8">SUMPRODUCT(--(I8:AJ8&gt;0))/COUNTA(I8:AJ8)</f>
        <v>1</v>
      </c>
      <c r="H8" s="50" t="s">
        <v>3630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c r="B9" s="50" t="s">
        <v>3579</v>
      </c>
      <c r="C9" s="50">
        <v>7</v>
      </c>
      <c r="D9" s="50" t="s">
        <v>4479</v>
      </c>
      <c r="E9" s="111">
        <v>45538</v>
      </c>
      <c r="F9" s="50">
        <v>1</v>
      </c>
      <c r="G9" s="225" cm="1">
        <f t="array" aca="1" ref="G9" ca="1">SUMPRODUCT(--(I9:AJ9 &lt;= I28:AJ28))/COUNTA(I28:AJ28)</f>
        <v>1</v>
      </c>
      <c r="H9" s="50" t="s">
        <v>3630</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c r="B10" s="50" t="s">
        <v>3582</v>
      </c>
      <c r="C10" s="50">
        <v>8</v>
      </c>
      <c r="D10" s="50" t="s">
        <v>4480</v>
      </c>
      <c r="E10" s="111">
        <v>45538</v>
      </c>
      <c r="F10" s="50">
        <v>1</v>
      </c>
      <c r="G10" s="111" t="s">
        <v>3621</v>
      </c>
      <c r="H10" s="50" t="s">
        <v>3630</v>
      </c>
      <c r="I10" s="50">
        <v>31</v>
      </c>
      <c r="J10" s="50">
        <v>4.0142670650000004E+25</v>
      </c>
      <c r="K10" s="50" t="s">
        <v>4481</v>
      </c>
      <c r="L10" s="50">
        <v>29</v>
      </c>
      <c r="M10" s="50">
        <v>1</v>
      </c>
      <c r="N10" s="111">
        <v>28877</v>
      </c>
      <c r="O10" s="111">
        <v>2958465</v>
      </c>
      <c r="P10" s="50">
        <v>36</v>
      </c>
      <c r="Q10" s="50">
        <v>0</v>
      </c>
      <c r="R10" s="114">
        <v>-1419736369000000</v>
      </c>
      <c r="S10" s="209" t="s">
        <v>3630</v>
      </c>
      <c r="T10" s="114">
        <v>-1419736369000000</v>
      </c>
      <c r="U10" s="114" t="s">
        <v>3630</v>
      </c>
      <c r="V10" s="263" t="s">
        <v>4123</v>
      </c>
      <c r="W10" s="263" t="s">
        <v>1977</v>
      </c>
      <c r="X10" s="262" t="s">
        <v>1988</v>
      </c>
      <c r="Y10" s="263" t="s">
        <v>1998</v>
      </c>
      <c r="Z10" s="263" t="s">
        <v>1515</v>
      </c>
      <c r="AA10" s="262" t="s">
        <v>1522</v>
      </c>
      <c r="AB10" s="262" t="s">
        <v>756</v>
      </c>
      <c r="AC10" s="262" t="s">
        <v>766</v>
      </c>
      <c r="AD10" s="262" t="s">
        <v>776</v>
      </c>
      <c r="AE10" s="262" t="s">
        <v>785</v>
      </c>
      <c r="AF10" s="50" t="s">
        <v>3631</v>
      </c>
      <c r="AG10" s="50" t="s">
        <v>3632</v>
      </c>
      <c r="AH10" s="50" t="s">
        <v>3749</v>
      </c>
      <c r="AI10" s="111">
        <v>45538</v>
      </c>
      <c r="AJ10" s="111" t="s">
        <v>4482</v>
      </c>
      <c r="AK10" s="50"/>
      <c r="AL10" s="50"/>
      <c r="AM10" s="111"/>
      <c r="AN10" s="111"/>
    </row>
    <row r="11" spans="2:40">
      <c r="B11" s="50" t="s">
        <v>3584</v>
      </c>
      <c r="C11" s="50">
        <v>9</v>
      </c>
      <c r="D11" s="50" t="s">
        <v>4483</v>
      </c>
      <c r="E11" s="111">
        <v>45538</v>
      </c>
      <c r="F11" s="50">
        <v>1</v>
      </c>
      <c r="G11" s="111" t="s">
        <v>3621</v>
      </c>
      <c r="H11" s="50" t="s">
        <v>3630</v>
      </c>
      <c r="I11" s="50"/>
      <c r="J11" s="50">
        <v>4.0142670650000004E+25</v>
      </c>
      <c r="K11" s="50" t="s">
        <v>4484</v>
      </c>
      <c r="L11" s="50">
        <v>29</v>
      </c>
      <c r="M11" s="50">
        <v>1</v>
      </c>
      <c r="N11" s="111">
        <v>28877</v>
      </c>
      <c r="O11" s="111" t="s">
        <v>3744</v>
      </c>
      <c r="P11" s="50">
        <v>36</v>
      </c>
      <c r="Q11" s="50">
        <v>0</v>
      </c>
      <c r="R11" s="114">
        <v>-1419736369000000</v>
      </c>
      <c r="S11" s="50" t="s">
        <v>3630</v>
      </c>
      <c r="T11" s="114">
        <v>-1419736369000000</v>
      </c>
      <c r="U11" s="50" t="s">
        <v>3630</v>
      </c>
      <c r="V11" s="262" t="s">
        <v>4123</v>
      </c>
      <c r="W11" s="262" t="s">
        <v>1977</v>
      </c>
      <c r="X11" s="262" t="s">
        <v>1988</v>
      </c>
      <c r="Y11" s="263" t="s">
        <v>1998</v>
      </c>
      <c r="Z11" s="263" t="s">
        <v>1515</v>
      </c>
      <c r="AA11" s="262" t="s">
        <v>1522</v>
      </c>
      <c r="AB11" s="262" t="s">
        <v>756</v>
      </c>
      <c r="AC11" s="262" t="s">
        <v>766</v>
      </c>
      <c r="AD11" s="262" t="s">
        <v>776</v>
      </c>
      <c r="AE11" s="262" t="s">
        <v>785</v>
      </c>
      <c r="AF11" s="50">
        <v>0</v>
      </c>
      <c r="AG11" s="50"/>
      <c r="AH11" s="50" t="s">
        <v>3749</v>
      </c>
      <c r="AI11" s="111">
        <v>45538</v>
      </c>
      <c r="AJ11" s="111" t="s">
        <v>4485</v>
      </c>
      <c r="AK11" s="50"/>
      <c r="AL11" s="50"/>
      <c r="AM11" s="111"/>
      <c r="AN11" s="111"/>
    </row>
    <row r="12" spans="2:40">
      <c r="B12" s="113" t="s">
        <v>3586</v>
      </c>
      <c r="C12" s="50">
        <v>10</v>
      </c>
      <c r="D12" s="50" t="s">
        <v>4486</v>
      </c>
      <c r="E12" s="111">
        <v>45538</v>
      </c>
      <c r="F12" s="50">
        <v>1</v>
      </c>
      <c r="G12" s="111" t="s">
        <v>3621</v>
      </c>
      <c r="H12" s="50" t="s">
        <v>3630</v>
      </c>
      <c r="I12" s="50">
        <v>31</v>
      </c>
      <c r="J12" s="50">
        <v>2.5631600365802999E+29</v>
      </c>
      <c r="K12" s="50" t="s">
        <v>4481</v>
      </c>
      <c r="L12" s="50">
        <v>30</v>
      </c>
      <c r="M12" s="50">
        <v>340</v>
      </c>
      <c r="N12" s="111">
        <v>45135</v>
      </c>
      <c r="O12" s="111">
        <v>2958465</v>
      </c>
      <c r="P12" s="50">
        <v>985</v>
      </c>
      <c r="Q12" s="50">
        <v>0</v>
      </c>
      <c r="R12" s="114">
        <v>5007826750000</v>
      </c>
      <c r="S12" s="209" t="s">
        <v>3630</v>
      </c>
      <c r="T12" s="114">
        <v>5007826750000</v>
      </c>
      <c r="U12" s="114" t="s">
        <v>3630</v>
      </c>
      <c r="V12" s="263" t="s">
        <v>4123</v>
      </c>
      <c r="W12" s="263" t="s">
        <v>1977</v>
      </c>
      <c r="X12" s="263" t="s">
        <v>1988</v>
      </c>
      <c r="Y12" s="263" t="s">
        <v>1998</v>
      </c>
      <c r="Z12" s="263" t="s">
        <v>1515</v>
      </c>
      <c r="AA12" s="263" t="s">
        <v>1522</v>
      </c>
      <c r="AB12" s="262" t="s">
        <v>756</v>
      </c>
      <c r="AC12" s="262" t="s">
        <v>766</v>
      </c>
      <c r="AD12" s="264" t="s">
        <v>776</v>
      </c>
      <c r="AE12" s="262" t="s">
        <v>785</v>
      </c>
      <c r="AF12" s="50" t="s">
        <v>3631</v>
      </c>
      <c r="AG12" s="50" t="s">
        <v>3632</v>
      </c>
      <c r="AH12" s="50" t="s">
        <v>3749</v>
      </c>
      <c r="AI12" s="111">
        <v>45538</v>
      </c>
      <c r="AJ12" s="111" t="s">
        <v>4482</v>
      </c>
      <c r="AK12" s="50"/>
      <c r="AL12" s="50"/>
      <c r="AM12" s="111"/>
      <c r="AN12" s="111"/>
    </row>
    <row r="13" spans="2:40">
      <c r="B13" s="50" t="s">
        <v>3588</v>
      </c>
      <c r="C13" s="50">
        <v>11</v>
      </c>
      <c r="D13" s="50" t="s">
        <v>4487</v>
      </c>
      <c r="E13" s="111">
        <v>45538</v>
      </c>
      <c r="F13" s="50">
        <v>1</v>
      </c>
      <c r="G13" s="111" t="s">
        <v>3621</v>
      </c>
      <c r="H13" s="50" t="s">
        <v>3630</v>
      </c>
      <c r="I13" s="50"/>
      <c r="J13" s="50">
        <v>2.5631600365802999E+29</v>
      </c>
      <c r="K13" s="50" t="s">
        <v>4484</v>
      </c>
      <c r="L13" s="50">
        <v>30</v>
      </c>
      <c r="M13" s="50">
        <v>340</v>
      </c>
      <c r="N13" s="111">
        <v>45135</v>
      </c>
      <c r="O13" s="111" t="s">
        <v>3744</v>
      </c>
      <c r="P13" s="50">
        <v>985</v>
      </c>
      <c r="Q13" s="50">
        <v>0</v>
      </c>
      <c r="R13" s="114">
        <v>5007826750000</v>
      </c>
      <c r="S13" s="111" t="s">
        <v>3630</v>
      </c>
      <c r="T13" s="114">
        <v>5007826750000</v>
      </c>
      <c r="U13" s="114" t="s">
        <v>3630</v>
      </c>
      <c r="V13" s="262" t="s">
        <v>4123</v>
      </c>
      <c r="W13" s="262" t="s">
        <v>1977</v>
      </c>
      <c r="X13" s="262" t="s">
        <v>1988</v>
      </c>
      <c r="Y13" s="263" t="s">
        <v>1998</v>
      </c>
      <c r="Z13" s="263" t="s">
        <v>1515</v>
      </c>
      <c r="AA13" s="263" t="s">
        <v>1522</v>
      </c>
      <c r="AB13" s="262" t="s">
        <v>756</v>
      </c>
      <c r="AC13" s="262" t="s">
        <v>766</v>
      </c>
      <c r="AD13" s="264" t="s">
        <v>776</v>
      </c>
      <c r="AE13" s="262" t="s">
        <v>785</v>
      </c>
      <c r="AF13" s="50">
        <v>0</v>
      </c>
      <c r="AG13" s="50"/>
      <c r="AH13" s="50" t="s">
        <v>3749</v>
      </c>
      <c r="AI13" s="111">
        <v>45538</v>
      </c>
      <c r="AJ13" s="111" t="s">
        <v>4488</v>
      </c>
      <c r="AK13" s="50"/>
      <c r="AL13" s="50"/>
      <c r="AM13" s="111"/>
      <c r="AN13" s="111"/>
    </row>
    <row r="14" spans="2:40">
      <c r="B14" s="50" t="s">
        <v>3590</v>
      </c>
      <c r="C14" s="50">
        <v>12</v>
      </c>
      <c r="D14" s="50" t="s">
        <v>4489</v>
      </c>
      <c r="E14" s="111">
        <v>45538</v>
      </c>
      <c r="F14" s="50">
        <v>1</v>
      </c>
      <c r="G14" s="279" t="s">
        <v>4347</v>
      </c>
      <c r="H14" s="50" t="s">
        <v>3630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3592</v>
      </c>
      <c r="C15" s="50">
        <v>13</v>
      </c>
      <c r="D15" s="50" t="s">
        <v>4490</v>
      </c>
      <c r="E15" s="111">
        <v>45538</v>
      </c>
      <c r="F15" s="50">
        <v>1</v>
      </c>
      <c r="G15" s="279" t="s">
        <v>4347</v>
      </c>
      <c r="H15" s="50" t="s">
        <v>3630</v>
      </c>
      <c r="I15" s="50" t="s">
        <v>3621</v>
      </c>
      <c r="J15" s="50" t="s">
        <v>3621</v>
      </c>
      <c r="K15" s="50" t="s">
        <v>3621</v>
      </c>
      <c r="L15" s="50" t="s">
        <v>3621</v>
      </c>
      <c r="M15" s="50" t="s">
        <v>3621</v>
      </c>
      <c r="N15" s="111">
        <v>0</v>
      </c>
      <c r="O15" s="111">
        <v>0</v>
      </c>
      <c r="P15" s="50" t="s">
        <v>3621</v>
      </c>
      <c r="Q15" s="50" t="s">
        <v>3621</v>
      </c>
      <c r="R15" s="50" t="s">
        <v>3621</v>
      </c>
      <c r="S15" s="111" t="s">
        <v>3621</v>
      </c>
      <c r="T15" s="111" t="s">
        <v>3621</v>
      </c>
      <c r="U15" s="111" t="s">
        <v>3621</v>
      </c>
      <c r="V15" s="262" t="s">
        <v>3621</v>
      </c>
      <c r="W15" s="262" t="s">
        <v>3621</v>
      </c>
      <c r="X15" s="262" t="s">
        <v>3621</v>
      </c>
      <c r="Y15" s="262" t="s">
        <v>3621</v>
      </c>
      <c r="Z15" s="262" t="s">
        <v>3621</v>
      </c>
      <c r="AA15" s="262" t="s">
        <v>3621</v>
      </c>
      <c r="AB15" s="262" t="s">
        <v>3621</v>
      </c>
      <c r="AC15" s="262" t="s">
        <v>3621</v>
      </c>
      <c r="AD15" s="264" t="s">
        <v>3621</v>
      </c>
      <c r="AE15" s="262" t="s">
        <v>3621</v>
      </c>
      <c r="AF15" s="50" t="s">
        <v>3621</v>
      </c>
      <c r="AG15" s="50" t="s">
        <v>3621</v>
      </c>
      <c r="AH15" s="50" t="s">
        <v>3621</v>
      </c>
      <c r="AI15" s="111" t="s">
        <v>3621</v>
      </c>
      <c r="AJ15" s="50" t="s">
        <v>3621</v>
      </c>
      <c r="AK15" s="50"/>
      <c r="AL15" s="50"/>
      <c r="AM15" s="50"/>
      <c r="AN15" s="111"/>
    </row>
    <row r="16" spans="2:40">
      <c r="B16" s="50" t="s">
        <v>3594</v>
      </c>
      <c r="C16" s="50">
        <v>14</v>
      </c>
      <c r="D16" s="50" t="s">
        <v>4491</v>
      </c>
      <c r="E16" s="111">
        <v>45538</v>
      </c>
      <c r="F16" s="50">
        <v>1</v>
      </c>
      <c r="G16" s="279" t="s">
        <v>4347</v>
      </c>
      <c r="H16" s="50" t="s">
        <v>3630</v>
      </c>
      <c r="I16" s="50">
        <v>0</v>
      </c>
      <c r="J16" s="50">
        <v>0</v>
      </c>
      <c r="K16" s="50">
        <v>0</v>
      </c>
      <c r="L16" s="50">
        <v>0</v>
      </c>
      <c r="M16" s="50">
        <v>0</v>
      </c>
      <c r="N16" s="50" t="s">
        <v>3621</v>
      </c>
      <c r="O16" s="50" t="s">
        <v>3621</v>
      </c>
      <c r="P16" s="50">
        <v>0</v>
      </c>
      <c r="Q16" s="50" t="s">
        <v>3621</v>
      </c>
      <c r="R16" s="50" t="s">
        <v>3621</v>
      </c>
      <c r="S16" s="50" t="s">
        <v>3621</v>
      </c>
      <c r="T16" s="50" t="s">
        <v>3621</v>
      </c>
      <c r="U16" s="50" t="s">
        <v>3621</v>
      </c>
      <c r="V16" s="262" t="s">
        <v>3621</v>
      </c>
      <c r="W16" s="262" t="s">
        <v>3621</v>
      </c>
      <c r="X16" s="262" t="s">
        <v>3621</v>
      </c>
      <c r="Y16" s="262" t="s">
        <v>3621</v>
      </c>
      <c r="Z16" s="262" t="s">
        <v>3621</v>
      </c>
      <c r="AA16" s="262">
        <v>0</v>
      </c>
      <c r="AB16" s="262" t="s">
        <v>3621</v>
      </c>
      <c r="AC16" s="262" t="s">
        <v>3621</v>
      </c>
      <c r="AD16" s="262" t="s">
        <v>3621</v>
      </c>
      <c r="AE16" s="262" t="s">
        <v>3621</v>
      </c>
      <c r="AF16" s="50">
        <v>0</v>
      </c>
      <c r="AG16" s="50">
        <v>0</v>
      </c>
      <c r="AH16" s="50">
        <v>0</v>
      </c>
      <c r="AI16" s="50" t="s">
        <v>3621</v>
      </c>
      <c r="AJ16" s="50" t="s">
        <v>3621</v>
      </c>
      <c r="AK16" s="50"/>
      <c r="AL16" s="50"/>
      <c r="AM16" s="50"/>
      <c r="AN16" s="50"/>
    </row>
    <row r="17" spans="2:40">
      <c r="B17" s="50" t="s">
        <v>3596</v>
      </c>
      <c r="C17" s="50">
        <v>15</v>
      </c>
      <c r="D17" s="50" t="s">
        <v>4492</v>
      </c>
      <c r="E17" s="111">
        <v>45538</v>
      </c>
      <c r="F17" s="50">
        <v>1</v>
      </c>
      <c r="G17" s="279" t="s">
        <v>4347</v>
      </c>
      <c r="H17" s="50" t="s">
        <v>3630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113"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0">
      <c r="B18" s="50" t="s">
        <v>3598</v>
      </c>
      <c r="C18" s="50">
        <v>16</v>
      </c>
      <c r="D18" s="50" t="s">
        <v>4492</v>
      </c>
      <c r="E18" s="111">
        <v>45538</v>
      </c>
      <c r="F18" s="50">
        <v>1</v>
      </c>
      <c r="G18" s="279" t="s">
        <v>4347</v>
      </c>
      <c r="H18" s="50" t="s">
        <v>3630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50"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0">
      <c r="B19" s="50" t="s">
        <v>3600</v>
      </c>
      <c r="C19" s="50">
        <v>17</v>
      </c>
      <c r="D19" s="50" t="s">
        <v>4493</v>
      </c>
      <c r="E19" s="111">
        <v>45538</v>
      </c>
      <c r="F19" s="50">
        <v>1</v>
      </c>
      <c r="G19" s="279">
        <v>0.63</v>
      </c>
      <c r="H19" s="267" t="s">
        <v>4494</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0">
      <c r="B20" s="50" t="s">
        <v>3602</v>
      </c>
      <c r="C20" s="50">
        <v>18</v>
      </c>
      <c r="D20" s="50" t="s">
        <v>4493</v>
      </c>
      <c r="E20" s="111">
        <v>45538</v>
      </c>
      <c r="F20" s="50">
        <v>1</v>
      </c>
      <c r="G20" s="279" t="s">
        <v>4347</v>
      </c>
      <c r="H20" s="209"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0">
      <c r="B21" s="50" t="s">
        <v>3604</v>
      </c>
      <c r="C21" s="50">
        <v>19</v>
      </c>
      <c r="D21" s="50" t="s">
        <v>4495</v>
      </c>
      <c r="E21" s="111">
        <v>45538</v>
      </c>
      <c r="F21" s="50">
        <v>1</v>
      </c>
      <c r="G21" s="225" cm="1">
        <f t="array" aca="1" ref="G21" ca="1">SUMPRODUCT(--(ISNUMBER((SEARCH(I27:AJ27,I21:AJ21)))))/COUNTA(I21:AJ21)</f>
        <v>0.7857142857142857</v>
      </c>
      <c r="H21" s="50" t="s">
        <v>3630</v>
      </c>
      <c r="I21" s="50" t="s">
        <v>3655</v>
      </c>
      <c r="J21" s="50" t="s">
        <v>3655</v>
      </c>
      <c r="K21" s="50" t="s">
        <v>3655</v>
      </c>
      <c r="L21" s="50" t="s">
        <v>3655</v>
      </c>
      <c r="M21" s="50" t="s">
        <v>3655</v>
      </c>
      <c r="N21" s="50" t="s">
        <v>3655</v>
      </c>
      <c r="O21" s="50" t="s">
        <v>3655</v>
      </c>
      <c r="P21" s="113" t="s">
        <v>3655</v>
      </c>
      <c r="Q21" s="113" t="s">
        <v>3655</v>
      </c>
      <c r="R21" s="50" t="s">
        <v>3656</v>
      </c>
      <c r="S21" s="50" t="s">
        <v>3656</v>
      </c>
      <c r="T21" s="50" t="s">
        <v>3656</v>
      </c>
      <c r="U21" s="50" t="s">
        <v>3656</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0">
      <c r="B22" s="50" t="s">
        <v>3607</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3610</v>
      </c>
      <c r="C23" s="50">
        <v>21</v>
      </c>
      <c r="D23" s="50"/>
      <c r="E23" s="111"/>
      <c r="F23" s="50"/>
      <c r="G23" s="209" cm="1">
        <f t="array" aca="1" ref="G23" ca="1">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3727</v>
      </c>
    </row>
    <row r="26" spans="2:40">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3658</v>
      </c>
      <c r="C27" s="109">
        <v>21</v>
      </c>
      <c r="D27" s="108" t="s">
        <v>3659</v>
      </c>
      <c r="E27" t="s">
        <v>3660</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3662</v>
      </c>
    </row>
    <row r="31" spans="2:40">
      <c r="B31" s="150" t="s">
        <v>3663</v>
      </c>
      <c r="C31" s="150" t="s">
        <v>3664</v>
      </c>
      <c r="D31" s="151" t="s">
        <v>3665</v>
      </c>
      <c r="E31" s="150" t="s">
        <v>3666</v>
      </c>
      <c r="F31" s="150" t="s">
        <v>3667</v>
      </c>
    </row>
    <row r="32" spans="2:40" ht="29.1">
      <c r="B32" s="127" t="s">
        <v>3678</v>
      </c>
      <c r="C32" s="131" t="s">
        <v>4443</v>
      </c>
      <c r="D32" s="53" t="s">
        <v>4496</v>
      </c>
      <c r="E32" s="169" t="s">
        <v>4497</v>
      </c>
      <c r="F32" s="152" t="s">
        <v>3674</v>
      </c>
    </row>
    <row r="33" spans="2:6" ht="43.5">
      <c r="B33" s="153" t="s">
        <v>3771</v>
      </c>
      <c r="C33" s="154" t="s">
        <v>4123</v>
      </c>
      <c r="D33" s="155" t="s">
        <v>3772</v>
      </c>
      <c r="E33" s="113" t="s">
        <v>4498</v>
      </c>
      <c r="F33" s="205" t="s">
        <v>3674</v>
      </c>
    </row>
    <row r="34" spans="2:6" ht="43.5">
      <c r="B34" s="153" t="s">
        <v>3771</v>
      </c>
      <c r="C34" s="154" t="s">
        <v>1977</v>
      </c>
      <c r="D34" s="155" t="s">
        <v>3772</v>
      </c>
      <c r="E34" s="113" t="s">
        <v>4498</v>
      </c>
      <c r="F34" s="205" t="s">
        <v>3674</v>
      </c>
    </row>
    <row r="35" spans="2:6" ht="43.5">
      <c r="B35" s="153" t="s">
        <v>3771</v>
      </c>
      <c r="C35" s="154" t="s">
        <v>1988</v>
      </c>
      <c r="D35" s="155" t="s">
        <v>3772</v>
      </c>
      <c r="E35" s="113" t="s">
        <v>4498</v>
      </c>
      <c r="F35" s="205" t="s">
        <v>3674</v>
      </c>
    </row>
    <row r="36" spans="2:6" ht="43.5">
      <c r="B36" s="153" t="s">
        <v>3771</v>
      </c>
      <c r="C36" s="154" t="s">
        <v>1515</v>
      </c>
      <c r="D36" s="155" t="s">
        <v>3772</v>
      </c>
      <c r="E36" s="113" t="s">
        <v>4498</v>
      </c>
      <c r="F36" s="205" t="s">
        <v>3674</v>
      </c>
    </row>
    <row r="37" spans="2:6" ht="43.5">
      <c r="B37" s="153" t="s">
        <v>3771</v>
      </c>
      <c r="C37" s="154" t="s">
        <v>1522</v>
      </c>
      <c r="D37" s="155" t="s">
        <v>3772</v>
      </c>
      <c r="E37" s="113" t="s">
        <v>4498</v>
      </c>
      <c r="F37" s="205" t="s">
        <v>3674</v>
      </c>
    </row>
    <row r="38" spans="2:6" ht="43.5">
      <c r="B38" s="153" t="s">
        <v>3771</v>
      </c>
      <c r="C38" s="154" t="s">
        <v>756</v>
      </c>
      <c r="D38" s="155" t="s">
        <v>3772</v>
      </c>
      <c r="E38" s="113" t="s">
        <v>4498</v>
      </c>
      <c r="F38" s="205" t="s">
        <v>3674</v>
      </c>
    </row>
    <row r="39" spans="2:6" ht="43.5">
      <c r="B39" s="153" t="s">
        <v>3771</v>
      </c>
      <c r="C39" s="154" t="s">
        <v>766</v>
      </c>
      <c r="D39" s="155" t="s">
        <v>3772</v>
      </c>
      <c r="E39" s="113" t="s">
        <v>4498</v>
      </c>
      <c r="F39" s="205" t="s">
        <v>3674</v>
      </c>
    </row>
    <row r="40" spans="2:6" ht="43.5">
      <c r="B40" s="153" t="s">
        <v>3771</v>
      </c>
      <c r="C40" s="154" t="s">
        <v>785</v>
      </c>
      <c r="D40" s="155" t="s">
        <v>3772</v>
      </c>
      <c r="E40" s="113" t="s">
        <v>4498</v>
      </c>
      <c r="F40" s="205" t="s">
        <v>3674</v>
      </c>
    </row>
    <row r="41" spans="2:6" ht="43.5">
      <c r="B41" s="153" t="s">
        <v>3781</v>
      </c>
      <c r="C41" s="154" t="s">
        <v>1988</v>
      </c>
      <c r="D41" s="155" t="s">
        <v>3782</v>
      </c>
      <c r="E41" s="113" t="s">
        <v>4498</v>
      </c>
      <c r="F41" s="205" t="s">
        <v>3674</v>
      </c>
    </row>
    <row r="42" spans="2:6" ht="43.5">
      <c r="B42" s="153" t="s">
        <v>3781</v>
      </c>
      <c r="C42" s="154" t="s">
        <v>1998</v>
      </c>
      <c r="D42" s="155" t="s">
        <v>3782</v>
      </c>
      <c r="E42" s="113" t="s">
        <v>4498</v>
      </c>
      <c r="F42" s="205" t="s">
        <v>3674</v>
      </c>
    </row>
    <row r="43" spans="2:6" ht="43.5">
      <c r="B43" s="153" t="s">
        <v>3781</v>
      </c>
      <c r="C43" s="154" t="s">
        <v>1515</v>
      </c>
      <c r="D43" s="155" t="s">
        <v>3782</v>
      </c>
      <c r="E43" s="113" t="s">
        <v>4498</v>
      </c>
      <c r="F43" s="205" t="s">
        <v>3674</v>
      </c>
    </row>
    <row r="44" spans="2:6" ht="43.5">
      <c r="B44" s="127" t="s">
        <v>3781</v>
      </c>
      <c r="C44" s="154" t="s">
        <v>766</v>
      </c>
      <c r="D44" s="53" t="s">
        <v>3782</v>
      </c>
      <c r="E44" s="113" t="s">
        <v>4498</v>
      </c>
      <c r="F44" s="205" t="s">
        <v>3674</v>
      </c>
    </row>
    <row r="45" spans="2:6" ht="43.5">
      <c r="B45" s="127" t="s">
        <v>3781</v>
      </c>
      <c r="C45" s="131" t="s">
        <v>776</v>
      </c>
      <c r="D45" s="53" t="s">
        <v>3782</v>
      </c>
      <c r="E45" s="113" t="s">
        <v>4498</v>
      </c>
      <c r="F45" s="205" t="s">
        <v>3674</v>
      </c>
    </row>
    <row r="46" spans="2:6" ht="43.5">
      <c r="B46" s="153" t="s">
        <v>3781</v>
      </c>
      <c r="C46" s="154" t="s">
        <v>785</v>
      </c>
      <c r="D46" s="155" t="s">
        <v>3782</v>
      </c>
      <c r="E46" s="113" t="s">
        <v>4498</v>
      </c>
      <c r="F46"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row>
    <row r="3" spans="2:15">
      <c r="B3" s="50" t="s">
        <v>3567</v>
      </c>
      <c r="C3" s="50">
        <v>1</v>
      </c>
      <c r="D3" s="50" t="s">
        <v>4499</v>
      </c>
      <c r="E3" s="111">
        <v>45492</v>
      </c>
      <c r="F3" s="50">
        <v>1</v>
      </c>
      <c r="G3" s="279" t="s">
        <v>4500</v>
      </c>
      <c r="H3" s="198" t="s">
        <v>4501</v>
      </c>
      <c r="I3" s="50" t="s">
        <v>3621</v>
      </c>
      <c r="J3" s="50" t="s">
        <v>3621</v>
      </c>
      <c r="K3" s="50" t="s">
        <v>3621</v>
      </c>
      <c r="L3" s="50" t="s">
        <v>3621</v>
      </c>
      <c r="M3" s="50" t="s">
        <v>3621</v>
      </c>
      <c r="N3" s="50" t="s">
        <v>3621</v>
      </c>
      <c r="O3" s="50" t="s">
        <v>3621</v>
      </c>
    </row>
    <row r="4" spans="2:15">
      <c r="B4" s="50" t="s">
        <v>3569</v>
      </c>
      <c r="C4" s="50">
        <v>2</v>
      </c>
      <c r="D4" s="50" t="s">
        <v>4502</v>
      </c>
      <c r="E4" s="111">
        <v>45492</v>
      </c>
      <c r="F4" s="50">
        <v>1</v>
      </c>
      <c r="G4" s="279" t="s">
        <v>4500</v>
      </c>
      <c r="H4" s="114">
        <v>0</v>
      </c>
      <c r="I4" s="50" t="s">
        <v>3621</v>
      </c>
      <c r="J4" s="50" t="s">
        <v>3621</v>
      </c>
      <c r="K4" s="50" t="s">
        <v>3621</v>
      </c>
      <c r="L4" s="50" t="s">
        <v>3621</v>
      </c>
      <c r="M4" s="50" t="s">
        <v>3621</v>
      </c>
      <c r="N4" s="50" t="s">
        <v>3621</v>
      </c>
      <c r="O4" s="50" t="s">
        <v>3621</v>
      </c>
    </row>
    <row r="5" spans="2:15">
      <c r="B5" s="50" t="s">
        <v>3571</v>
      </c>
      <c r="C5" s="50">
        <v>3</v>
      </c>
      <c r="D5" s="50" t="s">
        <v>4503</v>
      </c>
      <c r="E5" s="111">
        <v>45492</v>
      </c>
      <c r="F5" s="50">
        <v>1</v>
      </c>
      <c r="G5" s="279" t="s">
        <v>4500</v>
      </c>
      <c r="H5" s="114">
        <v>0</v>
      </c>
      <c r="I5" s="50">
        <v>0</v>
      </c>
      <c r="J5" s="50">
        <v>0</v>
      </c>
      <c r="K5" s="50">
        <v>0</v>
      </c>
      <c r="L5" s="50">
        <v>0</v>
      </c>
      <c r="M5" s="50">
        <v>0</v>
      </c>
      <c r="N5" s="50">
        <v>0</v>
      </c>
      <c r="O5" s="50" t="s">
        <v>3621</v>
      </c>
    </row>
    <row r="6" spans="2:15">
      <c r="B6" s="113" t="s">
        <v>3573</v>
      </c>
      <c r="C6" s="50">
        <v>4</v>
      </c>
      <c r="D6" s="50" t="s">
        <v>3624</v>
      </c>
      <c r="E6" s="111" t="s">
        <v>3621</v>
      </c>
      <c r="F6" s="50">
        <v>1</v>
      </c>
      <c r="G6" s="111" t="s">
        <v>3621</v>
      </c>
      <c r="H6" s="114">
        <v>0</v>
      </c>
      <c r="I6" s="50" t="s">
        <v>3621</v>
      </c>
      <c r="J6" s="50" t="s">
        <v>3621</v>
      </c>
      <c r="K6" s="50" t="s">
        <v>3621</v>
      </c>
      <c r="L6" s="50" t="s">
        <v>3621</v>
      </c>
      <c r="M6" s="50" t="s">
        <v>3621</v>
      </c>
      <c r="N6" s="50" t="s">
        <v>3621</v>
      </c>
      <c r="O6" s="50" t="s">
        <v>3621</v>
      </c>
    </row>
    <row r="7" spans="2:15">
      <c r="B7" s="50" t="s">
        <v>3575</v>
      </c>
      <c r="C7" s="50">
        <v>5</v>
      </c>
      <c r="D7" s="50" t="s">
        <v>3624</v>
      </c>
      <c r="E7" s="111" t="s">
        <v>3621</v>
      </c>
      <c r="F7" s="50">
        <v>1</v>
      </c>
      <c r="G7" s="111" t="s">
        <v>3621</v>
      </c>
      <c r="H7" s="114">
        <v>0</v>
      </c>
      <c r="I7" s="50" t="s">
        <v>3621</v>
      </c>
      <c r="J7" s="50" t="s">
        <v>3621</v>
      </c>
      <c r="K7" s="50" t="s">
        <v>3621</v>
      </c>
      <c r="L7" s="50" t="s">
        <v>3621</v>
      </c>
      <c r="M7" s="50" t="s">
        <v>3621</v>
      </c>
      <c r="N7" s="50" t="s">
        <v>3621</v>
      </c>
      <c r="O7" s="50" t="s">
        <v>3621</v>
      </c>
    </row>
    <row r="8" spans="2:15">
      <c r="B8" s="113" t="s">
        <v>3576</v>
      </c>
      <c r="C8" s="50">
        <v>6</v>
      </c>
      <c r="D8" s="50" t="s">
        <v>4504</v>
      </c>
      <c r="E8" s="111">
        <v>45492</v>
      </c>
      <c r="F8" s="50">
        <v>1</v>
      </c>
      <c r="G8" s="225" cm="1">
        <f t="array" ref="G8">SUMPRODUCT(--(I8:O8&gt;0))/COUNTA(I8:O8)</f>
        <v>1</v>
      </c>
      <c r="H8" s="114">
        <v>0</v>
      </c>
      <c r="I8" s="50">
        <v>2</v>
      </c>
      <c r="J8" s="50">
        <v>30</v>
      </c>
      <c r="K8" s="50">
        <v>3</v>
      </c>
      <c r="L8" s="50">
        <v>3</v>
      </c>
      <c r="M8" s="50">
        <v>3</v>
      </c>
      <c r="N8" s="50">
        <v>10</v>
      </c>
      <c r="O8" s="50">
        <v>23</v>
      </c>
    </row>
    <row r="9" spans="2:15">
      <c r="B9" s="50" t="s">
        <v>3579</v>
      </c>
      <c r="C9" s="50">
        <v>7</v>
      </c>
      <c r="D9" s="50" t="s">
        <v>4505</v>
      </c>
      <c r="E9" s="111">
        <v>45492</v>
      </c>
      <c r="F9" s="50">
        <v>1</v>
      </c>
      <c r="G9" s="225" cm="1">
        <f t="array" aca="1" ref="G9" ca="1">SUMPRODUCT(--(I9:O9 &lt;= I28:O28))/COUNTA(I28:O28)</f>
        <v>0.7142857142857143</v>
      </c>
      <c r="H9" s="114">
        <v>0</v>
      </c>
      <c r="I9" s="50">
        <v>2</v>
      </c>
      <c r="J9" s="50">
        <v>30</v>
      </c>
      <c r="K9" s="50">
        <v>3</v>
      </c>
      <c r="L9" s="50">
        <v>3</v>
      </c>
      <c r="M9" s="50">
        <v>3</v>
      </c>
      <c r="N9" s="50">
        <v>10</v>
      </c>
      <c r="O9" s="50">
        <v>23</v>
      </c>
    </row>
    <row r="10" spans="2:15">
      <c r="B10" s="50" t="s">
        <v>3582</v>
      </c>
      <c r="C10" s="50">
        <v>8</v>
      </c>
      <c r="D10" s="50" t="s">
        <v>4506</v>
      </c>
      <c r="E10" s="111">
        <v>45492</v>
      </c>
      <c r="F10" s="50">
        <v>1</v>
      </c>
      <c r="G10" s="111" t="s">
        <v>3621</v>
      </c>
      <c r="H10" s="114">
        <v>0</v>
      </c>
      <c r="I10" s="50">
        <v>31</v>
      </c>
      <c r="J10" s="50">
        <v>2.317541E+21</v>
      </c>
      <c r="K10" s="50" t="s">
        <v>4337</v>
      </c>
      <c r="L10" s="50">
        <v>96</v>
      </c>
      <c r="M10" s="50">
        <v>1</v>
      </c>
      <c r="N10" s="111">
        <v>45492</v>
      </c>
      <c r="O10" s="111" t="s">
        <v>4507</v>
      </c>
    </row>
    <row r="11" spans="2:15">
      <c r="B11" s="50" t="s">
        <v>3584</v>
      </c>
      <c r="C11" s="50">
        <v>9</v>
      </c>
      <c r="D11" s="50" t="s">
        <v>4508</v>
      </c>
      <c r="E11" s="111">
        <v>45492</v>
      </c>
      <c r="F11" s="50">
        <v>1</v>
      </c>
      <c r="G11" s="111" t="s">
        <v>3621</v>
      </c>
      <c r="H11" s="114">
        <v>0</v>
      </c>
      <c r="I11" s="50">
        <v>31</v>
      </c>
      <c r="J11" s="50">
        <v>2.317541E+21</v>
      </c>
      <c r="K11" s="50" t="s">
        <v>4337</v>
      </c>
      <c r="L11" s="50">
        <v>96</v>
      </c>
      <c r="M11" s="50">
        <v>1</v>
      </c>
      <c r="N11" s="111">
        <v>45492</v>
      </c>
      <c r="O11" s="111" t="s">
        <v>4509</v>
      </c>
    </row>
    <row r="12" spans="2:15">
      <c r="B12" s="113" t="s">
        <v>3586</v>
      </c>
      <c r="C12" s="50">
        <v>10</v>
      </c>
      <c r="D12" s="50" t="s">
        <v>4510</v>
      </c>
      <c r="E12" s="111">
        <v>45492</v>
      </c>
      <c r="F12" s="50">
        <v>1</v>
      </c>
      <c r="G12" s="111" t="s">
        <v>3621</v>
      </c>
      <c r="H12" s="114">
        <v>0</v>
      </c>
      <c r="I12" s="50">
        <v>31</v>
      </c>
      <c r="J12" s="50">
        <v>6.8350096000050594E+29</v>
      </c>
      <c r="K12" s="50" t="s">
        <v>4337</v>
      </c>
      <c r="L12" s="50">
        <v>96</v>
      </c>
      <c r="M12" s="50" t="s">
        <v>4346</v>
      </c>
      <c r="N12" s="111">
        <v>45492</v>
      </c>
      <c r="O12" s="111" t="s">
        <v>4507</v>
      </c>
    </row>
    <row r="13" spans="2:15">
      <c r="B13" s="50" t="s">
        <v>3588</v>
      </c>
      <c r="C13" s="50">
        <v>11</v>
      </c>
      <c r="D13" s="50" t="s">
        <v>4511</v>
      </c>
      <c r="E13" s="111">
        <v>45492</v>
      </c>
      <c r="F13" s="50">
        <v>1</v>
      </c>
      <c r="G13" s="111" t="s">
        <v>3621</v>
      </c>
      <c r="H13" s="114">
        <v>0</v>
      </c>
      <c r="I13" s="50">
        <v>31</v>
      </c>
      <c r="J13" s="50">
        <v>6.8350096000050594E+29</v>
      </c>
      <c r="K13" s="50" t="s">
        <v>4337</v>
      </c>
      <c r="L13" s="50">
        <v>96</v>
      </c>
      <c r="M13" s="50" t="s">
        <v>4346</v>
      </c>
      <c r="N13" s="111">
        <v>45492</v>
      </c>
      <c r="O13" s="111" t="s">
        <v>4512</v>
      </c>
    </row>
    <row r="14" spans="2:15">
      <c r="B14" s="50" t="s">
        <v>3590</v>
      </c>
      <c r="C14" s="50">
        <v>12</v>
      </c>
      <c r="D14" s="50" t="s">
        <v>4513</v>
      </c>
      <c r="E14" s="111">
        <v>45492</v>
      </c>
      <c r="F14" s="50">
        <v>1</v>
      </c>
      <c r="G14" s="279" t="s">
        <v>4500</v>
      </c>
      <c r="H14" s="114">
        <v>0</v>
      </c>
      <c r="I14" s="50">
        <v>0</v>
      </c>
      <c r="J14" s="50">
        <v>0</v>
      </c>
      <c r="K14" s="50">
        <v>0</v>
      </c>
      <c r="L14" s="50">
        <v>0</v>
      </c>
      <c r="M14" s="50">
        <v>0</v>
      </c>
      <c r="N14" s="50">
        <v>0</v>
      </c>
      <c r="O14" s="50">
        <v>0</v>
      </c>
    </row>
    <row r="15" spans="2:15">
      <c r="B15" s="50" t="s">
        <v>3592</v>
      </c>
      <c r="C15" s="50">
        <v>13</v>
      </c>
      <c r="D15" s="50" t="s">
        <v>4514</v>
      </c>
      <c r="E15" s="111">
        <v>45492</v>
      </c>
      <c r="F15" s="50">
        <v>1</v>
      </c>
      <c r="G15" s="279" t="s">
        <v>4500</v>
      </c>
      <c r="H15" s="114">
        <v>0</v>
      </c>
      <c r="I15" s="50" t="s">
        <v>3621</v>
      </c>
      <c r="J15" s="50" t="s">
        <v>3621</v>
      </c>
      <c r="K15" s="50" t="s">
        <v>3621</v>
      </c>
      <c r="L15" s="50" t="s">
        <v>3621</v>
      </c>
      <c r="M15" s="50" t="s">
        <v>3621</v>
      </c>
      <c r="N15" s="111">
        <v>0</v>
      </c>
      <c r="O15" s="111" t="s">
        <v>3621</v>
      </c>
    </row>
    <row r="16" spans="2:15">
      <c r="B16" s="50" t="s">
        <v>3594</v>
      </c>
      <c r="C16" s="50">
        <v>14</v>
      </c>
      <c r="D16" s="50" t="s">
        <v>4515</v>
      </c>
      <c r="E16" s="111">
        <v>45492</v>
      </c>
      <c r="F16" s="50">
        <v>1</v>
      </c>
      <c r="G16" s="279" t="s">
        <v>4500</v>
      </c>
      <c r="H16" s="114">
        <v>0</v>
      </c>
      <c r="I16" s="50">
        <v>0</v>
      </c>
      <c r="J16" s="50">
        <v>0</v>
      </c>
      <c r="K16" s="50">
        <v>0</v>
      </c>
      <c r="L16" s="50">
        <v>0</v>
      </c>
      <c r="M16" s="50">
        <v>0</v>
      </c>
      <c r="N16" s="50">
        <v>0</v>
      </c>
      <c r="O16" s="50" t="s">
        <v>3621</v>
      </c>
    </row>
    <row r="17" spans="2:24">
      <c r="B17" s="50" t="s">
        <v>3596</v>
      </c>
      <c r="C17" s="50">
        <v>15</v>
      </c>
      <c r="D17" s="50" t="s">
        <v>4516</v>
      </c>
      <c r="E17" s="111">
        <v>45492</v>
      </c>
      <c r="F17" s="50">
        <v>1</v>
      </c>
      <c r="G17" s="279" t="s">
        <v>4500</v>
      </c>
      <c r="H17" s="114">
        <v>0</v>
      </c>
      <c r="I17" s="50" t="s">
        <v>3621</v>
      </c>
      <c r="J17" s="50" t="s">
        <v>3621</v>
      </c>
      <c r="K17" s="50" t="s">
        <v>3621</v>
      </c>
      <c r="L17" s="50" t="s">
        <v>3621</v>
      </c>
      <c r="M17" s="50" t="s">
        <v>3621</v>
      </c>
      <c r="N17" s="113" t="s">
        <v>3621</v>
      </c>
      <c r="O17" s="113" t="s">
        <v>3621</v>
      </c>
    </row>
    <row r="18" spans="2:24">
      <c r="B18" s="50" t="s">
        <v>3598</v>
      </c>
      <c r="C18" s="50">
        <v>16</v>
      </c>
      <c r="D18" s="50" t="s">
        <v>4516</v>
      </c>
      <c r="E18" s="111">
        <v>45492</v>
      </c>
      <c r="F18" s="50">
        <v>1</v>
      </c>
      <c r="G18" s="279" t="s">
        <v>4500</v>
      </c>
      <c r="H18" s="114">
        <v>0</v>
      </c>
      <c r="I18" s="50" t="s">
        <v>3621</v>
      </c>
      <c r="J18" s="50" t="s">
        <v>3621</v>
      </c>
      <c r="K18" s="50" t="s">
        <v>3621</v>
      </c>
      <c r="L18" s="50" t="s">
        <v>3621</v>
      </c>
      <c r="M18" s="50" t="s">
        <v>3621</v>
      </c>
      <c r="N18" s="113" t="s">
        <v>3621</v>
      </c>
      <c r="O18" s="113" t="s">
        <v>3621</v>
      </c>
    </row>
    <row r="19" spans="2:24">
      <c r="B19" s="50" t="s">
        <v>3600</v>
      </c>
      <c r="C19" s="50">
        <v>17</v>
      </c>
      <c r="D19" s="50" t="s">
        <v>4517</v>
      </c>
      <c r="E19" s="111">
        <v>45492</v>
      </c>
      <c r="F19" s="50">
        <v>1</v>
      </c>
      <c r="G19" s="279" t="s">
        <v>4500</v>
      </c>
      <c r="H19" s="114">
        <v>0</v>
      </c>
      <c r="I19" s="50" t="s">
        <v>3655</v>
      </c>
      <c r="J19" s="50" t="s">
        <v>3655</v>
      </c>
      <c r="K19" s="50" t="s">
        <v>3655</v>
      </c>
      <c r="L19" s="50" t="s">
        <v>3655</v>
      </c>
      <c r="M19" s="50" t="s">
        <v>3655</v>
      </c>
      <c r="N19" s="50" t="s">
        <v>3655</v>
      </c>
      <c r="O19" s="50" t="s">
        <v>3657</v>
      </c>
    </row>
    <row r="20" spans="2:24">
      <c r="B20" s="50" t="s">
        <v>3602</v>
      </c>
      <c r="C20" s="50">
        <v>18</v>
      </c>
      <c r="D20" s="50" t="s">
        <v>4518</v>
      </c>
      <c r="E20" s="111">
        <v>45516</v>
      </c>
      <c r="F20" s="50">
        <v>1</v>
      </c>
      <c r="G20" s="279" t="s">
        <v>4500</v>
      </c>
      <c r="H20" s="114">
        <v>0</v>
      </c>
      <c r="I20" s="50" t="s">
        <v>3621</v>
      </c>
      <c r="J20" s="50" t="s">
        <v>3621</v>
      </c>
      <c r="K20" s="50" t="s">
        <v>3621</v>
      </c>
      <c r="L20" s="50" t="s">
        <v>3621</v>
      </c>
      <c r="M20" s="50" t="s">
        <v>3621</v>
      </c>
      <c r="N20" s="50" t="s">
        <v>3621</v>
      </c>
      <c r="O20" s="50" t="s">
        <v>3621</v>
      </c>
    </row>
    <row r="21" spans="2:24">
      <c r="B21" s="50" t="s">
        <v>3604</v>
      </c>
      <c r="C21" s="50">
        <v>19</v>
      </c>
      <c r="D21" s="50" t="s">
        <v>4519</v>
      </c>
      <c r="E21" s="111">
        <v>45492</v>
      </c>
      <c r="F21" s="50">
        <v>1</v>
      </c>
      <c r="G21" s="279" cm="1">
        <f t="array" aca="1" ref="G21" ca="1">SUMPRODUCT(--(ISNUMBER((SEARCH(I27:O27,I21:O21)))))/COUNTA(I21:O21)</f>
        <v>0</v>
      </c>
      <c r="H21" s="114">
        <v>0</v>
      </c>
      <c r="I21" s="50" t="s">
        <v>3621</v>
      </c>
      <c r="J21" s="50" t="s">
        <v>3621</v>
      </c>
      <c r="K21" s="50" t="s">
        <v>3621</v>
      </c>
      <c r="L21" s="50" t="s">
        <v>3621</v>
      </c>
      <c r="M21" s="50" t="s">
        <v>3621</v>
      </c>
      <c r="N21" s="50" t="s">
        <v>3621</v>
      </c>
      <c r="O21" s="50" t="s">
        <v>3621</v>
      </c>
    </row>
    <row r="22" spans="2:24">
      <c r="B22" s="50" t="s">
        <v>3607</v>
      </c>
      <c r="C22" s="50">
        <v>20</v>
      </c>
      <c r="D22" s="50"/>
      <c r="E22" s="111"/>
      <c r="F22" s="50"/>
      <c r="G22" s="209" cm="1">
        <f t="array" ref="G22">SUM(IF(I2:O2 = I26:O26, 1, 0))/ COUNTA(I2:O2)</f>
        <v>0.7142857142857143</v>
      </c>
      <c r="H22" s="50"/>
      <c r="I22" s="50"/>
      <c r="J22" s="50"/>
      <c r="K22" s="50"/>
      <c r="L22" s="50"/>
      <c r="M22" s="50"/>
      <c r="N22" s="50"/>
      <c r="O22" s="50"/>
    </row>
    <row r="23" spans="2:24">
      <c r="B23" s="50" t="s">
        <v>3610</v>
      </c>
      <c r="C23" s="50">
        <v>21</v>
      </c>
      <c r="D23" s="50"/>
      <c r="E23" s="111"/>
      <c r="F23" s="50"/>
      <c r="G23" s="209" cm="1">
        <f t="array" aca="1" ref="G23" ca="1">SUM(IF(IF(G3:G22="null",1,G3:G22)=1,1,0))/COUNT(IF(G3:G22="null",1,1))</f>
        <v>0.35</v>
      </c>
      <c r="H23" s="50"/>
      <c r="I23" s="50"/>
      <c r="J23" s="50"/>
      <c r="K23" s="50"/>
      <c r="L23" s="50"/>
      <c r="M23" s="50"/>
      <c r="N23" s="50"/>
      <c r="O23" s="50"/>
    </row>
    <row r="25" spans="2:24">
      <c r="B25" s="146" t="s">
        <v>3727</v>
      </c>
    </row>
    <row r="26" spans="2:24">
      <c r="B26" s="144" t="s">
        <v>3613</v>
      </c>
      <c r="C26" s="145" t="s">
        <v>3614</v>
      </c>
      <c r="D26" s="145" t="s">
        <v>3615</v>
      </c>
      <c r="E26" s="145" t="s">
        <v>3616</v>
      </c>
      <c r="F26" s="145" t="s">
        <v>3617</v>
      </c>
      <c r="G26" s="145" t="s">
        <v>3618</v>
      </c>
      <c r="H26" s="145" t="s">
        <v>3619</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c r="B27" s="123" t="s">
        <v>3658</v>
      </c>
      <c r="C27" s="109">
        <v>21</v>
      </c>
      <c r="D27" s="108" t="s">
        <v>3659</v>
      </c>
      <c r="E27" t="s">
        <v>3660</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3" t="s">
        <v>3661</v>
      </c>
      <c r="C28" s="167">
        <v>7</v>
      </c>
      <c r="D28" s="122" t="s">
        <v>3659</v>
      </c>
      <c r="E28" s="121" t="s">
        <v>3660</v>
      </c>
      <c r="F28" s="121" t="s">
        <v>372</v>
      </c>
      <c r="G28" s="121" t="s">
        <v>372</v>
      </c>
      <c r="H28" s="121" t="s">
        <v>372</v>
      </c>
      <c r="I28" s="167">
        <f ca="1"/>
        <v>4</v>
      </c>
      <c r="J28" s="167">
        <f ca="1"/>
        <v>30</v>
      </c>
      <c r="K28" s="167">
        <f ca="1"/>
        <v>3</v>
      </c>
      <c r="L28" s="167">
        <f ca="1"/>
        <v>20</v>
      </c>
      <c r="M28" s="167">
        <f ca="1"/>
        <v>20</v>
      </c>
      <c r="N28" s="167">
        <f ca="1"/>
        <v>4</v>
      </c>
      <c r="O28" s="167">
        <f ca="1"/>
        <v>11</v>
      </c>
      <c r="P28" s="167">
        <f ca="1"/>
        <v>15</v>
      </c>
      <c r="Q28" s="167">
        <f ca="1"/>
        <v>20</v>
      </c>
      <c r="R28" s="167">
        <f ca="1"/>
        <v>10</v>
      </c>
      <c r="S28" s="167">
        <f ca="1"/>
        <v>23</v>
      </c>
      <c r="T28" s="109"/>
      <c r="U28" s="109"/>
      <c r="V28" s="109"/>
      <c r="W28" s="109"/>
      <c r="X28" s="109"/>
    </row>
    <row r="30" spans="2:24">
      <c r="B30" s="156" t="s">
        <v>3662</v>
      </c>
    </row>
    <row r="31" spans="2:24">
      <c r="B31" s="150" t="s">
        <v>3663</v>
      </c>
      <c r="C31" s="150" t="s">
        <v>3664</v>
      </c>
      <c r="D31" s="151" t="s">
        <v>3665</v>
      </c>
      <c r="E31" s="150" t="s">
        <v>3666</v>
      </c>
      <c r="F31" s="150" t="s">
        <v>3667</v>
      </c>
    </row>
    <row r="32" spans="2:24" ht="29.1">
      <c r="B32" s="127" t="s">
        <v>3771</v>
      </c>
      <c r="C32" s="131" t="s">
        <v>4443</v>
      </c>
      <c r="D32" s="53" t="s">
        <v>4520</v>
      </c>
      <c r="E32" s="169" t="s">
        <v>4521</v>
      </c>
      <c r="F32" s="152" t="s">
        <v>3674</v>
      </c>
    </row>
    <row r="33" spans="2:6" ht="29.1">
      <c r="B33" s="153" t="s">
        <v>3781</v>
      </c>
      <c r="C33" s="154" t="s">
        <v>4443</v>
      </c>
      <c r="D33" s="155" t="s">
        <v>4520</v>
      </c>
      <c r="E33" s="280" t="s">
        <v>4521</v>
      </c>
      <c r="F33"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1" t="s">
        <v>3738</v>
      </c>
      <c r="C2" s="91" t="s">
        <v>3614</v>
      </c>
      <c r="D2" s="91" t="s">
        <v>3615</v>
      </c>
      <c r="E2" s="91" t="s">
        <v>3616</v>
      </c>
      <c r="F2" s="91" t="s">
        <v>3617</v>
      </c>
      <c r="G2" s="91" t="s">
        <v>3618</v>
      </c>
      <c r="H2" s="91" t="s">
        <v>3619</v>
      </c>
      <c r="I2" s="91" t="s">
        <v>121</v>
      </c>
      <c r="J2" s="91" t="s">
        <v>137</v>
      </c>
      <c r="K2" s="145" t="s">
        <v>4522</v>
      </c>
      <c r="L2" s="145" t="s">
        <v>4523</v>
      </c>
      <c r="M2" s="91" t="s">
        <v>4524</v>
      </c>
      <c r="N2" s="91" t="s">
        <v>4525</v>
      </c>
      <c r="O2" s="91" t="s">
        <v>318</v>
      </c>
      <c r="P2" s="91" t="s">
        <v>327</v>
      </c>
      <c r="Q2" s="91" t="s">
        <v>334</v>
      </c>
      <c r="R2" s="91"/>
    </row>
    <row r="3" spans="2:18">
      <c r="B3" s="50" t="s">
        <v>3567</v>
      </c>
      <c r="C3" s="50">
        <v>1</v>
      </c>
      <c r="D3" s="50" t="s">
        <v>4526</v>
      </c>
      <c r="E3" s="111">
        <v>45534</v>
      </c>
      <c r="F3" s="50">
        <v>1</v>
      </c>
      <c r="G3" s="279">
        <v>1</v>
      </c>
      <c r="H3" s="198">
        <v>10349</v>
      </c>
      <c r="I3" s="50" t="s">
        <v>3621</v>
      </c>
      <c r="J3" s="50" t="s">
        <v>3621</v>
      </c>
      <c r="K3" s="50" t="s">
        <v>3621</v>
      </c>
      <c r="L3" s="50" t="s">
        <v>3621</v>
      </c>
      <c r="M3" s="50" t="s">
        <v>3621</v>
      </c>
      <c r="N3" s="50" t="s">
        <v>3621</v>
      </c>
      <c r="O3" s="50" t="s">
        <v>3621</v>
      </c>
      <c r="P3" s="50" t="s">
        <v>3621</v>
      </c>
      <c r="Q3" s="50" t="s">
        <v>3621</v>
      </c>
      <c r="R3" s="50"/>
    </row>
    <row r="4" spans="2:18">
      <c r="B4" s="50" t="s">
        <v>3569</v>
      </c>
      <c r="C4" s="50">
        <v>2</v>
      </c>
      <c r="D4" s="50" t="s">
        <v>4527</v>
      </c>
      <c r="E4" s="111">
        <v>45534</v>
      </c>
      <c r="F4" s="50">
        <v>1</v>
      </c>
      <c r="G4" s="279">
        <v>1</v>
      </c>
      <c r="H4" s="50" t="s">
        <v>3630</v>
      </c>
      <c r="I4" s="50" t="s">
        <v>3621</v>
      </c>
      <c r="J4" s="50" t="s">
        <v>3621</v>
      </c>
      <c r="K4" s="50" t="s">
        <v>3621</v>
      </c>
      <c r="L4" s="50" t="s">
        <v>3621</v>
      </c>
      <c r="M4" s="50" t="s">
        <v>3621</v>
      </c>
      <c r="N4" s="50" t="s">
        <v>3621</v>
      </c>
      <c r="O4" s="50" t="s">
        <v>3621</v>
      </c>
      <c r="P4" s="50" t="s">
        <v>3621</v>
      </c>
      <c r="Q4" s="50" t="s">
        <v>3621</v>
      </c>
      <c r="R4" s="50"/>
    </row>
    <row r="5" spans="2:18">
      <c r="B5" s="50" t="s">
        <v>3571</v>
      </c>
      <c r="C5" s="50">
        <v>3</v>
      </c>
      <c r="D5" s="50" t="s">
        <v>4528</v>
      </c>
      <c r="E5" s="111">
        <v>45534</v>
      </c>
      <c r="F5" s="50">
        <v>1</v>
      </c>
      <c r="G5" s="279">
        <v>1</v>
      </c>
      <c r="H5" s="50" t="s">
        <v>3630</v>
      </c>
      <c r="I5" s="50">
        <v>0</v>
      </c>
      <c r="J5" s="50">
        <v>0</v>
      </c>
      <c r="K5" s="50">
        <v>0</v>
      </c>
      <c r="L5" s="50" t="s">
        <v>3621</v>
      </c>
      <c r="M5" s="50" t="s">
        <v>3621</v>
      </c>
      <c r="N5" s="50" t="s">
        <v>3621</v>
      </c>
      <c r="O5" s="50" t="s">
        <v>3621</v>
      </c>
      <c r="P5" s="50">
        <v>0</v>
      </c>
      <c r="Q5" s="50" t="s">
        <v>3621</v>
      </c>
      <c r="R5" s="50"/>
    </row>
    <row r="6" spans="2:18">
      <c r="B6" s="113" t="s">
        <v>3573</v>
      </c>
      <c r="C6" s="50">
        <v>4</v>
      </c>
      <c r="D6" s="50" t="s">
        <v>3624</v>
      </c>
      <c r="E6" s="111" t="s">
        <v>3621</v>
      </c>
      <c r="F6" s="50">
        <v>1</v>
      </c>
      <c r="G6" s="111" t="s">
        <v>3621</v>
      </c>
      <c r="H6" s="50" t="s">
        <v>3621</v>
      </c>
      <c r="I6" s="50" t="s">
        <v>3621</v>
      </c>
      <c r="J6" s="50" t="s">
        <v>3621</v>
      </c>
      <c r="K6" s="50" t="s">
        <v>3621</v>
      </c>
      <c r="L6" s="50" t="s">
        <v>3621</v>
      </c>
      <c r="M6" s="50" t="s">
        <v>3621</v>
      </c>
      <c r="N6" s="50" t="s">
        <v>3621</v>
      </c>
      <c r="O6" s="50" t="s">
        <v>3621</v>
      </c>
      <c r="P6" s="50" t="s">
        <v>3621</v>
      </c>
      <c r="Q6" s="50" t="s">
        <v>3621</v>
      </c>
      <c r="R6" s="50"/>
    </row>
    <row r="7" spans="2:18">
      <c r="B7" s="50" t="s">
        <v>3575</v>
      </c>
      <c r="C7" s="50">
        <v>5</v>
      </c>
      <c r="D7" s="50" t="s">
        <v>3624</v>
      </c>
      <c r="E7" s="111" t="s">
        <v>3621</v>
      </c>
      <c r="F7" s="50">
        <v>1</v>
      </c>
      <c r="G7" s="111" t="s">
        <v>3621</v>
      </c>
      <c r="H7" s="50" t="s">
        <v>3621</v>
      </c>
      <c r="I7" s="50" t="s">
        <v>3621</v>
      </c>
      <c r="J7" s="50" t="s">
        <v>3621</v>
      </c>
      <c r="K7" s="50" t="s">
        <v>3621</v>
      </c>
      <c r="L7" s="50" t="s">
        <v>3621</v>
      </c>
      <c r="M7" s="50" t="s">
        <v>3621</v>
      </c>
      <c r="N7" s="50" t="s">
        <v>3621</v>
      </c>
      <c r="O7" s="50" t="s">
        <v>3621</v>
      </c>
      <c r="P7" s="50" t="s">
        <v>3621</v>
      </c>
      <c r="Q7" s="50" t="s">
        <v>3621</v>
      </c>
      <c r="R7" s="50"/>
    </row>
    <row r="8" spans="2:18">
      <c r="B8" s="113" t="s">
        <v>3576</v>
      </c>
      <c r="C8" s="50">
        <v>6</v>
      </c>
      <c r="D8" s="50" t="s">
        <v>4529</v>
      </c>
      <c r="E8" s="111">
        <v>45534</v>
      </c>
      <c r="F8" s="50">
        <v>1</v>
      </c>
      <c r="G8" s="225" cm="1">
        <f t="array" ref="G8">SUMPRODUCT(--(I8:O8&gt;0))/COUNTA(I8:O8)</f>
        <v>1</v>
      </c>
      <c r="H8" s="50" t="s">
        <v>3630</v>
      </c>
      <c r="I8" s="50">
        <v>2</v>
      </c>
      <c r="J8" s="50">
        <v>30</v>
      </c>
      <c r="K8" s="50">
        <v>1</v>
      </c>
      <c r="L8" s="50">
        <v>1</v>
      </c>
      <c r="M8" s="50">
        <v>1</v>
      </c>
      <c r="N8" s="50">
        <v>1</v>
      </c>
      <c r="O8" s="50">
        <v>2</v>
      </c>
      <c r="P8" s="50">
        <v>10</v>
      </c>
      <c r="Q8" s="50">
        <v>23</v>
      </c>
      <c r="R8" s="50"/>
    </row>
    <row r="9" spans="2:18">
      <c r="B9" s="50" t="s">
        <v>3579</v>
      </c>
      <c r="C9" s="50">
        <v>7</v>
      </c>
      <c r="D9" s="50" t="s">
        <v>4530</v>
      </c>
      <c r="E9" s="111">
        <v>45534</v>
      </c>
      <c r="F9" s="50">
        <v>1</v>
      </c>
      <c r="G9" s="225" t="e" cm="1">
        <f t="array" ref="G9">SUMPRODUCT(--(I9:Q9 &lt;= I26:Q26))/COUNTA(I26:Q26)</f>
        <v>#DIV/0!</v>
      </c>
      <c r="H9" s="50" t="s">
        <v>3630</v>
      </c>
      <c r="I9" s="50">
        <v>2</v>
      </c>
      <c r="J9" s="50">
        <v>30</v>
      </c>
      <c r="K9" s="50">
        <v>2</v>
      </c>
      <c r="L9" s="50">
        <v>35</v>
      </c>
      <c r="M9" s="50">
        <v>28</v>
      </c>
      <c r="N9" s="50">
        <v>31</v>
      </c>
      <c r="O9" s="50">
        <v>2</v>
      </c>
      <c r="P9" s="50">
        <v>10</v>
      </c>
      <c r="Q9" s="50">
        <v>23</v>
      </c>
      <c r="R9" s="50"/>
    </row>
    <row r="10" spans="2:18">
      <c r="B10" s="50" t="s">
        <v>3582</v>
      </c>
      <c r="C10" s="50">
        <v>8</v>
      </c>
      <c r="D10" s="50" t="s">
        <v>4531</v>
      </c>
      <c r="E10" s="111">
        <v>45534</v>
      </c>
      <c r="F10" s="50">
        <v>1</v>
      </c>
      <c r="G10" s="111" t="s">
        <v>3621</v>
      </c>
      <c r="H10" s="50" t="s">
        <v>3630</v>
      </c>
      <c r="I10" s="50">
        <v>31</v>
      </c>
      <c r="J10" s="50">
        <v>6.6350038000872803E+29</v>
      </c>
      <c r="K10" s="50">
        <v>0</v>
      </c>
      <c r="L10" s="50" t="s">
        <v>4532</v>
      </c>
      <c r="M10" s="50" t="s">
        <v>4532</v>
      </c>
      <c r="N10" s="111" t="s">
        <v>4532</v>
      </c>
      <c r="O10" s="111" t="s">
        <v>4533</v>
      </c>
      <c r="P10" s="111">
        <v>45534</v>
      </c>
      <c r="Q10" s="111" t="s">
        <v>4534</v>
      </c>
      <c r="R10" s="111"/>
    </row>
    <row r="11" spans="2:18">
      <c r="B11" s="50" t="s">
        <v>3584</v>
      </c>
      <c r="C11" s="50">
        <v>9</v>
      </c>
      <c r="D11" s="50" t="s">
        <v>4535</v>
      </c>
      <c r="E11" s="111">
        <v>45534</v>
      </c>
      <c r="F11" s="50">
        <v>1</v>
      </c>
      <c r="G11" s="111" t="s">
        <v>3621</v>
      </c>
      <c r="H11" s="50" t="s">
        <v>3630</v>
      </c>
      <c r="I11" s="50"/>
      <c r="J11" s="50">
        <v>6.6350038000872803E+29</v>
      </c>
      <c r="K11" s="50">
        <v>0</v>
      </c>
      <c r="L11" s="50"/>
      <c r="M11" s="50"/>
      <c r="N11" s="111"/>
      <c r="O11" s="111" t="s">
        <v>4533</v>
      </c>
      <c r="P11" s="111">
        <v>45534</v>
      </c>
      <c r="Q11" s="111" t="s">
        <v>4536</v>
      </c>
      <c r="R11" s="111"/>
    </row>
    <row r="12" spans="2:18">
      <c r="B12" s="113" t="s">
        <v>3586</v>
      </c>
      <c r="C12" s="50">
        <v>10</v>
      </c>
      <c r="D12" s="50" t="s">
        <v>4537</v>
      </c>
      <c r="E12" s="111">
        <v>45534</v>
      </c>
      <c r="F12" s="50">
        <v>1</v>
      </c>
      <c r="G12" s="111" t="s">
        <v>3621</v>
      </c>
      <c r="H12" s="50" t="s">
        <v>3630</v>
      </c>
      <c r="I12" s="50">
        <v>31</v>
      </c>
      <c r="J12" s="50">
        <v>8.8780038000002303E+29</v>
      </c>
      <c r="K12" s="50">
        <v>99</v>
      </c>
      <c r="L12" s="50" t="s">
        <v>4538</v>
      </c>
      <c r="M12" s="50" t="s">
        <v>4539</v>
      </c>
      <c r="N12" s="111" t="s">
        <v>4540</v>
      </c>
      <c r="O12" s="111" t="s">
        <v>4541</v>
      </c>
      <c r="P12" s="111">
        <v>45534</v>
      </c>
      <c r="Q12" s="111" t="s">
        <v>4534</v>
      </c>
      <c r="R12" s="111"/>
    </row>
    <row r="13" spans="2:18">
      <c r="B13" s="50" t="s">
        <v>3588</v>
      </c>
      <c r="C13" s="50">
        <v>11</v>
      </c>
      <c r="D13" s="50" t="s">
        <v>4542</v>
      </c>
      <c r="E13" s="111">
        <v>45534</v>
      </c>
      <c r="F13" s="50">
        <v>1</v>
      </c>
      <c r="G13" s="111" t="s">
        <v>3621</v>
      </c>
      <c r="H13" s="50" t="s">
        <v>3630</v>
      </c>
      <c r="I13" s="50"/>
      <c r="J13" s="50">
        <v>8.8780038000002303E+29</v>
      </c>
      <c r="K13" s="50">
        <v>99</v>
      </c>
      <c r="L13" s="50" t="s">
        <v>4538</v>
      </c>
      <c r="M13" s="50" t="s">
        <v>4539</v>
      </c>
      <c r="N13" s="111" t="s">
        <v>4540</v>
      </c>
      <c r="O13" s="111" t="s">
        <v>4541</v>
      </c>
      <c r="P13" s="111">
        <v>45534</v>
      </c>
      <c r="Q13" s="111" t="s">
        <v>4543</v>
      </c>
      <c r="R13" s="111"/>
    </row>
    <row r="14" spans="2:18">
      <c r="B14" s="50" t="s">
        <v>3590</v>
      </c>
      <c r="C14" s="50">
        <v>12</v>
      </c>
      <c r="D14" s="50" t="s">
        <v>4544</v>
      </c>
      <c r="E14" s="111">
        <v>45534</v>
      </c>
      <c r="F14" s="50">
        <v>1</v>
      </c>
      <c r="G14" s="279">
        <v>0.67</v>
      </c>
      <c r="H14" s="50" t="s">
        <v>3630</v>
      </c>
      <c r="I14" s="50">
        <v>0</v>
      </c>
      <c r="J14" s="50">
        <v>0</v>
      </c>
      <c r="K14" s="50">
        <v>0</v>
      </c>
      <c r="L14" s="50">
        <v>9224</v>
      </c>
      <c r="M14" s="50">
        <v>9807</v>
      </c>
      <c r="N14" s="50">
        <v>9168</v>
      </c>
      <c r="O14" s="50">
        <v>0</v>
      </c>
      <c r="P14" s="50">
        <v>0</v>
      </c>
      <c r="Q14" s="50">
        <v>0</v>
      </c>
      <c r="R14" s="50"/>
    </row>
    <row r="15" spans="2:18">
      <c r="B15" s="50" t="s">
        <v>3592</v>
      </c>
      <c r="C15" s="50">
        <v>13</v>
      </c>
      <c r="D15" s="50" t="s">
        <v>4545</v>
      </c>
      <c r="E15" s="111">
        <v>45518</v>
      </c>
      <c r="F15" s="50">
        <v>1</v>
      </c>
      <c r="G15" s="279">
        <v>1</v>
      </c>
      <c r="H15" s="50" t="s">
        <v>3630</v>
      </c>
      <c r="I15" s="50">
        <v>0</v>
      </c>
      <c r="J15" s="50">
        <v>0</v>
      </c>
      <c r="K15" s="50">
        <v>0</v>
      </c>
      <c r="L15" s="50">
        <v>0</v>
      </c>
      <c r="M15" s="50" t="s">
        <v>3621</v>
      </c>
      <c r="N15" s="111">
        <v>0</v>
      </c>
      <c r="O15" s="111" t="s">
        <v>3621</v>
      </c>
      <c r="P15" s="50">
        <v>0</v>
      </c>
      <c r="Q15" s="50" t="s">
        <v>3621</v>
      </c>
      <c r="R15" s="111"/>
    </row>
    <row r="16" spans="2:18">
      <c r="B16" s="50" t="s">
        <v>3594</v>
      </c>
      <c r="C16" s="50">
        <v>14</v>
      </c>
      <c r="D16" s="50" t="s">
        <v>4546</v>
      </c>
      <c r="E16" s="111">
        <v>45534</v>
      </c>
      <c r="F16" s="50">
        <v>1</v>
      </c>
      <c r="G16" s="279">
        <v>1</v>
      </c>
      <c r="H16" s="114" t="s">
        <v>3630</v>
      </c>
      <c r="I16" s="50">
        <v>0</v>
      </c>
      <c r="J16" s="50">
        <v>0</v>
      </c>
      <c r="K16" s="50">
        <v>0</v>
      </c>
      <c r="L16" s="50">
        <v>0</v>
      </c>
      <c r="M16" s="50" t="s">
        <v>3621</v>
      </c>
      <c r="N16" s="50" t="s">
        <v>3621</v>
      </c>
      <c r="O16" s="50">
        <v>0</v>
      </c>
      <c r="P16" s="50" t="s">
        <v>3621</v>
      </c>
      <c r="Q16" s="50" t="s">
        <v>3621</v>
      </c>
      <c r="R16" s="50"/>
    </row>
    <row r="17" spans="2:19">
      <c r="B17" s="50" t="s">
        <v>3596</v>
      </c>
      <c r="C17" s="50">
        <v>15</v>
      </c>
      <c r="D17" s="50" t="s">
        <v>4547</v>
      </c>
      <c r="E17" s="111">
        <v>45534</v>
      </c>
      <c r="F17" s="50">
        <v>1</v>
      </c>
      <c r="G17" s="279">
        <v>1</v>
      </c>
      <c r="H17" s="50" t="s">
        <v>3630</v>
      </c>
      <c r="I17" s="50" t="s">
        <v>3621</v>
      </c>
      <c r="J17" s="50" t="s">
        <v>3621</v>
      </c>
      <c r="K17" s="50" t="s">
        <v>3621</v>
      </c>
      <c r="L17" s="50" t="s">
        <v>3621</v>
      </c>
      <c r="M17" s="50" t="s">
        <v>3621</v>
      </c>
      <c r="N17" s="50" t="s">
        <v>3621</v>
      </c>
      <c r="O17" s="50" t="s">
        <v>3621</v>
      </c>
      <c r="P17" s="50" t="s">
        <v>3621</v>
      </c>
      <c r="Q17" s="50" t="s">
        <v>3621</v>
      </c>
      <c r="R17" s="50"/>
    </row>
    <row r="18" spans="2:19">
      <c r="B18" s="50" t="s">
        <v>3598</v>
      </c>
      <c r="C18" s="50">
        <v>16</v>
      </c>
      <c r="D18" s="50" t="s">
        <v>4547</v>
      </c>
      <c r="E18" s="111">
        <v>45534</v>
      </c>
      <c r="F18" s="50">
        <v>1</v>
      </c>
      <c r="G18" s="279">
        <v>1</v>
      </c>
      <c r="H18" s="114" t="s">
        <v>3630</v>
      </c>
      <c r="I18" s="50" t="s">
        <v>3621</v>
      </c>
      <c r="J18" s="50" t="s">
        <v>3621</v>
      </c>
      <c r="K18" s="50" t="s">
        <v>3621</v>
      </c>
      <c r="L18" s="50" t="s">
        <v>3621</v>
      </c>
      <c r="M18" s="50" t="s">
        <v>3621</v>
      </c>
      <c r="N18" s="113" t="s">
        <v>3621</v>
      </c>
      <c r="O18" s="113" t="s">
        <v>3621</v>
      </c>
      <c r="P18" s="113" t="s">
        <v>3621</v>
      </c>
      <c r="Q18" s="113" t="s">
        <v>3621</v>
      </c>
      <c r="R18" s="50"/>
    </row>
    <row r="19" spans="2:19">
      <c r="B19" s="50" t="s">
        <v>3604</v>
      </c>
      <c r="C19" s="50">
        <v>19</v>
      </c>
      <c r="D19" s="50" t="s">
        <v>4548</v>
      </c>
      <c r="E19" s="111">
        <v>45534</v>
      </c>
      <c r="F19" s="50">
        <v>1</v>
      </c>
      <c r="G19" s="225" cm="1">
        <f t="array" aca="1" ref="G19" ca="1">SUMPRODUCT(--(ISNUMBER((SEARCH(I25:AJ25,I19:AJ19)))))/COUNTA(I19:AJ19)</f>
        <v>0.88888888888888884</v>
      </c>
      <c r="H19" s="114" t="s">
        <v>3630</v>
      </c>
      <c r="I19" s="50" t="s">
        <v>3655</v>
      </c>
      <c r="J19" s="50" t="s">
        <v>3655</v>
      </c>
      <c r="K19" s="50" t="s">
        <v>4549</v>
      </c>
      <c r="L19" s="50" t="s">
        <v>3655</v>
      </c>
      <c r="M19" s="50" t="s">
        <v>3655</v>
      </c>
      <c r="N19" s="113" t="s">
        <v>3655</v>
      </c>
      <c r="O19" s="113" t="s">
        <v>3655</v>
      </c>
      <c r="P19" s="50" t="s">
        <v>3655</v>
      </c>
      <c r="Q19" s="50" t="s">
        <v>3657</v>
      </c>
      <c r="R19" s="50"/>
    </row>
    <row r="20" spans="2:19">
      <c r="B20" s="50" t="s">
        <v>3607</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c r="B21" s="50" t="s">
        <v>3610</v>
      </c>
      <c r="C21" s="50">
        <v>21</v>
      </c>
      <c r="D21" s="50"/>
      <c r="E21" s="111"/>
      <c r="F21" s="50"/>
      <c r="G21" s="209" t="e" cm="1">
        <f t="array" aca="1" ref="G21" ca="1">SUM(IF(IF(G3:G20="null",1,G3:G20)=1,1,0))/COUNT(IF(G3:G20="null",1,1))</f>
        <v>#DIV/0!</v>
      </c>
      <c r="H21" s="50"/>
      <c r="I21" s="50"/>
      <c r="J21" s="50"/>
      <c r="K21" s="50"/>
      <c r="L21" s="50"/>
      <c r="M21" s="50"/>
      <c r="N21" s="50"/>
      <c r="O21" s="50"/>
      <c r="P21" s="50"/>
      <c r="Q21" s="50"/>
      <c r="R21" s="50"/>
    </row>
    <row r="23" spans="2:19">
      <c r="B23" s="146" t="s">
        <v>3727</v>
      </c>
    </row>
    <row r="24" spans="2:19">
      <c r="B24" s="144" t="s">
        <v>3613</v>
      </c>
      <c r="C24" s="145" t="s">
        <v>3614</v>
      </c>
      <c r="D24" s="145" t="s">
        <v>3615</v>
      </c>
      <c r="E24" s="145" t="s">
        <v>3616</v>
      </c>
      <c r="F24" s="145" t="s">
        <v>3617</v>
      </c>
      <c r="G24" s="145" t="s">
        <v>3618</v>
      </c>
      <c r="H24" s="145" t="s">
        <v>3619</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c r="B25" s="123" t="s">
        <v>3658</v>
      </c>
      <c r="C25" s="109">
        <v>21</v>
      </c>
      <c r="D25" s="108" t="s">
        <v>3659</v>
      </c>
      <c r="E25" t="s">
        <v>3660</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3" t="s">
        <v>3661</v>
      </c>
      <c r="C26" s="167">
        <v>7</v>
      </c>
      <c r="D26" s="122" t="s">
        <v>3659</v>
      </c>
      <c r="E26" s="121" t="s">
        <v>3660</v>
      </c>
      <c r="F26" s="121" t="s">
        <v>372</v>
      </c>
      <c r="G26" s="121" t="s">
        <v>372</v>
      </c>
      <c r="H26" s="121" t="s">
        <v>372</v>
      </c>
      <c r="I26" s="167"/>
      <c r="J26" s="167"/>
      <c r="K26" s="167"/>
      <c r="L26" s="167"/>
      <c r="M26" s="167"/>
      <c r="N26" s="167"/>
      <c r="O26" s="167"/>
      <c r="P26" s="167"/>
      <c r="Q26" s="167"/>
      <c r="R26" s="109"/>
      <c r="S26" s="109"/>
    </row>
    <row r="28" spans="2:19">
      <c r="B28" s="156" t="s">
        <v>3662</v>
      </c>
    </row>
    <row r="29" spans="2:19">
      <c r="B29" s="150" t="s">
        <v>3663</v>
      </c>
      <c r="C29" s="150" t="s">
        <v>3664</v>
      </c>
      <c r="D29" s="151" t="s">
        <v>3665</v>
      </c>
      <c r="E29" s="150" t="s">
        <v>3666</v>
      </c>
      <c r="F29" s="150" t="s">
        <v>3667</v>
      </c>
    </row>
    <row r="30" spans="2:19" ht="87">
      <c r="B30" s="127" t="s">
        <v>3668</v>
      </c>
      <c r="C30" s="131" t="s">
        <v>4523</v>
      </c>
      <c r="D30" s="53" t="s">
        <v>4550</v>
      </c>
      <c r="E30" s="169" t="s">
        <v>4551</v>
      </c>
      <c r="F30" s="152"/>
    </row>
    <row r="31" spans="2:19" ht="87">
      <c r="B31" s="127" t="s">
        <v>4066</v>
      </c>
      <c r="C31" s="154" t="s">
        <v>4524</v>
      </c>
      <c r="D31" s="53" t="s">
        <v>4550</v>
      </c>
      <c r="E31" s="169" t="s">
        <v>4552</v>
      </c>
      <c r="F31" s="205"/>
    </row>
    <row r="32" spans="2:19" ht="87">
      <c r="B32" s="127" t="s">
        <v>4553</v>
      </c>
      <c r="C32" s="154" t="s">
        <v>4525</v>
      </c>
      <c r="D32" s="53" t="s">
        <v>4550</v>
      </c>
      <c r="E32" s="169" t="s">
        <v>4554</v>
      </c>
      <c r="F32" s="205"/>
    </row>
    <row r="33" spans="2:6" ht="66" customHeight="1">
      <c r="B33" s="314" t="s">
        <v>4555</v>
      </c>
      <c r="C33" s="315" t="s">
        <v>4443</v>
      </c>
      <c r="D33" s="316" t="s">
        <v>4556</v>
      </c>
      <c r="E33" s="317" t="s">
        <v>4557</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4123</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c r="B3" s="50" t="s">
        <v>3567</v>
      </c>
      <c r="C3" s="50">
        <v>1</v>
      </c>
      <c r="D3" s="50" t="s">
        <v>4558</v>
      </c>
      <c r="E3" s="111">
        <v>45513</v>
      </c>
      <c r="F3" s="50">
        <v>1</v>
      </c>
      <c r="G3" s="114">
        <v>1</v>
      </c>
      <c r="H3" s="241" t="s">
        <v>4559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203" t="s">
        <v>3621</v>
      </c>
      <c r="AA3" s="203" t="s">
        <v>3621</v>
      </c>
      <c r="AB3" s="203" t="s">
        <v>3621</v>
      </c>
      <c r="AC3" s="203" t="s">
        <v>3621</v>
      </c>
      <c r="AD3" s="203" t="s">
        <v>3621</v>
      </c>
      <c r="AE3" s="203" t="s">
        <v>3621</v>
      </c>
      <c r="AF3" s="203" t="s">
        <v>3621</v>
      </c>
      <c r="AG3" s="203" t="s">
        <v>3621</v>
      </c>
      <c r="AH3" s="203" t="s">
        <v>3621</v>
      </c>
      <c r="AI3" s="203" t="s">
        <v>3621</v>
      </c>
      <c r="AJ3" s="50" t="s">
        <v>3621</v>
      </c>
      <c r="AK3" s="50" t="s">
        <v>3621</v>
      </c>
      <c r="AL3" s="50" t="s">
        <v>3621</v>
      </c>
      <c r="AM3" s="50" t="s">
        <v>3621</v>
      </c>
      <c r="AN3" s="50" t="s">
        <v>3621</v>
      </c>
    </row>
    <row r="4" spans="2:40">
      <c r="B4" s="50" t="s">
        <v>3569</v>
      </c>
      <c r="C4" s="50">
        <v>2</v>
      </c>
      <c r="D4" s="50" t="s">
        <v>4560</v>
      </c>
      <c r="E4" s="111">
        <v>45513</v>
      </c>
      <c r="F4" s="50">
        <v>1</v>
      </c>
      <c r="G4" s="114">
        <v>1</v>
      </c>
      <c r="H4" s="201"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203" t="s">
        <v>3621</v>
      </c>
      <c r="AA4" s="203" t="s">
        <v>3621</v>
      </c>
      <c r="AB4" s="203" t="s">
        <v>3621</v>
      </c>
      <c r="AC4" s="203" t="s">
        <v>3621</v>
      </c>
      <c r="AD4" s="203" t="s">
        <v>3621</v>
      </c>
      <c r="AE4" s="203" t="s">
        <v>3621</v>
      </c>
      <c r="AF4" s="203" t="s">
        <v>3621</v>
      </c>
      <c r="AG4" s="203" t="s">
        <v>3621</v>
      </c>
      <c r="AH4" s="203" t="s">
        <v>3621</v>
      </c>
      <c r="AI4" s="203" t="s">
        <v>3621</v>
      </c>
      <c r="AJ4" s="50" t="s">
        <v>3621</v>
      </c>
      <c r="AK4" s="50" t="s">
        <v>3621</v>
      </c>
      <c r="AL4" s="50" t="s">
        <v>3621</v>
      </c>
      <c r="AM4" s="50" t="s">
        <v>3621</v>
      </c>
      <c r="AN4" s="50" t="s">
        <v>3621</v>
      </c>
    </row>
    <row r="5" spans="2:40">
      <c r="B5" s="50" t="s">
        <v>3571</v>
      </c>
      <c r="C5" s="50">
        <v>3</v>
      </c>
      <c r="D5" s="50" t="s">
        <v>4561</v>
      </c>
      <c r="E5" s="111">
        <v>45513</v>
      </c>
      <c r="F5" s="50">
        <v>1</v>
      </c>
      <c r="G5" s="114">
        <v>1</v>
      </c>
      <c r="H5" s="201"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203" t="s">
        <v>3621</v>
      </c>
      <c r="AA5" s="203" t="s">
        <v>3621</v>
      </c>
      <c r="AB5" s="203" t="s">
        <v>3621</v>
      </c>
      <c r="AC5" s="203" t="s">
        <v>3621</v>
      </c>
      <c r="AD5" s="203" t="s">
        <v>3621</v>
      </c>
      <c r="AE5" s="203" t="s">
        <v>3621</v>
      </c>
      <c r="AF5" s="203" t="s">
        <v>3621</v>
      </c>
      <c r="AG5" s="203" t="s">
        <v>3621</v>
      </c>
      <c r="AH5" s="203" t="s">
        <v>3621</v>
      </c>
      <c r="AI5" s="203" t="s">
        <v>3621</v>
      </c>
      <c r="AJ5" s="50" t="s">
        <v>3621</v>
      </c>
      <c r="AK5" s="50" t="s">
        <v>3621</v>
      </c>
      <c r="AL5" s="50" t="s">
        <v>3621</v>
      </c>
      <c r="AM5" s="50">
        <v>0</v>
      </c>
      <c r="AN5" s="50" t="s">
        <v>3621</v>
      </c>
    </row>
    <row r="6" spans="2:40">
      <c r="B6" s="113" t="s">
        <v>3573</v>
      </c>
      <c r="C6" s="50">
        <v>4</v>
      </c>
      <c r="D6" s="50" t="s">
        <v>3624</v>
      </c>
      <c r="E6" s="111" t="s">
        <v>3621</v>
      </c>
      <c r="F6" s="50">
        <v>1</v>
      </c>
      <c r="G6" s="50"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203" t="s">
        <v>3621</v>
      </c>
      <c r="AA6" s="203" t="s">
        <v>3621</v>
      </c>
      <c r="AB6" s="203" t="s">
        <v>3621</v>
      </c>
      <c r="AC6" s="203" t="s">
        <v>3621</v>
      </c>
      <c r="AD6" s="203" t="s">
        <v>3621</v>
      </c>
      <c r="AE6" s="203" t="s">
        <v>3621</v>
      </c>
      <c r="AF6" s="203" t="s">
        <v>3621</v>
      </c>
      <c r="AG6" s="203" t="s">
        <v>3621</v>
      </c>
      <c r="AH6" s="203" t="s">
        <v>3621</v>
      </c>
      <c r="AI6" s="203" t="s">
        <v>3621</v>
      </c>
      <c r="AJ6" s="50" t="s">
        <v>3621</v>
      </c>
      <c r="AK6" s="50" t="s">
        <v>3621</v>
      </c>
      <c r="AL6" s="50" t="s">
        <v>3621</v>
      </c>
      <c r="AM6" s="50" t="s">
        <v>3621</v>
      </c>
      <c r="AN6" s="50" t="s">
        <v>3621</v>
      </c>
    </row>
    <row r="7" spans="2:40">
      <c r="B7" s="50" t="s">
        <v>3575</v>
      </c>
      <c r="C7" s="50">
        <v>5</v>
      </c>
      <c r="D7" s="50" t="s">
        <v>3624</v>
      </c>
      <c r="E7" s="111" t="s">
        <v>3621</v>
      </c>
      <c r="F7" s="50">
        <v>1</v>
      </c>
      <c r="G7" s="50"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203" t="s">
        <v>3621</v>
      </c>
      <c r="AA7" s="203" t="s">
        <v>3621</v>
      </c>
      <c r="AB7" s="203" t="s">
        <v>3621</v>
      </c>
      <c r="AC7" s="203" t="s">
        <v>3621</v>
      </c>
      <c r="AD7" s="203" t="s">
        <v>3621</v>
      </c>
      <c r="AE7" s="203" t="s">
        <v>3621</v>
      </c>
      <c r="AF7" s="203" t="s">
        <v>3621</v>
      </c>
      <c r="AG7" s="203" t="s">
        <v>3621</v>
      </c>
      <c r="AH7" s="203" t="s">
        <v>3621</v>
      </c>
      <c r="AI7" s="203" t="s">
        <v>3621</v>
      </c>
      <c r="AJ7" s="50" t="s">
        <v>3621</v>
      </c>
      <c r="AK7" s="50" t="s">
        <v>3621</v>
      </c>
      <c r="AL7" s="50" t="s">
        <v>3621</v>
      </c>
      <c r="AM7" s="50" t="s">
        <v>3621</v>
      </c>
      <c r="AN7" s="50" t="s">
        <v>3621</v>
      </c>
    </row>
    <row r="8" spans="2:40">
      <c r="B8" s="113" t="s">
        <v>3576</v>
      </c>
      <c r="C8" s="50">
        <v>6</v>
      </c>
      <c r="D8" s="50" t="s">
        <v>4562</v>
      </c>
      <c r="E8" s="111">
        <v>45513</v>
      </c>
      <c r="F8" s="50">
        <v>1</v>
      </c>
      <c r="G8" s="225" cm="1">
        <f t="array" ref="G8">SUMPRODUCT(--(I8:AN8&gt;0))/COUNTA(I8:AN8)</f>
        <v>1</v>
      </c>
      <c r="H8" s="201" t="s">
        <v>3630</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c r="B9" s="50" t="s">
        <v>3579</v>
      </c>
      <c r="C9" s="50">
        <v>7</v>
      </c>
      <c r="D9" s="50" t="s">
        <v>4563</v>
      </c>
      <c r="E9" s="111">
        <v>45513</v>
      </c>
      <c r="F9" s="50">
        <v>1</v>
      </c>
      <c r="G9" s="225" cm="1">
        <f t="array" aca="1" ref="G9" ca="1">SUMPRODUCT(--(I9:AN9 &lt;= I28:AN28))/COUNTA(I28:AN28)</f>
        <v>1</v>
      </c>
      <c r="H9" s="201" t="s">
        <v>3630</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c r="B10" s="50" t="s">
        <v>3582</v>
      </c>
      <c r="C10" s="50">
        <v>8</v>
      </c>
      <c r="D10" s="50" t="s">
        <v>4564</v>
      </c>
      <c r="E10" s="111">
        <v>45513</v>
      </c>
      <c r="F10" s="50">
        <v>1</v>
      </c>
      <c r="G10" s="50" t="s">
        <v>3621</v>
      </c>
      <c r="H10" s="201" t="s">
        <v>3630</v>
      </c>
      <c r="I10" s="50">
        <v>31</v>
      </c>
      <c r="J10" s="196" t="s">
        <v>4565</v>
      </c>
      <c r="K10" s="50" t="s">
        <v>4566</v>
      </c>
      <c r="L10" s="50">
        <v>22</v>
      </c>
      <c r="M10" s="50">
        <v>0</v>
      </c>
      <c r="N10" s="50">
        <v>31</v>
      </c>
      <c r="O10" s="50">
        <v>2.2822000999999998E+22</v>
      </c>
      <c r="P10" s="111">
        <v>31530</v>
      </c>
      <c r="Q10" s="111">
        <v>34698</v>
      </c>
      <c r="R10" s="50">
        <v>826</v>
      </c>
      <c r="S10" s="114">
        <v>0</v>
      </c>
      <c r="T10" s="196" t="s">
        <v>3630</v>
      </c>
      <c r="U10" s="114">
        <v>-900000000000</v>
      </c>
      <c r="V10" s="50" t="s">
        <v>3630</v>
      </c>
      <c r="W10" s="114">
        <v>-16362170000</v>
      </c>
      <c r="X10" s="114">
        <v>-42408660000</v>
      </c>
      <c r="Y10" s="50" t="s">
        <v>3630</v>
      </c>
      <c r="Z10" s="203" t="s">
        <v>4123</v>
      </c>
      <c r="AA10" s="203" t="s">
        <v>1977</v>
      </c>
      <c r="AB10" s="203" t="s">
        <v>1988</v>
      </c>
      <c r="AC10" s="203" t="s">
        <v>1998</v>
      </c>
      <c r="AD10" s="203" t="s">
        <v>1515</v>
      </c>
      <c r="AE10" s="203" t="s">
        <v>1522</v>
      </c>
      <c r="AF10" s="203" t="s">
        <v>756</v>
      </c>
      <c r="AG10" s="203" t="s">
        <v>766</v>
      </c>
      <c r="AH10" s="203" t="s">
        <v>776</v>
      </c>
      <c r="AI10" s="203" t="s">
        <v>785</v>
      </c>
      <c r="AJ10" s="50" t="s">
        <v>3631</v>
      </c>
      <c r="AK10" s="50" t="s">
        <v>3632</v>
      </c>
      <c r="AL10" s="50" t="s">
        <v>3749</v>
      </c>
      <c r="AM10" s="111">
        <v>45513</v>
      </c>
      <c r="AN10" s="50" t="s">
        <v>4567</v>
      </c>
    </row>
    <row r="11" spans="2:40">
      <c r="B11" s="50" t="s">
        <v>3584</v>
      </c>
      <c r="C11" s="50">
        <v>9</v>
      </c>
      <c r="D11" s="50" t="s">
        <v>4568</v>
      </c>
      <c r="E11" s="111">
        <v>45513</v>
      </c>
      <c r="F11" s="50">
        <v>1</v>
      </c>
      <c r="G11" s="50" t="s">
        <v>3621</v>
      </c>
      <c r="H11" s="201" t="s">
        <v>3630</v>
      </c>
      <c r="I11" s="50">
        <v>31</v>
      </c>
      <c r="J11" s="196" t="s">
        <v>4565</v>
      </c>
      <c r="K11" s="50" t="s">
        <v>4569</v>
      </c>
      <c r="L11" s="50">
        <v>22</v>
      </c>
      <c r="M11" s="50">
        <v>0</v>
      </c>
      <c r="N11" s="50"/>
      <c r="O11" s="50">
        <v>2.2822000999999998E+22</v>
      </c>
      <c r="P11" s="111">
        <v>31530</v>
      </c>
      <c r="Q11" s="111">
        <v>34698</v>
      </c>
      <c r="R11" s="50">
        <v>826</v>
      </c>
      <c r="S11" s="50">
        <v>0</v>
      </c>
      <c r="T11" s="196" t="s">
        <v>3706</v>
      </c>
      <c r="U11" s="114">
        <v>-900000000000</v>
      </c>
      <c r="V11" s="50" t="s">
        <v>3706</v>
      </c>
      <c r="W11" s="114">
        <v>-16362170000</v>
      </c>
      <c r="X11" s="114" t="s">
        <v>4570</v>
      </c>
      <c r="Y11" s="50" t="s">
        <v>3706</v>
      </c>
      <c r="Z11" s="203" t="s">
        <v>4123</v>
      </c>
      <c r="AA11" s="203" t="s">
        <v>1977</v>
      </c>
      <c r="AB11" s="203" t="s">
        <v>1988</v>
      </c>
      <c r="AC11" s="203" t="s">
        <v>1998</v>
      </c>
      <c r="AD11" s="203" t="s">
        <v>1515</v>
      </c>
      <c r="AE11" s="203" t="s">
        <v>1522</v>
      </c>
      <c r="AF11" s="203" t="s">
        <v>756</v>
      </c>
      <c r="AG11" s="203" t="s">
        <v>766</v>
      </c>
      <c r="AH11" s="203" t="s">
        <v>776</v>
      </c>
      <c r="AI11" s="203" t="s">
        <v>785</v>
      </c>
      <c r="AJ11" s="50">
        <v>0</v>
      </c>
      <c r="AK11" s="50"/>
      <c r="AL11" s="50" t="s">
        <v>3749</v>
      </c>
      <c r="AM11" s="111">
        <v>45513</v>
      </c>
      <c r="AN11" s="50" t="s">
        <v>4571</v>
      </c>
    </row>
    <row r="12" spans="2:40">
      <c r="B12" s="113" t="s">
        <v>3586</v>
      </c>
      <c r="C12" s="50">
        <v>10</v>
      </c>
      <c r="D12" s="50" t="s">
        <v>4572</v>
      </c>
      <c r="E12" s="111">
        <v>45513</v>
      </c>
      <c r="F12" s="50">
        <v>1</v>
      </c>
      <c r="G12" s="50" t="s">
        <v>3621</v>
      </c>
      <c r="H12" s="201" t="s">
        <v>3630</v>
      </c>
      <c r="I12" s="50">
        <v>31</v>
      </c>
      <c r="J12" s="196" t="s">
        <v>4573</v>
      </c>
      <c r="K12" s="50" t="s">
        <v>4566</v>
      </c>
      <c r="L12" s="50">
        <v>97</v>
      </c>
      <c r="M12" s="111" t="s">
        <v>4574</v>
      </c>
      <c r="N12" s="50">
        <v>31</v>
      </c>
      <c r="O12" s="114">
        <v>2.3930258433501999E+29</v>
      </c>
      <c r="P12" s="209">
        <v>45513</v>
      </c>
      <c r="Q12" s="111">
        <v>2958464</v>
      </c>
      <c r="R12" s="50">
        <v>978</v>
      </c>
      <c r="S12" s="306" t="s">
        <v>4347</v>
      </c>
      <c r="T12" s="196" t="s">
        <v>4575</v>
      </c>
      <c r="U12" s="114">
        <v>72487500000000</v>
      </c>
      <c r="V12" s="114">
        <v>1634115960000</v>
      </c>
      <c r="W12" s="114">
        <v>27512500000000</v>
      </c>
      <c r="X12" s="114">
        <v>571000000000</v>
      </c>
      <c r="Y12" s="114">
        <v>1634115960000</v>
      </c>
      <c r="Z12" s="203" t="s">
        <v>4123</v>
      </c>
      <c r="AA12" s="203" t="s">
        <v>1977</v>
      </c>
      <c r="AB12" s="203" t="s">
        <v>1988</v>
      </c>
      <c r="AC12" s="203" t="s">
        <v>1998</v>
      </c>
      <c r="AD12" s="203" t="s">
        <v>1515</v>
      </c>
      <c r="AE12" s="203" t="s">
        <v>1522</v>
      </c>
      <c r="AF12" s="203" t="s">
        <v>756</v>
      </c>
      <c r="AG12" s="203" t="s">
        <v>766</v>
      </c>
      <c r="AH12" s="203" t="s">
        <v>776</v>
      </c>
      <c r="AI12" s="203" t="s">
        <v>785</v>
      </c>
      <c r="AJ12" s="50" t="s">
        <v>3805</v>
      </c>
      <c r="AK12" s="50" t="s">
        <v>3632</v>
      </c>
      <c r="AL12" s="50" t="s">
        <v>3641</v>
      </c>
      <c r="AM12" s="111">
        <v>45513</v>
      </c>
      <c r="AN12" s="50" t="s">
        <v>4567</v>
      </c>
    </row>
    <row r="13" spans="2:40">
      <c r="B13" s="50" t="s">
        <v>3588</v>
      </c>
      <c r="C13" s="50">
        <v>11</v>
      </c>
      <c r="D13" s="50" t="s">
        <v>4576</v>
      </c>
      <c r="E13" s="111">
        <v>45513</v>
      </c>
      <c r="F13" s="50">
        <v>1</v>
      </c>
      <c r="G13" s="50" t="s">
        <v>3621</v>
      </c>
      <c r="H13" s="201" t="s">
        <v>3630</v>
      </c>
      <c r="I13" s="50">
        <v>31</v>
      </c>
      <c r="J13" s="196" t="s">
        <v>4573</v>
      </c>
      <c r="K13" s="50" t="s">
        <v>4569</v>
      </c>
      <c r="L13" s="50">
        <v>97</v>
      </c>
      <c r="M13" s="111" t="s">
        <v>4574</v>
      </c>
      <c r="N13" s="50"/>
      <c r="O13" s="50">
        <v>2.3930258433501999E+29</v>
      </c>
      <c r="P13" s="111">
        <v>45513</v>
      </c>
      <c r="Q13" s="111">
        <v>2958464</v>
      </c>
      <c r="R13" s="50">
        <v>978</v>
      </c>
      <c r="S13" s="50">
        <v>1</v>
      </c>
      <c r="T13" s="196" t="s">
        <v>4577</v>
      </c>
      <c r="U13" s="114">
        <v>72487500000000</v>
      </c>
      <c r="V13" s="114" t="s">
        <v>4578</v>
      </c>
      <c r="W13" s="114">
        <v>27512500000000</v>
      </c>
      <c r="X13" s="114" t="s">
        <v>4579</v>
      </c>
      <c r="Y13" s="114" t="s">
        <v>4578</v>
      </c>
      <c r="Z13" s="203" t="s">
        <v>4123</v>
      </c>
      <c r="AA13" s="203" t="s">
        <v>1977</v>
      </c>
      <c r="AB13" s="203" t="s">
        <v>1988</v>
      </c>
      <c r="AC13" s="203" t="s">
        <v>1998</v>
      </c>
      <c r="AD13" s="203" t="s">
        <v>1515</v>
      </c>
      <c r="AE13" s="203" t="s">
        <v>1522</v>
      </c>
      <c r="AF13" s="203" t="s">
        <v>756</v>
      </c>
      <c r="AG13" s="203" t="s">
        <v>766</v>
      </c>
      <c r="AH13" s="203" t="s">
        <v>776</v>
      </c>
      <c r="AI13" s="203" t="s">
        <v>785</v>
      </c>
      <c r="AJ13" s="50">
        <v>8</v>
      </c>
      <c r="AK13" s="50"/>
      <c r="AL13" s="50" t="s">
        <v>3641</v>
      </c>
      <c r="AM13" s="111">
        <v>45513</v>
      </c>
      <c r="AN13" s="50" t="s">
        <v>4580</v>
      </c>
    </row>
    <row r="14" spans="2:40">
      <c r="B14" s="50" t="s">
        <v>3590</v>
      </c>
      <c r="C14" s="50">
        <v>12</v>
      </c>
      <c r="D14" s="50" t="s">
        <v>4581</v>
      </c>
      <c r="E14" s="111">
        <v>45513</v>
      </c>
      <c r="F14" s="50">
        <v>1</v>
      </c>
      <c r="G14" s="209" t="s">
        <v>4582</v>
      </c>
      <c r="H14" s="201" t="s">
        <v>3630</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c r="B15" s="50" t="s">
        <v>3592</v>
      </c>
      <c r="C15" s="50">
        <v>13</v>
      </c>
      <c r="D15" s="50" t="s">
        <v>4583</v>
      </c>
      <c r="E15" s="111">
        <v>45513</v>
      </c>
      <c r="F15" s="50">
        <v>1</v>
      </c>
      <c r="G15" s="114">
        <v>1</v>
      </c>
      <c r="H15" s="201" t="s">
        <v>3630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203" t="s">
        <v>3621</v>
      </c>
      <c r="AA15" s="203" t="s">
        <v>3621</v>
      </c>
      <c r="AB15" s="203" t="s">
        <v>3621</v>
      </c>
      <c r="AC15" s="203" t="s">
        <v>3621</v>
      </c>
      <c r="AD15" s="203" t="s">
        <v>3621</v>
      </c>
      <c r="AE15" s="203" t="s">
        <v>3621</v>
      </c>
      <c r="AF15" s="203" t="s">
        <v>3621</v>
      </c>
      <c r="AG15" s="203" t="s">
        <v>3621</v>
      </c>
      <c r="AH15" s="203" t="s">
        <v>3621</v>
      </c>
      <c r="AI15" s="203" t="s">
        <v>3621</v>
      </c>
      <c r="AJ15" s="50" t="s">
        <v>3621</v>
      </c>
      <c r="AK15" s="50" t="s">
        <v>3621</v>
      </c>
      <c r="AL15" s="50" t="s">
        <v>3621</v>
      </c>
      <c r="AM15" s="50" t="s">
        <v>3621</v>
      </c>
      <c r="AN15" s="50" t="s">
        <v>3621</v>
      </c>
    </row>
    <row r="16" spans="2:40">
      <c r="B16" s="50" t="s">
        <v>3594</v>
      </c>
      <c r="C16" s="50">
        <v>14</v>
      </c>
      <c r="D16" s="50" t="s">
        <v>4584</v>
      </c>
      <c r="E16" s="111">
        <v>45513</v>
      </c>
      <c r="F16" s="50">
        <v>1</v>
      </c>
      <c r="G16" s="114">
        <v>1</v>
      </c>
      <c r="H16" s="201" t="s">
        <v>3630</v>
      </c>
      <c r="I16" s="50">
        <v>0</v>
      </c>
      <c r="J16" s="50">
        <v>0</v>
      </c>
      <c r="K16" s="50">
        <v>0</v>
      </c>
      <c r="L16" s="50">
        <v>0</v>
      </c>
      <c r="M16" s="50">
        <v>0</v>
      </c>
      <c r="N16" s="50">
        <v>0</v>
      </c>
      <c r="O16" s="50">
        <v>0</v>
      </c>
      <c r="P16" s="50" t="s">
        <v>3621</v>
      </c>
      <c r="Q16" s="50" t="s">
        <v>3621</v>
      </c>
      <c r="R16" s="50">
        <v>0</v>
      </c>
      <c r="S16" s="50" t="s">
        <v>3621</v>
      </c>
      <c r="T16" s="50" t="s">
        <v>3621</v>
      </c>
      <c r="U16" s="50" t="s">
        <v>3621</v>
      </c>
      <c r="V16" s="50" t="s">
        <v>3621</v>
      </c>
      <c r="W16" s="50" t="s">
        <v>3621</v>
      </c>
      <c r="X16" s="50" t="s">
        <v>3621</v>
      </c>
      <c r="Y16" s="50" t="s">
        <v>3621</v>
      </c>
      <c r="Z16" s="203" t="s">
        <v>3621</v>
      </c>
      <c r="AA16" s="203" t="s">
        <v>3621</v>
      </c>
      <c r="AB16" s="203" t="s">
        <v>3621</v>
      </c>
      <c r="AC16" s="203" t="s">
        <v>3621</v>
      </c>
      <c r="AD16" s="203" t="s">
        <v>3621</v>
      </c>
      <c r="AE16" s="203">
        <v>0</v>
      </c>
      <c r="AF16" s="203" t="s">
        <v>3621</v>
      </c>
      <c r="AG16" s="203" t="s">
        <v>3621</v>
      </c>
      <c r="AH16" s="203" t="s">
        <v>3621</v>
      </c>
      <c r="AI16" s="203" t="s">
        <v>3621</v>
      </c>
      <c r="AJ16" s="50">
        <v>0</v>
      </c>
      <c r="AK16" s="50">
        <v>0</v>
      </c>
      <c r="AL16" s="50">
        <v>0</v>
      </c>
      <c r="AM16" s="50" t="s">
        <v>3621</v>
      </c>
      <c r="AN16" s="50" t="s">
        <v>3621</v>
      </c>
    </row>
    <row r="17" spans="2:40">
      <c r="B17" s="50" t="s">
        <v>3596</v>
      </c>
      <c r="C17" s="50">
        <v>15</v>
      </c>
      <c r="D17" s="50" t="s">
        <v>4585</v>
      </c>
      <c r="E17" s="111">
        <v>45513</v>
      </c>
      <c r="F17" s="50">
        <v>1</v>
      </c>
      <c r="G17" s="114">
        <v>1</v>
      </c>
      <c r="H17" s="201"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203" t="s">
        <v>3621</v>
      </c>
      <c r="AA17" s="203" t="s">
        <v>3621</v>
      </c>
      <c r="AB17" s="203" t="s">
        <v>3621</v>
      </c>
      <c r="AC17" s="203" t="s">
        <v>3621</v>
      </c>
      <c r="AD17" s="203" t="s">
        <v>3621</v>
      </c>
      <c r="AE17" s="203" t="s">
        <v>3621</v>
      </c>
      <c r="AF17" s="203" t="s">
        <v>3621</v>
      </c>
      <c r="AG17" s="203" t="s">
        <v>3621</v>
      </c>
      <c r="AH17" s="203" t="s">
        <v>3621</v>
      </c>
      <c r="AI17" s="203" t="s">
        <v>3621</v>
      </c>
      <c r="AJ17" s="50" t="s">
        <v>3621</v>
      </c>
      <c r="AK17" s="50" t="s">
        <v>3621</v>
      </c>
      <c r="AL17" s="50" t="s">
        <v>3621</v>
      </c>
      <c r="AM17" s="50" t="s">
        <v>3621</v>
      </c>
      <c r="AN17" s="50" t="s">
        <v>3621</v>
      </c>
    </row>
    <row r="18" spans="2:40">
      <c r="B18" s="50" t="s">
        <v>3598</v>
      </c>
      <c r="C18" s="50">
        <v>16</v>
      </c>
      <c r="D18" s="50" t="s">
        <v>4585</v>
      </c>
      <c r="E18" s="111">
        <v>45513</v>
      </c>
      <c r="F18" s="50">
        <v>1</v>
      </c>
      <c r="G18" s="114">
        <v>1</v>
      </c>
      <c r="H18" s="201"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203" t="s">
        <v>3621</v>
      </c>
      <c r="AA18" s="203" t="s">
        <v>3621</v>
      </c>
      <c r="AB18" s="203" t="s">
        <v>3621</v>
      </c>
      <c r="AC18" s="203" t="s">
        <v>3621</v>
      </c>
      <c r="AD18" s="203" t="s">
        <v>3621</v>
      </c>
      <c r="AE18" s="203" t="s">
        <v>3621</v>
      </c>
      <c r="AF18" s="203" t="s">
        <v>3621</v>
      </c>
      <c r="AG18" s="203" t="s">
        <v>3621</v>
      </c>
      <c r="AH18" s="203" t="s">
        <v>3621</v>
      </c>
      <c r="AI18" s="203" t="s">
        <v>3621</v>
      </c>
      <c r="AJ18" s="50" t="s">
        <v>3621</v>
      </c>
      <c r="AK18" s="50" t="s">
        <v>3621</v>
      </c>
      <c r="AL18" s="50" t="s">
        <v>3621</v>
      </c>
      <c r="AM18" s="50" t="s">
        <v>3621</v>
      </c>
      <c r="AN18" s="50" t="s">
        <v>3621</v>
      </c>
    </row>
    <row r="19" spans="2:40">
      <c r="B19" s="50" t="s">
        <v>3600</v>
      </c>
      <c r="C19" s="50">
        <v>17</v>
      </c>
      <c r="D19" s="50" t="s">
        <v>4586</v>
      </c>
      <c r="E19" s="111">
        <v>45513</v>
      </c>
      <c r="F19" s="50">
        <v>1</v>
      </c>
      <c r="G19" s="50" t="s">
        <v>4587</v>
      </c>
      <c r="H19" s="267" t="s">
        <v>4588</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50" t="s">
        <v>3621</v>
      </c>
      <c r="W19" s="50" t="s">
        <v>3621</v>
      </c>
      <c r="X19" s="50" t="s">
        <v>3621</v>
      </c>
      <c r="Y19" s="50" t="s">
        <v>3621</v>
      </c>
      <c r="Z19" s="203" t="s">
        <v>3621</v>
      </c>
      <c r="AA19" s="203" t="s">
        <v>3621</v>
      </c>
      <c r="AB19" s="203" t="s">
        <v>3621</v>
      </c>
      <c r="AC19" s="203" t="s">
        <v>3621</v>
      </c>
      <c r="AD19" s="203" t="s">
        <v>3621</v>
      </c>
      <c r="AE19" s="203" t="s">
        <v>3621</v>
      </c>
      <c r="AF19" s="203" t="s">
        <v>3621</v>
      </c>
      <c r="AG19" s="203" t="s">
        <v>3621</v>
      </c>
      <c r="AH19" s="203" t="s">
        <v>3621</v>
      </c>
      <c r="AI19" s="203" t="s">
        <v>3621</v>
      </c>
      <c r="AJ19" s="50" t="s">
        <v>3621</v>
      </c>
      <c r="AK19" s="50" t="s">
        <v>3621</v>
      </c>
      <c r="AL19" s="50" t="s">
        <v>3621</v>
      </c>
      <c r="AM19" s="50" t="s">
        <v>3621</v>
      </c>
      <c r="AN19" s="50" t="s">
        <v>3621</v>
      </c>
    </row>
    <row r="20" spans="2:40">
      <c r="B20" s="50" t="s">
        <v>3602</v>
      </c>
      <c r="C20" s="50">
        <v>18</v>
      </c>
      <c r="D20" s="50" t="s">
        <v>4586</v>
      </c>
      <c r="E20" s="111">
        <v>45513</v>
      </c>
      <c r="F20" s="50">
        <v>1</v>
      </c>
      <c r="G20" s="226" t="s">
        <v>4589</v>
      </c>
      <c r="H20" s="279" t="s">
        <v>4590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203" t="s">
        <v>3621</v>
      </c>
      <c r="AA20" s="203" t="s">
        <v>3621</v>
      </c>
      <c r="AB20" s="203" t="s">
        <v>3621</v>
      </c>
      <c r="AC20" s="203" t="s">
        <v>3621</v>
      </c>
      <c r="AD20" s="203" t="s">
        <v>3621</v>
      </c>
      <c r="AE20" s="203" t="s">
        <v>3621</v>
      </c>
      <c r="AF20" s="203" t="s">
        <v>3621</v>
      </c>
      <c r="AG20" s="203" t="s">
        <v>3621</v>
      </c>
      <c r="AH20" s="203" t="s">
        <v>3621</v>
      </c>
      <c r="AI20" s="203" t="s">
        <v>3621</v>
      </c>
      <c r="AJ20" s="50" t="s">
        <v>3621</v>
      </c>
      <c r="AK20" s="50" t="s">
        <v>3621</v>
      </c>
      <c r="AL20" s="50" t="s">
        <v>3621</v>
      </c>
      <c r="AM20" s="50" t="s">
        <v>3621</v>
      </c>
      <c r="AN20" s="50" t="s">
        <v>3621</v>
      </c>
    </row>
    <row r="21" spans="2:40">
      <c r="B21" s="50" t="s">
        <v>3604</v>
      </c>
      <c r="C21" s="50">
        <v>19</v>
      </c>
      <c r="D21" s="50" t="s">
        <v>4591</v>
      </c>
      <c r="E21" s="111">
        <v>45513</v>
      </c>
      <c r="F21" s="50">
        <v>1</v>
      </c>
      <c r="G21" s="225" cm="1">
        <f t="array" aca="1" ref="G21" ca="1">SUMPRODUCT(--(ISNUMBER((SEARCH(I27:AN27,I21:AN21)))))/COUNTA(I21:AN21)</f>
        <v>0.8125</v>
      </c>
      <c r="H21" s="201"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3656</v>
      </c>
      <c r="Y21" s="50" t="s">
        <v>3656</v>
      </c>
      <c r="Z21" s="203" t="s">
        <v>3655</v>
      </c>
      <c r="AA21" s="203" t="s">
        <v>3655</v>
      </c>
      <c r="AB21" s="203" t="s">
        <v>3655</v>
      </c>
      <c r="AC21" s="203" t="s">
        <v>3655</v>
      </c>
      <c r="AD21" s="203" t="s">
        <v>3655</v>
      </c>
      <c r="AE21" s="203" t="s">
        <v>3655</v>
      </c>
      <c r="AF21" s="203" t="s">
        <v>3655</v>
      </c>
      <c r="AG21" s="203" t="s">
        <v>3655</v>
      </c>
      <c r="AH21" s="203" t="s">
        <v>3655</v>
      </c>
      <c r="AI21" s="203" t="s">
        <v>3655</v>
      </c>
      <c r="AJ21" s="50" t="s">
        <v>3655</v>
      </c>
      <c r="AK21" s="50" t="s">
        <v>3655</v>
      </c>
      <c r="AL21" s="50" t="s">
        <v>3655</v>
      </c>
      <c r="AM21" s="50" t="s">
        <v>3655</v>
      </c>
      <c r="AN21" s="50" t="s">
        <v>3657</v>
      </c>
    </row>
    <row r="22" spans="2:40">
      <c r="B22" s="50" t="s">
        <v>3607</v>
      </c>
      <c r="C22" s="50">
        <v>20</v>
      </c>
      <c r="D22" s="50"/>
      <c r="E22" s="111"/>
      <c r="F22" s="50">
        <v>1</v>
      </c>
      <c r="G22" s="209" cm="1">
        <f t="array" ref="G22">SUM(IF(I2:AN2 = I26:AN26, 1, 0))/ COUNTA(I2:AN2)</f>
        <v>0.6875</v>
      </c>
      <c r="H22" s="50" t="s">
        <v>3621</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c r="B23" s="50" t="s">
        <v>3610</v>
      </c>
      <c r="C23" s="50">
        <v>21</v>
      </c>
      <c r="D23" s="50"/>
      <c r="E23" s="111"/>
      <c r="F23" s="50">
        <v>1</v>
      </c>
      <c r="G23" s="209" cm="1">
        <f t="array" aca="1" ref="G23" ca="1">SUM(IF(IF(G3:G22="null",1,G3:G22)=1,1,0))/COUNT(IF(G3:G22="null",1,1))</f>
        <v>0.75</v>
      </c>
      <c r="H23" s="50" t="s">
        <v>3621</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c r="B24" s="50"/>
      <c r="C24" s="50"/>
      <c r="D24" s="50"/>
      <c r="E24" s="111"/>
      <c r="F24" s="50"/>
      <c r="G24" s="50"/>
      <c r="H24" s="50"/>
      <c r="I24" s="50"/>
      <c r="J24" s="50"/>
      <c r="K24" s="50"/>
      <c r="L24" s="50"/>
      <c r="M24" s="50"/>
      <c r="N24" s="50"/>
      <c r="O24" s="50"/>
      <c r="P24" s="50"/>
      <c r="Q24" s="50"/>
      <c r="R24" s="50"/>
      <c r="S24" s="50"/>
    </row>
    <row r="25" spans="2:40">
      <c r="B25" s="146" t="s">
        <v>3727</v>
      </c>
    </row>
    <row r="26" spans="2:40">
      <c r="B26" s="144" t="s">
        <v>3613</v>
      </c>
      <c r="C26" s="145" t="s">
        <v>3614</v>
      </c>
      <c r="D26" s="145" t="s">
        <v>3615</v>
      </c>
      <c r="E26" s="145" t="s">
        <v>3616</v>
      </c>
      <c r="F26" s="145" t="s">
        <v>3617</v>
      </c>
      <c r="G26" s="145" t="s">
        <v>3618</v>
      </c>
      <c r="H26" s="145" t="s">
        <v>3619</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c r="B27" s="123" t="s">
        <v>3658</v>
      </c>
      <c r="C27" s="126">
        <v>21</v>
      </c>
      <c r="D27" s="120" t="s">
        <v>3659</v>
      </c>
      <c r="E27" s="119" t="s">
        <v>3660</v>
      </c>
      <c r="F27" s="119" t="s">
        <v>372</v>
      </c>
      <c r="G27" s="119" t="s">
        <v>372</v>
      </c>
      <c r="H27" s="119" t="s">
        <v>372</v>
      </c>
      <c r="I27" s="119" t="str" cm="1">
        <f t="array" aca="1" ref="I27:AN28" ca="1">TRANSPOSE(_xlfn.SORTBY(_xlfn._xlws.FILTER(IF(Table3[FORMATO]:Table3[COMP_ CAMPO]&lt;&gt;"",Table3[FORMATO]:Table3[COMP_ CAMPO],9999999),Table3[NOME FÍSICO TABELA]="loan_account"), _xlfn._xlws.FILTER(Table3[ORDEM], Table3[NOME FÍSICO TABELA]="loan_account"), 1))</f>
        <v>STRING</v>
      </c>
      <c r="J27" s="119" t="str">
        <f ca="1"/>
        <v>STRING</v>
      </c>
      <c r="K27" s="119" t="str">
        <f ca="1"/>
        <v>STRING</v>
      </c>
      <c r="L27" s="119" t="str">
        <f ca="1"/>
        <v>STRING</v>
      </c>
      <c r="M27" s="119" t="str">
        <f ca="1"/>
        <v>STRING</v>
      </c>
      <c r="N27" s="121" t="str">
        <f ca="1"/>
        <v>STRING</v>
      </c>
      <c r="O27" s="121" t="str">
        <f ca="1"/>
        <v>STRING</v>
      </c>
      <c r="P27" s="121" t="str">
        <f ca="1"/>
        <v>STRING</v>
      </c>
      <c r="Q27" s="121" t="str">
        <f ca="1"/>
        <v>STRING</v>
      </c>
      <c r="R27" s="121" t="str">
        <f ca="1"/>
        <v>STRING</v>
      </c>
      <c r="S27" s="121" t="str">
        <f ca="1"/>
        <v>STRING</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0">
      <c r="B28" s="123" t="s">
        <v>3661</v>
      </c>
      <c r="C28" s="126">
        <v>7</v>
      </c>
      <c r="D28" s="120" t="s">
        <v>3659</v>
      </c>
      <c r="E28" s="119" t="s">
        <v>3660</v>
      </c>
      <c r="F28" s="121" t="s">
        <v>372</v>
      </c>
      <c r="G28" s="121" t="s">
        <v>372</v>
      </c>
      <c r="H28" s="121" t="s">
        <v>372</v>
      </c>
      <c r="I28" s="167">
        <f ca="1"/>
        <v>4</v>
      </c>
      <c r="J28" s="167">
        <f ca="1"/>
        <v>30</v>
      </c>
      <c r="K28" s="167">
        <f ca="1"/>
        <v>4</v>
      </c>
      <c r="L28" s="167">
        <f ca="1"/>
        <v>4</v>
      </c>
      <c r="M28" s="167">
        <f ca="1"/>
        <v>4</v>
      </c>
      <c r="N28" s="126">
        <f ca="1"/>
        <v>4</v>
      </c>
      <c r="O28" s="126">
        <f ca="1"/>
        <v>30</v>
      </c>
      <c r="P28" s="126">
        <f ca="1"/>
        <v>10</v>
      </c>
      <c r="Q28" s="126">
        <f ca="1"/>
        <v>10</v>
      </c>
      <c r="R28" s="126">
        <f ca="1"/>
        <v>4</v>
      </c>
      <c r="S28" s="126">
        <f ca="1"/>
        <v>4</v>
      </c>
      <c r="T28" s="126">
        <f ca="1"/>
        <v>23</v>
      </c>
      <c r="U28" s="126">
        <f ca="1"/>
        <v>23</v>
      </c>
      <c r="V28" s="119">
        <f ca="1"/>
        <v>23</v>
      </c>
      <c r="W28" s="119">
        <f ca="1"/>
        <v>23</v>
      </c>
      <c r="X28" s="119">
        <f ca="1"/>
        <v>23</v>
      </c>
      <c r="Y28" s="119">
        <f ca="1"/>
        <v>23</v>
      </c>
      <c r="Z28" s="119">
        <f ca="1"/>
        <v>4</v>
      </c>
      <c r="AA28" s="119">
        <f ca="1"/>
        <v>4</v>
      </c>
      <c r="AB28" s="119">
        <f ca="1"/>
        <v>23</v>
      </c>
      <c r="AC28" s="119">
        <f ca="1"/>
        <v>23</v>
      </c>
      <c r="AD28" s="119">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0">
      <c r="B30" s="156" t="s">
        <v>3662</v>
      </c>
    </row>
    <row r="31" spans="2:40">
      <c r="B31" s="150" t="s">
        <v>3663</v>
      </c>
      <c r="C31" s="150" t="s">
        <v>3664</v>
      </c>
      <c r="D31" s="151" t="s">
        <v>3665</v>
      </c>
      <c r="E31" s="150" t="s">
        <v>3666</v>
      </c>
      <c r="F31" s="150" t="s">
        <v>3667</v>
      </c>
    </row>
    <row r="32" spans="2:40" ht="57.95">
      <c r="B32" s="153" t="s">
        <v>3771</v>
      </c>
      <c r="C32" s="154" t="s">
        <v>4123</v>
      </c>
      <c r="D32" s="257" t="s">
        <v>3772</v>
      </c>
      <c r="E32" s="163" t="s">
        <v>4592</v>
      </c>
      <c r="F32" s="214" t="s">
        <v>4593</v>
      </c>
    </row>
    <row r="33" spans="2:6" ht="57.95">
      <c r="B33" s="153" t="s">
        <v>3771</v>
      </c>
      <c r="C33" s="154" t="s">
        <v>1977</v>
      </c>
      <c r="D33" s="257" t="s">
        <v>3772</v>
      </c>
      <c r="E33" s="163" t="s">
        <v>4592</v>
      </c>
      <c r="F33" s="214" t="s">
        <v>4593</v>
      </c>
    </row>
    <row r="34" spans="2:6" ht="57.95">
      <c r="B34" s="153" t="s">
        <v>3771</v>
      </c>
      <c r="C34" s="154" t="s">
        <v>1998</v>
      </c>
      <c r="D34" s="257" t="s">
        <v>3772</v>
      </c>
      <c r="E34" s="163" t="s">
        <v>4592</v>
      </c>
      <c r="F34" s="214" t="s">
        <v>4593</v>
      </c>
    </row>
    <row r="35" spans="2:6" ht="57.95">
      <c r="B35" s="153" t="s">
        <v>3771</v>
      </c>
      <c r="C35" s="154" t="s">
        <v>1515</v>
      </c>
      <c r="D35" s="257" t="s">
        <v>3772</v>
      </c>
      <c r="E35" s="163" t="s">
        <v>4592</v>
      </c>
      <c r="F35" s="214" t="s">
        <v>4593</v>
      </c>
    </row>
    <row r="36" spans="2:6" ht="57.95">
      <c r="B36" s="153" t="s">
        <v>3771</v>
      </c>
      <c r="C36" s="154" t="s">
        <v>1522</v>
      </c>
      <c r="D36" s="257" t="s">
        <v>3772</v>
      </c>
      <c r="E36" s="163" t="s">
        <v>4592</v>
      </c>
      <c r="F36" s="214" t="s">
        <v>4593</v>
      </c>
    </row>
    <row r="37" spans="2:6" ht="57.95">
      <c r="B37" s="153" t="s">
        <v>3771</v>
      </c>
      <c r="C37" s="154" t="s">
        <v>756</v>
      </c>
      <c r="D37" s="257" t="s">
        <v>3772</v>
      </c>
      <c r="E37" s="163" t="s">
        <v>4592</v>
      </c>
      <c r="F37" s="214" t="s">
        <v>4593</v>
      </c>
    </row>
    <row r="38" spans="2:6" ht="57.95">
      <c r="B38" s="153" t="s">
        <v>3771</v>
      </c>
      <c r="C38" s="154" t="s">
        <v>776</v>
      </c>
      <c r="D38" s="257" t="s">
        <v>3772</v>
      </c>
      <c r="E38" s="163" t="s">
        <v>4592</v>
      </c>
      <c r="F38" s="214" t="s">
        <v>4593</v>
      </c>
    </row>
    <row r="39" spans="2:6" ht="57.95">
      <c r="B39" s="153" t="s">
        <v>3771</v>
      </c>
      <c r="C39" s="154" t="s">
        <v>785</v>
      </c>
      <c r="D39" s="257" t="s">
        <v>3772</v>
      </c>
      <c r="E39" s="163" t="s">
        <v>4592</v>
      </c>
      <c r="F39" s="214" t="s">
        <v>4593</v>
      </c>
    </row>
    <row r="40" spans="2:6" ht="57.95">
      <c r="B40" s="134" t="s">
        <v>3668</v>
      </c>
      <c r="C40" s="133" t="s">
        <v>188</v>
      </c>
      <c r="D40" s="139" t="s">
        <v>4594</v>
      </c>
      <c r="E40" s="162" t="s">
        <v>4595</v>
      </c>
      <c r="F40" s="152" t="s">
        <v>3671</v>
      </c>
    </row>
    <row r="41" spans="2:6">
      <c r="B41" s="153" t="s">
        <v>3678</v>
      </c>
      <c r="C41" s="154" t="s">
        <v>3679</v>
      </c>
      <c r="D41" s="257"/>
      <c r="E41" s="163" t="s">
        <v>4596</v>
      </c>
      <c r="F41" s="205"/>
    </row>
    <row r="42" spans="2:6">
      <c r="B42" s="153" t="s">
        <v>3736</v>
      </c>
      <c r="C42" s="154" t="s">
        <v>3679</v>
      </c>
      <c r="D42" s="257"/>
      <c r="E42" s="163" t="s">
        <v>4597</v>
      </c>
      <c r="F42" s="205"/>
    </row>
    <row r="43" spans="2:6" ht="72.599999999999994">
      <c r="B43" s="153" t="s">
        <v>3781</v>
      </c>
      <c r="C43" s="154" t="s">
        <v>1988</v>
      </c>
      <c r="D43" s="155" t="s">
        <v>3782</v>
      </c>
      <c r="E43" s="163" t="s">
        <v>4592</v>
      </c>
      <c r="F43" s="214" t="s">
        <v>4593</v>
      </c>
    </row>
    <row r="44" spans="2:6" ht="72.599999999999994">
      <c r="B44" s="153" t="s">
        <v>3781</v>
      </c>
      <c r="C44" s="154" t="s">
        <v>1998</v>
      </c>
      <c r="D44" s="257" t="s">
        <v>3782</v>
      </c>
      <c r="E44" s="163" t="s">
        <v>4592</v>
      </c>
      <c r="F44" s="205" t="s">
        <v>4593</v>
      </c>
    </row>
    <row r="45" spans="2:6" ht="72.599999999999994">
      <c r="B45" s="153" t="s">
        <v>3781</v>
      </c>
      <c r="C45" s="154" t="s">
        <v>1515</v>
      </c>
      <c r="D45" s="257" t="s">
        <v>3782</v>
      </c>
      <c r="E45" s="163" t="s">
        <v>4592</v>
      </c>
      <c r="F45" s="205" t="s">
        <v>4593</v>
      </c>
    </row>
    <row r="46" spans="2:6" ht="72.599999999999994">
      <c r="B46" s="153" t="s">
        <v>3781</v>
      </c>
      <c r="C46" s="154" t="s">
        <v>766</v>
      </c>
      <c r="D46" s="257" t="s">
        <v>3782</v>
      </c>
      <c r="E46" s="163" t="s">
        <v>4592</v>
      </c>
      <c r="F46" s="205" t="s">
        <v>4593</v>
      </c>
    </row>
    <row r="47" spans="2:6" ht="72.599999999999994">
      <c r="B47" s="153" t="s">
        <v>3781</v>
      </c>
      <c r="C47" s="154" t="s">
        <v>776</v>
      </c>
      <c r="D47" s="257" t="s">
        <v>3782</v>
      </c>
      <c r="E47" s="163" t="s">
        <v>4592</v>
      </c>
      <c r="F47" s="205" t="s">
        <v>4593</v>
      </c>
    </row>
    <row r="48" spans="2:6" ht="72.599999999999994">
      <c r="B48" s="153" t="s">
        <v>3781</v>
      </c>
      <c r="C48" s="154" t="s">
        <v>785</v>
      </c>
      <c r="D48" s="257" t="s">
        <v>3782</v>
      </c>
      <c r="E48" s="163" t="s">
        <v>4592</v>
      </c>
      <c r="F48" s="205" t="s">
        <v>4593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1833</v>
      </c>
      <c r="Q2" s="91" t="s">
        <v>2307</v>
      </c>
      <c r="R2" s="91" t="s">
        <v>4598</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4599</v>
      </c>
      <c r="AV2" s="91" t="s">
        <v>1473</v>
      </c>
      <c r="AW2" s="91" t="s">
        <v>1481</v>
      </c>
      <c r="AX2" s="91" t="s">
        <v>2465</v>
      </c>
      <c r="AY2" s="91" t="s">
        <v>2471</v>
      </c>
      <c r="AZ2" s="91" t="s">
        <v>4600</v>
      </c>
      <c r="BA2" s="91" t="s">
        <v>4601</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c r="B3" s="50" t="s">
        <v>3567</v>
      </c>
      <c r="C3" s="50">
        <v>1</v>
      </c>
      <c r="D3" s="50" t="s">
        <v>4602</v>
      </c>
      <c r="E3" s="111">
        <v>45534</v>
      </c>
      <c r="F3" s="50">
        <v>1</v>
      </c>
      <c r="G3" s="279">
        <v>1</v>
      </c>
      <c r="H3" s="198" t="s">
        <v>4603</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c r="BC3" s="50" t="s">
        <v>3621</v>
      </c>
      <c r="BD3" s="50" t="s">
        <v>3621</v>
      </c>
      <c r="BE3" s="50" t="s">
        <v>3621</v>
      </c>
      <c r="BF3" s="50" t="s">
        <v>3621</v>
      </c>
      <c r="BG3" s="50" t="s">
        <v>3621</v>
      </c>
      <c r="BH3" s="50" t="s">
        <v>3621</v>
      </c>
      <c r="BI3" s="50" t="s">
        <v>3621</v>
      </c>
      <c r="BJ3" s="50" t="s">
        <v>3621</v>
      </c>
      <c r="BK3" s="50" t="s">
        <v>3621</v>
      </c>
      <c r="BL3" s="50" t="s">
        <v>3621</v>
      </c>
      <c r="BM3" s="50" t="s">
        <v>3621</v>
      </c>
      <c r="BN3" s="50" t="s">
        <v>3621</v>
      </c>
      <c r="BO3" s="50" t="s">
        <v>3621</v>
      </c>
      <c r="BP3" s="50" t="s">
        <v>3621</v>
      </c>
      <c r="BQ3" s="50" t="s">
        <v>3621</v>
      </c>
    </row>
    <row r="4" spans="2:69">
      <c r="B4" s="50" t="s">
        <v>3569</v>
      </c>
      <c r="C4" s="50">
        <v>2</v>
      </c>
      <c r="D4" s="50" t="s">
        <v>4604</v>
      </c>
      <c r="E4" s="111">
        <v>45534</v>
      </c>
      <c r="F4" s="50">
        <v>1</v>
      </c>
      <c r="G4" s="279">
        <v>1</v>
      </c>
      <c r="H4" s="114"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c r="BC4" s="50" t="s">
        <v>3621</v>
      </c>
      <c r="BD4" s="50" t="s">
        <v>3621</v>
      </c>
      <c r="BE4" s="50" t="s">
        <v>3621</v>
      </c>
      <c r="BF4" s="50" t="s">
        <v>3621</v>
      </c>
      <c r="BG4" s="50" t="s">
        <v>3621</v>
      </c>
      <c r="BH4" s="50" t="s">
        <v>3621</v>
      </c>
      <c r="BI4" s="50" t="s">
        <v>3621</v>
      </c>
      <c r="BJ4" s="50" t="s">
        <v>3621</v>
      </c>
      <c r="BK4" s="50" t="s">
        <v>3621</v>
      </c>
      <c r="BL4" s="50" t="s">
        <v>3621</v>
      </c>
      <c r="BM4" s="50" t="s">
        <v>3621</v>
      </c>
      <c r="BN4" s="50" t="s">
        <v>3621</v>
      </c>
      <c r="BO4" s="50" t="s">
        <v>3621</v>
      </c>
      <c r="BP4" s="50" t="s">
        <v>3621</v>
      </c>
      <c r="BQ4" s="50" t="s">
        <v>3621</v>
      </c>
    </row>
    <row r="5" spans="2:69">
      <c r="B5" s="50" t="s">
        <v>3571</v>
      </c>
      <c r="C5" s="50">
        <v>3</v>
      </c>
      <c r="D5" s="50" t="s">
        <v>4605</v>
      </c>
      <c r="E5" s="111">
        <v>45534</v>
      </c>
      <c r="F5" s="50">
        <v>1</v>
      </c>
      <c r="G5" s="279">
        <v>1</v>
      </c>
      <c r="H5" s="114"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t="s">
        <v>3621</v>
      </c>
      <c r="BB5" s="50" t="s">
        <v>3621</v>
      </c>
      <c r="BC5" s="50" t="s">
        <v>3621</v>
      </c>
      <c r="BD5" s="50" t="s">
        <v>3621</v>
      </c>
      <c r="BE5" s="50" t="s">
        <v>3621</v>
      </c>
      <c r="BF5" s="50" t="s">
        <v>3621</v>
      </c>
      <c r="BG5" s="50" t="s">
        <v>3621</v>
      </c>
      <c r="BH5" s="50" t="s">
        <v>3621</v>
      </c>
      <c r="BI5" s="50" t="s">
        <v>3621</v>
      </c>
      <c r="BJ5" s="50" t="s">
        <v>3621</v>
      </c>
      <c r="BK5" s="50" t="s">
        <v>3621</v>
      </c>
      <c r="BL5" s="50" t="s">
        <v>3621</v>
      </c>
      <c r="BM5" s="50" t="s">
        <v>3621</v>
      </c>
      <c r="BN5" s="50" t="s">
        <v>3621</v>
      </c>
      <c r="BO5" s="50" t="s">
        <v>3621</v>
      </c>
      <c r="BP5" s="50">
        <v>0</v>
      </c>
      <c r="BQ5" s="50" t="s">
        <v>3621</v>
      </c>
    </row>
    <row r="6" spans="2:69">
      <c r="B6" s="113" t="s">
        <v>3573</v>
      </c>
      <c r="C6" s="50">
        <v>4</v>
      </c>
      <c r="D6" s="50" t="s">
        <v>3624</v>
      </c>
      <c r="E6" s="111" t="s">
        <v>3621</v>
      </c>
      <c r="F6" s="50">
        <v>1</v>
      </c>
      <c r="G6" s="111" t="s">
        <v>3621</v>
      </c>
      <c r="H6" s="114"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c r="BC6" s="50" t="s">
        <v>3621</v>
      </c>
      <c r="BD6" s="50" t="s">
        <v>3621</v>
      </c>
      <c r="BE6" s="50" t="s">
        <v>3621</v>
      </c>
      <c r="BF6" s="50" t="s">
        <v>3621</v>
      </c>
      <c r="BG6" s="50" t="s">
        <v>3621</v>
      </c>
      <c r="BH6" s="50" t="s">
        <v>3621</v>
      </c>
      <c r="BI6" s="50" t="s">
        <v>3621</v>
      </c>
      <c r="BJ6" s="50" t="s">
        <v>3621</v>
      </c>
      <c r="BK6" s="50" t="s">
        <v>3621</v>
      </c>
      <c r="BL6" s="50" t="s">
        <v>3621</v>
      </c>
      <c r="BM6" s="50" t="s">
        <v>3621</v>
      </c>
      <c r="BN6" s="50" t="s">
        <v>3621</v>
      </c>
      <c r="BO6" s="50" t="s">
        <v>3621</v>
      </c>
      <c r="BP6" s="50" t="s">
        <v>3621</v>
      </c>
      <c r="BQ6" s="50" t="s">
        <v>3621</v>
      </c>
    </row>
    <row r="7" spans="2:69">
      <c r="B7" s="50" t="s">
        <v>3575</v>
      </c>
      <c r="C7" s="50">
        <v>5</v>
      </c>
      <c r="D7" s="50" t="s">
        <v>3624</v>
      </c>
      <c r="E7" s="111" t="s">
        <v>3621</v>
      </c>
      <c r="F7" s="50">
        <v>1</v>
      </c>
      <c r="G7" s="111" t="s">
        <v>3621</v>
      </c>
      <c r="H7" s="114"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c r="BC7" s="50" t="s">
        <v>3621</v>
      </c>
      <c r="BD7" s="50" t="s">
        <v>3621</v>
      </c>
      <c r="BE7" s="50" t="s">
        <v>3621</v>
      </c>
      <c r="BF7" s="50" t="s">
        <v>3621</v>
      </c>
      <c r="BG7" s="50" t="s">
        <v>3621</v>
      </c>
      <c r="BH7" s="50" t="s">
        <v>3621</v>
      </c>
      <c r="BI7" s="50" t="s">
        <v>3621</v>
      </c>
      <c r="BJ7" s="50" t="s">
        <v>3621</v>
      </c>
      <c r="BK7" s="50" t="s">
        <v>3621</v>
      </c>
      <c r="BL7" s="50" t="s">
        <v>3621</v>
      </c>
      <c r="BM7" s="50" t="s">
        <v>3621</v>
      </c>
      <c r="BN7" s="50" t="s">
        <v>3621</v>
      </c>
      <c r="BO7" s="50" t="s">
        <v>3621</v>
      </c>
      <c r="BP7" s="50" t="s">
        <v>3621</v>
      </c>
      <c r="BQ7" s="50" t="s">
        <v>3621</v>
      </c>
    </row>
    <row r="8" spans="2:69">
      <c r="B8" s="113" t="s">
        <v>3576</v>
      </c>
      <c r="C8" s="50">
        <v>6</v>
      </c>
      <c r="D8" s="50" t="s">
        <v>4606</v>
      </c>
      <c r="E8" s="111">
        <v>45534</v>
      </c>
      <c r="F8" s="50">
        <v>1</v>
      </c>
      <c r="G8" s="225" cm="1">
        <f t="array" ref="G8">SUMPRODUCT(--(I8:BQ8&gt;0))/COUNTA(I8:BQ8)</f>
        <v>1</v>
      </c>
      <c r="H8" s="114" t="s">
        <v>3630</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3579</v>
      </c>
      <c r="C9" s="50">
        <v>7</v>
      </c>
      <c r="D9" s="50" t="s">
        <v>4607</v>
      </c>
      <c r="E9" s="111">
        <v>45534</v>
      </c>
      <c r="F9" s="50">
        <v>1</v>
      </c>
      <c r="G9" s="225" cm="1">
        <f t="array" aca="1" ref="G9" ca="1">SUMPRODUCT(--(I9:BQ9 &lt;= I28:BQ28))/COUNTA(I28:BQ28)</f>
        <v>0.98360655737704916</v>
      </c>
      <c r="H9" s="114" t="s">
        <v>3630</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3582</v>
      </c>
      <c r="C10" s="50">
        <v>8</v>
      </c>
      <c r="D10" s="50" t="s">
        <v>4608</v>
      </c>
      <c r="E10" s="111">
        <v>45534</v>
      </c>
      <c r="F10" s="50">
        <v>1</v>
      </c>
      <c r="G10" s="111" t="s">
        <v>3621</v>
      </c>
      <c r="H10" s="114" t="s">
        <v>3630</v>
      </c>
      <c r="I10" s="50">
        <v>90</v>
      </c>
      <c r="J10" s="50">
        <v>2.5690004500003999E+18</v>
      </c>
      <c r="K10" s="50" t="s">
        <v>4609</v>
      </c>
      <c r="L10" s="50">
        <v>0</v>
      </c>
      <c r="M10" s="50">
        <v>3</v>
      </c>
      <c r="N10" s="111">
        <v>31</v>
      </c>
      <c r="O10" s="50">
        <v>2.569E+18</v>
      </c>
      <c r="P10" s="50" t="s">
        <v>4610</v>
      </c>
      <c r="Q10" s="50">
        <v>0</v>
      </c>
      <c r="R10" s="50">
        <v>0</v>
      </c>
      <c r="S10" s="50">
        <v>0</v>
      </c>
      <c r="T10" s="50">
        <v>0</v>
      </c>
      <c r="U10" s="111">
        <v>33756</v>
      </c>
      <c r="V10" s="111">
        <v>34669</v>
      </c>
      <c r="W10" s="50">
        <v>978</v>
      </c>
      <c r="X10" s="50">
        <v>0</v>
      </c>
      <c r="Y10" s="50">
        <v>0</v>
      </c>
      <c r="Z10" s="50" t="s">
        <v>3630</v>
      </c>
      <c r="AA10" s="50" t="s">
        <v>3630</v>
      </c>
      <c r="AB10" s="50" t="s">
        <v>3630</v>
      </c>
      <c r="AC10" s="50" t="s">
        <v>3630</v>
      </c>
      <c r="AD10" s="198" t="s">
        <v>4611</v>
      </c>
      <c r="AE10" s="50" t="s">
        <v>3630</v>
      </c>
      <c r="AF10" s="50" t="s">
        <v>3630</v>
      </c>
      <c r="AG10" s="50" t="s">
        <v>3630</v>
      </c>
      <c r="AH10" s="50" t="s">
        <v>3630</v>
      </c>
      <c r="AI10" s="50" t="s">
        <v>3630</v>
      </c>
      <c r="AJ10" s="50" t="s">
        <v>3630</v>
      </c>
      <c r="AK10" s="50" t="s">
        <v>4612</v>
      </c>
      <c r="AL10" s="50" t="s">
        <v>3630</v>
      </c>
      <c r="AM10" s="114">
        <v>-2480000</v>
      </c>
      <c r="AN10" s="50" t="s">
        <v>3630</v>
      </c>
      <c r="AO10" s="111">
        <v>45535</v>
      </c>
      <c r="AP10" s="50" t="s">
        <v>3630</v>
      </c>
      <c r="AQ10" s="111">
        <v>34684</v>
      </c>
      <c r="AR10" s="50" t="s">
        <v>3630</v>
      </c>
      <c r="AS10" s="50" t="s">
        <v>3630</v>
      </c>
      <c r="AT10" s="50" t="s">
        <v>3630</v>
      </c>
      <c r="AU10" s="50" t="s">
        <v>3630</v>
      </c>
      <c r="AV10" s="111">
        <v>37553</v>
      </c>
      <c r="AW10" s="50" t="s">
        <v>3793</v>
      </c>
      <c r="AX10" s="50" t="s">
        <v>3630</v>
      </c>
      <c r="AY10" s="50" t="s">
        <v>3630</v>
      </c>
      <c r="AZ10" s="111">
        <v>36708</v>
      </c>
      <c r="BA10" s="50" t="s">
        <v>3630</v>
      </c>
      <c r="BB10" s="50">
        <v>0</v>
      </c>
      <c r="BC10" s="50" t="s">
        <v>4613</v>
      </c>
      <c r="BD10" s="50" t="s">
        <v>4614</v>
      </c>
      <c r="BE10" s="50" t="s">
        <v>3630</v>
      </c>
      <c r="BF10" s="50" t="s">
        <v>3630</v>
      </c>
      <c r="BG10" s="50" t="s">
        <v>3630</v>
      </c>
      <c r="BH10" s="50" t="s">
        <v>4613</v>
      </c>
      <c r="BI10" s="50" t="s">
        <v>4614</v>
      </c>
      <c r="BJ10" s="50" t="s">
        <v>3630</v>
      </c>
      <c r="BK10" s="50" t="s">
        <v>3630</v>
      </c>
      <c r="BL10" s="50" t="s">
        <v>3630</v>
      </c>
      <c r="BM10" s="50" t="s">
        <v>3631</v>
      </c>
      <c r="BN10" s="50" t="s">
        <v>4268</v>
      </c>
      <c r="BO10" s="50" t="s">
        <v>4615</v>
      </c>
      <c r="BP10" s="111">
        <v>45534</v>
      </c>
      <c r="BQ10" s="50" t="s">
        <v>4616</v>
      </c>
    </row>
    <row r="11" spans="2:69">
      <c r="B11" s="50" t="s">
        <v>3584</v>
      </c>
      <c r="C11" s="50">
        <v>9</v>
      </c>
      <c r="D11" s="50" t="s">
        <v>4617</v>
      </c>
      <c r="E11" s="111">
        <v>45534</v>
      </c>
      <c r="F11" s="50">
        <v>1</v>
      </c>
      <c r="G11" s="111" t="s">
        <v>3621</v>
      </c>
      <c r="H11" s="114" t="s">
        <v>3630</v>
      </c>
      <c r="I11" s="50">
        <v>90</v>
      </c>
      <c r="J11" s="50">
        <v>2.5690004500003999E+18</v>
      </c>
      <c r="K11" s="50"/>
      <c r="L11" s="50">
        <v>0</v>
      </c>
      <c r="M11" s="50">
        <v>3</v>
      </c>
      <c r="N11" s="111"/>
      <c r="O11" s="113">
        <v>2.569E+18</v>
      </c>
      <c r="P11" s="50" t="s">
        <v>4610</v>
      </c>
      <c r="Q11" s="50">
        <v>0</v>
      </c>
      <c r="R11" s="50">
        <v>0</v>
      </c>
      <c r="S11" s="50">
        <v>0</v>
      </c>
      <c r="T11" s="50">
        <v>0</v>
      </c>
      <c r="U11" s="50">
        <v>19920601</v>
      </c>
      <c r="V11" s="50">
        <v>19941201</v>
      </c>
      <c r="W11" s="50">
        <v>978</v>
      </c>
      <c r="X11" s="50">
        <v>0</v>
      </c>
      <c r="Y11" s="50">
        <v>0</v>
      </c>
      <c r="Z11" s="50" t="s">
        <v>3706</v>
      </c>
      <c r="AA11" s="50" t="s">
        <v>3706</v>
      </c>
      <c r="AB11" s="50" t="s">
        <v>3706</v>
      </c>
      <c r="AC11" s="50" t="s">
        <v>3706</v>
      </c>
      <c r="AD11" s="50" t="s">
        <v>4618</v>
      </c>
      <c r="AE11" s="50" t="s">
        <v>3706</v>
      </c>
      <c r="AF11" s="50" t="s">
        <v>3706</v>
      </c>
      <c r="AG11" s="50" t="s">
        <v>3706</v>
      </c>
      <c r="AH11" s="50" t="s">
        <v>3706</v>
      </c>
      <c r="AI11" s="50" t="s">
        <v>3706</v>
      </c>
      <c r="AJ11" s="50" t="s">
        <v>3706</v>
      </c>
      <c r="AK11" s="50" t="s">
        <v>4619</v>
      </c>
      <c r="AL11" s="50" t="s">
        <v>3706</v>
      </c>
      <c r="AM11" s="50" t="s">
        <v>4620</v>
      </c>
      <c r="AN11" s="50" t="s">
        <v>3706</v>
      </c>
      <c r="AO11" s="50">
        <v>20240831</v>
      </c>
      <c r="AP11" s="50" t="s">
        <v>3706</v>
      </c>
      <c r="AQ11" s="50">
        <v>19941216</v>
      </c>
      <c r="AR11" s="50" t="s">
        <v>3706</v>
      </c>
      <c r="AS11" s="50" t="s">
        <v>3706</v>
      </c>
      <c r="AT11" s="50" t="s">
        <v>3706</v>
      </c>
      <c r="AU11" s="50" t="s">
        <v>3706</v>
      </c>
      <c r="AV11" s="50">
        <v>20011120</v>
      </c>
      <c r="AW11" s="50" t="s">
        <v>3798</v>
      </c>
      <c r="AX11" s="50" t="s">
        <v>3706</v>
      </c>
      <c r="AY11" s="50" t="s">
        <v>3706</v>
      </c>
      <c r="AZ11" s="50">
        <v>20000515</v>
      </c>
      <c r="BA11" s="50" t="s">
        <v>3706</v>
      </c>
      <c r="BB11" s="50">
        <v>0</v>
      </c>
      <c r="BC11" s="50" t="s">
        <v>4613</v>
      </c>
      <c r="BD11" s="50" t="s">
        <v>4614</v>
      </c>
      <c r="BE11" s="50" t="s">
        <v>4621</v>
      </c>
      <c r="BF11" s="50" t="s">
        <v>4621</v>
      </c>
      <c r="BG11" s="50" t="s">
        <v>4621</v>
      </c>
      <c r="BH11" s="50" t="s">
        <v>4613</v>
      </c>
      <c r="BI11" s="50" t="s">
        <v>4614</v>
      </c>
      <c r="BJ11" s="50" t="s">
        <v>4621</v>
      </c>
      <c r="BK11" s="50" t="s">
        <v>4621</v>
      </c>
      <c r="BL11" s="50" t="s">
        <v>4621</v>
      </c>
      <c r="BM11" s="50">
        <v>1</v>
      </c>
      <c r="BN11" s="50" t="s">
        <v>4622</v>
      </c>
      <c r="BO11" s="50" t="s">
        <v>4615</v>
      </c>
      <c r="BP11" s="111">
        <v>45534</v>
      </c>
      <c r="BQ11" s="50" t="s">
        <v>4623</v>
      </c>
    </row>
    <row r="12" spans="2:69">
      <c r="B12" s="113" t="s">
        <v>3586</v>
      </c>
      <c r="C12" s="50">
        <v>10</v>
      </c>
      <c r="D12" s="50" t="s">
        <v>4624</v>
      </c>
      <c r="E12" s="111">
        <v>45534</v>
      </c>
      <c r="F12" s="50">
        <v>1</v>
      </c>
      <c r="G12" s="111" t="s">
        <v>3621</v>
      </c>
      <c r="H12" s="114" t="s">
        <v>3630</v>
      </c>
      <c r="I12" s="50">
        <v>90</v>
      </c>
      <c r="J12" s="50">
        <v>2.3020041000509998E+22</v>
      </c>
      <c r="K12" s="50" t="s">
        <v>4609</v>
      </c>
      <c r="L12" s="50">
        <v>0</v>
      </c>
      <c r="M12" s="50" t="s">
        <v>4625</v>
      </c>
      <c r="N12" s="111">
        <v>31</v>
      </c>
      <c r="O12" s="50">
        <v>2.3020041E+22</v>
      </c>
      <c r="P12" s="50" t="s">
        <v>4626</v>
      </c>
      <c r="Q12" s="50">
        <v>9.9999999740799995E+20</v>
      </c>
      <c r="R12" s="50">
        <v>9999</v>
      </c>
      <c r="S12" s="50">
        <v>9999</v>
      </c>
      <c r="T12" s="50">
        <v>99999999999999</v>
      </c>
      <c r="U12" s="111">
        <v>45519</v>
      </c>
      <c r="V12" s="111">
        <v>54056</v>
      </c>
      <c r="W12" s="50">
        <v>978</v>
      </c>
      <c r="X12" s="50">
        <v>1</v>
      </c>
      <c r="Y12" s="50">
        <v>281</v>
      </c>
      <c r="Z12" s="198" t="s">
        <v>4627</v>
      </c>
      <c r="AA12" s="198" t="s">
        <v>4627</v>
      </c>
      <c r="AB12" s="198" t="s">
        <v>4627</v>
      </c>
      <c r="AC12" s="198" t="s">
        <v>4627</v>
      </c>
      <c r="AD12" s="198" t="s">
        <v>4628</v>
      </c>
      <c r="AE12" s="198" t="s">
        <v>4629</v>
      </c>
      <c r="AF12" s="198" t="s">
        <v>4630</v>
      </c>
      <c r="AG12" s="198" t="s">
        <v>4631</v>
      </c>
      <c r="AH12" s="198" t="s">
        <v>4632</v>
      </c>
      <c r="AI12" s="198" t="s">
        <v>4633</v>
      </c>
      <c r="AJ12" s="198" t="s">
        <v>4634</v>
      </c>
      <c r="AK12" s="198" t="s">
        <v>4635</v>
      </c>
      <c r="AL12" s="198" t="s">
        <v>4636</v>
      </c>
      <c r="AM12" s="198" t="s">
        <v>4637</v>
      </c>
      <c r="AN12" s="198" t="s">
        <v>4638</v>
      </c>
      <c r="AO12" s="111">
        <v>45898</v>
      </c>
      <c r="AP12" s="198" t="s">
        <v>4639</v>
      </c>
      <c r="AQ12" s="111">
        <v>45534</v>
      </c>
      <c r="AR12" s="198" t="s">
        <v>4640</v>
      </c>
      <c r="AS12" s="198" t="s">
        <v>4641</v>
      </c>
      <c r="AT12" s="198" t="s">
        <v>4642</v>
      </c>
      <c r="AU12" s="198" t="s">
        <v>4643</v>
      </c>
      <c r="AV12" s="111">
        <v>45533</v>
      </c>
      <c r="AW12" s="198" t="s">
        <v>4644</v>
      </c>
      <c r="AX12" s="198" t="s">
        <v>4645</v>
      </c>
      <c r="AY12" s="198" t="s">
        <v>4646</v>
      </c>
      <c r="AZ12" s="111">
        <v>45534</v>
      </c>
      <c r="BA12" s="198" t="s">
        <v>4647</v>
      </c>
      <c r="BB12" s="50">
        <v>281</v>
      </c>
      <c r="BC12" s="50" t="s">
        <v>4648</v>
      </c>
      <c r="BD12" s="50" t="s">
        <v>4649</v>
      </c>
      <c r="BE12" s="198" t="s">
        <v>4650</v>
      </c>
      <c r="BF12" s="198" t="s">
        <v>4651</v>
      </c>
      <c r="BG12" s="198" t="s">
        <v>4652</v>
      </c>
      <c r="BH12" s="50" t="s">
        <v>4648</v>
      </c>
      <c r="BI12" s="50" t="s">
        <v>4649</v>
      </c>
      <c r="BJ12" s="198" t="s">
        <v>4653</v>
      </c>
      <c r="BK12" s="198" t="s">
        <v>4654</v>
      </c>
      <c r="BL12" s="198" t="s">
        <v>4652</v>
      </c>
      <c r="BM12" s="50" t="s">
        <v>3640</v>
      </c>
      <c r="BN12" s="50" t="s">
        <v>3806</v>
      </c>
      <c r="BO12" s="50" t="s">
        <v>4615</v>
      </c>
      <c r="BP12" s="111">
        <v>45534</v>
      </c>
      <c r="BQ12" s="50" t="s">
        <v>4616</v>
      </c>
    </row>
    <row r="13" spans="2:69">
      <c r="B13" s="50" t="s">
        <v>3588</v>
      </c>
      <c r="C13" s="50">
        <v>11</v>
      </c>
      <c r="D13" s="50" t="s">
        <v>4655</v>
      </c>
      <c r="E13" s="111">
        <v>45534</v>
      </c>
      <c r="F13" s="50">
        <v>1</v>
      </c>
      <c r="G13" s="111" t="s">
        <v>3621</v>
      </c>
      <c r="H13" s="114" t="s">
        <v>3630</v>
      </c>
      <c r="I13" s="50">
        <v>90</v>
      </c>
      <c r="J13" s="50">
        <v>2.3020041000509998E+22</v>
      </c>
      <c r="K13" s="50"/>
      <c r="L13" s="50">
        <v>0</v>
      </c>
      <c r="M13" s="50" t="s">
        <v>4625</v>
      </c>
      <c r="N13" s="111"/>
      <c r="O13" s="50">
        <v>2.3020041E+22</v>
      </c>
      <c r="P13" s="50" t="s">
        <v>4626</v>
      </c>
      <c r="Q13" s="50">
        <v>9.9999999740799995E+20</v>
      </c>
      <c r="R13" s="50">
        <v>9999</v>
      </c>
      <c r="S13" s="50">
        <v>9999</v>
      </c>
      <c r="T13" s="50">
        <v>99999999999999</v>
      </c>
      <c r="U13" s="50">
        <v>20240815</v>
      </c>
      <c r="V13" s="50">
        <v>20471230</v>
      </c>
      <c r="W13" s="50">
        <v>978</v>
      </c>
      <c r="X13" s="50">
        <v>1</v>
      </c>
      <c r="Y13" s="50">
        <v>281</v>
      </c>
      <c r="Z13" s="50" t="s">
        <v>4656</v>
      </c>
      <c r="AA13" s="50" t="s">
        <v>4656</v>
      </c>
      <c r="AB13" s="50" t="s">
        <v>4656</v>
      </c>
      <c r="AC13" s="50" t="s">
        <v>4656</v>
      </c>
      <c r="AD13" s="50" t="s">
        <v>4657</v>
      </c>
      <c r="AE13" s="50" t="s">
        <v>4658</v>
      </c>
      <c r="AF13" s="50" t="s">
        <v>4659</v>
      </c>
      <c r="AG13" s="50" t="s">
        <v>4660</v>
      </c>
      <c r="AH13" s="50" t="s">
        <v>4661</v>
      </c>
      <c r="AI13" s="50" t="s">
        <v>4662</v>
      </c>
      <c r="AJ13" s="50" t="s">
        <v>4663</v>
      </c>
      <c r="AK13" s="50" t="s">
        <v>4664</v>
      </c>
      <c r="AL13" s="50" t="s">
        <v>4665</v>
      </c>
      <c r="AM13" s="50" t="s">
        <v>4666</v>
      </c>
      <c r="AN13" s="50" t="s">
        <v>4667</v>
      </c>
      <c r="AO13" s="50">
        <v>20250829</v>
      </c>
      <c r="AP13" s="50" t="s">
        <v>4668</v>
      </c>
      <c r="AQ13" s="50">
        <v>20240830</v>
      </c>
      <c r="AR13" s="50" t="s">
        <v>4669</v>
      </c>
      <c r="AS13" s="50" t="s">
        <v>4670</v>
      </c>
      <c r="AT13" s="50" t="s">
        <v>4671</v>
      </c>
      <c r="AU13" s="50" t="s">
        <v>4672</v>
      </c>
      <c r="AV13" s="50">
        <v>20240829</v>
      </c>
      <c r="AW13" s="50" t="s">
        <v>4673</v>
      </c>
      <c r="AX13" s="50" t="s">
        <v>4674</v>
      </c>
      <c r="AY13" s="50" t="s">
        <v>4675</v>
      </c>
      <c r="AZ13" s="50">
        <v>20240830</v>
      </c>
      <c r="BA13" s="50" t="s">
        <v>4676</v>
      </c>
      <c r="BB13" s="50">
        <v>281</v>
      </c>
      <c r="BC13" s="50" t="s">
        <v>4648</v>
      </c>
      <c r="BD13" s="50" t="s">
        <v>4649</v>
      </c>
      <c r="BE13" s="198" t="s">
        <v>4677</v>
      </c>
      <c r="BF13" s="198" t="s">
        <v>4678</v>
      </c>
      <c r="BG13" s="198" t="s">
        <v>4679</v>
      </c>
      <c r="BH13" s="50" t="s">
        <v>4648</v>
      </c>
      <c r="BI13" s="50" t="s">
        <v>4649</v>
      </c>
      <c r="BJ13" s="198" t="s">
        <v>4680</v>
      </c>
      <c r="BK13" s="198" t="s">
        <v>4681</v>
      </c>
      <c r="BL13" s="198" t="s">
        <v>4679</v>
      </c>
      <c r="BM13" s="50">
        <v>5</v>
      </c>
      <c r="BN13" s="50" t="s">
        <v>4682</v>
      </c>
      <c r="BO13" s="50" t="s">
        <v>4615</v>
      </c>
      <c r="BP13" s="111">
        <v>45534</v>
      </c>
      <c r="BQ13" s="50" t="s">
        <v>4683</v>
      </c>
    </row>
    <row r="14" spans="2:69">
      <c r="B14" s="50" t="s">
        <v>3590</v>
      </c>
      <c r="C14" s="50">
        <v>12</v>
      </c>
      <c r="D14" s="50" t="s">
        <v>4684</v>
      </c>
      <c r="E14" s="111">
        <v>45534</v>
      </c>
      <c r="F14" s="50">
        <v>1</v>
      </c>
      <c r="G14" s="279" t="s">
        <v>4685</v>
      </c>
      <c r="H14" s="114" t="s">
        <v>3630</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3592</v>
      </c>
      <c r="C15" s="50">
        <v>13</v>
      </c>
      <c r="D15" s="50" t="s">
        <v>4686</v>
      </c>
      <c r="E15" s="111">
        <v>45534</v>
      </c>
      <c r="F15" s="50">
        <v>1</v>
      </c>
      <c r="G15" s="279">
        <v>1</v>
      </c>
      <c r="H15" s="114" t="s">
        <v>3630</v>
      </c>
      <c r="I15" s="50" t="s">
        <v>3621</v>
      </c>
      <c r="J15" s="50" t="s">
        <v>3621</v>
      </c>
      <c r="K15" s="50" t="s">
        <v>3621</v>
      </c>
      <c r="L15" s="50" t="s">
        <v>3621</v>
      </c>
      <c r="M15" s="50" t="s">
        <v>3621</v>
      </c>
      <c r="N15" s="111" t="s">
        <v>3621</v>
      </c>
      <c r="O15" s="111" t="s">
        <v>3621</v>
      </c>
      <c r="P15" s="50" t="s">
        <v>3621</v>
      </c>
      <c r="Q15" s="50" t="s">
        <v>3621</v>
      </c>
      <c r="R15" s="50" t="s">
        <v>3621</v>
      </c>
      <c r="S15" s="50" t="s">
        <v>3621</v>
      </c>
      <c r="T15" s="50" t="s">
        <v>3621</v>
      </c>
      <c r="U15" s="50">
        <v>0</v>
      </c>
      <c r="V15" s="50">
        <v>0</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c r="AO15" s="50">
        <v>0</v>
      </c>
      <c r="AP15" s="50" t="s">
        <v>3621</v>
      </c>
      <c r="AQ15" s="50">
        <v>0</v>
      </c>
      <c r="AR15" s="50" t="s">
        <v>3621</v>
      </c>
      <c r="AS15" s="50" t="s">
        <v>3621</v>
      </c>
      <c r="AT15" s="50" t="s">
        <v>3621</v>
      </c>
      <c r="AU15" s="50" t="s">
        <v>3621</v>
      </c>
      <c r="AV15" s="50">
        <v>0</v>
      </c>
      <c r="AW15" s="50" t="s">
        <v>3621</v>
      </c>
      <c r="AX15" s="50" t="s">
        <v>3621</v>
      </c>
      <c r="AY15" s="50" t="s">
        <v>3621</v>
      </c>
      <c r="AZ15" s="50">
        <v>0</v>
      </c>
      <c r="BA15" s="50" t="s">
        <v>3621</v>
      </c>
      <c r="BB15" s="50" t="s">
        <v>3621</v>
      </c>
      <c r="BC15" s="50" t="s">
        <v>3621</v>
      </c>
      <c r="BD15" s="50" t="s">
        <v>3621</v>
      </c>
      <c r="BE15" s="50" t="s">
        <v>3621</v>
      </c>
      <c r="BF15" s="50" t="s">
        <v>3621</v>
      </c>
      <c r="BG15" s="50" t="s">
        <v>3621</v>
      </c>
      <c r="BH15" s="50" t="s">
        <v>3621</v>
      </c>
      <c r="BI15" s="50" t="s">
        <v>3621</v>
      </c>
      <c r="BJ15" s="50" t="s">
        <v>3621</v>
      </c>
      <c r="BK15" s="50" t="s">
        <v>3621</v>
      </c>
      <c r="BL15" s="50" t="s">
        <v>3621</v>
      </c>
      <c r="BM15" s="50" t="s">
        <v>3621</v>
      </c>
      <c r="BN15" s="50" t="s">
        <v>3621</v>
      </c>
      <c r="BO15" s="50" t="s">
        <v>3621</v>
      </c>
      <c r="BP15" s="50" t="s">
        <v>3621</v>
      </c>
      <c r="BQ15" s="50" t="s">
        <v>3621</v>
      </c>
    </row>
    <row r="16" spans="2:69">
      <c r="B16" s="50" t="s">
        <v>3594</v>
      </c>
      <c r="C16" s="50">
        <v>14</v>
      </c>
      <c r="D16" s="50" t="s">
        <v>4687</v>
      </c>
      <c r="E16" s="111">
        <v>45534</v>
      </c>
      <c r="F16" s="50">
        <v>1</v>
      </c>
      <c r="G16" s="279">
        <v>1</v>
      </c>
      <c r="H16" s="114" t="s">
        <v>3630</v>
      </c>
      <c r="I16" s="50">
        <v>0</v>
      </c>
      <c r="J16" s="50">
        <v>0</v>
      </c>
      <c r="K16" s="50">
        <v>0</v>
      </c>
      <c r="L16" s="50" t="s">
        <v>3621</v>
      </c>
      <c r="M16" s="50">
        <v>0</v>
      </c>
      <c r="N16" s="50">
        <v>0</v>
      </c>
      <c r="O16" s="50">
        <v>0</v>
      </c>
      <c r="P16" s="50" t="s">
        <v>3621</v>
      </c>
      <c r="Q16" s="50" t="s">
        <v>3621</v>
      </c>
      <c r="R16" s="50">
        <v>0</v>
      </c>
      <c r="S16" s="50">
        <v>0</v>
      </c>
      <c r="T16" s="50" t="s">
        <v>3621</v>
      </c>
      <c r="U16" s="50" t="s">
        <v>3621</v>
      </c>
      <c r="V16" s="50" t="s">
        <v>3621</v>
      </c>
      <c r="W16" s="50">
        <v>0</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t="s">
        <v>3621</v>
      </c>
      <c r="AN16" s="50" t="s">
        <v>3621</v>
      </c>
      <c r="AO16" s="50" t="s">
        <v>3621</v>
      </c>
      <c r="AP16" s="50" t="s">
        <v>3621</v>
      </c>
      <c r="AQ16" s="50" t="s">
        <v>3621</v>
      </c>
      <c r="AR16" s="50" t="s">
        <v>3621</v>
      </c>
      <c r="AS16" s="50" t="s">
        <v>3621</v>
      </c>
      <c r="AT16" s="50" t="s">
        <v>3621</v>
      </c>
      <c r="AU16" s="50" t="s">
        <v>3621</v>
      </c>
      <c r="AV16" s="50" t="s">
        <v>3621</v>
      </c>
      <c r="AW16" s="50" t="s">
        <v>3621</v>
      </c>
      <c r="AX16" s="50" t="s">
        <v>3621</v>
      </c>
      <c r="AY16" s="50" t="s">
        <v>3621</v>
      </c>
      <c r="AZ16" s="50" t="s">
        <v>3621</v>
      </c>
      <c r="BA16" s="50" t="s">
        <v>3621</v>
      </c>
      <c r="BB16" s="50" t="s">
        <v>3621</v>
      </c>
      <c r="BC16" s="50" t="s">
        <v>3621</v>
      </c>
      <c r="BD16" s="50" t="s">
        <v>3621</v>
      </c>
      <c r="BE16" s="50" t="s">
        <v>3621</v>
      </c>
      <c r="BF16" s="50" t="s">
        <v>3621</v>
      </c>
      <c r="BG16" s="50" t="s">
        <v>3621</v>
      </c>
      <c r="BH16" s="50">
        <v>0</v>
      </c>
      <c r="BI16" s="50" t="s">
        <v>3621</v>
      </c>
      <c r="BJ16" s="50" t="s">
        <v>3621</v>
      </c>
      <c r="BK16" s="50" t="s">
        <v>3621</v>
      </c>
      <c r="BL16" s="50" t="s">
        <v>3621</v>
      </c>
      <c r="BM16" s="50">
        <v>0</v>
      </c>
      <c r="BN16" s="50">
        <v>0</v>
      </c>
      <c r="BO16" s="50">
        <v>0</v>
      </c>
      <c r="BP16" s="50" t="s">
        <v>3621</v>
      </c>
      <c r="BQ16" s="50" t="s">
        <v>3621</v>
      </c>
    </row>
    <row r="17" spans="2:69">
      <c r="B17" s="50" t="s">
        <v>3596</v>
      </c>
      <c r="C17" s="50">
        <v>15</v>
      </c>
      <c r="D17" s="50" t="s">
        <v>4688</v>
      </c>
      <c r="E17" s="111">
        <v>45534</v>
      </c>
      <c r="F17" s="50">
        <v>1</v>
      </c>
      <c r="G17" s="279">
        <v>1</v>
      </c>
      <c r="H17" s="114" t="s">
        <v>3630</v>
      </c>
      <c r="I17" s="50" t="s">
        <v>3621</v>
      </c>
      <c r="J17" s="50" t="s">
        <v>3621</v>
      </c>
      <c r="K17" s="50" t="s">
        <v>3621</v>
      </c>
      <c r="L17" s="50" t="s">
        <v>3621</v>
      </c>
      <c r="M17" s="50" t="s">
        <v>3621</v>
      </c>
      <c r="N17" s="113" t="s">
        <v>3621</v>
      </c>
      <c r="O17" s="113"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c r="BC17" s="50" t="s">
        <v>3621</v>
      </c>
      <c r="BD17" s="50" t="s">
        <v>3621</v>
      </c>
      <c r="BE17" s="50" t="s">
        <v>3621</v>
      </c>
      <c r="BF17" s="50" t="s">
        <v>3621</v>
      </c>
      <c r="BG17" s="50" t="s">
        <v>3621</v>
      </c>
      <c r="BH17" s="50" t="s">
        <v>3621</v>
      </c>
      <c r="BI17" s="50" t="s">
        <v>3621</v>
      </c>
      <c r="BJ17" s="50" t="s">
        <v>3621</v>
      </c>
      <c r="BK17" s="50" t="s">
        <v>3621</v>
      </c>
      <c r="BL17" s="50" t="s">
        <v>3621</v>
      </c>
      <c r="BM17" s="50" t="s">
        <v>3621</v>
      </c>
      <c r="BN17" s="50" t="s">
        <v>3621</v>
      </c>
      <c r="BO17" s="50" t="s">
        <v>3621</v>
      </c>
      <c r="BP17" s="50" t="s">
        <v>3621</v>
      </c>
      <c r="BQ17" s="50" t="s">
        <v>3621</v>
      </c>
    </row>
    <row r="18" spans="2:69">
      <c r="B18" s="50" t="s">
        <v>3598</v>
      </c>
      <c r="C18" s="50">
        <v>16</v>
      </c>
      <c r="D18" s="50" t="s">
        <v>4688</v>
      </c>
      <c r="E18" s="111">
        <v>45534</v>
      </c>
      <c r="F18" s="50">
        <v>1</v>
      </c>
      <c r="G18" s="279">
        <v>1</v>
      </c>
      <c r="H18" s="114" t="s">
        <v>3630</v>
      </c>
      <c r="I18" s="50" t="s">
        <v>3621</v>
      </c>
      <c r="J18" s="50" t="s">
        <v>3621</v>
      </c>
      <c r="K18" s="50" t="s">
        <v>3621</v>
      </c>
      <c r="L18" s="50" t="s">
        <v>3621</v>
      </c>
      <c r="M18" s="50" t="s">
        <v>3621</v>
      </c>
      <c r="N18" s="113" t="s">
        <v>3621</v>
      </c>
      <c r="O18" s="113"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c r="BC18" s="50" t="s">
        <v>3621</v>
      </c>
      <c r="BD18" s="50" t="s">
        <v>3621</v>
      </c>
      <c r="BE18" s="50" t="s">
        <v>3621</v>
      </c>
      <c r="BF18" s="50" t="s">
        <v>3621</v>
      </c>
      <c r="BG18" s="50" t="s">
        <v>3621</v>
      </c>
      <c r="BH18" s="50" t="s">
        <v>3621</v>
      </c>
      <c r="BI18" s="50" t="s">
        <v>3621</v>
      </c>
      <c r="BJ18" s="50" t="s">
        <v>3621</v>
      </c>
      <c r="BK18" s="50" t="s">
        <v>3621</v>
      </c>
      <c r="BL18" s="50" t="s">
        <v>3621</v>
      </c>
      <c r="BM18" s="50" t="s">
        <v>3621</v>
      </c>
      <c r="BN18" s="50" t="s">
        <v>3621</v>
      </c>
      <c r="BO18" s="50" t="s">
        <v>3621</v>
      </c>
      <c r="BP18" s="50" t="s">
        <v>3621</v>
      </c>
      <c r="BQ18" s="50" t="s">
        <v>3621</v>
      </c>
    </row>
    <row r="19" spans="2:69">
      <c r="B19" s="50" t="s">
        <v>3600</v>
      </c>
      <c r="C19" s="50">
        <v>17</v>
      </c>
      <c r="D19" s="50" t="s">
        <v>4689</v>
      </c>
      <c r="E19" s="111">
        <v>45534</v>
      </c>
      <c r="F19" s="50">
        <v>1</v>
      </c>
      <c r="G19" s="279" t="s">
        <v>4690</v>
      </c>
      <c r="H19" s="198" t="s">
        <v>4691</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c r="BC19" s="50" t="s">
        <v>3621</v>
      </c>
      <c r="BD19" s="50" t="s">
        <v>3621</v>
      </c>
      <c r="BE19" s="50" t="s">
        <v>3621</v>
      </c>
      <c r="BF19" s="50" t="s">
        <v>3621</v>
      </c>
      <c r="BG19" s="50" t="s">
        <v>3621</v>
      </c>
      <c r="BH19" s="50" t="s">
        <v>3621</v>
      </c>
      <c r="BI19" s="50" t="s">
        <v>3621</v>
      </c>
      <c r="BJ19" s="50" t="s">
        <v>3621</v>
      </c>
      <c r="BK19" s="50" t="s">
        <v>3621</v>
      </c>
      <c r="BL19" s="50" t="s">
        <v>3621</v>
      </c>
      <c r="BM19" s="50" t="s">
        <v>3621</v>
      </c>
      <c r="BN19" s="50" t="s">
        <v>3621</v>
      </c>
      <c r="BO19" s="50" t="s">
        <v>3621</v>
      </c>
      <c r="BP19" s="50" t="s">
        <v>3621</v>
      </c>
      <c r="BQ19" s="50" t="s">
        <v>3621</v>
      </c>
    </row>
    <row r="20" spans="2:69">
      <c r="B20" s="50" t="s">
        <v>3602</v>
      </c>
      <c r="C20" s="50">
        <v>18</v>
      </c>
      <c r="D20" s="50" t="s">
        <v>4689</v>
      </c>
      <c r="E20" s="111">
        <v>45534</v>
      </c>
      <c r="F20" s="50">
        <v>1</v>
      </c>
      <c r="G20" s="279" t="s">
        <v>4692</v>
      </c>
      <c r="H20" s="198" t="s">
        <v>4693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c r="BC20" s="50" t="s">
        <v>3621</v>
      </c>
      <c r="BD20" s="50" t="s">
        <v>3621</v>
      </c>
      <c r="BE20" s="50" t="s">
        <v>3621</v>
      </c>
      <c r="BF20" s="50" t="s">
        <v>3621</v>
      </c>
      <c r="BG20" s="50" t="s">
        <v>3621</v>
      </c>
      <c r="BH20" s="50" t="s">
        <v>3621</v>
      </c>
      <c r="BI20" s="50" t="s">
        <v>3621</v>
      </c>
      <c r="BJ20" s="50" t="s">
        <v>3621</v>
      </c>
      <c r="BK20" s="50" t="s">
        <v>3621</v>
      </c>
      <c r="BL20" s="50" t="s">
        <v>3621</v>
      </c>
      <c r="BM20" s="50" t="s">
        <v>3621</v>
      </c>
      <c r="BN20" s="50" t="s">
        <v>3621</v>
      </c>
      <c r="BO20" s="50" t="s">
        <v>3621</v>
      </c>
      <c r="BP20" s="50" t="s">
        <v>3621</v>
      </c>
      <c r="BQ20" s="50" t="s">
        <v>3621</v>
      </c>
    </row>
    <row r="21" spans="2:69">
      <c r="B21" s="50" t="s">
        <v>3604</v>
      </c>
      <c r="C21" s="50">
        <v>19</v>
      </c>
      <c r="D21" s="50" t="s">
        <v>4694</v>
      </c>
      <c r="E21" s="111">
        <v>45534</v>
      </c>
      <c r="F21" s="50">
        <v>1</v>
      </c>
      <c r="G21" s="279" cm="1">
        <f t="array" aca="1" ref="G21" ca="1">SUMPRODUCT(--(ISNUMBER((SEARCH(I27:BQ27,I21:BQ21)))))/COUNTA(I21:BQ21)</f>
        <v>1</v>
      </c>
      <c r="H21" s="114"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4039</v>
      </c>
      <c r="Z21" s="50" t="s">
        <v>3656</v>
      </c>
      <c r="AA21" s="50" t="s">
        <v>3656</v>
      </c>
      <c r="AB21" s="50" t="s">
        <v>3656</v>
      </c>
      <c r="AC21" s="50" t="s">
        <v>3656</v>
      </c>
      <c r="AD21" s="50" t="s">
        <v>3656</v>
      </c>
      <c r="AE21" s="50" t="s">
        <v>3656</v>
      </c>
      <c r="AF21" s="50" t="s">
        <v>3656</v>
      </c>
      <c r="AG21" s="50" t="s">
        <v>3656</v>
      </c>
      <c r="AH21" s="50" t="s">
        <v>3656</v>
      </c>
      <c r="AI21" s="50" t="s">
        <v>3656</v>
      </c>
      <c r="AJ21" s="50" t="s">
        <v>3656</v>
      </c>
      <c r="AK21" s="50" t="s">
        <v>3656</v>
      </c>
      <c r="AL21" s="50" t="s">
        <v>3656</v>
      </c>
      <c r="AM21" s="50" t="s">
        <v>3656</v>
      </c>
      <c r="AN21" s="50" t="s">
        <v>3656</v>
      </c>
      <c r="AO21" s="50" t="s">
        <v>3655</v>
      </c>
      <c r="AP21" s="50" t="s">
        <v>3656</v>
      </c>
      <c r="AQ21" s="50" t="s">
        <v>3655</v>
      </c>
      <c r="AR21" s="50" t="s">
        <v>3656</v>
      </c>
      <c r="AS21" s="50" t="s">
        <v>3656</v>
      </c>
      <c r="AT21" s="50" t="s">
        <v>3656</v>
      </c>
      <c r="AU21" s="50" t="s">
        <v>3656</v>
      </c>
      <c r="AV21" s="50" t="s">
        <v>3655</v>
      </c>
      <c r="AW21" s="50" t="s">
        <v>3656</v>
      </c>
      <c r="AX21" s="50" t="s">
        <v>3656</v>
      </c>
      <c r="AY21" s="50" t="s">
        <v>3656</v>
      </c>
      <c r="AZ21" s="50" t="s">
        <v>3655</v>
      </c>
      <c r="BA21" s="50" t="s">
        <v>3656</v>
      </c>
      <c r="BB21" s="50" t="s">
        <v>4039</v>
      </c>
      <c r="BC21" s="50" t="s">
        <v>3655</v>
      </c>
      <c r="BD21" s="50" t="s">
        <v>3655</v>
      </c>
      <c r="BE21" s="50" t="s">
        <v>3656</v>
      </c>
      <c r="BF21" s="50" t="s">
        <v>3656</v>
      </c>
      <c r="BG21" s="50" t="s">
        <v>3656</v>
      </c>
      <c r="BH21" s="50" t="s">
        <v>3655</v>
      </c>
      <c r="BI21" s="50" t="s">
        <v>3655</v>
      </c>
      <c r="BJ21" s="50" t="s">
        <v>3656</v>
      </c>
      <c r="BK21" s="50" t="s">
        <v>3656</v>
      </c>
      <c r="BL21" s="50" t="s">
        <v>3656</v>
      </c>
      <c r="BM21" s="50" t="s">
        <v>3655</v>
      </c>
      <c r="BN21" s="50" t="s">
        <v>3655</v>
      </c>
      <c r="BO21" s="50" t="s">
        <v>3655</v>
      </c>
      <c r="BP21" s="50" t="s">
        <v>3655</v>
      </c>
      <c r="BQ21" s="50" t="s">
        <v>3657</v>
      </c>
    </row>
    <row r="22" spans="2:69">
      <c r="B22" s="50" t="s">
        <v>3607</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3610</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6" t="s">
        <v>3727</v>
      </c>
    </row>
    <row r="26" spans="2:69">
      <c r="B26" s="144" t="s">
        <v>3613</v>
      </c>
      <c r="C26" s="145" t="s">
        <v>3614</v>
      </c>
      <c r="D26" s="145" t="s">
        <v>3615</v>
      </c>
      <c r="E26" s="145" t="s">
        <v>3616</v>
      </c>
      <c r="F26" s="145" t="s">
        <v>3617</v>
      </c>
      <c r="G26" s="145" t="s">
        <v>3618</v>
      </c>
      <c r="H26" s="145" t="s">
        <v>3619</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c r="B27" s="123" t="s">
        <v>3658</v>
      </c>
      <c r="C27" s="109">
        <v>21</v>
      </c>
      <c r="D27" s="108" t="s">
        <v>3659</v>
      </c>
      <c r="E27" t="s">
        <v>3660</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1" t="str">
        <f ca="1"/>
        <v>STRING</v>
      </c>
      <c r="U27" s="121" t="str">
        <f ca="1"/>
        <v>STRING</v>
      </c>
      <c r="V27" s="121" t="str">
        <f ca="1"/>
        <v>STRING</v>
      </c>
      <c r="W27" s="121" t="str">
        <f ca="1"/>
        <v>STRING</v>
      </c>
      <c r="X27" s="121" t="str">
        <f ca="1"/>
        <v>STRING</v>
      </c>
      <c r="Y27" s="121" t="str">
        <f ca="1"/>
        <v>INT</v>
      </c>
      <c r="Z27" s="121" t="str">
        <f ca="1"/>
        <v>DECIMAL</v>
      </c>
      <c r="AA27" s="121" t="str">
        <f ca="1"/>
        <v>DECIMAL</v>
      </c>
      <c r="AB27" s="121" t="str">
        <f ca="1"/>
        <v>DECIMAL</v>
      </c>
      <c r="AC27" s="121" t="str">
        <f ca="1"/>
        <v>DECIMAL</v>
      </c>
      <c r="AD27" s="121" t="str">
        <f ca="1"/>
        <v>DECIMAL</v>
      </c>
      <c r="AE27" s="121" t="str">
        <f ca="1"/>
        <v>DECIMAL</v>
      </c>
      <c r="AF27" s="121" t="str">
        <f ca="1"/>
        <v>DECIMAL</v>
      </c>
      <c r="AG27" s="121" t="str">
        <f ca="1"/>
        <v>DECIMAL</v>
      </c>
      <c r="AH27" s="121" t="str">
        <f ca="1"/>
        <v>DECIMAL</v>
      </c>
      <c r="AI27" s="121" t="str">
        <f ca="1"/>
        <v>DECIMAL</v>
      </c>
      <c r="AJ27" s="121" t="str">
        <f ca="1"/>
        <v>DECIMAL</v>
      </c>
      <c r="AK27" s="121" t="str">
        <f ca="1"/>
        <v>DECIMAL</v>
      </c>
      <c r="AL27" s="121" t="str">
        <f ca="1"/>
        <v>DECIMAL</v>
      </c>
      <c r="AM27" s="121" t="str">
        <f ca="1"/>
        <v>DECIMAL</v>
      </c>
      <c r="AN27" s="121" t="str">
        <f ca="1"/>
        <v>DECIMAL</v>
      </c>
      <c r="AO27" s="121" t="str">
        <f ca="1"/>
        <v>STRING</v>
      </c>
      <c r="AP27" s="121" t="str">
        <f ca="1"/>
        <v>DECIMAL</v>
      </c>
      <c r="AQ27" s="121" t="str">
        <f ca="1"/>
        <v>STRING</v>
      </c>
      <c r="AR27" s="121" t="str">
        <f ca="1"/>
        <v>DECIMAL</v>
      </c>
      <c r="AS27" s="121" t="str">
        <f ca="1"/>
        <v>DECIMAL</v>
      </c>
      <c r="AT27" s="121" t="str">
        <f ca="1"/>
        <v>DECIMAL</v>
      </c>
      <c r="AU27" s="121" t="str">
        <f ca="1"/>
        <v>DECIMAL</v>
      </c>
      <c r="AV27" s="121" t="str">
        <f ca="1"/>
        <v>STRING</v>
      </c>
      <c r="AW27" s="121" t="str">
        <f ca="1"/>
        <v>DECIMAL</v>
      </c>
      <c r="AX27" s="121" t="str">
        <f ca="1"/>
        <v>DECIMAL</v>
      </c>
      <c r="AY27" s="121" t="str">
        <f ca="1"/>
        <v>DECIMAL</v>
      </c>
      <c r="AZ27" s="121" t="str">
        <f ca="1"/>
        <v>STRING</v>
      </c>
      <c r="BA27" s="121" t="str">
        <f ca="1"/>
        <v>DECIMAL</v>
      </c>
      <c r="BB27" s="121" t="str">
        <f ca="1"/>
        <v>INT</v>
      </c>
      <c r="BC27" s="121" t="str">
        <f ca="1"/>
        <v>STRING</v>
      </c>
      <c r="BD27" s="121" t="str">
        <f ca="1"/>
        <v>STRING</v>
      </c>
      <c r="BE27" s="121" t="str">
        <f ca="1"/>
        <v>DECIMAL</v>
      </c>
      <c r="BF27" s="121" t="str">
        <f ca="1"/>
        <v>DECIMAL</v>
      </c>
      <c r="BG27" s="121" t="str">
        <f ca="1"/>
        <v>DECIMAL</v>
      </c>
      <c r="BH27" s="121" t="str">
        <f ca="1"/>
        <v>STRING</v>
      </c>
      <c r="BI27" s="121" t="str">
        <f ca="1"/>
        <v>STRING</v>
      </c>
      <c r="BJ27" s="121" t="str">
        <f ca="1"/>
        <v>DECIMAL</v>
      </c>
      <c r="BK27" s="121" t="str">
        <f ca="1"/>
        <v>DECIMAL</v>
      </c>
      <c r="BL27" s="121" t="str">
        <f ca="1"/>
        <v>DECIMAL</v>
      </c>
      <c r="BM27" s="121" t="str">
        <f ca="1"/>
        <v>STRING</v>
      </c>
      <c r="BN27" s="121" t="str">
        <f ca="1"/>
        <v>STRING</v>
      </c>
      <c r="BO27" s="121" t="str">
        <f ca="1"/>
        <v>STRING</v>
      </c>
      <c r="BP27" s="121" t="str">
        <f ca="1"/>
        <v>STRING</v>
      </c>
      <c r="BQ27" s="124" t="str">
        <f ca="1"/>
        <v>TIMESTAMP</v>
      </c>
    </row>
    <row r="28" spans="2:69">
      <c r="B28" s="123"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4</v>
      </c>
      <c r="O28" s="167">
        <f ca="1"/>
        <v>30</v>
      </c>
      <c r="P28" s="167">
        <f ca="1"/>
        <v>25</v>
      </c>
      <c r="Q28" s="167">
        <f ca="1"/>
        <v>21</v>
      </c>
      <c r="R28" s="167">
        <f ca="1"/>
        <v>4</v>
      </c>
      <c r="S28" s="167">
        <f ca="1"/>
        <v>4</v>
      </c>
      <c r="T28" s="167">
        <f ca="1"/>
        <v>17</v>
      </c>
      <c r="U28" s="167">
        <f ca="1"/>
        <v>10</v>
      </c>
      <c r="V28" s="167">
        <f ca="1"/>
        <v>10</v>
      </c>
      <c r="W28" s="167">
        <f ca="1"/>
        <v>4</v>
      </c>
      <c r="X28" s="167">
        <f ca="1"/>
        <v>4</v>
      </c>
      <c r="Y28" s="167">
        <f ca="1"/>
        <v>9999999</v>
      </c>
      <c r="Z28" s="167">
        <f ca="1"/>
        <v>23</v>
      </c>
      <c r="AA28" s="167">
        <f ca="1"/>
        <v>23</v>
      </c>
      <c r="AB28" s="167">
        <f ca="1"/>
        <v>23</v>
      </c>
      <c r="AC28" s="167">
        <f ca="1"/>
        <v>23</v>
      </c>
      <c r="AD28" s="167">
        <f ca="1"/>
        <v>23</v>
      </c>
      <c r="AE28" s="167">
        <f ca="1"/>
        <v>23</v>
      </c>
      <c r="AF28" s="167">
        <f ca="1"/>
        <v>23</v>
      </c>
      <c r="AG28" s="167">
        <f ca="1"/>
        <v>23</v>
      </c>
      <c r="AH28" s="167">
        <f ca="1"/>
        <v>23</v>
      </c>
      <c r="AI28" s="167">
        <f ca="1"/>
        <v>23</v>
      </c>
      <c r="AJ28" s="167">
        <f ca="1"/>
        <v>23</v>
      </c>
      <c r="AK28" s="167">
        <f ca="1"/>
        <v>23</v>
      </c>
      <c r="AL28" s="167">
        <f ca="1"/>
        <v>23</v>
      </c>
      <c r="AM28" s="167">
        <f ca="1"/>
        <v>23</v>
      </c>
      <c r="AN28" s="167">
        <f ca="1"/>
        <v>23</v>
      </c>
      <c r="AO28" s="167">
        <f ca="1"/>
        <v>10</v>
      </c>
      <c r="AP28" s="167">
        <f ca="1"/>
        <v>23</v>
      </c>
      <c r="AQ28" s="167">
        <f ca="1"/>
        <v>10</v>
      </c>
      <c r="AR28" s="167">
        <f ca="1"/>
        <v>23</v>
      </c>
      <c r="AS28" s="167">
        <f ca="1"/>
        <v>23</v>
      </c>
      <c r="AT28" s="167">
        <f ca="1"/>
        <v>23</v>
      </c>
      <c r="AU28" s="167">
        <f ca="1"/>
        <v>23</v>
      </c>
      <c r="AV28" s="167">
        <f ca="1"/>
        <v>10</v>
      </c>
      <c r="AW28" s="167">
        <f ca="1"/>
        <v>23</v>
      </c>
      <c r="AX28" s="167">
        <f ca="1"/>
        <v>23</v>
      </c>
      <c r="AY28" s="167">
        <f ca="1"/>
        <v>23</v>
      </c>
      <c r="AZ28" s="167">
        <f ca="1"/>
        <v>10</v>
      </c>
      <c r="BA28" s="167">
        <f ca="1"/>
        <v>23</v>
      </c>
      <c r="BB28" s="167">
        <f ca="1"/>
        <v>9999999</v>
      </c>
      <c r="BC28" s="167">
        <f ca="1"/>
        <v>4</v>
      </c>
      <c r="BD28" s="167">
        <f ca="1"/>
        <v>4</v>
      </c>
      <c r="BE28" s="167">
        <f ca="1"/>
        <v>23</v>
      </c>
      <c r="BF28" s="167">
        <f ca="1"/>
        <v>23</v>
      </c>
      <c r="BG28" s="167">
        <f ca="1"/>
        <v>23</v>
      </c>
      <c r="BH28" s="167">
        <f ca="1"/>
        <v>4</v>
      </c>
      <c r="BI28" s="167">
        <f ca="1"/>
        <v>4</v>
      </c>
      <c r="BJ28" s="167">
        <f ca="1"/>
        <v>23</v>
      </c>
      <c r="BK28" s="167">
        <f ca="1"/>
        <v>23</v>
      </c>
      <c r="BL28" s="167">
        <f ca="1"/>
        <v>23</v>
      </c>
      <c r="BM28" s="167">
        <f ca="1"/>
        <v>4</v>
      </c>
      <c r="BN28" s="167">
        <f ca="1"/>
        <v>4</v>
      </c>
      <c r="BO28" s="167">
        <f ca="1"/>
        <v>2</v>
      </c>
      <c r="BP28" s="167">
        <f ca="1"/>
        <v>10</v>
      </c>
      <c r="BQ28" s="168">
        <f ca="1"/>
        <v>23</v>
      </c>
    </row>
    <row r="30" spans="2:69">
      <c r="B30" s="156" t="s">
        <v>3662</v>
      </c>
    </row>
    <row r="31" spans="2:69">
      <c r="B31" s="150" t="s">
        <v>3663</v>
      </c>
      <c r="C31" s="150" t="s">
        <v>3664</v>
      </c>
      <c r="D31" s="151" t="s">
        <v>3665</v>
      </c>
      <c r="E31" s="150" t="s">
        <v>3666</v>
      </c>
      <c r="F31" s="150" t="s">
        <v>3667</v>
      </c>
    </row>
    <row r="32" spans="2:69" ht="29.1">
      <c r="B32" s="127" t="s">
        <v>3771</v>
      </c>
      <c r="C32" s="131" t="s">
        <v>1833</v>
      </c>
      <c r="D32" s="53" t="s">
        <v>4695</v>
      </c>
      <c r="E32" s="169" t="s">
        <v>4696</v>
      </c>
      <c r="F32" s="152" t="s">
        <v>3674</v>
      </c>
    </row>
    <row r="33" spans="2:6" ht="29.1">
      <c r="B33" s="153" t="s">
        <v>3668</v>
      </c>
      <c r="C33" s="154" t="s">
        <v>1833</v>
      </c>
      <c r="D33" s="155" t="s">
        <v>4697</v>
      </c>
      <c r="E33" s="113" t="s">
        <v>4698</v>
      </c>
      <c r="F33" s="205" t="s">
        <v>3674</v>
      </c>
    </row>
    <row r="34" spans="2:6" ht="29.1">
      <c r="B34" s="153" t="s">
        <v>3668</v>
      </c>
      <c r="C34" s="154" t="s">
        <v>2307</v>
      </c>
      <c r="D34" s="155" t="s">
        <v>4697</v>
      </c>
      <c r="E34" s="113" t="s">
        <v>4699</v>
      </c>
      <c r="F34" s="205" t="s">
        <v>3674</v>
      </c>
    </row>
    <row r="35" spans="2:6" ht="29.1">
      <c r="B35" s="153" t="s">
        <v>3668</v>
      </c>
      <c r="C35" s="154" t="s">
        <v>2328</v>
      </c>
      <c r="D35" s="155" t="s">
        <v>4697</v>
      </c>
      <c r="E35" s="113" t="s">
        <v>4699</v>
      </c>
      <c r="F35" s="205" t="s">
        <v>3674</v>
      </c>
    </row>
    <row r="36" spans="2:6" ht="29.1">
      <c r="B36" s="153" t="s">
        <v>3668</v>
      </c>
      <c r="C36" s="154" t="s">
        <v>715</v>
      </c>
      <c r="D36" s="155" t="s">
        <v>4697</v>
      </c>
      <c r="E36" s="113" t="s">
        <v>4700</v>
      </c>
      <c r="F36" s="205" t="s">
        <v>3674</v>
      </c>
    </row>
    <row r="37" spans="2:6" ht="29.1">
      <c r="B37" s="153" t="s">
        <v>3668</v>
      </c>
      <c r="C37" s="154" t="s">
        <v>1458</v>
      </c>
      <c r="D37" s="155" t="s">
        <v>4697</v>
      </c>
      <c r="E37" s="113" t="s">
        <v>4701</v>
      </c>
      <c r="F37" s="205" t="s">
        <v>3674</v>
      </c>
    </row>
    <row r="38" spans="2:6" ht="29.1">
      <c r="B38" s="153" t="s">
        <v>3668</v>
      </c>
      <c r="C38" s="154" t="s">
        <v>1473</v>
      </c>
      <c r="D38" s="155" t="s">
        <v>4697</v>
      </c>
      <c r="E38" s="113" t="s">
        <v>4702</v>
      </c>
      <c r="F38" s="205" t="s">
        <v>3674</v>
      </c>
    </row>
    <row r="39" spans="2:6" ht="29.1">
      <c r="B39" s="153" t="s">
        <v>3668</v>
      </c>
      <c r="C39" s="154" t="s">
        <v>4600</v>
      </c>
      <c r="D39" s="155" t="s">
        <v>4697</v>
      </c>
      <c r="E39" s="113" t="s">
        <v>4703</v>
      </c>
      <c r="F39" s="205" t="s">
        <v>3674</v>
      </c>
    </row>
    <row r="40" spans="2:6" ht="29.1">
      <c r="B40" s="153" t="s">
        <v>3668</v>
      </c>
      <c r="C40" s="154" t="s">
        <v>1977</v>
      </c>
      <c r="D40" s="155" t="s">
        <v>4697</v>
      </c>
      <c r="E40" s="113" t="s">
        <v>4704</v>
      </c>
      <c r="F40" s="205" t="s">
        <v>3674</v>
      </c>
    </row>
    <row r="41" spans="2:6" ht="29.1">
      <c r="B41" s="153" t="s">
        <v>3668</v>
      </c>
      <c r="C41" s="154" t="s">
        <v>756</v>
      </c>
      <c r="D41" s="155" t="s">
        <v>4697</v>
      </c>
      <c r="E41" s="113" t="s">
        <v>4704</v>
      </c>
      <c r="F41" s="205" t="s">
        <v>3674</v>
      </c>
    </row>
    <row r="42" spans="2:6" ht="43.5">
      <c r="B42" s="153" t="s">
        <v>3668</v>
      </c>
      <c r="C42" s="154" t="s">
        <v>305</v>
      </c>
      <c r="D42" s="155" t="s">
        <v>4705</v>
      </c>
      <c r="E42" s="113" t="s">
        <v>4706</v>
      </c>
      <c r="F42" s="205" t="s">
        <v>3674</v>
      </c>
    </row>
    <row r="43" spans="2:6" ht="72.599999999999994">
      <c r="B43" s="153" t="s">
        <v>3678</v>
      </c>
      <c r="C43" s="154" t="s">
        <v>4443</v>
      </c>
      <c r="D43" s="155" t="s">
        <v>4707</v>
      </c>
      <c r="E43" s="113" t="s">
        <v>4708</v>
      </c>
      <c r="F43" s="205" t="s">
        <v>3671</v>
      </c>
    </row>
    <row r="44" spans="2:6" ht="29.1">
      <c r="B44" s="153" t="s">
        <v>3736</v>
      </c>
      <c r="C44" s="154" t="s">
        <v>4443</v>
      </c>
      <c r="D44" s="155" t="s">
        <v>4709</v>
      </c>
      <c r="E44" s="113" t="s">
        <v>4710</v>
      </c>
      <c r="F44" s="205"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697A030B-69F8-46FD-86C6-34B581A9E2DF}"/>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2025-04-07T08:58:24Z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