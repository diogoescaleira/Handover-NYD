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4.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rawings/drawing6.xml" ContentType="application/vnd.openxmlformats-officedocument.drawing+xml"/>
  <Override PartName="/xl/tables/table5.xml" ContentType="application/vnd.openxmlformats-officedocument.spreadsheetml.table+xml"/>
  <Override PartName="/xl/drawings/drawing7.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8.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9.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10.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19"/>
  <workbookPr saveExternalLinkValues="0" updateLinks="always"/>
  <mc:AlternateContent xmlns:mc="http://schemas.openxmlformats.org/markup-compatibility/2006">
    <mc:Choice Requires="x15">
      <x15ac:absPath xmlns:x15ac="http://schemas.microsoft.com/office/spreadsheetml/2010/11/ac" url="C:\Users\E807551\Documents\Modelo unico\Pagamentos\"/>
    </mc:Choice>
  </mc:AlternateContent>
  <xr:revisionPtr revIDLastSave="5471" documentId="11_7B7EB6785745419BF309D7CE5602B477C8BA45D3" xr6:coauthVersionLast="47" xr6:coauthVersionMax="47" xr10:uidLastSave="{759FE64F-7B1A-44A0-8966-14E1B4CA3532}"/>
  <bookViews>
    <workbookView xWindow="-110" yWindow="-110" windowWidth="19310" windowHeight="6840" tabRatio="621" firstSheet="7" activeTab="7" xr2:uid="{00000000-000D-0000-FFFF-FFFF00000000}"/>
  </bookViews>
  <sheets>
    <sheet name="Capa" sheetId="1" r:id="rId1"/>
    <sheet name="Lista" sheetId="38" r:id="rId2"/>
    <sheet name="Sheet1" sheetId="19" state="hidden" r:id="rId3"/>
    <sheet name="Sheet2" sheetId="20" state="hidden" r:id="rId4"/>
    <sheet name="Sheet5" sheetId="28" state="hidden" r:id="rId5"/>
    <sheet name="Sheet3" sheetId="21" state="hidden" r:id="rId6"/>
    <sheet name="Sheet4" sheetId="22" state="hidden" r:id="rId7"/>
    <sheet name="Tabelas" sheetId="8" r:id="rId8"/>
    <sheet name="Sheet6" sheetId="39" state="hidden" r:id="rId9"/>
    <sheet name="Regras de Cruzamento" sheetId="47" r:id="rId10"/>
    <sheet name="Restrições de Universo" sheetId="48" r:id="rId11"/>
    <sheet name="Descrição Testes" sheetId="41" r:id="rId12"/>
    <sheet name="transfer_sepatarget" sheetId="43" r:id="rId13"/>
    <sheet name="transfer_other" sheetId="44" r:id="rId14"/>
    <sheet name="direct_debit" sheetId="45" r:id="rId15"/>
    <sheet name="swift_message" sheetId="46" r:id="rId16"/>
  </sheets>
  <externalReferences>
    <externalReference r:id="rId17"/>
    <externalReference r:id="rId18"/>
    <externalReference r:id="rId19"/>
    <externalReference r:id="rId20"/>
    <externalReference r:id="rId21"/>
    <externalReference r:id="rId22"/>
    <externalReference r:id="rId23"/>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a" localSheetId="1"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7"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7" hidden="1">'[3]Carteira 21'!#REF!</definedName>
    <definedName name="nm" hidden="1">'[3]Carteira 21'!#REF!</definedName>
    <definedName name="T1756_ADN">#REF!</definedName>
    <definedName name="Tipo_controlo" localSheetId="1">#REF!</definedName>
    <definedName name="Tipo_controlo" localSheetId="7">#REF!</definedName>
    <definedName name="Tipo_controlo">#REF!</definedName>
    <definedName name="Tipocontrolo" localSheetId="7">#REF!</definedName>
    <definedName name="Tipocontrolo">#REF!</definedName>
    <definedName name="XREF_COLUMN_1" localSheetId="1" hidden="1">'[4]Carteira 20'!#REF!</definedName>
    <definedName name="XREF_COLUMN_1" localSheetId="7" hidden="1">'[4]Carteira 20'!#REF!</definedName>
    <definedName name="XREF_COLUMN_1" hidden="1">'[4]Carteira 20'!#REF!</definedName>
    <definedName name="XREF_COLUMN_2" localSheetId="1" hidden="1">'[3]Carteira 21'!#REF!</definedName>
    <definedName name="XREF_COLUMN_2" localSheetId="7" hidden="1">'[3]Carteira 21'!#REF!</definedName>
    <definedName name="XREF_COLUMN_2" hidden="1">'[3]Carteira 21'!#REF!</definedName>
    <definedName name="XREF_COLUMN_3" localSheetId="1" hidden="1">'[3]Carteira 21'!#REF!</definedName>
    <definedName name="XREF_COLUMN_3" localSheetId="7" hidden="1">'[3]Carteira 21'!#REF!</definedName>
    <definedName name="XREF_COLUMN_3" hidden="1">'[3]Carteira 21'!#REF!</definedName>
    <definedName name="XREF_COLUMN_4" localSheetId="1" hidden="1">'[2]Carteira de Títulos'!#REF!</definedName>
    <definedName name="XREF_COLUMN_4" localSheetId="7" hidden="1">'[2]Carteira de Títulos'!#REF!</definedName>
    <definedName name="XREF_COLUMN_4" hidden="1">'[2]Carteira de Títulos'!#REF!</definedName>
    <definedName name="XREF_COLUMN_5" localSheetId="1" hidden="1">'[2]Carteira de Títulos'!#REF!</definedName>
    <definedName name="XREF_COLUMN_5" localSheetId="7" hidden="1">'[2]Carteira de Títulos'!#REF!</definedName>
    <definedName name="XREF_COLUMN_5" hidden="1">'[2]Carteira de Títulos'!#REF!</definedName>
    <definedName name="XREF_COLUMN_7" localSheetId="1" hidden="1">'[3]Carteira 21'!#REF!</definedName>
    <definedName name="XREF_COLUMN_7" localSheetId="7" hidden="1">'[3]Carteira 21'!#REF!</definedName>
    <definedName name="XREF_COLUMN_7" hidden="1">'[3]Carteira 21'!#REF!</definedName>
    <definedName name="XRefColumnsCount" hidden="1">6</definedName>
    <definedName name="XRefCopy1" localSheetId="1" hidden="1">'[3]Carteira 21'!#REF!</definedName>
    <definedName name="XRefCopy1" localSheetId="7" hidden="1">'[3]Carteira 21'!#REF!</definedName>
    <definedName name="XRefCopy1" hidden="1">'[3]Carteira 21'!#REF!</definedName>
    <definedName name="XRefCopy10" localSheetId="1" hidden="1">'[3]Carteira 21'!#REF!</definedName>
    <definedName name="XRefCopy10" localSheetId="7" hidden="1">'[3]Carteira 21'!#REF!</definedName>
    <definedName name="XRefCopy10" hidden="1">'[3]Carteira 21'!#REF!</definedName>
    <definedName name="XRefCopy11" localSheetId="1" hidden="1">'[3]Carteira 21'!#REF!</definedName>
    <definedName name="XRefCopy11" localSheetId="7" hidden="1">'[3]Carteira 21'!#REF!</definedName>
    <definedName name="XRefCopy11" hidden="1">'[3]Carteira 21'!#REF!</definedName>
    <definedName name="XRefCopy11Row" localSheetId="1" hidden="1">#REF!</definedName>
    <definedName name="XRefCopy11Row" localSheetId="7" hidden="1">#REF!</definedName>
    <definedName name="XRefCopy11Row" hidden="1">#REF!</definedName>
    <definedName name="XRefCopy12" localSheetId="1" hidden="1">'[3]Carteira 21'!#REF!</definedName>
    <definedName name="XRefCopy12" localSheetId="7" hidden="1">'[3]Carteira 21'!#REF!</definedName>
    <definedName name="XRefCopy12" hidden="1">'[3]Carteira 21'!#REF!</definedName>
    <definedName name="XRefCopy12Row" localSheetId="1" hidden="1">#REF!</definedName>
    <definedName name="XRefCopy12Row" localSheetId="7" hidden="1">#REF!</definedName>
    <definedName name="XRefCopy12Row" hidden="1">#REF!</definedName>
    <definedName name="XRefCopy13" localSheetId="1" hidden="1">'[3]Carteira 21'!#REF!</definedName>
    <definedName name="XRefCopy13" localSheetId="7" hidden="1">'[3]Carteira 21'!#REF!</definedName>
    <definedName name="XRefCopy13" hidden="1">'[3]Carteira 21'!#REF!</definedName>
    <definedName name="XRefCopy13Row" localSheetId="1" hidden="1">[5]XREF!#REF!</definedName>
    <definedName name="XRefCopy13Row" localSheetId="7" hidden="1">[5]XREF!#REF!</definedName>
    <definedName name="XRefCopy13Row" hidden="1">[5]XREF!#REF!</definedName>
    <definedName name="XRefCopy14" localSheetId="1" hidden="1">'[4]Carteira 20'!#REF!</definedName>
    <definedName name="XRefCopy14" localSheetId="7" hidden="1">'[4]Carteira 20'!#REF!</definedName>
    <definedName name="XRefCopy14" hidden="1">'[4]Carteira 20'!#REF!</definedName>
    <definedName name="XRefCopy14Row" localSheetId="1" hidden="1">#REF!</definedName>
    <definedName name="XRefCopy14Row" localSheetId="7" hidden="1">#REF!</definedName>
    <definedName name="XRefCopy14Row" hidden="1">#REF!</definedName>
    <definedName name="XRefCopy15" localSheetId="1" hidden="1">'[3]Carteira 21'!#REF!</definedName>
    <definedName name="XRefCopy15" localSheetId="7" hidden="1">'[3]Carteira 21'!#REF!</definedName>
    <definedName name="XRefCopy15" hidden="1">'[3]Carteira 21'!#REF!</definedName>
    <definedName name="XRefCopy15Row" localSheetId="1" hidden="1">#REF!</definedName>
    <definedName name="XRefCopy15Row" localSheetId="7" hidden="1">#REF!</definedName>
    <definedName name="XRefCopy15Row" hidden="1">#REF!</definedName>
    <definedName name="XRefCopy17Row" localSheetId="1" hidden="1">[5]XREF!#REF!</definedName>
    <definedName name="XRefCopy17Row" localSheetId="7" hidden="1">[5]XREF!#REF!</definedName>
    <definedName name="XRefCopy17Row" hidden="1">[5]XREF!#REF!</definedName>
    <definedName name="XRefCopy18Row" localSheetId="1" hidden="1">[5]XREF!#REF!</definedName>
    <definedName name="XRefCopy18Row" localSheetId="7" hidden="1">[5]XREF!#REF!</definedName>
    <definedName name="XRefCopy18Row" hidden="1">[5]XREF!#REF!</definedName>
    <definedName name="XRefCopy19Row" localSheetId="1" hidden="1">[5]XREF!#REF!</definedName>
    <definedName name="XRefCopy19Row" localSheetId="7" hidden="1">[5]XREF!#REF!</definedName>
    <definedName name="XRefCopy19Row" hidden="1">[5]XREF!#REF!</definedName>
    <definedName name="XRefCopy1Row" localSheetId="1" hidden="1">#REF!</definedName>
    <definedName name="XRefCopy1Row" localSheetId="7" hidden="1">#REF!</definedName>
    <definedName name="XRefCopy1Row" hidden="1">#REF!</definedName>
    <definedName name="XRefCopy2" localSheetId="1" hidden="1">'[4]Carteira 20'!#REF!</definedName>
    <definedName name="XRefCopy2" localSheetId="7" hidden="1">'[4]Carteira 20'!#REF!</definedName>
    <definedName name="XRefCopy2" hidden="1">'[4]Carteira 20'!#REF!</definedName>
    <definedName name="XRefCopy20Row" localSheetId="1" hidden="1">[2]XREF!#REF!</definedName>
    <definedName name="XRefCopy20Row" localSheetId="7" hidden="1">[2]XREF!#REF!</definedName>
    <definedName name="XRefCopy20Row" hidden="1">[2]XREF!#REF!</definedName>
    <definedName name="XRefCopy24" localSheetId="1" hidden="1">'[2]Carteira de Títulos'!#REF!</definedName>
    <definedName name="XRefCopy24" localSheetId="7" hidden="1">'[2]Carteira de Títulos'!#REF!</definedName>
    <definedName name="XRefCopy24" hidden="1">'[2]Carteira de Títulos'!#REF!</definedName>
    <definedName name="XRefCopy24Row" localSheetId="1" hidden="1">[2]XREF!#REF!</definedName>
    <definedName name="XRefCopy24Row" localSheetId="7" hidden="1">[2]XREF!#REF!</definedName>
    <definedName name="XRefCopy24Row" hidden="1">[2]XREF!#REF!</definedName>
    <definedName name="XRefCopy25" localSheetId="1" hidden="1">'[2]Carteira de Títulos'!#REF!</definedName>
    <definedName name="XRefCopy25" localSheetId="7" hidden="1">'[2]Carteira de Títulos'!#REF!</definedName>
    <definedName name="XRefCopy25" hidden="1">'[2]Carteira de Títulos'!#REF!</definedName>
    <definedName name="XRefCopy25Row" localSheetId="1" hidden="1">[2]XREF!#REF!</definedName>
    <definedName name="XRefCopy25Row" localSheetId="7" hidden="1">[2]XREF!#REF!</definedName>
    <definedName name="XRefCopy25Row" hidden="1">[2]XREF!#REF!</definedName>
    <definedName name="XRefCopy3" localSheetId="1" hidden="1">'[3]Carteira 21'!#REF!</definedName>
    <definedName name="XRefCopy3" localSheetId="7" hidden="1">'[3]Carteira 21'!#REF!</definedName>
    <definedName name="XRefCopy3" hidden="1">'[3]Carteira 21'!#REF!</definedName>
    <definedName name="XRefCopy3Row" localSheetId="1" hidden="1">#REF!</definedName>
    <definedName name="XRefCopy3Row" localSheetId="7" hidden="1">#REF!</definedName>
    <definedName name="XRefCopy3Row" hidden="1">#REF!</definedName>
    <definedName name="XRefCopy4" localSheetId="1" hidden="1">'[3]Carteira 21'!#REF!</definedName>
    <definedName name="XRefCopy4" localSheetId="7" hidden="1">'[3]Carteira 21'!#REF!</definedName>
    <definedName name="XRefCopy4" hidden="1">'[3]Carteira 21'!#REF!</definedName>
    <definedName name="XRefCopy4Row" localSheetId="1" hidden="1">[6]XREF!#REF!</definedName>
    <definedName name="XRefCopy4Row" localSheetId="7" hidden="1">[6]XREF!#REF!</definedName>
    <definedName name="XRefCopy4Row" hidden="1">[6]XREF!#REF!</definedName>
    <definedName name="XRefCopy6" hidden="1">[7]Eurodep_20!$C$18</definedName>
    <definedName name="XRefCopy7" localSheetId="7" hidden="1">'[4]Carteira 20'!#REF!</definedName>
    <definedName name="XRefCopy7" hidden="1">'[4]Carteira 20'!#REF!</definedName>
    <definedName name="XRefCopy7Row" localSheetId="1" hidden="1">#REF!</definedName>
    <definedName name="XRefCopy7Row" localSheetId="7" hidden="1">#REF!</definedName>
    <definedName name="XRefCopy7Row" hidden="1">#REF!</definedName>
    <definedName name="XRefCopy8" localSheetId="1" hidden="1">'[4]Carteira 20'!#REF!</definedName>
    <definedName name="XRefCopy8" localSheetId="7" hidden="1">'[4]Carteira 20'!#REF!</definedName>
    <definedName name="XRefCopy8" hidden="1">'[4]Carteira 20'!#REF!</definedName>
    <definedName name="XRefCopy8Row" localSheetId="1" hidden="1">#REF!</definedName>
    <definedName name="XRefCopy8Row" localSheetId="7" hidden="1">#REF!</definedName>
    <definedName name="XRefCopy8Row" hidden="1">#REF!</definedName>
    <definedName name="XRefCopy9" localSheetId="1" hidden="1">'[3]Carteira 21'!#REF!</definedName>
    <definedName name="XRefCopy9" localSheetId="7" hidden="1">'[3]Carteira 21'!#REF!</definedName>
    <definedName name="XRefCopy9" hidden="1">'[3]Carteira 21'!#REF!</definedName>
    <definedName name="XRefCopy99" localSheetId="1" hidden="1">'[3]Carteira 21'!#REF!</definedName>
    <definedName name="XRefCopy99" localSheetId="7" hidden="1">'[3]Carteira 21'!#REF!</definedName>
    <definedName name="XRefCopy99" hidden="1">'[3]Carteira 21'!#REF!</definedName>
    <definedName name="XRefCopy9Row" hidden="1">[6]XREF!$8:$8</definedName>
    <definedName name="XRefCopyRangeCount" hidden="1">10</definedName>
    <definedName name="XRefPaste10" localSheetId="7" hidden="1">'[3]Carteira 21'!#REF!</definedName>
    <definedName name="XRefPaste10" hidden="1">'[3]Carteira 21'!#REF!</definedName>
    <definedName name="XRefPaste10Row" localSheetId="1" hidden="1">#REF!</definedName>
    <definedName name="XRefPaste10Row" localSheetId="7" hidden="1">#REF!</definedName>
    <definedName name="XRefPaste10Row" hidden="1">#REF!</definedName>
    <definedName name="XRefPaste11" localSheetId="1" hidden="1">'[4]Carteira 20'!#REF!</definedName>
    <definedName name="XRefPaste11" localSheetId="7" hidden="1">'[4]Carteira 20'!#REF!</definedName>
    <definedName name="XRefPaste11" hidden="1">'[4]Carteira 20'!#REF!</definedName>
    <definedName name="XRefPaste11Row" localSheetId="1" hidden="1">#REF!</definedName>
    <definedName name="XRefPaste11Row" localSheetId="7" hidden="1">#REF!</definedName>
    <definedName name="XRefPaste11Row" hidden="1">#REF!</definedName>
    <definedName name="XRefPaste12" localSheetId="1" hidden="1">'[4]Carteira 20'!#REF!</definedName>
    <definedName name="XRefPaste12" localSheetId="7" hidden="1">'[4]Carteira 20'!#REF!</definedName>
    <definedName name="XRefPaste12" hidden="1">'[4]Carteira 20'!#REF!</definedName>
    <definedName name="XRefPaste12Row" localSheetId="1" hidden="1">#REF!</definedName>
    <definedName name="XRefPaste12Row" localSheetId="7" hidden="1">#REF!</definedName>
    <definedName name="XRefPaste12Row" hidden="1">#REF!</definedName>
    <definedName name="XRefPaste13" localSheetId="1" hidden="1">'[3]Carteira 21'!#REF!</definedName>
    <definedName name="XRefPaste13" localSheetId="7" hidden="1">'[3]Carteira 21'!#REF!</definedName>
    <definedName name="XRefPaste13" hidden="1">'[3]Carteira 21'!#REF!</definedName>
    <definedName name="XRefPaste13Row" localSheetId="1" hidden="1">#REF!</definedName>
    <definedName name="XRefPaste13Row" localSheetId="7" hidden="1">#REF!</definedName>
    <definedName name="XRefPaste13Row" hidden="1">#REF!</definedName>
    <definedName name="XRefPaste2" localSheetId="1" hidden="1">'[3]Carteira 21'!#REF!</definedName>
    <definedName name="XRefPaste2" localSheetId="7" hidden="1">'[3]Carteira 21'!#REF!</definedName>
    <definedName name="XRefPaste2" hidden="1">'[3]Carteira 21'!#REF!</definedName>
    <definedName name="XRefPaste2Row" localSheetId="1" hidden="1">#REF!</definedName>
    <definedName name="XRefPaste2Row" localSheetId="7" hidden="1">#REF!</definedName>
    <definedName name="XRefPaste2Row" hidden="1">#REF!</definedName>
    <definedName name="XRefPaste3" localSheetId="1" hidden="1">'[3]Carteira 21'!#REF!</definedName>
    <definedName name="XRefPaste3" localSheetId="7" hidden="1">'[3]Carteira 21'!#REF!</definedName>
    <definedName name="XRefPaste3" hidden="1">'[3]Carteira 21'!#REF!</definedName>
    <definedName name="XRefPaste3Row" localSheetId="1" hidden="1">#REF!</definedName>
    <definedName name="XRefPaste3Row" localSheetId="7" hidden="1">#REF!</definedName>
    <definedName name="XRefPaste3Row" hidden="1">#REF!</definedName>
    <definedName name="XRefPaste4" localSheetId="1" hidden="1">'[4]Carteira 20'!#REF!</definedName>
    <definedName name="XRefPaste4" localSheetId="7" hidden="1">'[4]Carteira 20'!#REF!</definedName>
    <definedName name="XRefPaste4" hidden="1">'[4]Carteira 20'!#REF!</definedName>
    <definedName name="XRefPaste4Row" hidden="1">[6]XREF!$3:$3</definedName>
    <definedName name="XRefPaste5Row" localSheetId="1" hidden="1">#REF!</definedName>
    <definedName name="XRefPaste5Row" localSheetId="7" hidden="1">#REF!</definedName>
    <definedName name="XRefPaste5Row" hidden="1">#REF!</definedName>
    <definedName name="XRefPaste6" hidden="1">[7]Eurodep_20!$W$18</definedName>
    <definedName name="XRefPaste6Row" hidden="1">[6]XREF!$6:$6</definedName>
    <definedName name="XRefPaste7Row" hidden="1">[6]XREF!$11:$11</definedName>
    <definedName name="XRefPaste8Row" localSheetId="1" hidden="1">#REF!</definedName>
    <definedName name="XRefPaste8Row" localSheetId="7" hidden="1">#REF!</definedName>
    <definedName name="XRefPaste8Row" hidden="1">#REF!</definedName>
    <definedName name="XRefPaste9" localSheetId="1" hidden="1">'[4]Carteira 20'!#REF!</definedName>
    <definedName name="XRefPaste9" localSheetId="7" hidden="1">'[4]Carteira 20'!#REF!</definedName>
    <definedName name="XRefPaste9" hidden="1">'[4]Carteira 20'!#REF!</definedName>
    <definedName name="XRefPaste9Row" localSheetId="1"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4" i="46" l="1" a="1"/>
  <c r="I24" i="46" s="1"/>
  <c r="I23" i="46" a="1"/>
  <c r="I23" i="46" s="1"/>
  <c r="G20" i="46" a="1"/>
  <c r="G20" i="46" s="1"/>
  <c r="G21" i="46" a="1"/>
  <c r="G21" i="46" s="1"/>
  <c r="G8" i="45" a="1"/>
  <c r="G8" i="45"/>
  <c r="G8" i="44" a="1"/>
  <c r="G8" i="44"/>
  <c r="I24" i="45" a="1"/>
  <c r="G9" i="45" s="1" a="1"/>
  <c r="G9" i="45" s="1"/>
  <c r="I24" i="45"/>
  <c r="G19" i="45" s="1" a="1"/>
  <c r="G19" i="45" s="1"/>
  <c r="I23" i="45" a="1"/>
  <c r="I23" i="45"/>
  <c r="G20" i="45" s="1" a="1"/>
  <c r="G20" i="45" s="1"/>
  <c r="G21" i="45" a="1"/>
  <c r="G21" i="45" s="1"/>
  <c r="I23" i="44" a="1"/>
  <c r="I23" i="44"/>
  <c r="G20" i="44" s="1" a="1"/>
  <c r="G20" i="44" s="1"/>
  <c r="G8" i="43" a="1"/>
  <c r="G8" i="43"/>
  <c r="I24" i="44" a="1"/>
  <c r="G9" i="44" s="1" a="1"/>
  <c r="G9" i="44" s="1"/>
  <c r="I24" i="44"/>
  <c r="G19" i="44" s="1" a="1"/>
  <c r="G19" i="44" s="1"/>
  <c r="G21" i="44" a="1"/>
  <c r="G21" i="44" s="1"/>
  <c r="I24" i="43" a="1"/>
  <c r="G9" i="43" s="1" a="1"/>
  <c r="G9" i="43" s="1"/>
  <c r="I24" i="43"/>
  <c r="G19" i="43" s="1" a="1"/>
  <c r="G19" i="43" s="1"/>
  <c r="I23" i="43" a="1"/>
  <c r="I23" i="43"/>
  <c r="G20" i="43" s="1" a="1"/>
  <c r="G20" i="43" s="1"/>
  <c r="H54" i="28"/>
  <c r="G21" i="43" l="1" a="1"/>
  <c r="G21" i="4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tc={A0C332B1-8720-4334-A76C-1AD82429A842}</author>
  </authors>
  <commentList>
    <comment ref="C85" authorId="0" shapeId="0" xr:uid="{A0C332B1-8720-4334-A76C-1AD82429A842}">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tc={5D4EC1EF-F5CD-42E8-9B53-73CB883E3F63}</author>
  </authors>
  <commentList>
    <comment ref="C83" authorId="0" shapeId="0" xr:uid="{5D4EC1EF-F5CD-42E8-9B53-73CB883E3F63}">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<sst xmlns="http://schemas.openxmlformats.org/spreadsheetml/2006/main" count="4678" uniqueCount="1657">
  <si>
    <t>Modelo Comum de Dados - Pagamentos</t>
  </si>
  <si>
    <t>SCHEMA</t>
  </si>
  <si>
    <t>TABELA</t>
  </si>
  <si>
    <t>DESCRIÇÃO</t>
  </si>
  <si>
    <t>common_payments_directdebits</t>
  </si>
  <si>
    <t>direct_debit</t>
  </si>
  <si>
    <t>Contains the information about the sent and received direct debits.</t>
  </si>
  <si>
    <t>common_payments_transfersepatarget</t>
  </si>
  <si>
    <t>transfer_sepatarget</t>
  </si>
  <si>
    <t>Contains the information about the sent and received sepa target transfers.</t>
  </si>
  <si>
    <t>common_payments_transfersothers</t>
  </si>
  <si>
    <t>transfer_other</t>
  </si>
  <si>
    <t>Contais the information about the sent and received transfers that are not included in the remaining tables.</t>
  </si>
  <si>
    <t>common_payments_transferswift</t>
  </si>
  <si>
    <t>swift_message</t>
  </si>
  <si>
    <t>Contains the information about the raw format of the messages associated with the swift transfers.</t>
  </si>
  <si>
    <t>transfer_swift</t>
  </si>
  <si>
    <t>Contains the information about the sent and received swift transfers.</t>
  </si>
  <si>
    <t>common_payments_checks</t>
  </si>
  <si>
    <t>check_clearing</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</si>
  <si>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</si>
  <si>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</si>
  <si>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</si>
  <si>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</si>
  <si>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</si>
  <si>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</si>
  <si>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</si>
  <si>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</si>
  <si>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</si>
  <si>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</si>
  <si>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</si>
  <si>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</si>
  <si>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</si>
  <si>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</si>
  <si>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</si>
  <si>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</si>
  <si>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</si>
  <si>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</si>
  <si>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</si>
  <si>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</si>
  <si>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</si>
  <si>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</si>
  <si>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</si>
  <si>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</si>
  <si>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</si>
  <si>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</si>
  <si>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</si>
  <si>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</si>
  <si>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</si>
  <si>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</si>
  <si>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</si>
  <si>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</si>
  <si>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</si>
  <si>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</si>
  <si>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</si>
  <si>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</si>
  <si>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</si>
  <si>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</si>
  <si>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</si>
  <si>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</si>
  <si>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</si>
  <si>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</si>
  <si>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</si>
  <si>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</si>
  <si>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</si>
  <si>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</si>
  <si>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</si>
  <si>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</si>
  <si>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</si>
  <si>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</si>
  <si>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</si>
  <si>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</si>
  <si>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</si>
  <si>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</si>
  <si>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</si>
  <si>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</si>
  <si>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</si>
  <si>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</si>
  <si>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</si>
  <si>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</si>
  <si>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</si>
  <si>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</si>
  <si>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</si>
  <si>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</si>
  <si>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</si>
  <si>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</si>
  <si>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</si>
  <si>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</si>
  <si>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</si>
  <si>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</si>
  <si>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</si>
  <si>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</si>
  <si>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</si>
  <si>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</si>
  <si>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</si>
  <si>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</si>
  <si>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</si>
  <si>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</si>
  <si>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</si>
  <si>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</si>
  <si>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</si>
  <si>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</si>
  <si>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</si>
  <si>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</si>
  <si>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</si>
  <si>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</si>
  <si>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</si>
  <si>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</si>
  <si>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</si>
  <si>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</si>
  <si>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</si>
  <si>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</si>
  <si>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</si>
  <si>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</si>
  <si>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</si>
  <si>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</si>
  <si>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</si>
  <si>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</si>
  <si>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</si>
  <si>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</si>
  <si>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</si>
  <si>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</si>
  <si>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</si>
  <si>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</si>
  <si>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</si>
  <si>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</si>
  <si>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</si>
  <si>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</si>
  <si>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</si>
  <si>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</si>
  <si>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</si>
  <si>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</si>
  <si>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</si>
  <si>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</si>
  <si>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</si>
  <si>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</si>
  <si>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</si>
  <si>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</si>
  <si>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</si>
  <si>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</si>
  <si>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</si>
  <si>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</si>
  <si>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</si>
  <si>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</si>
  <si>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</si>
  <si>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</si>
  <si>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</si>
  <si>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</si>
  <si>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</si>
  <si>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</si>
  <si>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</si>
  <si>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</si>
  <si>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</si>
  <si>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</si>
  <si>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</si>
  <si>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</si>
  <si>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</si>
  <si>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</si>
  <si>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</si>
  <si>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</si>
  <si>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</si>
  <si>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</si>
  <si>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</si>
  <si>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</si>
  <si>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</si>
  <si>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</si>
  <si>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</si>
  <si>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</si>
  <si>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</si>
  <si>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</si>
  <si>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</si>
  <si>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</si>
  <si>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</si>
  <si>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</si>
  <si>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</si>
  <si>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</si>
  <si>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</si>
  <si>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</si>
  <si>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</si>
  <si>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</si>
  <si>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</si>
  <si>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</si>
  <si>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</si>
  <si>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</si>
  <si>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</si>
  <si>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</si>
  <si>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</si>
  <si>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</si>
  <si>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</si>
  <si>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</si>
  <si>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</si>
  <si>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</si>
  <si>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</si>
  <si>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</si>
  <si>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</si>
  <si>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</si>
  <si>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</si>
  <si>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</si>
  <si>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</si>
  <si>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</si>
  <si>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</si>
  <si>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</si>
  <si>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</si>
  <si>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</si>
  <si>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</si>
  <si>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</si>
  <si>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</si>
  <si>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</si>
  <si>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</si>
  <si>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</si>
  <si>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</si>
  <si>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</si>
  <si>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</si>
  <si>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</si>
  <si>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</si>
  <si>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</si>
  <si>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</si>
  <si>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</si>
  <si>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</si>
  <si>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</si>
  <si>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</si>
  <si>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</si>
  <si>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</si>
  <si>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</si>
  <si>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</si>
  <si>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</si>
  <si>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</si>
  <si>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</si>
  <si>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</si>
  <si>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</si>
  <si>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</si>
  <si>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</si>
  <si>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</si>
  <si>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</si>
  <si>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</si>
  <si>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</si>
  <si>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</si>
  <si>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</si>
  <si>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</si>
  <si>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</si>
  <si>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</si>
  <si>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</si>
  <si>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</si>
  <si>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</si>
  <si>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</si>
  <si>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</si>
  <si>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</si>
  <si>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</si>
  <si>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</si>
  <si>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</si>
  <si>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</si>
  <si>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</si>
  <si>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</si>
  <si>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</si>
  <si>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</si>
  <si>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</si>
  <si>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</si>
  <si>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</si>
  <si>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</si>
  <si>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</si>
  <si>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</si>
  <si>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</si>
  <si>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</si>
  <si>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</si>
  <si>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</si>
  <si>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</si>
  <si>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</si>
  <si>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</si>
  <si>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</si>
  <si>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</si>
  <si>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</si>
  <si>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</si>
  <si>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</si>
  <si>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</si>
  <si>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</si>
  <si>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</si>
  <si>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</si>
  <si>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</si>
  <si>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</si>
  <si>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</si>
  <si>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</si>
  <si>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</si>
  <si>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</si>
  <si>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</si>
  <si>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</si>
  <si>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</si>
  <si>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</si>
  <si>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</si>
  <si>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</si>
  <si>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</si>
  <si>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</si>
  <si>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</si>
  <si>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</si>
  <si>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</si>
  <si>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</si>
  <si>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</si>
  <si>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</si>
  <si>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</si>
  <si>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</si>
  <si>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</si>
  <si>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</si>
  <si>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</si>
  <si>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</si>
  <si>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</si>
  <si>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</si>
  <si>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</si>
  <si>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</si>
  <si>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</si>
  <si>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</si>
  <si>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</si>
  <si>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</si>
  <si>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</si>
  <si>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</si>
  <si>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</si>
  <si>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</si>
  <si>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</si>
  <si>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</si>
  <si>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</si>
  <si>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</si>
  <si>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</si>
  <si>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</si>
  <si>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</si>
  <si>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</si>
  <si>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</si>
  <si>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</si>
  <si>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</si>
  <si>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</si>
  <si>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</si>
  <si>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</si>
  <si>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</si>
  <si>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</si>
  <si>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</si>
  <si>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</si>
  <si>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</si>
  <si>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</si>
  <si>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</si>
  <si>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</si>
  <si>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</si>
  <si>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</si>
  <si>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</si>
  <si>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</si>
  <si>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</si>
  <si>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</si>
  <si>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</si>
  <si>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</si>
  <si>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</si>
  <si>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</si>
  <si>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</si>
  <si>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</si>
  <si>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</si>
  <si>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</si>
  <si>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</si>
  <si>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</si>
  <si>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</si>
  <si>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</si>
  <si>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</si>
  <si>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</si>
  <si>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</si>
  <si>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</si>
  <si>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</si>
  <si>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</si>
  <si>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</si>
  <si>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</si>
  <si>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</si>
  <si>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</si>
  <si>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</si>
  <si>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</si>
  <si>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</si>
  <si>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</si>
  <si>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</si>
  <si>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</si>
  <si>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</si>
  <si>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</si>
  <si>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</si>
  <si>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</si>
  <si>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</si>
  <si>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</si>
  <si>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</si>
  <si>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</si>
  <si>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</si>
  <si>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</si>
  <si>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</si>
  <si>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</si>
  <si>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</si>
  <si>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</si>
  <si>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</si>
  <si>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</si>
  <si>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</si>
  <si>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</si>
  <si>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</si>
  <si>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</si>
  <si>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</si>
  <si>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</si>
  <si>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</si>
  <si>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</si>
  <si>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</si>
  <si>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</si>
  <si>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</si>
  <si>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</si>
  <si>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</si>
  <si>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</si>
  <si>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</si>
  <si>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</si>
  <si>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</si>
  <si>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</si>
  <si>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</si>
  <si>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</si>
  <si>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</si>
  <si>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</si>
  <si>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</si>
  <si>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</si>
  <si>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</si>
  <si>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</si>
  <si>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</si>
  <si>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</si>
  <si>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</si>
  <si>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</si>
  <si>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</si>
  <si>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</si>
  <si>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</si>
  <si>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</si>
  <si>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</si>
  <si>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</si>
  <si>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</si>
  <si>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</si>
  <si>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</si>
  <si>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</si>
  <si>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</si>
  <si>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</si>
  <si>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</si>
  <si>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</si>
  <si>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</si>
  <si>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</si>
  <si>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</si>
  <si>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</si>
  <si>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</si>
  <si>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</si>
  <si>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</si>
  <si>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</si>
  <si>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</si>
  <si>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</si>
  <si>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</si>
  <si>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</si>
  <si>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</si>
  <si>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</si>
  <si>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</si>
  <si>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</si>
  <si>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</si>
  <si>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</si>
  <si>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</si>
  <si>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</si>
  <si>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</si>
  <si>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</si>
  <si>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</si>
  <si>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</si>
  <si>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</si>
  <si>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</si>
  <si>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</si>
  <si>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</si>
  <si>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</si>
  <si>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</si>
  <si>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</si>
  <si>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</si>
  <si>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</si>
  <si>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</si>
  <si>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</si>
  <si>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</si>
  <si>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</si>
  <si>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</si>
  <si>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</si>
  <si>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</si>
  <si>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</si>
  <si>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</si>
  <si>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</si>
  <si>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</si>
  <si>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</si>
  <si>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</si>
  <si>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</si>
  <si>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</si>
  <si>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</si>
  <si>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</si>
  <si>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</si>
  <si>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</si>
  <si>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</si>
  <si>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</si>
  <si>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</si>
  <si>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</si>
  <si>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</si>
  <si>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</si>
  <si>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</si>
  <si>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</si>
  <si>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</si>
  <si>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</si>
  <si>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</si>
  <si>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</si>
  <si>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</si>
  <si>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</si>
  <si>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</si>
  <si>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</si>
  <si>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</si>
  <si>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</si>
  <si>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</si>
  <si>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</si>
  <si>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</si>
  <si>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</si>
  <si>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</si>
  <si>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</si>
  <si>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</si>
  <si>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</si>
  <si>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</si>
  <si>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</si>
  <si>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</si>
  <si>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</si>
  <si>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</si>
  <si>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</si>
  <si>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</si>
  <si>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</si>
  <si>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</si>
  <si>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</si>
  <si>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</si>
  <si>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</si>
  <si>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</si>
  <si>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</si>
  <si>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</si>
  <si>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</si>
  <si>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</si>
  <si>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</si>
  <si>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</si>
  <si>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</si>
  <si>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</si>
  <si>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</si>
  <si>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</si>
  <si>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</si>
  <si>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</si>
  <si>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</si>
  <si>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</si>
  <si>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</si>
  <si>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</si>
  <si>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</si>
  <si>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</si>
  <si>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</si>
  <si>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</si>
  <si>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</si>
  <si>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</si>
  <si>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</si>
  <si>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</si>
  <si>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</si>
  <si>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</si>
  <si>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</si>
  <si>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</si>
  <si>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</si>
  <si>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</si>
  <si>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</si>
  <si>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</si>
  <si>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</si>
  <si>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</si>
  <si>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</si>
  <si>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</si>
  <si>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</si>
  <si>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</si>
  <si>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</si>
  <si>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</si>
  <si>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</si>
  <si>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</si>
  <si>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</si>
  <si>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</si>
  <si>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</si>
  <si>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</si>
  <si>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</si>
  <si>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</si>
  <si>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</si>
  <si>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</si>
  <si>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</si>
  <si>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</si>
  <si>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</si>
  <si>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</si>
  <si>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</si>
  <si>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</si>
  <si>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</si>
  <si>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</si>
  <si>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</si>
  <si>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</si>
  <si>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</si>
  <si>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</si>
  <si>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</si>
  <si>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</si>
  <si>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</si>
  <si>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</si>
  <si>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</si>
  <si>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</si>
  <si>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</si>
  <si>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</si>
  <si>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</si>
  <si>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</si>
  <si>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</si>
  <si>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</si>
  <si>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</si>
  <si>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</si>
  <si>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</si>
  <si>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</si>
  <si>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</si>
  <si>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</si>
  <si>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</si>
  <si>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</si>
  <si>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</si>
  <si>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</si>
  <si>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</si>
  <si>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</si>
  <si>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</si>
  <si>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</si>
  <si>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</si>
  <si>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</si>
  <si>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</si>
  <si>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</si>
  <si>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</si>
  <si>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</si>
  <si>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</si>
  <si>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</si>
  <si>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</si>
  <si>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</si>
  <si>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</si>
  <si>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</si>
  <si>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</si>
  <si>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</si>
  <si>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</si>
  <si>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</si>
  <si>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</si>
  <si>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</si>
  <si>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</si>
  <si>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</si>
  <si>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</si>
  <si>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</si>
  <si>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</si>
  <si>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</si>
  <si>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</si>
  <si>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</si>
  <si>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</si>
  <si>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</si>
  <si>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</si>
  <si>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</si>
  <si>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</si>
  <si>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</si>
  <si>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</si>
  <si>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</si>
  <si>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</si>
  <si>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</si>
  <si>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</si>
  <si>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</si>
  <si>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</si>
  <si>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</si>
  <si>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</si>
  <si>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</si>
  <si>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</si>
  <si>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</si>
  <si>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</si>
  <si>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</si>
  <si>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</si>
  <si>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</si>
  <si>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</si>
  <si>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</si>
  <si>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</si>
  <si>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</si>
  <si>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</si>
  <si>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</si>
  <si>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</si>
  <si>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</si>
  <si>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</si>
  <si>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</si>
  <si>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</si>
  <si>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</si>
  <si>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</si>
  <si>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</si>
  <si>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</si>
  <si>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</si>
  <si>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</si>
  <si>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</si>
  <si>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</si>
  <si>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</si>
  <si>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</si>
  <si>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</si>
  <si>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</si>
  <si>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</si>
  <si>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</si>
  <si>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</si>
  <si>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</si>
  <si>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</si>
  <si>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</si>
  <si>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</si>
  <si>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</si>
  <si>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</si>
  <si>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</si>
  <si>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</si>
  <si>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</si>
  <si>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</si>
  <si>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</si>
  <si>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</si>
  <si>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</si>
  <si>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Regras</t>
  </si>
  <si>
    <t>VALOR MANUAL FONTE</t>
  </si>
  <si>
    <t>Direct Debits Transaction</t>
  </si>
  <si>
    <t>Amount</t>
  </si>
  <si>
    <t>amount</t>
  </si>
  <si>
    <t>Debit - Ext  Inf - Value</t>
  </si>
  <si>
    <t>DECIMAL</t>
  </si>
  <si>
    <t xml:space="preserve">Transfer / payment amount exchanged. </t>
  </si>
  <si>
    <t xml:space="preserve">Montante envolvido na transferência / pagamento. </t>
  </si>
  <si>
    <t>CURATED_INTERNAL_MAINFRAME_DEBITOSDIRECTOS
CURATED_INTERNAL_MAINFRAME_DEBITOSDIRECTOS
CURATED_INTERNAL_MAINFRAME_DEBITOSDIRECTOS
CURATED_INTERNAL_MAINFRAME_DEBITOSDIRECTOS</t>
  </si>
  <si>
    <t>DDT03_IDDREC
DDT04_IDDEMI
DDT03_IDDREC
DDT04_IDDEMI</t>
  </si>
  <si>
    <t xml:space="preserve">DDYD03A4_MMOVIM 
DDYD04A6_MMOVIM 
DDYD03A4_MMOVIM 
DDYD04A6_MMOVIM </t>
  </si>
  <si>
    <r>
      <rPr>
        <b/>
        <sz val="11"/>
        <color rgb="FF000000"/>
        <rFont val="Calibri"/>
        <scheme val="minor"/>
      </rPr>
      <t xml:space="preserve">SELECT </t>
    </r>
    <r>
      <rPr>
        <sz val="11"/>
        <color rgb="FF000000"/>
        <rFont val="Calibri"/>
        <scheme val="minor"/>
      </rPr>
      <t xml:space="preserve">CAST( DDT03_IDDREC.DDYD03A4_MMOVIM AS DECIMAL(23, 6) )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CAST( DDT04.DDYD04A6_MMOVIM AS DECIMAL(23, 6))
</t>
    </r>
    <r>
      <rPr>
        <b/>
        <sz val="11"/>
        <color rgb="FF000000"/>
        <rFont val="Calibri"/>
        <scheme val="minor"/>
      </rPr>
      <t>WHERE</t>
    </r>
    <r>
      <rPr>
        <sz val="11"/>
        <color rgb="FF000000"/>
        <rFont val="Calibri"/>
        <scheme val="minor"/>
      </rPr>
      <t xml:space="preserve"> 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CAST( DDT03_IDDREC.DDYD03A4_MMOVIM AS DECIMAL(23, 6) )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CAST(DDT04.DDYD04A6_MMOVIM AS DECIMAL(23, 6))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</si>
  <si>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DD - Débitos Directos</t>
  </si>
  <si>
    <t>MMOVIM
MMOVIM
MMOVIM
MMOVIM</t>
  </si>
  <si>
    <t>N\A
N\A
N\A
N\A</t>
  </si>
  <si>
    <t>Transfer Other</t>
  </si>
  <si>
    <t>Transfer / payment amount exchanged.</t>
  </si>
  <si>
    <t>CURATED_INTERNAL_MAINFRAME_CARTOES</t>
  </si>
  <si>
    <t>CRT67</t>
  </si>
  <si>
    <t xml:space="preserve">MMOVIM </t>
  </si>
  <si>
    <t>SELECT CAST(CRT67.MMOVIM AS DECIMAL(23, 6))</t>
  </si>
  <si>
    <t>CR - Cartões</t>
  </si>
  <si>
    <t>CRT67_TBTRANSF</t>
  </si>
  <si>
    <t>N\A</t>
  </si>
  <si>
    <t>Transfer Sepa Target</t>
  </si>
  <si>
    <t>CURATED_INTERNAL_MAINFRAME_ESTRANGEIRO
CURATED_INTERNAL_MAINFRAME_ESTRANGEIRO
CURATED_INTERNAL_MAINFRAME_ESTRANGEIRO</t>
  </si>
  <si>
    <t>ORT01_SEPA_EMI
ORT01_SEPA_INT
ORT01_SEPA_REC</t>
  </si>
  <si>
    <t xml:space="preserve">ORYD01H9_MMOVIM 
ORYD01H9_MMOVIM 
ORYD01H9_MMOVIM </t>
  </si>
  <si>
    <r>
      <rPr>
        <b/>
        <sz val="11"/>
        <color rgb="FF000000"/>
        <rFont val="Calibri"/>
        <scheme val="minor"/>
      </rPr>
      <t xml:space="preserve">SELECT </t>
    </r>
    <r>
      <rPr>
        <sz val="11"/>
        <color rgb="FF000000"/>
        <rFont val="Calibri"/>
        <scheme val="minor"/>
      </rPr>
      <t xml:space="preserve">CAST( ORT01_SEPA_EMI.ORYD01H9_MMOVIM AS DECIMAL( 23, 6 ) )
</t>
    </r>
    <r>
      <rPr>
        <b/>
        <sz val="11"/>
        <color rgb="FF000000"/>
        <rFont val="Calibri"/>
        <scheme val="minor"/>
      </rPr>
      <t xml:space="preserve">SELECT </t>
    </r>
    <r>
      <rPr>
        <sz val="11"/>
        <color rgb="FF000000"/>
        <rFont val="Calibri"/>
        <scheme val="minor"/>
      </rPr>
      <t xml:space="preserve">CAST( ORT01_SEPA_INT.ORYD01H9_MMOVIM AS DECIMAL( 23, 6 ) )
</t>
    </r>
    <r>
      <rPr>
        <b/>
        <sz val="11"/>
        <color rgb="FF000000"/>
        <rFont val="Calibri"/>
        <scheme val="minor"/>
      </rPr>
      <t xml:space="preserve">SELECT </t>
    </r>
    <r>
      <rPr>
        <sz val="11"/>
        <color rgb="FF000000"/>
        <rFont val="Calibri"/>
        <scheme val="minor"/>
      </rPr>
      <t>CAST( ORT01_SEPA_REC.ORYD01H9_MMOVIM AS DECIMAL( 23, 6 ) )</t>
    </r>
  </si>
  <si>
    <t xml:space="preserve">OR - </t>
  </si>
  <si>
    <t>MMOVIM
MMOVIM
MMOVIM</t>
  </si>
  <si>
    <t>N/A
N/A
N/A</t>
  </si>
  <si>
    <t>Transfers Swift</t>
  </si>
  <si>
    <t>Internal Reference ID</t>
  </si>
  <si>
    <t>internal_reference_id</t>
  </si>
  <si>
    <t>STRING</t>
  </si>
  <si>
    <t>Unique identifier of a specific transfer.</t>
  </si>
  <si>
    <t xml:space="preserve">Identificador único da transferência.  </t>
  </si>
  <si>
    <t>X</t>
  </si>
  <si>
    <t>CURATED_INTERNAL_MAINFRAME_ESTRANGEIRO
CURATED_INTERNAL_MAINFRAME_ESTRANGEIRO
CURATED_INTERNAL_MAINFRAME_ESTRANGEIRO
CURATED_INTERNAL_MAINFRAME_TRANSFERENCIAS
CURATED_INTERNAL_MAINFRAME_TRANSFERENCIAS
CURATED_INTERNAL_MAINFRAME_TRANSFERENCIAS
CURATED_INTERNAL_MAINFRAME_TRANSFERENCIAS</t>
  </si>
  <si>
    <t>EST10_ORDENS
IGT05
RST03_MT101TRF
HH_TRANSF_EMIT
HH_SWIFT_RELAC
JK_ORDEN_ENVIAR
JK_ORDEN_CAMARA</t>
  </si>
  <si>
    <t>CKREFEST
CKREFEST
RSYD03A2_CREFMT101, RSYD03A2_ZREFTRF
IDCENT, CODPROD, NUMSOR
IDCENT, CODPROD, NUMSOR
IDCENT, SERVAPLI, NUMECONT
IDCENT, SERVAPLI, NUMECONT</t>
  </si>
  <si>
    <r>
      <rPr>
        <b/>
        <sz val="11"/>
        <color rgb="FF000000"/>
        <rFont val="Calibri"/>
        <scheme val="minor"/>
      </rPr>
      <t xml:space="preserve">SELECT </t>
    </r>
    <r>
      <rPr>
        <sz val="11"/>
        <color rgb="FF000000"/>
        <rFont val="Calibri"/>
        <scheme val="minor"/>
      </rPr>
      <t xml:space="preserve">EST10_ORDENS.CKREFEST
</t>
    </r>
    <r>
      <rPr>
        <b/>
        <sz val="11"/>
        <color rgb="FF000000"/>
        <rFont val="Calibri"/>
        <scheme val="minor"/>
      </rPr>
      <t xml:space="preserve">WHERE </t>
    </r>
    <r>
      <rPr>
        <sz val="11"/>
        <color rgb="FF000000"/>
        <rFont val="Calibri"/>
        <scheme val="minor"/>
      </rPr>
      <t xml:space="preserve">SUBSTRING( HTIMEST, 1, 10) &gt; SUBSTRING( LAST_DATA_DATE_PART, 1, 10 ) AND SUBSTRING( HTIMEST, 1, 10 ) &lt;= SUBSTRING( LAST_DATA_DATE_PART, 11, 10 )
</t>
    </r>
    <r>
      <rPr>
        <b/>
        <sz val="11"/>
        <color rgb="FF000000"/>
        <rFont val="Calibri"/>
        <scheme val="minor"/>
      </rPr>
      <t xml:space="preserve">SELECT </t>
    </r>
    <r>
      <rPr>
        <sz val="11"/>
        <color rgb="FF000000"/>
        <rFont val="Calibri"/>
        <scheme val="minor"/>
      </rPr>
      <t xml:space="preserve">IGT05.CKREFEST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CONCAT( RST03_MT101TRF.RSYD03A2_CREFMT101, LPAD( RST03_MT101TRF.RSYD03A2_ZREFTRF, 6, '0' ) )
</t>
    </r>
    <r>
      <rPr>
        <b/>
        <sz val="11"/>
        <color rgb="FF000000"/>
        <rFont val="Calibri"/>
        <scheme val="minor"/>
      </rPr>
      <t xml:space="preserve">WHERE </t>
    </r>
    <r>
      <rPr>
        <sz val="11"/>
        <color rgb="FF000000"/>
        <rFont val="Calibri"/>
        <scheme val="minor"/>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scheme val="minor"/>
      </rPr>
      <t xml:space="preserve">SELECT </t>
    </r>
    <r>
      <rPr>
        <sz val="11"/>
        <color rgb="FF000000"/>
        <rFont val="Calibri"/>
        <scheme val="minor"/>
      </rPr>
      <t xml:space="preserve">CONCAT( HH_TRANSF_EMIT.IDCENT, HH_TRANSF_EMIT.CODPROD, HH_TRANSF_EMIT.NUMSOR)
</t>
    </r>
    <r>
      <rPr>
        <b/>
        <sz val="11"/>
        <color rgb="FF000000"/>
        <rFont val="Calibri"/>
        <scheme val="minor"/>
      </rPr>
      <t xml:space="preserve">SELECT </t>
    </r>
    <r>
      <rPr>
        <sz val="11"/>
        <color rgb="FF000000"/>
        <rFont val="Calibri"/>
        <scheme val="minor"/>
      </rPr>
      <t xml:space="preserve">CONCAT( HH_SWIFT_RELAC.IDCENT, HH_SWIFT_RELAC.CODPROD, HH_SWIFT_RELAC.NUMSOR)
</t>
    </r>
    <r>
      <rPr>
        <b/>
        <sz val="11"/>
        <color rgb="FF000000"/>
        <rFont val="Calibri"/>
        <scheme val="minor"/>
      </rPr>
      <t xml:space="preserve">SELECT </t>
    </r>
    <r>
      <rPr>
        <sz val="11"/>
        <color rgb="FF000000"/>
        <rFont val="Calibri"/>
        <scheme val="minor"/>
      </rPr>
      <t xml:space="preserve">CONCAT( JK_ORDEN_ENVIAR.IDCENT, JK_ORDEN_ENVIAR.SERVAPLI, JK_ORDEN_ENVIAR.NUMECONT )
</t>
    </r>
    <r>
      <rPr>
        <b/>
        <sz val="11"/>
        <color rgb="FF000000"/>
        <rFont val="Calibri"/>
        <scheme val="minor"/>
      </rPr>
      <t xml:space="preserve">WHERE </t>
    </r>
    <r>
      <rPr>
        <sz val="11"/>
        <color rgb="FF000000"/>
        <rFont val="Calibri"/>
        <scheme val="minor"/>
      </rPr>
      <t>CONCAT( JK_ORDEN_ENVIAR.TIPMSJ, JK_ORDEN_ENVIAR.INDMSJ, JK_ORDEN_ENVIAR.NUMMSJ) != 'MT103'
SELECT CONCAT( JK_ORDEN_CAMARA.IDCENT, JK_ORDEN_CAMARA.SERVAPLI, JK_ORDEN_CAMARA.NUMECONT )
WHERE CONCAT( JK_ORDEN_CAMARA.TIPMSJ, JK_ORDEN_CAMARA.INDMSJ, JK_ORDEN_CAMARA.NUMMSJ) != 'MT103'</t>
    </r>
  </si>
  <si>
    <t xml:space="preserve">ES - Estrangeiro
IG - 
RS -
HH - 
HH - 
JK - </t>
  </si>
  <si>
    <t>EST10_ORDENS
IGT05_CONFIRMA
RST03_MT101TRF
HH_TRANSF_EMIT
HH_SWIFT_RELAC
JK_ORDEN_ENVIAR
JK_ORDEN_CAMARA</t>
  </si>
  <si>
    <t>CKREFEST
CKREFEST
CONCAT( CREFMT101, ZREFTRF )
CONCAT( IDCENT, CODPROD, NUMSOR)
NUMTRN
CONCAT(IDCENT, SERVAPLI, NUMECONT)
CONCAT(IDCENT, SERVAPLI, NUMECONT)</t>
  </si>
  <si>
    <t>N\A 
N\A
N\A
N\A
N\A
N\A
N\A</t>
  </si>
  <si>
    <t>Authorization Number</t>
  </si>
  <si>
    <t>authorization_number</t>
  </si>
  <si>
    <t>Autorization's unique identifier number</t>
  </si>
  <si>
    <t>Número do indentificador único associado a uma autorização.</t>
  </si>
  <si>
    <t>DDYD03A4_CNUMAUT
DDYD04A6_CNUMAUT
DDYD03A4_CNUMAUT
DDYD04A6_CNUMAUT</t>
  </si>
  <si>
    <r>
      <rPr>
        <b/>
        <sz val="11"/>
        <color rgb="FF000000"/>
        <rFont val="Calibri"/>
        <scheme val="minor"/>
      </rPr>
      <t>SELECT</t>
    </r>
    <r>
      <rPr>
        <sz val="11"/>
        <color rgb="FF000000"/>
        <rFont val="Calibri"/>
        <scheme val="minor"/>
      </rPr>
      <t xml:space="preserve"> IF( TRIM( DDT03_IDDREC.DDYD03A4_CNUMAUT ) = '', NULL, DDT03_IDDREC.DDYD03A4_CNUMAUT)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IF(TRIM(DDT04_IDDEMI.DDYD04A6_CNUMAUT) = '', NULL, DDT04_IDDEMI.DDYD04A6_CNUMAUT)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IF(TRIM(DDT03_IDDREC.DDYD03A4_CNUMAUT) = '', NULL, DDT03_IDDREC.DDYD03A4_CNUMAUT)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IF(TRIM(DDT04_IDDEMI.DDYD04A6_CNUMAUT) = '', NULL, DDT04_IDDEMI.DDYD04A6_CNUMAUT)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</si>
  <si>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CNUMAUT
CNUMAUT
CNUMAUT
CNUMAUT</t>
  </si>
  <si>
    <t>Batch ID</t>
  </si>
  <si>
    <t>batch_id</t>
  </si>
  <si>
    <t>Key - ID</t>
  </si>
  <si>
    <t xml:space="preserve">Unique identifier of a specific transfer.  </t>
  </si>
  <si>
    <t>DDYD03A4_CREFLOT
DDYD04A6_CREFLOT
DDYD03A4_CREFLOT
DDYD04A6_CREFLOT</t>
  </si>
  <si>
    <r>
      <rPr>
        <b/>
        <sz val="11"/>
        <color rgb="FF000000"/>
        <rFont val="Calibri"/>
        <scheme val="minor"/>
      </rPr>
      <t xml:space="preserve">SELECT </t>
    </r>
    <r>
      <rPr>
        <sz val="11"/>
        <color rgb="FF000000"/>
        <rFont val="Calibri"/>
        <scheme val="minor"/>
      </rPr>
      <t xml:space="preserve">DDT03_IDDREC.DDYD03A4_CREFLOT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DDT04_IDDEMI.DDYD04A6_CREFLOT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DDT03_IDDREC.DDYD03A4_CREFLOT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DDT04_IDDEMI.DDYD04A6_CREFLOT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</si>
  <si>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CREFLOT
CREFLOT
CREFLOT
CREFLOT</t>
  </si>
  <si>
    <t>Check Clearing</t>
  </si>
  <si>
    <t>Account Number</t>
  </si>
  <si>
    <t>account_number</t>
  </si>
  <si>
    <t>BIGINT</t>
  </si>
  <si>
    <t>Identifier of the sender account (which appears in the optical character recognition of the check).</t>
  </si>
  <si>
    <t>Identificador da conta do remetente (apresentdo na linha ótica do cheque).</t>
  </si>
  <si>
    <t>CURATED_INTERNAL_MAINFRAME_CHEQUESCOMPENSACAO
CURATED_INTERNAL_MAINFRAME_CHEQUESCOMPENSACAO</t>
  </si>
  <si>
    <t>CCT71_APRESENT
CCT72_RECEBIDA</t>
  </si>
  <si>
    <t>CKNUMCTA
CKNUMCTA</t>
  </si>
  <si>
    <r>
      <rPr>
        <b/>
        <sz val="11"/>
        <color rgb="FF000000"/>
        <rFont val="Calibri"/>
      </rPr>
      <t xml:space="preserve">SELECT </t>
    </r>
    <r>
      <rPr>
        <sz val="11"/>
        <color rgb="FF000000"/>
        <rFont val="Calibri"/>
      </rPr>
      <t xml:space="preserve">CCT71_APRESENT.CKNUMCTA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CCT72_RECEBIDA.CKNUMCTA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</si>
  <si>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CC - Cheque Compensação
CC - Cheque Compensação</t>
  </si>
  <si>
    <t>N\A
N\A</t>
  </si>
  <si>
    <t>Currency Code</t>
  </si>
  <si>
    <t>currency_code</t>
  </si>
  <si>
    <t>Debit - Ext  Inf - Code</t>
  </si>
  <si>
    <t xml:space="preserve">Currency code related to the amount received in the transfer/payment.  </t>
  </si>
  <si>
    <t xml:space="preserve">Código da moeda relativo ao montante recebido na transferência/pagamento. </t>
  </si>
  <si>
    <t>CURATED_INTERNAL_MAINFRAME_ESTRUTURAIS
CURATED_INTERNAL_MAINFRAME_ESTRUTURAIS
CURATED_INTERNAL_MAINFRAME_ESTRUTURAIS
CURATED_INTERNAL_MAINFRAME_ESTRUTURAIS</t>
  </si>
  <si>
    <t>TAT91_TABELAS_NEW
TAT91_TABELAS_NEW
TAT91_TABELAS_NEW
TAT91_TABELAS_NEW</t>
  </si>
  <si>
    <t>TAYD91C0_CELEMTAB
TAYD91C0_CELEMTAB
TAYD91C0_CELEMTAB
TAYD91C0_CELEMTAB</t>
  </si>
  <si>
    <r>
      <rPr>
        <b/>
        <sz val="11"/>
        <color rgb="FF000000"/>
        <rFont val="Calibri"/>
        <scheme val="minor"/>
      </rPr>
      <t xml:space="preserve">SELECT </t>
    </r>
    <r>
      <rPr>
        <sz val="11"/>
        <color rgb="FF000000"/>
        <rFont val="Calibri"/>
        <scheme val="minor"/>
      </rPr>
      <t xml:space="preserve">IF(TRIM(TAT91_TABELAS_NEW.TAYD91C0_CELEMTAB) = '', NULL, TRIM(TAT91_TABELAS_NEW.TAYD91C0_CELEMTAB))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AND TAT91_TABELAS_NEW.TAYD91C0_CTABELA = '206'
</t>
    </r>
    <r>
      <rPr>
        <b/>
        <sz val="11"/>
        <color rgb="FF000000"/>
        <rFont val="Calibri"/>
        <scheme val="minor"/>
      </rPr>
      <t xml:space="preserve">SELECT </t>
    </r>
    <r>
      <rPr>
        <sz val="11"/>
        <color rgb="FF000000"/>
        <rFont val="Calibri"/>
        <scheme val="minor"/>
      </rPr>
      <t xml:space="preserve">IF(TRIM(TAT91_TABELAS_NEW.TAYD91C0_CELEMTAB) = '', NULL, TRIM(TAT91_TABELAS_NEW.TAYD91C0_CELEMTAB))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AND TAT91_TABELAS_NEW.TAYD91C0_CTABELA = '206'
</t>
    </r>
    <r>
      <rPr>
        <b/>
        <sz val="11"/>
        <color rgb="FF000000"/>
        <rFont val="Calibri"/>
        <scheme val="minor"/>
      </rPr>
      <t xml:space="preserve">SELECT </t>
    </r>
    <r>
      <rPr>
        <sz val="11"/>
        <color rgb="FF000000"/>
        <rFont val="Calibri"/>
        <scheme val="minor"/>
      </rPr>
      <t xml:space="preserve">IF(TRIM(TAT91_TABELAS_NEW.TAYD91C0_CELEMTAB) = '', NULL, TRIM(TAT91_TABELAS_NEW.TAYD91C0_CELEMTAB))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AND TAT91_TABELAS_NEW.TAYD91C0_CTABELA = '206'
</t>
    </r>
    <r>
      <rPr>
        <b/>
        <sz val="11"/>
        <color rgb="FF000000"/>
        <rFont val="Calibri"/>
        <scheme val="minor"/>
      </rPr>
      <t xml:space="preserve">SELECT </t>
    </r>
    <r>
      <rPr>
        <sz val="11"/>
        <color rgb="FF000000"/>
        <rFont val="Calibri"/>
        <scheme val="minor"/>
      </rPr>
      <t xml:space="preserve">IF(TRIM(TAT91_TABELAS_NEW.TAYD91C0_CELEMTAB) = '', NULL, TRIM(TAT91_TABELAS_NEW.TAYD91C0_CELEMTAB))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</si>
  <si>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DDT03_IDDREC -&gt; TAT91_TABELAS_NEW
DDT04_IDDEMI -&gt; TAT91_TABELAS_NEW
DDT03_IDDREC -&gt; TAT91_TABELAS_NEW
DDT04_IDDEMI -&gt; TAT91_TABELAS_NEW</t>
  </si>
  <si>
    <t>Currency code related to the amount sent in the transfer/payment.</t>
  </si>
  <si>
    <t xml:space="preserve">Código da moeda relativo ao montante enviado na transferência/pagamento. </t>
  </si>
  <si>
    <t>N/A</t>
  </si>
  <si>
    <t>SELECT '978'</t>
  </si>
  <si>
    <t>"EUR"</t>
  </si>
  <si>
    <t xml:space="preserve">Currency code related to the amount sent in the transfer/payment.  </t>
  </si>
  <si>
    <t>CURATED_INTERNAL_MAINFRAME_ESTRUTURAIS
CURATED_INTERNAL_MAINFRAME_ESTRUTURAIS
CURATED_INTERNAL_MAINFRAME_ESTRUTURAIS</t>
  </si>
  <si>
    <t>TAT91_TABELAS_NEW
TAT91_TABELAS_NEW
TAT91_TABELAS_NEW</t>
  </si>
  <si>
    <t>TAYD91C0_CELEMTAB
TAYD91C0_CELEMTAB
TAYD91C0_CELEMTAB</t>
  </si>
  <si>
    <r>
      <rPr>
        <b/>
        <sz val="11"/>
        <color rgb="FF000000"/>
        <rFont val="Calibri"/>
        <scheme val="minor"/>
      </rPr>
      <t xml:space="preserve">SELECT </t>
    </r>
    <r>
      <rPr>
        <sz val="11"/>
        <color rgb="FF000000"/>
        <rFont val="Calibri"/>
        <scheme val="minor"/>
      </rPr>
      <t xml:space="preserve">IF( TRIM( TAT91_TABELAS_NEW.TAYD91C0_CELEMTAB) = '', NULL, TRIM( TAT91_TABELAS_NEW.TAYD91C0_CELEMTAB ) ) 
</t>
    </r>
    <r>
      <rPr>
        <b/>
        <sz val="11"/>
        <color rgb="FF000000"/>
        <rFont val="Calibri"/>
        <scheme val="minor"/>
      </rPr>
      <t xml:space="preserve">WHERE </t>
    </r>
    <r>
      <rPr>
        <sz val="11"/>
        <color rgb="FF000000"/>
        <rFont val="Calibri"/>
        <scheme val="minor"/>
      </rPr>
      <t xml:space="preserve">TAT91_TABELAS_NEW.TAYD91C0_CTABELA = '206' 
</t>
    </r>
    <r>
      <rPr>
        <b/>
        <sz val="11"/>
        <color rgb="FF000000"/>
        <rFont val="Calibri"/>
        <scheme val="minor"/>
      </rPr>
      <t xml:space="preserve">SELECT </t>
    </r>
    <r>
      <rPr>
        <sz val="11"/>
        <color rgb="FF000000"/>
        <rFont val="Calibri"/>
        <scheme val="minor"/>
      </rPr>
      <t xml:space="preserve">IF( TRIM( TAT91_TABELAS_NEW.TAYD91C0_CELEMTAB) = '', NULL, TRIM( TAT91_TABELAS_NEW.TAYD91C0_CELEMTAB ) ) 
</t>
    </r>
    <r>
      <rPr>
        <b/>
        <sz val="11"/>
        <color rgb="FF000000"/>
        <rFont val="Calibri"/>
        <scheme val="minor"/>
      </rPr>
      <t xml:space="preserve">WHERE </t>
    </r>
    <r>
      <rPr>
        <sz val="11"/>
        <color rgb="FF000000"/>
        <rFont val="Calibri"/>
        <scheme val="minor"/>
      </rPr>
      <t xml:space="preserve">TAT91_TABELAS_NEW.TAYD91C0_CTABELA = '206' 
</t>
    </r>
    <r>
      <rPr>
        <b/>
        <sz val="11"/>
        <color rgb="FF000000"/>
        <rFont val="Calibri"/>
        <scheme val="minor"/>
      </rPr>
      <t xml:space="preserve">SELECT </t>
    </r>
    <r>
      <rPr>
        <sz val="11"/>
        <color rgb="FF000000"/>
        <rFont val="Calibri"/>
        <scheme val="minor"/>
      </rPr>
      <t xml:space="preserve">IF( TRIM( TAT91_TABELAS_NEW.TAYD91C0_CELEMTAB) = '', NULL, TRIM( TAT91_TABELAS_NEW.TAYD91C0_CELEMTAB ) ) 
</t>
    </r>
    <r>
      <rPr>
        <b/>
        <sz val="11"/>
        <color rgb="FF000000"/>
        <rFont val="Calibri"/>
        <scheme val="minor"/>
      </rPr>
      <t xml:space="preserve">WHERE </t>
    </r>
    <r>
      <rPr>
        <sz val="11"/>
        <color rgb="FF000000"/>
        <rFont val="Calibri"/>
        <scheme val="minor"/>
      </rPr>
      <t xml:space="preserve">TAT91_TABELAS_NEW.TAYD91C0_CTABELA = '206' 
</t>
    </r>
  </si>
  <si>
    <t>ORT01_SEPA_EMI -&gt; TAT91_TABELAS_NEW
ORT01_SEPA_INT -&gt; TAT91_TABELAS_NEW
ORT01_SEPA_REC -&gt; TAT91_TABELAS_NEW</t>
  </si>
  <si>
    <t>Transfer Direction Code</t>
  </si>
  <si>
    <t>transfer_direction_code</t>
  </si>
  <si>
    <t xml:space="preserve">Transfer/payment direction indicator which evaluates if the transaction is sent or received. </t>
  </si>
  <si>
    <t xml:space="preserve">Indicador da direção/sentido da transferência/pagamento avaliando se a transação é enviada ou recebida. </t>
  </si>
  <si>
    <t>N/A
CURATED_INTERNAL_MAINFRAME_ESTRANGEIRO
N/A
N/A
N/A
N/A
N/A</t>
  </si>
  <si>
    <t>N/A
IGT05
N/A
N/A
N/A
N/A
N/A</t>
  </si>
  <si>
    <t>N/A
N/A
N/A
N/A
N/A
N/A
N/A</t>
  </si>
  <si>
    <r>
      <rPr>
        <b/>
        <sz val="11"/>
        <color rgb="FF000000"/>
        <rFont val="Calibri"/>
        <scheme val="minor"/>
      </rPr>
      <t xml:space="preserve">SELECT </t>
    </r>
    <r>
      <rPr>
        <sz val="11"/>
        <color rgb="FF000000"/>
        <rFont val="Calibri"/>
        <scheme val="minor"/>
      </rPr>
      <t xml:space="preserve">'REC'
</t>
    </r>
    <r>
      <rPr>
        <b/>
        <sz val="11"/>
        <color rgb="FF000000"/>
        <rFont val="Calibri"/>
        <scheme val="minor"/>
      </rPr>
      <t xml:space="preserve">SELECT </t>
    </r>
    <r>
      <rPr>
        <sz val="11"/>
        <color rgb="FF000000"/>
        <rFont val="Calibri"/>
        <scheme val="minor"/>
      </rPr>
      <t xml:space="preserve">CASE 
    WHEN SUBSTRING( IGT05.ENDERECO_SWIFT_DEB, 1, 8 ) = 'TOTAPTPL' AND SUBSTRING( IGT05.ENDER_SWIFT_CRED, 1, 8) = 'TOTAPTPL' THEN 'INT'
    WHEN SUBSTRING( IGT05.ENDERECO_SWIFT_DEB, 1, 8 ) = 'TOTAPTPL' AND SUBSTRING( IGT05.ENDER_SWIFT_CRED, 1, 8) != 'TOTAPTPL' THEN 'SEN'
    WHEN SUBSTRING( IGT05.ENDERECO_SWIFT_DEB, 1, 8 ) != 'TOTAPTPL' AND SUBSTRING( IGT05.ENDER_SWIFT_CRED, 1, 8) = 'TOTAPTPL' THEN 'REC'
    ELSE NULL
END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'INT'
</t>
    </r>
    <r>
      <rPr>
        <b/>
        <sz val="11"/>
        <color rgb="FF000000"/>
        <rFont val="Calibri"/>
        <scheme val="minor"/>
      </rPr>
      <t xml:space="preserve">SELECT </t>
    </r>
    <r>
      <rPr>
        <sz val="11"/>
        <color rgb="FF000000"/>
        <rFont val="Calibri"/>
        <scheme val="minor"/>
      </rPr>
      <t xml:space="preserve">'SEN'
</t>
    </r>
    <r>
      <rPr>
        <b/>
        <sz val="11"/>
        <color rgb="FF000000"/>
        <rFont val="Calibri"/>
        <scheme val="minor"/>
      </rPr>
      <t xml:space="preserve">SELECT </t>
    </r>
    <r>
      <rPr>
        <sz val="11"/>
        <color rgb="FF000000"/>
        <rFont val="Calibri"/>
        <scheme val="minor"/>
      </rPr>
      <t xml:space="preserve">'REC'
</t>
    </r>
    <r>
      <rPr>
        <b/>
        <sz val="11"/>
        <color rgb="FF000000"/>
        <rFont val="Calibri"/>
        <scheme val="minor"/>
      </rPr>
      <t xml:space="preserve">SELECT </t>
    </r>
    <r>
      <rPr>
        <sz val="11"/>
        <color rgb="FF000000"/>
        <rFont val="Calibri"/>
        <scheme val="minor"/>
      </rPr>
      <t xml:space="preserve">'SEN'
</t>
    </r>
    <r>
      <rPr>
        <b/>
        <sz val="11"/>
        <color rgb="FF000000"/>
        <rFont val="Calibri"/>
        <scheme val="minor"/>
      </rPr>
      <t xml:space="preserve">SELECT </t>
    </r>
    <r>
      <rPr>
        <sz val="11"/>
        <color rgb="FF000000"/>
        <rFont val="Calibri"/>
        <scheme val="minor"/>
      </rPr>
      <t>'REC'</t>
    </r>
  </si>
  <si>
    <t>N\A
N\A
N\A
N\A
N\A
N\A
N\A</t>
  </si>
  <si>
    <t>fixed 'Received' || If BANCO_RECEPTOR='TOTAPTPLIBO' THEN 'Recebido' else 'Emitido' || N/A || IF TRANSFER_ID IN HH_OPERAC_TRANS then 'Emitida' else 'Recebida'</t>
  </si>
  <si>
    <t>"REC"
N\A
"INT"
"SEN "
"REC"
"SEN" 
"REC"</t>
  </si>
  <si>
    <t xml:space="preserve">Data Date Part </t>
  </si>
  <si>
    <t>data_date_part</t>
  </si>
  <si>
    <t>Key - Date</t>
  </si>
  <si>
    <t>Information reference date.</t>
  </si>
  <si>
    <t>Data de referência dos dados</t>
  </si>
  <si>
    <t>DATA_DATE_PART
DATA_DATE_PART
DATA_DATE_PART
DATA_DATE_PART</t>
  </si>
  <si>
    <r>
      <rPr>
        <b/>
        <sz val="11"/>
        <color rgb="FF000000"/>
        <rFont val="Calibri"/>
        <scheme val="minor"/>
      </rPr>
      <t xml:space="preserve">SELECT </t>
    </r>
    <r>
      <rPr>
        <sz val="11"/>
        <color rgb="FF000000"/>
        <rFont val="Calibri"/>
        <scheme val="minor"/>
      </rPr>
      <t xml:space="preserve">DDT03_IDDREC.DATA_DATE_PART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DDT04_IDDEMI.DATA_DATE_PART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
SELECT </t>
    </r>
    <r>
      <rPr>
        <sz val="11"/>
        <color rgb="FF000000"/>
        <rFont val="Calibri"/>
        <scheme val="minor"/>
      </rPr>
      <t xml:space="preserve">DDT03_IDDREC.DATA_DATE_PART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DDT04_IDDEMI.DATA_DATE_PART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</si>
  <si>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Swift Message</t>
  </si>
  <si>
    <t>Message User Reference Identifier</t>
  </si>
  <si>
    <t>message_user_reference_id</t>
  </si>
  <si>
    <t xml:space="preserve">Unique identifier of the message. </t>
  </si>
  <si>
    <t xml:space="preserve">Identificador único da mensagem. </t>
  </si>
  <si>
    <t>Payments</t>
  </si>
  <si>
    <t>Message ID</t>
  </si>
  <si>
    <t>CURATED_INTERNAL_MAINFRAME_ESTRANGEIRO</t>
  </si>
  <si>
    <t>EST94_HISMSGSW</t>
  </si>
  <si>
    <t xml:space="preserve">ESYD94A5_CMUR </t>
  </si>
  <si>
    <r>
      <rPr>
        <b/>
        <sz val="11"/>
        <color rgb="FF000000"/>
        <rFont val="Calibri"/>
      </rPr>
      <t xml:space="preserve">SELECT </t>
    </r>
    <r>
      <rPr>
        <sz val="11"/>
        <color rgb="FF000000"/>
        <rFont val="Calibri"/>
      </rPr>
      <t xml:space="preserve">EST94_HISMSGSW.ESYD94A5_CMUR
</t>
    </r>
    <r>
      <rPr>
        <b/>
        <sz val="11"/>
        <color rgb="FF000000"/>
        <rFont val="Calibri"/>
      </rPr>
      <t>WHERE</t>
    </r>
    <r>
      <rPr>
        <sz val="11"/>
        <color rgb="FF000000"/>
        <rFont val="Calibri"/>
      </rPr>
      <t xml:space="preserve"> SUBSTRING( EST94_HISMSGSW.ESYD94A5_HTIMEST, 1, 10 ) &gt; SUBSTRING( LAST_DATA_DATE_PART, 1, 10 ) AND SUBSTRING( EST94_HISMSGSW.ESYD94A5_HTIMEST, 1, 10) &lt;= SUBSTRING( LAST_DATA_DATE_PART, 11, 10 )
AND EST94_HISMSGSW.ESYD94A5_TIPMTMX IN ('pacs.008', 'pacs.009', 'pain.001', 'MT103', 'MT202')</t>
    </r>
  </si>
  <si>
    <t>ES - Estrangeiro</t>
  </si>
  <si>
    <t>CMUR</t>
  </si>
  <si>
    <t xml:space="preserve">Filter by TIPMTMX = pacs008 or pacs009 or pain001 or MT103 or MT202 </t>
  </si>
  <si>
    <t>DATA_DATE_PART</t>
  </si>
  <si>
    <t>SELECT CRT67.DATA_DATE_PART</t>
  </si>
  <si>
    <t>DATA_DATE_PART
DATA_DATE_PART
DATA_DATE_PART</t>
  </si>
  <si>
    <r>
      <rPr>
        <b/>
        <sz val="11"/>
        <color rgb="FF000000"/>
        <rFont val="Calibri"/>
        <scheme val="minor"/>
      </rPr>
      <t xml:space="preserve">SELECT </t>
    </r>
    <r>
      <rPr>
        <sz val="11"/>
        <color rgb="FF000000"/>
        <rFont val="Calibri"/>
        <scheme val="minor"/>
      </rPr>
      <t xml:space="preserve">ORT01_SEPA_EMI.DATA_DATE_PART
</t>
    </r>
    <r>
      <rPr>
        <b/>
        <sz val="11"/>
        <color rgb="FF000000"/>
        <rFont val="Calibri"/>
        <scheme val="minor"/>
      </rPr>
      <t xml:space="preserve">SELECT </t>
    </r>
    <r>
      <rPr>
        <sz val="11"/>
        <color rgb="FF000000"/>
        <rFont val="Calibri"/>
        <scheme val="minor"/>
      </rPr>
      <t xml:space="preserve">ORT01_SEPA_INT.DATA_DATE_PART
</t>
    </r>
    <r>
      <rPr>
        <b/>
        <sz val="11"/>
        <color rgb="FF000000"/>
        <rFont val="Calibri"/>
        <scheme val="minor"/>
      </rPr>
      <t xml:space="preserve">SELECT </t>
    </r>
    <r>
      <rPr>
        <sz val="11"/>
        <color rgb="FF000000"/>
        <rFont val="Calibri"/>
        <scheme val="minor"/>
      </rPr>
      <t>ORT01_SEPA_REC.DATA_DATE_PART</t>
    </r>
  </si>
  <si>
    <t>Sender Account Identification</t>
  </si>
  <si>
    <t xml:space="preserve">sender_account_identification </t>
  </si>
  <si>
    <t>International bank account number of the sender's main current account involved to the transfer/payment.</t>
  </si>
  <si>
    <t xml:space="preserve">Número de conta bancária internacional da conta à ordem do emitente envolvido na transferência/pagamento. </t>
  </si>
  <si>
    <t>CURATED_INTERNAL_MAINFRAME_ESTRANGEIRO
CURATED_INTERNAL_MAINFRAME_ESTRANGEIRO
CURATED_INTERNAL_MAINFRAME_ESTRANGEIRO
N/A
CURATED_INTERNAL_MAINFRAME_TRANSFERENCIAS
CURATED_INTERNAL_MAINFRAME_TRANSFERENCIAS
CURATED_INTERNAL_MAINFRAME_TRANSFERENCIAS
CURATED_INTERNAL_MAINFRAME_TRANSFERENCIAS
CURATED_INTERNAL_MAINFRAME_TRANSFERENCIAS</t>
  </si>
  <si>
    <t>EST10_ORDENS
IGT05
RST03_MT101TRF  || RST02_MT101MSG
N/A
HH_OPER_REFER
JK_ORDEN_ENVIAR
JK_DATOS_CAMPOS (SEN ID) || JK_ORDEN_CAMPOS (SEN ID)
JK_ORDEN_CAMARA
JK_DATOS_CAMPOS (SEN ID) || JK_ORDEN_CAMPOS (SEN ID)</t>
  </si>
  <si>
    <t>CNTCA50
NR_CTA_IBOS_DEB
RSYD03A2_CIBANORD || RSYD02A0_CIBANORD
N/A
TEXTO50
N/A
JKDCP_DATOSVA_TEXT || JKOCP_DATOSVA_TEXT
N/A
JKDCP_DATOSVA_TEXT || JKOCP_DATOSVA_TEXT</t>
  </si>
  <si>
    <r>
      <rPr>
        <b/>
        <sz val="11"/>
        <color rgb="FF000000"/>
        <rFont val="Calibri"/>
        <scheme val="minor"/>
      </rPr>
      <t xml:space="preserve">SELECT </t>
    </r>
    <r>
      <rPr>
        <sz val="11"/>
        <color rgb="FF000000"/>
        <rFont val="Calibri"/>
        <scheme val="minor"/>
      </rPr>
      <t xml:space="preserve">IF(TRIM(EST10_ORDENS.CNTCA50) = '', NULL, EST10_ORDENS.CNTCA50)
</t>
    </r>
    <r>
      <rPr>
        <b/>
        <sz val="11"/>
        <color rgb="FF000000"/>
        <rFont val="Calibri"/>
        <scheme val="minor"/>
      </rPr>
      <t xml:space="preserve">WHERE </t>
    </r>
    <r>
      <rPr>
        <sz val="11"/>
        <color rgb="FF000000"/>
        <rFont val="Calibri"/>
        <scheme val="minor"/>
      </rPr>
      <t xml:space="preserve">SUBSTRING( HTIMEST, 1, 10) &gt; SUBSTRING( LAST_DATA_DATE_PART, 1, 10 ) AND SUBSTRING( HTIMEST, 1, 10 ) &lt;= SUBSTRING( LAST_DATA_DATE_PART, 11, 10 )
</t>
    </r>
    <r>
      <rPr>
        <b/>
        <sz val="11"/>
        <color rgb="FF000000"/>
        <rFont val="Calibri"/>
        <scheme val="minor"/>
      </rPr>
      <t xml:space="preserve">SELECT </t>
    </r>
    <r>
      <rPr>
        <sz val="11"/>
        <color rgb="FF000000"/>
        <rFont val="Calibri"/>
        <scheme val="minor"/>
      </rPr>
      <t xml:space="preserve">IF( TRIM( IGT05.NR_CTA_IBOS_DEB ) = '', NULL, IGT05.NR_CTA_IBOS_DEB )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IF(RST03_MT101TRF.RSYD03A2_CIBANORD IS NOT NULL AND TRIM(RST03_MT101TRF.RSYD03A2_CIBANORD) != '', RST03_MT101TRF.RSYD03A2_CIBANORD, IF(RST02_MT101MSG.RSYD02A0_CIBANORD IS NOT NULL AND TRIM(RST02_MT101MSG.RSYD02A0_CIBANORD) != '', RST02_MT101MSG.RSYD02A0_CIBANORD, NULL))
</t>
    </r>
    <r>
      <rPr>
        <b/>
        <sz val="11"/>
        <color rgb="FF000000"/>
        <rFont val="Calibri"/>
        <scheme val="minor"/>
      </rPr>
      <t xml:space="preserve">WHERE </t>
    </r>
    <r>
      <rPr>
        <sz val="11"/>
        <color rgb="FF000000"/>
        <rFont val="Calibri"/>
        <scheme val="minor"/>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SELECT </t>
    </r>
    <r>
      <rPr>
        <sz val="11"/>
        <color rgb="FF000000"/>
        <rFont val="Calibri"/>
        <scheme val="minor"/>
      </rPr>
      <t xml:space="preserve">IF( TRIM( HH_OPER_REFER.TEXTO50 ) = '', NULL, RTRIM(HH_OPER_REFER.TEXTO50 ) )
</t>
    </r>
    <r>
      <rPr>
        <b/>
        <sz val="11"/>
        <color rgb="FF000000"/>
        <rFont val="Calibri"/>
        <scheme val="minor"/>
      </rPr>
      <t xml:space="preserve">WHERE </t>
    </r>
    <r>
      <rPr>
        <sz val="11"/>
        <color rgb="FF000000"/>
        <rFont val="Calibri"/>
        <scheme val="minor"/>
      </rPr>
      <t xml:space="preserve">HH_OPER_REFER.TIPREL = 'K'
</t>
    </r>
    <r>
      <rPr>
        <b/>
        <sz val="11"/>
        <color rgb="FF000000"/>
        <rFont val="Calibri"/>
        <scheme val="minor"/>
      </rPr>
      <t xml:space="preserve">SELECT </t>
    </r>
    <r>
      <rPr>
        <sz val="11"/>
        <color rgb="FF000000"/>
        <rFont val="Calibri"/>
        <scheme val="minor"/>
      </rPr>
      <t xml:space="preserve">CASE
      WHEN TRIM( JK_ORDEN_CAMPOS.JKOCP_DATOSVA_TEXT) != '' AND JK_ORDEN_CAMPOS.JKOCP_DATOSVA_TEXTIS NOT NULL THEN RTRIM( SUBSTRING( JK_ORDEN_CAMPOS.JKOCP_DATOSVA_TEXT, 1, 34 ) )
      WHEN TRIM( JK_DATOS_CAMPOS .JKDCP_DATOSVA_TEXT ) != '' AND JK_DATOS_CAMPOS .JKDCP_DATOSVA_TEXT IS NOT NULL THEN RTRIM( SUBSTRING( JK_DATOS_CAMPOS .JKDCP_DATOSVA_TEXT , 1, 34 ) )
      ELSE NULL
END
</t>
    </r>
    <r>
      <rPr>
        <b/>
        <sz val="11"/>
        <color rgb="FF000000"/>
        <rFont val="Calibri"/>
        <scheme val="minor"/>
      </rPr>
      <t xml:space="preserve">WHERE </t>
    </r>
    <r>
      <rPr>
        <sz val="11"/>
        <color rgb="FF000000"/>
        <rFont val="Calibri"/>
        <scheme val="minor"/>
      </rPr>
      <t xml:space="preserve">CONCAT( JK_ORDEN_ENVIAR.TIPMSJ, JK_ORDEN_ENVIAR.INDMSJ, JK_ORDEN_ENVIAR.NUMMSJ) != 'MT103' AND JK_DATOS_CAMPOS .JKDCP_CAMPO IN ( '521', '523' ) AND JK_ORDEN_CAMPOS.JKOCP_campo in ( '521', '523')
</t>
    </r>
    <r>
      <rPr>
        <b/>
        <sz val="11"/>
        <color rgb="FF000000"/>
        <rFont val="Calibri"/>
        <scheme val="minor"/>
      </rPr>
      <t xml:space="preserve">SELECT </t>
    </r>
    <r>
      <rPr>
        <sz val="11"/>
        <color rgb="FF000000"/>
        <rFont val="Calibri"/>
        <scheme val="minor"/>
      </rPr>
      <t xml:space="preserve">CASE
      WHEN TRIM( JK_ORDEN_CAMPOS.JKOCP_DATOSVA_TEXT) != '' AND JK_ORDEN_CAMPOS.JKOCP_DATOSVA_TEXTIS NOT NULL THEN RTRIM( SUBSTRING( JK_ORDEN_CAMPOS.JKOCP_DATOSVA_TEXT, 1, 34 ) )
      WHEN TRIM( JK_DATOS_CAMPOS .JKDCP_DATOSVA_TEXT ) != '' AND JK_DATOS_CAMPOS .JKDCP_DATOSVA_TEXT IS NOT NULL THEN RTRIM( SUBSTRING( JK_DATOS_CAMPOS .JKDCP_DATOSVA_TEXT , 1, 34 ) )
      ELSE NULL
END
</t>
    </r>
    <r>
      <rPr>
        <b/>
        <sz val="11"/>
        <color rgb="FF000000"/>
        <rFont val="Calibri"/>
        <scheme val="minor"/>
      </rPr>
      <t xml:space="preserve">WHERE </t>
    </r>
    <r>
      <rPr>
        <sz val="11"/>
        <color rgb="FF000000"/>
        <rFont val="Calibri"/>
        <scheme val="minor"/>
      </rPr>
      <t>CONCAT( JK_ORDEN_CAMARA.TIPMSJ, JK_ORDEN_CAMARA.INDMSJ, JK_ORDEN_CAMARA.NUMMSJ) != 'MT103' AND JK_DATOS_CAMPOS.JKDCP_CAMPO IN ( '521', '523' ) AND JK_ORDEN_CAMPOS.JKOCP_campo in ( '521', '523')</t>
    </r>
  </si>
  <si>
    <t>EST10_ORDENS
IGT05_CONFIRMA
RST03_MT101TRF
HH_TRANSF_EMIT -&gt; CP_ORDEN_CONTR
HH_SWIFT_RELAC -&gt; HH_DAT_SW_COBRO -&gt; HH_OPER_REFER
JK_ORDEN_ENVIAR -&gt; JK_DATOS_CAMPOS (SEN ID) || JK_ORDEN_CAMPOS (SEN ID)
JK_ORDEN_CAMARA -&gt; JK_DATOS_CAMPOS (SEN ID) || JK_ORDEN_CAMPOS (SEN ID)</t>
  </si>
  <si>
    <t>CNT_CA_50
NR_CTA_IBOS_DEB 
CIBANORD
N/A
TEXTO50
DATOSVA( 1, 34 ) || DATOSVA( 1, 34 )
DATOSVA( 1, 34 ) || DATOSVA( 1, 34 )</t>
  </si>
  <si>
    <t>N/A || IF BANCO_RECEPTOR=ENDER_SWIFT_CRED then NR_CTA_IBOS_DEB else NR_CTA_IBOS_CRE
JK - CAMP = 501</t>
  </si>
  <si>
    <t>N\A 
N\A
N\A
NULL
N\A
N\A
N\A</t>
  </si>
  <si>
    <t>Data Timestamp Part</t>
  </si>
  <si>
    <t>data_timestamp_part</t>
  </si>
  <si>
    <t>Tec - Date</t>
  </si>
  <si>
    <t>TIMESTAMP</t>
  </si>
  <si>
    <t>Record's load timestamp in common layer.</t>
  </si>
  <si>
    <t>Timestamp da data de execução</t>
  </si>
  <si>
    <t>N/A
N/A
N/A
N/A</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</si>
  <si>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SELECT</t>
    </r>
    <r>
      <rPr>
        <sz val="11"/>
        <color rgb="FF000000"/>
        <rFont val="Calibri"/>
        <scheme val="minor"/>
      </rPr>
      <t xml:space="preserve"> NOW()</t>
    </r>
  </si>
  <si>
    <t>Reference ID</t>
  </si>
  <si>
    <t>reference_id</t>
  </si>
  <si>
    <t>Transaction ID</t>
  </si>
  <si>
    <t>ESYD94A5_CREFER</t>
  </si>
  <si>
    <r>
      <rPr>
        <b/>
        <sz val="11"/>
        <color rgb="FF000000"/>
        <rFont val="Calibri"/>
        <scheme val="minor"/>
      </rPr>
      <t>SELECT</t>
    </r>
    <r>
      <rPr>
        <sz val="11"/>
        <color rgb="FF000000"/>
        <rFont val="Calibri"/>
        <scheme val="minor"/>
      </rPr>
      <t xml:space="preserve"> IF(TRIM(EST94_HISMSGSW.ESYD94A5_CREFER) = '', NULL, EST94_HISMSGSW.ESYD94A5_CREFER)
</t>
    </r>
    <r>
      <rPr>
        <b/>
        <sz val="11"/>
        <color rgb="FF000000"/>
        <rFont val="Calibri"/>
        <scheme val="minor"/>
      </rPr>
      <t xml:space="preserve">WHERE </t>
    </r>
    <r>
      <rPr>
        <sz val="11"/>
        <color rgb="FF000000"/>
        <rFont val="Calibri"/>
        <scheme val="minor"/>
      </rPr>
      <t>SUBSTRING(EST94_HISMSGSW.ESYD94A5_HTIMEST, 1, 10) &gt;= EST94_HISMSGSW.DATA_DATE_PART
AND EST94_HISMSGSW.ESYD94A5_TIPMTMX IN ('pacs.008', 'pacs.009', 'pain.001', 'MT103', 'MT202')</t>
    </r>
  </si>
  <si>
    <t>CREFER</t>
  </si>
  <si>
    <t>SELECT NOW()</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</si>
  <si>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SELECT</t>
    </r>
    <r>
      <rPr>
        <sz val="11"/>
        <color rgb="FF000000"/>
        <rFont val="Calibri"/>
        <scheme val="minor"/>
      </rPr>
      <t xml:space="preserve"> NOW()</t>
    </r>
  </si>
  <si>
    <t xml:space="preserve">Sender Swift </t>
  </si>
  <si>
    <t>sender_swift</t>
  </si>
  <si>
    <t xml:space="preserve">Represents the sender´s financial institution identification. </t>
  </si>
  <si>
    <t xml:space="preserve">Representa a identificação da instituição financeira do remetente. </t>
  </si>
  <si>
    <t>CURATED_INTERNAL_MAINFRAME_ESTRANGEIRO
CURATED_INTERNAL_MAINFRAME_ESTRANGEIRO
CURATED_INTERNAL_MAINFRAME_ESTRANGEIRO
CURATED_INTERNAL_MAINFRAME_TRANSFERENCIAS
CURATED_INTERNAL_MAINFRAME_TRANSFERENCIAS
CURATED_INTERNAL_MAINFRAME_TRANSFERENCIAS
CURATED_INTERNAL_MAINFRAME_TRANSFERENCIAS
CURATED_INTERNAL_MAINFRAME_TRANSFERENCIAS
CURATED_INTERNAL_MAINFRAME_TRANSFERENCIAS
CURATED_INTERNAL_MAINFRAME_TRANSFERENCIAS</t>
  </si>
  <si>
    <t>EST10_ORDENS
IGT05
RST02_MT101MSG
HH_TRANSF_EMIT
HH_DATOS_BANCOS (SEN)
PRSW_DIRECCION (SEN)
JK_ORDEN_ENVIAR
PRSW_DIRECCION (SEN)
JK_ORDEN_CAMARA
PRSW_DIRECCION (SEN)</t>
  </si>
  <si>
    <t>SWBORD
ENDERECO_SWIFT_DEB
RSYD02A0_CBIC
N/A
N/A
IDEMEXSW, IDOFEXSW
N/A
IDEMEXSW, IDOFEXSW
N/A
IDEMEXSW, IDOFEXSW</t>
  </si>
  <si>
    <r>
      <rPr>
        <b/>
        <sz val="11"/>
        <color rgb="FF000000"/>
        <rFont val="Calibri"/>
        <scheme val="minor"/>
      </rPr>
      <t xml:space="preserve">SELECT </t>
    </r>
    <r>
      <rPr>
        <sz val="11"/>
        <color rgb="FF000000"/>
        <rFont val="Calibri"/>
        <scheme val="minor"/>
      </rPr>
      <t xml:space="preserve">IF(TRIM(EST10_ORDENS.SWBORD) = '', NULL, EST10_ORDENS.SWBORD )
</t>
    </r>
    <r>
      <rPr>
        <b/>
        <sz val="11"/>
        <color rgb="FF000000"/>
        <rFont val="Calibri"/>
        <scheme val="minor"/>
      </rPr>
      <t xml:space="preserve">WHERE </t>
    </r>
    <r>
      <rPr>
        <sz val="11"/>
        <color rgb="FF000000"/>
        <rFont val="Calibri"/>
        <scheme val="minor"/>
      </rPr>
      <t xml:space="preserve">SUBSTRING( HTIMEST, 1, 10) &gt; SUBSTRING( LAST_DATA_DATE_PART, 1, 10 ) AND SUBSTRING( HTIMEST, 1, 10 ) &lt;= SUBSTRING( LAST_DATA_DATE_PART, 11, 10 )
</t>
    </r>
    <r>
      <rPr>
        <b/>
        <sz val="11"/>
        <color rgb="FF000000"/>
        <rFont val="Calibri"/>
        <scheme val="minor"/>
      </rPr>
      <t xml:space="preserve">SELECT </t>
    </r>
    <r>
      <rPr>
        <sz val="11"/>
        <color rgb="FF000000"/>
        <rFont val="Calibri"/>
        <scheme val="minor"/>
      </rPr>
      <t xml:space="preserve">IF(TRIM(IGT05.ENDERECO_SWIFT_DEB) = '', NULL, IGT05.ENDERECO_SWIFT_DEB)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IF(TRIM(RST02_MT101MSG.RSYD02A0_CBIC) = '', NULL, RST02_MT101MSG.RSYD02A0_CBIC)
</t>
    </r>
    <r>
      <rPr>
        <b/>
        <sz val="11"/>
        <color rgb="FF000000"/>
        <rFont val="Calibri"/>
        <scheme val="minor"/>
      </rPr>
      <t xml:space="preserve">WHERE </t>
    </r>
    <r>
      <rPr>
        <sz val="11"/>
        <color rgb="FF000000"/>
        <rFont val="Calibri"/>
        <scheme val="minor"/>
      </rPr>
      <t xml:space="preserve">SUBSTRING( RST03_MT101TRF.RSYD03A2_HMODIFI, 1, 10 ) &gt; = DATA_DATE_PART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SELECT </t>
    </r>
    <r>
      <rPr>
        <sz val="11"/>
        <color rgb="FF000000"/>
        <rFont val="Calibri"/>
        <scheme val="minor"/>
      </rPr>
      <t xml:space="preserve">IF( TRIM( CONCAT( PRSW_DIRECCION.IDEMEXSW, PRSW_DIRECCION.IDOFEXSW ) ) = '', NULL, CONCAT( PRSW_DIRECCION.IDEMEXSW, PRSW_DIRECCION.IDOFEXSW ) )
</t>
    </r>
    <r>
      <rPr>
        <b/>
        <sz val="11"/>
        <color rgb="FF000000"/>
        <rFont val="Calibri"/>
        <scheme val="minor"/>
      </rPr>
      <t xml:space="preserve">WHERE </t>
    </r>
    <r>
      <rPr>
        <sz val="11"/>
        <color rgb="FF000000"/>
        <rFont val="Calibri"/>
        <scheme val="minor"/>
      </rPr>
      <t>HH_DATOS_BANCOS</t>
    </r>
    <r>
      <rPr>
        <b/>
        <sz val="11"/>
        <color rgb="FF000000"/>
        <rFont val="Calibri"/>
        <scheme val="minor"/>
      </rPr>
      <t>.</t>
    </r>
    <r>
      <rPr>
        <sz val="11"/>
        <color rgb="FF000000"/>
        <rFont val="Calibri"/>
        <scheme val="minor"/>
      </rPr>
      <t xml:space="preserve">HHF_INDBAN1 = 'O'
</t>
    </r>
    <r>
      <rPr>
        <b/>
        <sz val="11"/>
        <color rgb="FF000000"/>
        <rFont val="Calibri"/>
        <scheme val="minor"/>
      </rPr>
      <t xml:space="preserve">SELECT </t>
    </r>
    <r>
      <rPr>
        <sz val="11"/>
        <color rgb="FF000000"/>
        <rFont val="Calibri"/>
        <scheme val="minor"/>
      </rPr>
      <t xml:space="preserve">IF( TRIM( CONCAT( PRSW_DIRECCION.IDEMEXSW, PRSW_DIRECCION.IDOFEXSW ) ) = '', NULL, CONCAT( PRSW_DIRECCION.IDEMEXSW, PRSW_DIRECCION.IDOFEXSW ) )
</t>
    </r>
    <r>
      <rPr>
        <b/>
        <sz val="11"/>
        <color rgb="FF000000"/>
        <rFont val="Calibri"/>
        <scheme val="minor"/>
      </rPr>
      <t xml:space="preserve">WHERE </t>
    </r>
    <r>
      <rPr>
        <sz val="11"/>
        <color rgb="FF000000"/>
        <rFont val="Calibri"/>
        <scheme val="minor"/>
      </rPr>
      <t xml:space="preserve">CONCAT( JK_ORDEN_ENVIAR.TIPMSJ, JK_ORDEN_ENVIAR.INDMSJ, JK_ORDEN_ENVIAR.NUMMSJ) != 'MT103'
</t>
    </r>
    <r>
      <rPr>
        <b/>
        <sz val="11"/>
        <color rgb="FF000000"/>
        <rFont val="Calibri"/>
        <scheme val="minor"/>
      </rPr>
      <t xml:space="preserve">SELECT </t>
    </r>
    <r>
      <rPr>
        <sz val="11"/>
        <color rgb="FF000000"/>
        <rFont val="Calibri"/>
        <scheme val="minor"/>
      </rPr>
      <t xml:space="preserve">IF( TRIM( CONCAT( PRSW_DIRECCION.IDEMEXSW, PRSW_DIRECCION.IDOFEXSW ) ) = '', NULL, CONCAT( PRSW_DIRECCION.IDEMEXSW, PRSW_DIRECCION.IDOFEXSW ) )
</t>
    </r>
    <r>
      <rPr>
        <b/>
        <sz val="11"/>
        <color rgb="FF000000"/>
        <rFont val="Calibri"/>
        <scheme val="minor"/>
      </rPr>
      <t xml:space="preserve">WHERE </t>
    </r>
    <r>
      <rPr>
        <sz val="11"/>
        <color rgb="FF000000"/>
        <rFont val="Calibri"/>
        <scheme val="minor"/>
      </rPr>
      <t>CONCAT( JK_ORDEN_CAMARA.TIPMSJ, JK_ORDEN_CAMARA.INDMSJ, JK_ORDEN_CAMARA.NUMMSJ) != 'MT103'</t>
    </r>
  </si>
  <si>
    <t>EST10_ORDENS
IGT05_CONFIRMA
RST02_MT101MSG
HH_TRANSF_EMIT
HH_SWIFT_RELAC -&gt; HH_DAT_SW_COBRO -&gt; HH_DATOS_BANCOS (SEN) -&gt; PRSW_DIRECCION (SEN)
JK_ORDEN_ENVIAR -&gt; PRSW_DIRECCION (SEN)
JK_ORDEN_CAMARA -&gt; PRSW_DIRECCION (SEN)</t>
  </si>
  <si>
    <t>SWBORD
ENDERECO_SWIFT_DEB
CBIC
N/A
CONCAT( IDEMEXSW, IDOFEXSW)
CONCAT( IDEMEXSW, IDOFEXSW)
CONCAT( IDEMEXSW, IDOFEXSW)</t>
  </si>
  <si>
    <t>N/A || IF BANCO_RECEPTOR=ENDER_SWIFT_CRED then ENDERECO_SWIFT_DEB else ENDER_SWIFT_CRED || N/A || fixed 'TOTAPTPL'
INDBAN1 -&gt; ?
JK - CAMP = 501 \ 504</t>
  </si>
  <si>
    <t>N\A
N\A
N\A
NULL
N\A
N\A
N\A
N\A</t>
  </si>
  <si>
    <t>Unique End to End Transaction Reference Identifier</t>
  </si>
  <si>
    <t>unique_end_end_trans_ref_id</t>
  </si>
  <si>
    <t xml:space="preserve">End-to-end reference id. </t>
  </si>
  <si>
    <t xml:space="preserve">Identificador de referência end-to-end. </t>
  </si>
  <si>
    <t>Global Reference</t>
  </si>
  <si>
    <t>ESYD94A5_CUETR</t>
  </si>
  <si>
    <r>
      <rPr>
        <b/>
        <sz val="11"/>
        <color rgb="FF000000"/>
        <rFont val="Calibri"/>
        <scheme val="minor"/>
      </rPr>
      <t>SELECT</t>
    </r>
    <r>
      <rPr>
        <sz val="11"/>
        <color rgb="FF000000"/>
        <rFont val="Calibri"/>
        <scheme val="minor"/>
      </rPr>
      <t xml:space="preserve"> IF(TRIM(EST94.ESYD94A5_CUETR) = '', NULL, EST94.ESYD94A5_CUETR)
</t>
    </r>
    <r>
      <rPr>
        <b/>
        <sz val="11"/>
        <color rgb="FF000000"/>
        <rFont val="Calibri"/>
        <scheme val="minor"/>
      </rPr>
      <t xml:space="preserve">WHERE </t>
    </r>
    <r>
      <rPr>
        <sz val="11"/>
        <color rgb="FF000000"/>
        <rFont val="Calibri"/>
        <scheme val="minor"/>
      </rPr>
      <t>SUBSTRING( EST94_HISMSGSW.ESYD94A5_HTIMEST, 1, 10 ) &gt; SUBSTRING( LAST_DATA_DATE_PART, 1, 10 ) AND SUBSTRING( EST94_HISMSGSW.ESYD94A5_HTIMEST, 1, 10) &lt;= SUBSTRING( LAST_DATA_DATE_PART, 11, 10 )
   AND EST94_HISMSGSW.ESYD94A5_TIPMTMX IN ('pacs.008', 'pacs.009', 'pain.001', 'MT103', 'MT202')</t>
    </r>
  </si>
  <si>
    <t>CUETR</t>
  </si>
  <si>
    <t>Sender Identifier</t>
  </si>
  <si>
    <t>sender_identifier</t>
  </si>
  <si>
    <t xml:space="preserve">Unique identifier of the transaction sender. </t>
  </si>
  <si>
    <t xml:space="preserve">Identificador único do emitente/originador da transação.  </t>
  </si>
  <si>
    <t>Sender Reference</t>
  </si>
  <si>
    <t>EST95_HISTXMSG</t>
  </si>
  <si>
    <t>ESYD95A1_GTXTMSG</t>
  </si>
  <si>
    <r>
      <rPr>
        <b/>
        <sz val="11"/>
        <color rgb="FF000000"/>
        <rFont val="Calibri"/>
      </rPr>
      <t xml:space="preserve">SELECT </t>
    </r>
    <r>
      <rPr>
        <sz val="11"/>
        <color rgb="FF000000"/>
        <rFont val="Calibri"/>
      </rPr>
      <t xml:space="preserve">CASE
    WHEN TRIM( LEFT( TRIM(EST95_HISTXMSG.ESYD95A1_GTXTMSG ), LENGTH( TRIM( EST95_HISTXMSG.ESYD95A1_GTXTMSG ) ) - 1 ) ) IS NULL OR TRIM( TRIM( LEFT( TRIM( EST95_HISTXMSG.ESYD95A1_GTXTMSG ), LENGTH( TRIM( EST95_HISTXMSG.ESYD95A1_GTXTMSG ) ) - 1 ) ) ) = '' THEN NULL
    ELSE TRIM( RIGHT( TRIM( LEFT( TRIM( EST95_HISTXMSG.ESYD95A1_GTXTMSG ), LENGTH( TRIM( EST95_HISTXMSG.ESYD95A1_GTXTMSG ) ) - 1 ) ), LENGTH( TRIM( LEFT( TRIM( EST95_HISTXMSG.ESYD95A1_GTXTMSG ), LENGTH( TRIM( EST95_HISTXMSG.ESYD95A1_GTXTMSG ) ) - 1 ) ) ) - 3 ) )
</t>
    </r>
    <r>
      <rPr>
        <b/>
        <sz val="11"/>
        <color rgb="FF000000"/>
        <rFont val="Calibri"/>
      </rPr>
      <t>WHERE</t>
    </r>
    <r>
      <rPr>
        <sz val="11"/>
        <color rgb="FF000000"/>
        <rFont val="Calibri"/>
      </rPr>
      <t xml:space="preserve"> SUBSTRING( EST94_HISMSGSW.ESYD94A5_HTIMEST, 1, 10 ) &gt; SUBSTRING( LAST_DATA_DATE_PART, 1, 10 ) AND SUBSTRING( EST94_HISMSGSW.ESYD94A5_HTIMEST, 1, 10) &lt;= SUBSTRING( LAST_DATA_DATE_PART, 11, 10 )
   AND UPPER(EST95_HISTXMSG.ESYD95A1_GTXTMSG) LIKE '20%'</t>
    </r>
  </si>
  <si>
    <t>GTXTMSG</t>
  </si>
  <si>
    <t>TAG 20A</t>
  </si>
  <si>
    <t>Sender Bank Swift</t>
  </si>
  <si>
    <t>sender_bank_swift</t>
  </si>
  <si>
    <t xml:space="preserve">Unique identifier of the originator bank. </t>
  </si>
  <si>
    <t xml:space="preserve">Identificador único do banco originador / emitente. </t>
  </si>
  <si>
    <t>Originator Bank</t>
  </si>
  <si>
    <t>ESYD94A5_IOUTINC
ESYD94A5_CENDSWI</t>
  </si>
  <si>
    <r>
      <rPr>
        <b/>
        <sz val="11"/>
        <color rgb="FF000000"/>
        <rFont val="Calibri"/>
        <scheme val="minor"/>
      </rPr>
      <t xml:space="preserve">SELECT </t>
    </r>
    <r>
      <rPr>
        <sz val="11"/>
        <color rgb="FF000000"/>
        <rFont val="Calibri"/>
        <scheme val="minor"/>
      </rPr>
      <t xml:space="preserve">IF(TRIM(EST94_HISMSGSW.ESYD94A5_IOUTINC) = '',  NULL,  IF(EST94_HISMSGSW.ESYD94A5_IOUTINC = 'I', 'TOTTAPTPL', IF(TRIM(EST94_HISMSGSW.ESYD94A5_CENDSWI) = '', NULL, EST94_HISMSGSW.ESYD94A5_CENDSWI)))
</t>
    </r>
    <r>
      <rPr>
        <b/>
        <sz val="11"/>
        <color rgb="FF000000"/>
        <rFont val="Calibri"/>
        <scheme val="minor"/>
      </rPr>
      <t>WHERE</t>
    </r>
    <r>
      <rPr>
        <sz val="11"/>
        <color rgb="FF000000"/>
        <rFont val="Calibri"/>
        <scheme val="minor"/>
      </rPr>
      <t xml:space="preserve"> SUBSTRING( EST94_HISMSGSW.ESYD94A5_HTIMEST, 1, 10 ) &gt; SUBSTRING( LAST_DATA_DATE_PART, 1, 10 ) AND SUBSTRING( EST94_HISMSGSW.ESYD94A5_HTIMEST, 1, 10) &lt;= SUBSTRING( LAST_DATA_DATE_PART, 11, 10 )
AND EST94_HISMSGSW.ESYD94A5_TIPMTMX IN ('pacs.008', 'pacs.009', 'pain.001', 'MT103', 'MT202')</t>
    </r>
  </si>
  <si>
    <t>CENDSWI</t>
  </si>
  <si>
    <t>IF IOUTINC = O then "TOTTAPTPL" else CENDSWI</t>
  </si>
  <si>
    <t>DDYD03A4_CREFOPR
DDYD04A6_CREFOPR
DDYD03A4_CREFOPR
DDYD04A6_CREFOPR</t>
  </si>
  <si>
    <r>
      <rPr>
        <b/>
        <sz val="11"/>
        <color rgb="FF000000"/>
        <rFont val="Calibri"/>
        <scheme val="minor"/>
      </rPr>
      <t xml:space="preserve">SELECT </t>
    </r>
    <r>
      <rPr>
        <sz val="11"/>
        <color rgb="FF000000"/>
        <rFont val="Calibri"/>
        <scheme val="minor"/>
      </rPr>
      <t xml:space="preserve">DDT03_IDDREC.DDYD03A4_CREFOPR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DDT04_IDDEMI.DDYD04A6_CREFOPR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DDT03_IDDREC.DDYD03A4_CREFOPR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DDT04_IDDEMI.DDYD04A6_CREFOPR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</si>
  <si>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CREFOPR
CREFOPR
CREFOPR
CREFOPR</t>
  </si>
  <si>
    <t>CREFERCR</t>
  </si>
  <si>
    <t>SELECT CRT67.CREFERCR</t>
  </si>
  <si>
    <t xml:space="preserve">ORYD01H9_CREFER
ORYD01H9_CREFER 
ORYD01H9_CREFER </t>
  </si>
  <si>
    <r>
      <rPr>
        <b/>
        <sz val="11"/>
        <color rgb="FF000000"/>
        <rFont val="Calibri"/>
        <scheme val="minor"/>
      </rPr>
      <t xml:space="preserve">SELECT </t>
    </r>
    <r>
      <rPr>
        <sz val="11"/>
        <color rgb="FF000000"/>
        <rFont val="Calibri"/>
        <scheme val="minor"/>
      </rPr>
      <t xml:space="preserve">CAST(ORT01_SEPA_EMI.ORYD01H9_CREFER AS STRING)
</t>
    </r>
    <r>
      <rPr>
        <b/>
        <sz val="11"/>
        <color rgb="FF000000"/>
        <rFont val="Calibri"/>
        <scheme val="minor"/>
      </rPr>
      <t xml:space="preserve">SELECT </t>
    </r>
    <r>
      <rPr>
        <sz val="11"/>
        <color rgb="FF000000"/>
        <rFont val="Calibri"/>
        <scheme val="minor"/>
      </rPr>
      <t xml:space="preserve">CAST(ORT01_SEPA_INT.ORYD01H9_CREFER AS STRING)
</t>
    </r>
    <r>
      <rPr>
        <b/>
        <sz val="11"/>
        <color rgb="FF000000"/>
        <rFont val="Calibri"/>
        <scheme val="minor"/>
      </rPr>
      <t xml:space="preserve">SELECT </t>
    </r>
    <r>
      <rPr>
        <sz val="11"/>
        <color rgb="FF000000"/>
        <rFont val="Calibri"/>
        <scheme val="minor"/>
      </rPr>
      <t>CAST(ORT01_SEPA_REC.ORYD01H9_CREFER AS STRING)</t>
    </r>
  </si>
  <si>
    <t>CREFER
CREFER
CREFER</t>
  </si>
  <si>
    <t xml:space="preserve">Sender Name </t>
  </si>
  <si>
    <t>sender_name</t>
  </si>
  <si>
    <t xml:space="preserve">Name of the sender involved in the transfer/payment. </t>
  </si>
  <si>
    <t xml:space="preserve">Nome do emitente envolvido na transferência/pagamento. </t>
  </si>
  <si>
    <t>CURATED_INTERNAL_MAINFRAME_ESTRANGEIRO
CURATED_INTERNAL_MAINFRAME_ESTRANGEIRO
CURATED_INTERNAL_MAINFRAME_ESTRANGEIRO
CURATED_INTERNAL_MAINFRAME_TRANSFERENCIAS
CURATED_INTERNAL_MAINFRAME_TRANSFERENCIAS
CURATED_INTERNAL_MAINFRAME_TRANSFERENCIAS
CURATED_INTERNAL_MAINFRAME_TRANSFERENCIAS
CURATED_INTERNAL_MAINFRAME_TRANSFERENCIAS</t>
  </si>
  <si>
    <t>EST51_INF_DET (ENV)
IGT05
RST03_MT101TRF || RST02_MT101MSG
HH_DAT_SW_COBRO
JK_ORDEN_ENVIAR
JK_DATOS_CAMPOS (SEN NAME) || JK_ORDEN_CAMPOS (SEN NAME)
JK_ORDEN_CAMARA
JK_DATOS_CAMPOS (SEN NAME) || JK_ORDEN_CAMPOS (SEN NAME)</t>
  </si>
  <si>
    <t>DETPAGAM
NOME_CTA_1_DEB
RSYD03A2_CORDEN02 || RSYD02A0_CORDEN02
HH1_DATORD
N/A
JKDCP_DATOSVA_TEXT || JKOCP_DATOSVA_TEXT
N/A
JKDCP_DATOSVA_TEXT || JKOCP_DATOSVA_TEXT</t>
  </si>
  <si>
    <r>
      <rPr>
        <b/>
        <sz val="11"/>
        <color rgb="FF000000"/>
        <rFont val="Calibri"/>
      </rPr>
      <t xml:space="preserve">SELECT </t>
    </r>
    <r>
      <rPr>
        <sz val="11"/>
        <color rgb="FF000000"/>
        <rFont val="Calibri"/>
      </rPr>
      <t xml:space="preserve">IF(TRIM(EST51_INF_DET.DETPAGAM) = '', NULL, EST51_INF_DET.DETPAGAM)
</t>
    </r>
    <r>
      <rPr>
        <b/>
        <sz val="11"/>
        <color rgb="FF000000"/>
        <rFont val="Calibri"/>
      </rPr>
      <t xml:space="preserve">WHERE </t>
    </r>
    <r>
      <rPr>
        <sz val="11"/>
        <color rgb="FF000000"/>
        <rFont val="Calibri"/>
      </rPr>
      <t xml:space="preserve">SUBSTRING( HTIMEST, 1, 10) &gt; SUBSTRING( LAST_DATA_DATE_PART, 1, 10 ) AND SUBSTRING( HTIMEST, 1, 10 ) &lt;= SUBSTRING( LAST_DATA_DATE_PART, 11, 10 )
    AND EST51_INF_DET.TIPMSG = '00103' AND (EST51_INF_DET.TIPINFOR = '00050' OR EST51_INF_DET.TIPINFOR = '00501') AND EST51_INF_DET.NCAMPO = '00001'
</t>
    </r>
    <r>
      <rPr>
        <b/>
        <sz val="11"/>
        <color rgb="FF000000"/>
        <rFont val="Calibri"/>
      </rPr>
      <t xml:space="preserve">SELECT </t>
    </r>
    <r>
      <rPr>
        <sz val="11"/>
        <color rgb="FF000000"/>
        <rFont val="Calibri"/>
      </rPr>
      <t xml:space="preserve">IF(TRIM(IGT05.NOME_CTA_1_DEB) = '', NULL, IGT05.NOME_CTA_1_DEB)
</t>
    </r>
    <r>
      <rPr>
        <b/>
        <sz val="11"/>
        <color rgb="FF000000"/>
        <rFont val="Calibri"/>
      </rPr>
      <t xml:space="preserve">WHERE </t>
    </r>
    <r>
      <rPr>
        <sz val="11"/>
        <color rgb="FF000000"/>
        <rFont val="Calibri"/>
      </rPr>
      <t xml:space="preserve">IGT05.PRODUTO IN ( 'TRR', 'TNR', 'TRE', 'TNE' )
</t>
    </r>
    <r>
      <rPr>
        <b/>
        <sz val="11"/>
        <color rgb="FF000000"/>
        <rFont val="Calibri"/>
      </rPr>
      <t xml:space="preserve">SELECT </t>
    </r>
    <r>
      <rPr>
        <sz val="11"/>
        <color rgb="FF000000"/>
        <rFont val="Calibri"/>
      </rPr>
      <t xml:space="preserve">IF( RST03_MT101TRF.RSYD03A2_CORDEN02 IS NOT NULL AND TRIM( RST03_MT101TRF.RSYD03A2_CORDEN02 ) != '', RST03_MT101TRF.RSYD03A2_CORDEN02, IF( RST02_MT101MSG.RSYD02A0_CORDEN02 IS NOT NULL AND TRIM(RST02_MT101MSG.RSYD02A0_CORDEN02 ) != '', RST02_MT101MSG.RSYD02A0_CORDEN02,  NULL ) )
</t>
    </r>
    <r>
      <rPr>
        <b/>
        <sz val="11"/>
        <color rgb="FF000000"/>
        <rFont val="Calibri"/>
      </rPr>
      <t xml:space="preserve">WHERE </t>
    </r>
    <r>
      <rPr>
        <sz val="11"/>
        <color rgb="FF000000"/>
        <rFont val="Calibri"/>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IF( TRIM( HH_DAT_SW_COBRO.HH1_DATORD) = '', NULL, RTRIM( SUBSTRING( HH_DAT_SW_COBRO.HH1_DATORD, 1, 35 ) ) ) 
</t>
    </r>
    <r>
      <rPr>
        <b/>
        <sz val="11"/>
        <color rgb="FF000000"/>
        <rFont val="Calibri"/>
      </rPr>
      <t xml:space="preserve">SELECT </t>
    </r>
    <r>
      <rPr>
        <sz val="11"/>
        <color rgb="FF000000"/>
        <rFont val="Calibri"/>
      </rPr>
      <t xml:space="preserve">CASE
      WHEN TRIM( JK_DATOS_CAMPOS.JKDCP_DATOSVA_TEXT ) != '' AND JK_DATOS_CAMPOS.JKDCP_DATOSVA_TEXT IS NOT NULL AND JK_DATOS_CAMPOS.JKDCP_CAMPO = '523' THEN RTRIM( SUBSTRING( JK_DATOS_CAMPOS.JKDCP_DATOSVA_TEXT, 35, 35 ) )
      WHEN TRIM(JK_ORDEN_CAMPOS.JKOCP_DATOSVA_TEXT) != '' AND JK_ORDEN_CAMPOS.JKOCP_DATOSVA_TEXT IS NOT NULL AND JK_ORDEN_CAMPOS.JKOCP_CAMPO = '523' THEN RTRIM(SUBSTRING(JK_ORDEN_CAMPOS.JKOCP_DATOSVA_TEXT, 35, 35 ) )
      WHEN TRIM( JK_DATOS_CAMPOS.JKDCP_DATOSVA_TEXT ) != '' AND JK_DATOS_CAMPOS.JKDCP_DATOSVA_TEXT IS NOT NULL AND JK_DATOS_CAMPOS.JKDCP_CAMPO = '526' THEN RTRIM( SUBSTRING( JK_DATOS_CAMPOS.JKDCP_DATOSVA_TEXT , 1, 35 ) )
      WHEN TRIM( JK_ORDEN_CAMPOS.JKOCP_DATOSVA_TEXT) != '' AND JK_ORDEN_CAMPOS.JKOCP_DATOSVA_TEXT IS NOT NULL AND JK_ORDEN_CAMPOS.JKOCP_CAMPO = '526' THEN RTRIM( SUBSTRING( JK_ORDEN_CAMPOS.JKOCP_DATOSVA_TEXT, 1, 35 ) )
      ELSE NULL
END
</t>
    </r>
    <r>
      <rPr>
        <b/>
        <sz val="11"/>
        <color rgb="FF000000"/>
        <rFont val="Calibri"/>
      </rPr>
      <t xml:space="preserve">WHERE </t>
    </r>
    <r>
      <rPr>
        <sz val="11"/>
        <color rgb="FF000000"/>
        <rFont val="Calibri"/>
      </rPr>
      <t xml:space="preserve">CONCAT( JK_ORDEN_ENVIAR.TIPMSJ, JK_ORDEN_ENVIAR.INDMSJ, JK_ORDEN_ENVIAR.NUMMSJ) != 'MT103' AND JK_DATOS_CAMPOS .JKDCP_CAMPO IN ( '523', '526' ) AND JK_ORDEN_CAMPOS.JKOCP_campo in ( '523', '526')
</t>
    </r>
    <r>
      <rPr>
        <b/>
        <sz val="11"/>
        <color rgb="FF000000"/>
        <rFont val="Calibri"/>
      </rPr>
      <t xml:space="preserve">SELECT </t>
    </r>
    <r>
      <rPr>
        <sz val="11"/>
        <color rgb="FF000000"/>
        <rFont val="Calibri"/>
      </rPr>
      <t xml:space="preserve">CASE
      WHEN TRIM( JK_DATOS_CAMPOS.JKDCP_DATOSVA_TEXT ) != '' AND JK_DATOS_CAMPOS.JKDCP_DATOSVA_TEXT IS NOT NULL AND JK_DATOS_CAMPOS.JKDCP_CAMPO = '523' THEN RTRIM( SUBSTRING( JK_DATOS_CAMPOS.JKDCP_DATOSVA_TEXT, 35, 35 ) )
      WHEN TRIM(JK_ORDEN_CAMPOS.JKOCP_DATOSVA_TEXT) != '' AND JK_ORDEN_CAMPOS.JKOCP_DATOSVA_TEXT IS NOT NULL AND JK_ORDEN_CAMPOS.JKOCP_CAMPO = '523' THEN RTRIM(SUBSTRING(JK_ORDEN_CAMPOS.JKOCP_DATOSVA_TEXT, 35, 35 ) )
      WHEN TRIM( JK_DATOS_CAMPOS.JKDCP_DATOSVA_TEXT ) != '' AND JK_DATOS_CAMPOS.JKDCP_DATOSVA_TEXT IS NOT NULL AND JK_DATOS_CAMPOS.JKDCP_CAMPO = '526' THEN RTRIM( SUBSTRING( JK_DATOS_CAMPOS.JKDCP_DATOSVA_TEXT , 1, 35 ) )
      WHEN TRIM( JK_ORDEN_CAMPOS.JKOCP_DATOSVA_TEXT) != '' AND JK_ORDEN_CAMPOS.JKOCP_DATOSVA_TEXT IS NOT NULL AND JK_ORDEN_CAMPOS.JKOCP_CAMPO = '526' THEN RTRIM( SUBSTRING( JK_ORDEN_CAMPOS.JKOCP_DATOSVA_TEXT, 1, 35 ) )
      ELSE NULL
END
</t>
    </r>
    <r>
      <rPr>
        <b/>
        <sz val="11"/>
        <color rgb="FF000000"/>
        <rFont val="Calibri"/>
      </rPr>
      <t xml:space="preserve">WHERE </t>
    </r>
    <r>
      <rPr>
        <sz val="11"/>
        <color rgb="FF000000"/>
        <rFont val="Calibri"/>
      </rPr>
      <t>CONCAT( JK_ORDEN_CAMARA.TIPMSJ, JK_ORDEN_CAMARA.INDMSJ, JK_ORDEN_CAMARA.NUMMSJ) != 'MT103' AND JK_DATOS_CAMPOS .JKDCP_CAMPO IN ( '523', '526' ) AND JK_ORDEN_CAMPOS.JKOCP_campo in ( '523', '526')</t>
    </r>
  </si>
  <si>
    <t>EST10_ORDENS -&gt; EST51_INF_DEF
IGT05_CONFIRMA
RST02_MT101MSG
HH_TRANSF_EMIT
HH_SWIFT_RELAC  -&gt; HH_DAT_SW_COBRO
JK_ORDEN_ENVIAR -&gt; JK_DATOS_CAMPOS (SEN NAME) || JK_ORDEN_CAMPOS (SEN NAME)
JK_ORDEN_CAMARA -&gt; JK_DATOS_CAMPOS</t>
  </si>
  <si>
    <t>DETPAGAM
NOME_CTA_1_DEB
CORDEN02
N/A
DATORD( 1, 35 )
SUBSTR( DATOSVA, 35, 35 ) || SUBSTR( DATOSVA, 35, 35 ) || SUBSTR( DATOSVA, 1, 35 ) || SUBSTR( DATOSVA, 1, 35 )
SUBSTR( DATOSVA, 35, 36 )</t>
  </si>
  <si>
    <t>TIPMSG = '00103' and TIPINFOR = '00050' and NCAMPO = '00001'  || IF BANCO_RECEPTOR=ENDER_SWIFT_CRED then NOME_CTA_1_DEB else NOME_CTA_1_CRE || IF RST03.COORD2 is Null then RST02.COORD2 else RST03.COORD2
IPMSG = '00103' and TIPINFOR = '00050' ou '00501' and NCAMPO = '00001'
JK - CAMP = 503 \ 506</t>
  </si>
  <si>
    <t>Intermediate Sender Bank Swift</t>
  </si>
  <si>
    <t>intermediate_sen_bank_swift</t>
  </si>
  <si>
    <t xml:space="preserve">Unique identifier of the intermediate sender bank. </t>
  </si>
  <si>
    <t xml:space="preserve">Identificador único do banco emitente intermediário. </t>
  </si>
  <si>
    <t>Intermediate Sender Bank</t>
  </si>
  <si>
    <t>CURATED_INTERNAL_MAINFRAME_ESTRANGEIRO
CURATED_INTERNAL_MAINFRAME_ESTRANGEIRO
CURATED_INTERNAL_MAINFRAME_ESTRANGEIRO
CURATED_INTERNAL_MAINFRAME_ESTRANGEIRO</t>
  </si>
  <si>
    <t>EST94_HISMSGSW
EST95_HISTXMSG
EST95_HISTXMSG (FILTRO_53)
EST95_HISTXMSG (FILTRO_54)</t>
  </si>
  <si>
    <t>ESYD94A5_IOUTINC
ESYD95A1_GTXTMSG</t>
  </si>
  <si>
    <r>
      <rPr>
        <b/>
        <sz val="11"/>
        <color rgb="FF000000"/>
        <rFont val="Calibri"/>
      </rPr>
      <t xml:space="preserve">SELECT </t>
    </r>
    <r>
      <rPr>
        <sz val="11"/>
        <color rgb="FF000000"/>
        <rFont val="Calibri"/>
      </rPr>
      <t xml:space="preserve">IF(TRIM(EST94_HISMSGSW.ESYD94A5_IOUINC) = '', NULL, IF(EST94_HISMSGSW.ESYD94A5_IOUINC = 'I',  IF(TRIM(IF(FILTRO_53.ESYD95A1_GTXTMSG= '', NULL, TRIM(LEFT(TRIM(FILTRO_53.ESYD95A1_GTXTMSG), LENGTH(TRIM(FILTRO_53.ESYD95A1_GTXTMSG)) - 1)))) = '', NULL, IF(FILTRO_53.ESYD95A1_GTXTMSG= '', NULL, TRIM(LEFT(TRIM(FILTRO_53.ESYD95A1_GTXTMSG), LENGTH(TRIM(FILTRO_53.ESYD95A1_GTXTMSG)) - 1)))), IF(TRIM(IF(FILTRO_54.ESYD95A1_GTXTMSG= '', NULL, TRIM(LEFT(TRIM(FILTRO_54.ESYD95A1_GTXTMSG), LENGTH(TRIM(FILTRO_54.ESYD95A1_GTXTMSG)) - 1)))) = '', NULL, IF(FILTRO_54.ESYD95A1_GTXTMSG= '', NULL, TRIM(LEFT(TRIM(FILTRO_54.ESYD95A1_GTXTMSG), LENGTH(TRIM(FILTRO_54.ESYD95A1_GTXTMSG)) - 1))))))
</t>
    </r>
    <r>
      <rPr>
        <b/>
        <sz val="11"/>
        <color rgb="FF000000"/>
        <rFont val="Calibri"/>
      </rPr>
      <t xml:space="preserve">WHERE </t>
    </r>
    <r>
      <rPr>
        <sz val="11"/>
        <color rgb="FF000000"/>
        <rFont val="Calibri"/>
      </rPr>
      <t>SUBSTRING( EST94_HISMSGSW.ESYD94A5_HTIMEST, 1, 10 ) &gt; SUBSTRING( LAST_DATA_DATE_PART, 1, 10 ) AND SUBSTRING( EST94_HISMSGSW.ESYD94A5_HTIMEST, 1, 10) &lt;= SUBSTRING( LAST_DATA_DATE_PART, 11, 10 )
   AND EST94_HISMSGSW.ESYD94A5_TIPMTMX IN ('pacs.008', 'pacs.009', 'pain.001', 'MT103', 'MT202')
   AND FILTRO_53.ESYD95A1_GTXTMSG LIKE '53A%'
   AND RIGHT(TRIM(FILTRO_53.ESYD95A1_GTXTMSG), 1) = '1'
   AND FILTRO_54.ESYD95A1_GTXTMSG LIKE '54A%'
   AND RIGHT(TRIM(FILTRO_54.ESYD95A1_GTXTMSG), 1) = '1'</t>
    </r>
  </si>
  <si>
    <t>IF IOUTINC = I then 
get the BIC from 53A line
else
get the BIC from 54A line</t>
  </si>
  <si>
    <t>Receiver Identifier</t>
  </si>
  <si>
    <t>receiver_identifier</t>
  </si>
  <si>
    <t xml:space="preserve">Unique identifier of the transactions receiver.  </t>
  </si>
  <si>
    <t xml:space="preserve">Identificador único do receptor/destinatário da transação.  </t>
  </si>
  <si>
    <t>Receiver Reference</t>
  </si>
  <si>
    <t>EST95_HISTXMSG (RECEIVER_REF)</t>
  </si>
  <si>
    <r>
      <rPr>
        <b/>
        <sz val="11"/>
        <color rgb="FF000000"/>
        <rFont val="Calibri"/>
        <scheme val="minor"/>
      </rPr>
      <t xml:space="preserve">SELECT </t>
    </r>
    <r>
      <rPr>
        <sz val="11"/>
        <color rgb="FF000000"/>
        <rFont val="Calibri"/>
        <scheme val="minor"/>
      </rPr>
      <t xml:space="preserve">CASE WHEN IF(RECEIVER_REF.ESYD95A1_GTXTMSG= '', NULL, TRIM(LEFT(TRIM(RECEIVER_REF.ESYD95A1_GTXTMSG), LENGTH(TRIM(RECEIVER_REF.ESYD95A1_GTXTMSG)) - 1))) IS NULL OR TRIM(IF(RECEIVER_REF.ESYD95A1_GTXTMSG= '', NULL, TRIM(LEFT(TRIM(RECEIVER_REF.ESYD95A1_GTXTMSG), LENGTH(TRIM(RECEIVER_REF.ESYD95A1_GTXTMSG)) - 1)))) = '' THEN NULL ELSE TRIM(RIGHT(IF(RECEIVER_REF.ESYD95A1_GTXTMSG= '', NULL, TRIM(LEFT(TRIM(RECEIVER_REF.ESYD95A1_GTXTMSG), LENGTH(TRIM(RECEIVER_REF.ESYD95A1_GTXTMSG)) - 1))), LENGTH(IF(RECEIVER_REF.ESYD95A1_GTXTMSG= '', NULL, TRIM(LEFT(TRIM(RECEIVER_REF.ESYD95A1_GTXTMSG), LENGTH(TRIM(RECEIVER_REF.ESYD95A1_GTXTMSG)) - 1)))) - 3)) END
</t>
    </r>
    <r>
      <rPr>
        <b/>
        <sz val="11"/>
        <color rgb="FF000000"/>
        <rFont val="Calibri"/>
        <scheme val="minor"/>
      </rPr>
      <t xml:space="preserve">WHERE </t>
    </r>
    <r>
      <rPr>
        <sz val="11"/>
        <color rgb="FF000000"/>
        <rFont val="Calibri"/>
        <scheme val="minor"/>
      </rPr>
      <t>SUBSTRING( EST94_HISMSGSW.ESYD94A5_HTIMEST, 1, 10 ) &gt; SUBSTRING( LAST_DATA_DATE_PART, 1, 10 ) AND SUBSTRING( EST94_HISMSGSW.ESYD94A5_HTIMEST, 1, 10) &lt;= SUBSTRING( LAST_DATA_DATE_PART, 11, 10 )
   AND EST95_HISTXMSG.ESYD95A1_GTXTMSG LIKE '21%' AND RIGHT(TRIM(RECEIVER_REF.ESYD95A1_GTXTMSG), 1) = '1'</t>
    </r>
  </si>
  <si>
    <t>TAG 21A</t>
  </si>
  <si>
    <t>Receiver Bank Swift</t>
  </si>
  <si>
    <t>receiver_bank_swift</t>
  </si>
  <si>
    <t xml:space="preserve">Unique identifier of the beneficiary bank. </t>
  </si>
  <si>
    <t xml:space="preserve">Identificador único do banco beneficiário / destinatário.  </t>
  </si>
  <si>
    <t>Beneficiary Bank</t>
  </si>
  <si>
    <r>
      <rPr>
        <b/>
        <sz val="11"/>
        <color rgb="FF000000"/>
        <rFont val="Calibri"/>
        <scheme val="minor"/>
      </rPr>
      <t xml:space="preserve">SELECT </t>
    </r>
    <r>
      <rPr>
        <sz val="11"/>
        <color rgb="FF000000"/>
        <rFont val="Calibri"/>
        <scheme val="minor"/>
      </rPr>
      <t xml:space="preserve">IF(TRIM(EST94_HISMSGSW.ESYD94A5_IOUTINC) = '', NULL, IF(EST94_HISMSGSW.ESYD94A5_IOUTINC= 'O', 'TOTTAPTPL', IF(TRIM(EST94_HISMSGSW.ESYD94A5_CENDSWI) = '', NULL, EST94_HISMSGSW.ESYD94A5_CENDSWI))
</t>
    </r>
    <r>
      <rPr>
        <b/>
        <sz val="11"/>
        <color rgb="FF000000"/>
        <rFont val="Calibri"/>
        <scheme val="minor"/>
      </rPr>
      <t xml:space="preserve">WHERE </t>
    </r>
    <r>
      <rPr>
        <sz val="11"/>
        <color rgb="FF000000"/>
        <rFont val="Calibri"/>
        <scheme val="minor"/>
      </rPr>
      <t>SUBSTRING( EST94_HISMSGSW.ESYD94A5_HTIMEST, 1, 10 ) &gt; SUBSTRING( LAST_DATA_DATE_PART, 1, 10 ) AND SUBSTRING( EST94_HISMSGSW.ESYD94A5_HTIMEST, 1, 10) &lt;= SUBSTRING( LAST_DATA_DATE_PART, 11, 10 )
AND EST94_HISMSGSW.ESYD94A5_TIPMTMX IN ('pacs.008', 'pacs.009', 'pain.001', 'MT103', 'MT202')</t>
    </r>
  </si>
  <si>
    <t>IF IOUTINC = I then "TOTTAPTPL" else CENDSWI</t>
  </si>
  <si>
    <t>Intermediate Receiver Bank Swift</t>
  </si>
  <si>
    <t>intermediate_rec_bank_swift</t>
  </si>
  <si>
    <t xml:space="preserve">Unique identifier of the intermediate receiver bank. </t>
  </si>
  <si>
    <t xml:space="preserve">Identificador único do banco destinatário intermediário. </t>
  </si>
  <si>
    <t>Intermediate Receiver Bank</t>
  </si>
  <si>
    <r>
      <rPr>
        <b/>
        <sz val="11"/>
        <color rgb="FF000000"/>
        <rFont val="Calibri"/>
        <scheme val="minor"/>
      </rPr>
      <t xml:space="preserve">SELECT </t>
    </r>
    <r>
      <rPr>
        <sz val="11"/>
        <color rgb="FF000000"/>
        <rFont val="Calibri"/>
        <scheme val="minor"/>
      </rPr>
      <t xml:space="preserve">IF(TRIM(EST94_HISMSGSW.ESYD94A5_IOUTINC) = '', NULL, IF(EST94_HISMSGSW.ESYD94A5_IOUTINC= 'I', IF(TRIM(IF(FILTRO_54.ESYD95A1_GTXTMSG = '', NULL, TRIM(LEFT(TRIM(FILTRO_54.ESYD95A1_GTXTMSG), LENGTH(TRIM(FILTRO_54.ESYD95A1_GTXTMSG)) - 1)))) = '', NULL,  IF(FILTRO_54.ESYD95A1_GTXTMSG = '', NULL, TRIM(LEFT(TRIM(FILTRO_54.ESYD95A1_GTXTMSG), LENGTH(TRIM(FILTRO_54.ESYD95A1_GTXTMSG)) - 1)))),  IF(TRIM(IF(FILTRO_53.ESYD95A1_GTXTMSG = '', NULL, TRIM(LEFT(TRIM(FILTRO_53.ESYD95A1_GTXTMSG), LENGTH(TRIM(FILTRO_53.ESYD95A1_GTXTMSG)) - 1)))) = '', NULL, IF(FILTRO_53.ESYD95A1_GTXTMSG= '', NULL, TRIM(LEFT(TRIM(FILTRO_53.ESYD95A1_GTXTMSG), LENGTH(TRIM(FILTRO_53.ESYD95A1_GTXTMSG)) - 1)))))    
</t>
    </r>
    <r>
      <rPr>
        <b/>
        <sz val="11"/>
        <color rgb="FF000000"/>
        <rFont val="Calibri"/>
        <scheme val="minor"/>
      </rPr>
      <t xml:space="preserve">WHERE </t>
    </r>
    <r>
      <rPr>
        <sz val="11"/>
        <color rgb="FF000000"/>
        <rFont val="Calibri"/>
        <scheme val="minor"/>
      </rPr>
      <t>SUBSTRING( EST94_HISMSGSW.ESYD94A5_HTIMEST, 1, 10 ) &gt; SUBSTRING( LAST_DATA_DATE_PART, 1, 10 ) AND SUBSTRING( EST94_HISMSGSW.ESYD94A5_HTIMEST, 1, 10) &lt;= SUBSTRING( LAST_DATA_DATE_PART, 11, 10 )
   AND EST94_HISMSGSW.ESYD94A5_TIPMTMX IN ('pacs.008', 'pacs.009', 'pain.001', 'MT103', 'MT202')
AND FILTRO_53.ESYD95A1_GTXTMSG LIKE '53A%'
AND RIGHT(TRIM(FILTRO_53.ESYD95A1_GTXTMSG), 1) = '1'
AND FILTRO_54.ESYD95A1_GTXTMSG LIKE '54A%'
AND RIGHT(TRIM(FILTRO_54.ESYD95A1_GTXTMSG), 1) = '1'</t>
    </r>
  </si>
  <si>
    <t>IF IOUTINC = o then 
get the BIC from 54A line
else
get the BIC from 53A line</t>
  </si>
  <si>
    <t>Receiver Account Identification</t>
  </si>
  <si>
    <t>receiver_account_identification</t>
  </si>
  <si>
    <t xml:space="preserve">
</t>
  </si>
  <si>
    <t>International bank account number of the receiver's main current account involved in the transfer/payment.</t>
  </si>
  <si>
    <t xml:space="preserve">Número de conta bancária internacional da conta à ordem do destinatário envolvido na transferência/pagamento. </t>
  </si>
  <si>
    <t>CURATED_INTERNAL_MAINFRAME_ESTRANGEIRO
CURATED_INTERNAL_MAINFRAME_ESTRANGEIRO
CURATED_INTERNAL_MAINFRAME_ESTRANGEIRO
CURATED_INTERNAL_MAINFRAME_TRANSFERENCIAS
CURATED_INTERNAL_MAINFRAME_TRANSFERENCIAS
CURATED_INTERNAL_MAINFRAME_TRANSFERENCIAS
CURATED_INTERNAL_MAINFRAME_TRANSFERENCIAS
CURATED_INTERNAL_MAINFRAME_TRANSFERENCIAS
CURATED_INTERNAL_MAINFRAME_TRANSFERENCIAS</t>
  </si>
  <si>
    <t>EST12_MOVORDEM
IGT05
RST03_MT101TRF
HH_BENEFIC_SW
HH_BENEFIC_SW
JK_ORDEN_ENVIAR
JK_DATOS_CAMPOS (REC ID) || JK_ORDEN_CAMPOS (REC ID)
JK_ORDEN_CAMARA
JK_DATOS_CAMPOS (REC ID) || JK_ORDEN_CAMPOS (REC ID)</t>
  </si>
  <si>
    <t>CKBALDO, CKCTADO
NR_CTA_IBOS_CRED
RSYD03A2_CIBANBNF
CTA_BENS
CTA_BENS
N/A
JKDCP_DATOSVA_TEXT || JKOCP_DATOSVA_TEXT
N/A
JKDCP_DATOSVA_TEXT || JKOCP_DATOSVA_TEXT</t>
  </si>
  <si>
    <r>
      <rPr>
        <b/>
        <sz val="11"/>
        <color rgb="FF000000"/>
        <rFont val="Calibri"/>
        <scheme val="minor"/>
      </rPr>
      <t xml:space="preserve">SELECT </t>
    </r>
    <r>
      <rPr>
        <sz val="11"/>
        <color rgb="FF000000"/>
        <rFont val="Calibri"/>
        <scheme val="minor"/>
      </rPr>
      <t xml:space="preserve">IF(TRIM(CONCAT(EST12_MOVORDEM.CKBALDO, EST12_MOVORDEM.CKCTADO)) = '', NULL, CONCAT(EST12_MOVORDEM.CKBALDO, EST12_MOVORDEM.CKCTADO, '000000000000000'))
</t>
    </r>
    <r>
      <rPr>
        <b/>
        <sz val="11"/>
        <color rgb="FF000000"/>
        <rFont val="Calibri"/>
        <scheme val="minor"/>
      </rPr>
      <t xml:space="preserve">WHERE </t>
    </r>
    <r>
      <rPr>
        <sz val="11"/>
        <color rgb="FF000000"/>
        <rFont val="Calibri"/>
        <scheme val="minor"/>
      </rPr>
      <t xml:space="preserve">SUBSTRING( HTIMEST, 1, 10) &gt; SUBSTRING( LAST_DATA_DATE_PART, 1, 10 ) AND SUBSTRING( HTIMEST, 1, 10 ) &lt;= SUBSTRING( LAST_DATA_DATE_PART, 11, 10 )
</t>
    </r>
    <r>
      <rPr>
        <b/>
        <sz val="11"/>
        <color rgb="FF000000"/>
        <rFont val="Calibri"/>
        <scheme val="minor"/>
      </rPr>
      <t xml:space="preserve">SELECT </t>
    </r>
    <r>
      <rPr>
        <sz val="11"/>
        <color rgb="FF000000"/>
        <rFont val="Calibri"/>
        <scheme val="minor"/>
      </rPr>
      <t xml:space="preserve">IF(TRIM(IGT05.NR_CTA_IBOS_CRED) = '', NULL, IGT05.NR_CTA_IBOS_CRED)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IF(TRIM(RST03_MT101TRF.RSYD03A2_CIBANBNF) = '', NULL, RST03_MT101TRF.RSYD03A2_CIBANBNF)
</t>
    </r>
    <r>
      <rPr>
        <b/>
        <sz val="11"/>
        <color rgb="FF000000"/>
        <rFont val="Calibri"/>
        <scheme val="minor"/>
      </rPr>
      <t>WHERE</t>
    </r>
    <r>
      <rPr>
        <sz val="11"/>
        <color rgb="FF000000"/>
        <rFont val="Calibri"/>
        <scheme val="minor"/>
      </rPr>
      <t xml:space="preserve"> SUBSTRING( RST03_MT101TRF.RSYD03A2_HMODIFI, 1, 10 ) &gt; SUBSTRING( LAST_DATA_DATE_PART, 1, 10 ) AND SUBSTRING( RST03_MT101TRF.RSYD03A2_HMODIFI, 1, 10 ) &lt;= SUBSTRING( LAST_DATA_DATE_PART, 11, 10)
   AND RST03_MT101TRF.RSYD03A2_CAPLICDST = 'RS'
</t>
    </r>
    <r>
      <rPr>
        <b/>
        <sz val="11"/>
        <color rgb="FF000000"/>
        <rFont val="Calibri"/>
        <scheme val="minor"/>
      </rPr>
      <t xml:space="preserve">SELECT </t>
    </r>
    <r>
      <rPr>
        <sz val="11"/>
        <color rgb="FF000000"/>
        <rFont val="Calibri"/>
        <scheme val="minor"/>
      </rPr>
      <t xml:space="preserve">IF( TRIM( HH_BENEFIC_SW.CTABENS ) = '', NULL, RTRIM( HH_BENEFIC_SW.CTABENS) )
</t>
    </r>
    <r>
      <rPr>
        <b/>
        <sz val="11"/>
        <color rgb="FF000000"/>
        <rFont val="Calibri"/>
        <scheme val="minor"/>
      </rPr>
      <t xml:space="preserve">SELECT </t>
    </r>
    <r>
      <rPr>
        <sz val="11"/>
        <color rgb="FF000000"/>
        <rFont val="Calibri"/>
        <scheme val="minor"/>
      </rPr>
      <t xml:space="preserve">IF( TRIM( HH_BENEFIC_SW.CTABENS ) = '', NULL, RTRIM( HH_BENEFIC_SW.CTABENS) )
</t>
    </r>
    <r>
      <rPr>
        <b/>
        <sz val="11"/>
        <color rgb="FF000000"/>
        <rFont val="Calibri"/>
        <scheme val="minor"/>
      </rPr>
      <t xml:space="preserve">SELECT </t>
    </r>
    <r>
      <rPr>
        <sz val="11"/>
        <color rgb="FF000000"/>
        <rFont val="Calibri"/>
        <scheme val="minor"/>
      </rPr>
      <t xml:space="preserve">CASE
      WHEN TRIM( JK_ORDEN_CAMPOS.JKOCP_DATOSVA_TEXT) != '' AND JK_ORDEN_CAMPOS.JKOCP_DATOSVA_TEXTIS NOT NULL THEN RTRIM( SUBSTRING( JK_ORDEN_CAMPOS.JKOCP_DATOSVA_TEXT, 1, 34 ) )
      WHEN TRIM( JK_DATOS_CAMPOS .JKDCP_DATOSVA_TEXT ) != '' AND JK_DATOS_CAMPOS .JKDCP_DATOSVA_TEXT IS NOT NULL THEN RTRIM( SUBSTRING( JK_DATOS_CAMPOS .JKDCP_DATOSVA_TEXT , 1, 34 ) )
      ELSE NULL
END
</t>
    </r>
    <r>
      <rPr>
        <b/>
        <sz val="11"/>
        <color rgb="FF000000"/>
        <rFont val="Calibri"/>
        <scheme val="minor"/>
      </rPr>
      <t xml:space="preserve">WHERE </t>
    </r>
    <r>
      <rPr>
        <sz val="11"/>
        <color rgb="FF000000"/>
        <rFont val="Calibri"/>
        <scheme val="minor"/>
      </rPr>
      <t xml:space="preserve">CONCAT( JK_ORDEN_ENVIAR.TIPMSJ, JK_ORDEN_ENVIAR.INDMSJ, JK_ORDEN_ENVIAR.NUMMSJ) != 'MT103' AND JK_DATOS_CAMPOS.JKDCP_CAMPO IN ( '571', '573' ) AND JK_ORDEN_CAMPOS.JKOCP_campo in ( '571', '573')
</t>
    </r>
    <r>
      <rPr>
        <b/>
        <sz val="11"/>
        <color rgb="FF000000"/>
        <rFont val="Calibri"/>
        <scheme val="minor"/>
      </rPr>
      <t xml:space="preserve">SELECT </t>
    </r>
    <r>
      <rPr>
        <sz val="11"/>
        <color rgb="FF000000"/>
        <rFont val="Calibri"/>
        <scheme val="minor"/>
      </rPr>
      <t xml:space="preserve">CASE
      WHEN TRIM( JK_ORDEN_CAMPOS.JKOCP_DATOSVA_TEXT) != '' AND JK_ORDEN_CAMPOS.JKOCP_DATOSVA_TEXTIS NOT NULL THEN RTRIM( SUBSTRING( JK_ORDEN_CAMPOS.JKOCP_DATOSVA_TEXT, 1, 34 ) )
      WHEN TRIM( JK_DATOS_CAMPOS .JKDCP_DATOSVA_TEXT ) != '' AND JK_DATOS_CAMPOS .JKDCP_DATOSVA_TEXT IS NOT NULL THEN RTRIM( SUBSTRING( JK_DATOS_CAMPOS .JKDCP_DATOSVA_TEXT , 1, 34 ) )
      ELSE NULL
</t>
    </r>
    <r>
      <rPr>
        <b/>
        <sz val="11"/>
        <color rgb="FF000000"/>
        <rFont val="Calibri"/>
        <scheme val="minor"/>
      </rPr>
      <t xml:space="preserve">END
</t>
    </r>
    <r>
      <rPr>
        <sz val="11"/>
        <color rgb="FF000000"/>
        <rFont val="Calibri"/>
        <scheme val="minor"/>
      </rPr>
      <t>WHERE CONCAT( JK_ORDEN_CAMARA.TIPMSJ, JK_ORDEN_CAMARA.INDMSJ, JK_ORDEN_CAMARA.NUMMSJ) != 'MT103' AND JK_DATOS_CAMPOS.JKDCP_CAMPO IN ( '571', '573' ) AND JK_ORDEN_CAMPOS.JKOCP_campo in ( '571', '573')</t>
    </r>
  </si>
  <si>
    <t>EST10_ORDENS -&gt; EST12_MOVORDEM
IGT05_CONFIRMA
RST03_MT101TRF
HH_TRANSF_EMIT -&gt; HH_BENEFIC_SW
HH_SWIFT_RELAC -&gt; HH_DAT_SW_COBRO  -&gt; HH_BENEFIC_SW
JK_ORDEN_ENVIAR -&gt; JK_DATOS_CAMPOS (REC ID) || JK_ORDEN_CAMPOS (REC ID)
JK_ORDEN_CAMARA-&gt; JK_DATOS_CAMPOS (REC ID) || JK_ORDEN_CAMPOS (REC ID)</t>
  </si>
  <si>
    <t>CONCAT( CKBALDO, CKCTADO, "000000000000000")
NR_CTA_IBOS_CRE
CIBANBNF
CTABENS
CTABENS
DATOSVA( 1, 34 ) || DATOSVA( 1, 34 )
DATOSVA( 1, 34 ) || DATOSVA( 1, 34 )</t>
  </si>
  <si>
    <t>N/A || IF BANCO_RECEPTOR=ENDER_SWIFT_CRED then NR_CTA_IBOS_CRE else NR_CTA_IBOS_DEB
IPMSG = '00103' and TIPINFOR = '00059' ou '00501' and NCAMPO = '00001'</t>
  </si>
  <si>
    <t>Message Creation Date</t>
  </si>
  <si>
    <t>message_creation_date</t>
  </si>
  <si>
    <t xml:space="preserve">Date and time of the transfer/payment. </t>
  </si>
  <si>
    <t xml:space="preserve">Data e hora da transferência / pagamento. </t>
  </si>
  <si>
    <t>Message Datetime</t>
  </si>
  <si>
    <t>ESYD94A5_DTCRIACAO
ESYD94A5_HRCRIACAO</t>
  </si>
  <si>
    <r>
      <rPr>
        <b/>
        <sz val="11"/>
        <color rgb="FF000000"/>
        <rFont val="Calibri"/>
        <scheme val="minor"/>
      </rPr>
      <t xml:space="preserve">SELECT </t>
    </r>
    <r>
      <rPr>
        <sz val="11"/>
        <color rgb="FF000000"/>
        <rFont val="Calibri"/>
        <scheme val="minor"/>
      </rPr>
      <t xml:space="preserve">IF(TRIM(CONCAT(EST94_HISMSGSW.ESYD94A5_DTCRIACAO, EST94_HISMSGSW.ESYD94A5_HRCRIACAO)) = '', NULL, CONCAT(EST94_HISMSGSW.ESYD94A5_DTCRIACAO, ' ', REPLACE(EST94_HISMSGSW.ESYD94A5_HRCRIACAO, '.', ':')))
</t>
    </r>
    <r>
      <rPr>
        <b/>
        <sz val="11"/>
        <color rgb="FF000000"/>
        <rFont val="Calibri"/>
        <scheme val="minor"/>
      </rPr>
      <t xml:space="preserve">WHERE </t>
    </r>
    <r>
      <rPr>
        <sz val="11"/>
        <color rgb="FF000000"/>
        <rFont val="Calibri"/>
        <scheme val="minor"/>
      </rPr>
      <t>SUBSTRING( EST94_HISMSGSW.ESYD94A5_HTIMEST, 1, 10 ) &gt; SUBSTRING( LAST_DATA_DATE_PART, 1, 10 ) AND SUBSTRING( EST94_HISMSGSW.ESYD94A5_HTIMEST, 1, 10) &lt;= SUBSTRING( LAST_DATA_DATE_PART, 11, 10 )
AND EST94_HISMSGSW.ESYD94A5_TIPMTMX IN ('pacs.008', 'pacs.009', 'pain.001', 'MT103', 'MT202')</t>
    </r>
  </si>
  <si>
    <t>CONCAT( DTCRIACAO, HRCRIACAO )</t>
  </si>
  <si>
    <t>Receiver IBAN</t>
  </si>
  <si>
    <t>receiver_iban</t>
  </si>
  <si>
    <t>DDYD03A4_CIBANDEV
DDYD04A6_CIBANDEV
DDYD03A4_CIBANDEV
DDYD04A6_CIBANDEV</t>
  </si>
  <si>
    <r>
      <rPr>
        <b/>
        <sz val="11"/>
        <color rgb="FF000000"/>
        <rFont val="Calibri"/>
        <scheme val="minor"/>
      </rPr>
      <t xml:space="preserve">SELECT </t>
    </r>
    <r>
      <rPr>
        <sz val="11"/>
        <color rgb="FF000000"/>
        <rFont val="Calibri"/>
        <scheme val="minor"/>
      </rPr>
      <t xml:space="preserve">IF( TRIM( DDT03_IDDREC.DDYD03A4_CIBANDEV) = '', NULL, DDT03_IDDREC.DDYD03A4_CIBANDEV)
</t>
    </r>
    <r>
      <rPr>
        <b/>
        <sz val="11"/>
        <color rgb="FF000000"/>
        <rFont val="Calibri"/>
        <scheme val="minor"/>
      </rPr>
      <t>WHERE</t>
    </r>
    <r>
      <rPr>
        <sz val="11"/>
        <color rgb="FF000000"/>
        <rFont val="Calibri"/>
        <scheme val="minor"/>
      </rPr>
      <t xml:space="preserve"> 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IF(TRIM(DDT04_IDDEMI.DDYD04A6_CIBANDEV) = '', NULL, DDT04_IDDEMI.DDYD04A6_CIBANDEV)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IF(TRIM(DDT03_IDDREC.DDYD03A4_CIBANDEV) = '', NULL, DDT03_IDDREC.DDYD03A4_CIBANDEV)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
SELECT </t>
    </r>
    <r>
      <rPr>
        <sz val="11"/>
        <color rgb="FF000000"/>
        <rFont val="Calibri"/>
        <scheme val="minor"/>
      </rPr>
      <t xml:space="preserve">IF(TRIM(DDT04_IDDEMI.DDYD04A6_CIBANDEV) = '', NULL, DDT04_IDDEMI.DDYD04A6_CIBANDEV)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</si>
  <si>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CIBANDEV
CIBANDEV
CIBANDEV
CIBANDEV</t>
  </si>
  <si>
    <t>ORYD01H9_CIBANDST
ORYD01H9_CIBANDST
ORYD01H9_CIBANDST</t>
  </si>
  <si>
    <r>
      <rPr>
        <b/>
        <sz val="11"/>
        <color rgb="FF000000"/>
        <rFont val="Calibri"/>
        <scheme val="minor"/>
      </rPr>
      <t xml:space="preserve">SELECT </t>
    </r>
    <r>
      <rPr>
        <sz val="11"/>
        <color rgb="FF000000"/>
        <rFont val="Calibri"/>
        <scheme val="minor"/>
      </rPr>
      <t xml:space="preserve">IF(TRIM(ORT01_SEPA_EMI.ORYD01H9_CIBANDST) = '', NULL, ORT01_SEPA_EMI.ORYD01H9_CIBANDST)
</t>
    </r>
    <r>
      <rPr>
        <b/>
        <sz val="11"/>
        <color rgb="FF000000"/>
        <rFont val="Calibri"/>
        <scheme val="minor"/>
      </rPr>
      <t xml:space="preserve">SELECT </t>
    </r>
    <r>
      <rPr>
        <sz val="11"/>
        <color rgb="FF000000"/>
        <rFont val="Calibri"/>
        <scheme val="minor"/>
      </rPr>
      <t xml:space="preserve">IF(TRIM(ORT01_SEPA_INT.ORYD01H9_CIBANDST) = '', NULL, ORT01_SEPA_INT.ORYD01H9_CIBANDST)
</t>
    </r>
    <r>
      <rPr>
        <b/>
        <sz val="11"/>
        <color rgb="FF000000"/>
        <rFont val="Calibri"/>
        <scheme val="minor"/>
      </rPr>
      <t xml:space="preserve">SELECT </t>
    </r>
    <r>
      <rPr>
        <sz val="11"/>
        <color rgb="FF000000"/>
        <rFont val="Calibri"/>
        <scheme val="minor"/>
      </rPr>
      <t>IF(TRIM(ORT01_SEPA_REC.ORYD01H9_CIBANDST) = '', NULL, ORT01_SEPA_REC.ORYD01H9_CIBANDST)</t>
    </r>
  </si>
  <si>
    <t>CIBANDST
CIBANDST
CIBANDST</t>
  </si>
  <si>
    <t>Message Schema</t>
  </si>
  <si>
    <t>message_schema</t>
  </si>
  <si>
    <t>Message schema such as SWIFT, SEPA, Faster Payment, Chaps</t>
  </si>
  <si>
    <t>Schema da mensagem isto é, SWIFT, SEPA, Faster Payment, Chaps</t>
  </si>
  <si>
    <t>Schema</t>
  </si>
  <si>
    <t>ESYD94A5_TIPMTMX</t>
  </si>
  <si>
    <r>
      <rPr>
        <b/>
        <sz val="11"/>
        <color rgb="FF000000"/>
        <rFont val="Calibri"/>
        <scheme val="minor"/>
      </rPr>
      <t>SELECT</t>
    </r>
    <r>
      <rPr>
        <sz val="11"/>
        <color rgb="FF000000"/>
        <rFont val="Calibri"/>
        <scheme val="minor"/>
      </rPr>
      <t xml:space="preserve"> IF(TRIM(EST94_HISMSGSW.ESYD94A5_TIPMTMX) = '',  NULL,  IF(TRIM(EST94_HISMSGSW.ESYD94A5_TIPMTMX) IN ('MT103', 'MT202'), 'SWIFT', 'ISO20022'))
</t>
    </r>
    <r>
      <rPr>
        <b/>
        <sz val="11"/>
        <color rgb="FF000000"/>
        <rFont val="Calibri"/>
        <scheme val="minor"/>
      </rPr>
      <t>WHERE</t>
    </r>
    <r>
      <rPr>
        <sz val="11"/>
        <color rgb="FF000000"/>
        <rFont val="Calibri"/>
        <scheme val="minor"/>
      </rPr>
      <t xml:space="preserve"> SUBSTRING( EST94_HISMSGSW.ESYD94A5_HTIMEST, 1, 10 ) &gt; SUBSTRING( LAST_DATA_DATE_PART, 1, 10 ) AND SUBSTRING( EST94_HISMSGSW.ESYD94A5_HTIMEST, 1, 10) &lt;= SUBSTRING( LAST_DATA_DATE_PART, 11, 10 )
AND EST94_HISMSGSW.ESYD94A5_TIPMTMX IN ('PACS.008', 'PACS.009', 'PAIN.001', 'MT103', 'MT202')</t>
    </r>
  </si>
  <si>
    <t>TIPMTMX</t>
  </si>
  <si>
    <t>Case when TIPMTMX = MT103 or MT202 : SWIFT
else : ISO20022</t>
  </si>
  <si>
    <t>Receiver Name</t>
  </si>
  <si>
    <t>receiver_name</t>
  </si>
  <si>
    <t xml:space="preserve">Name of the receiver involved in the transfer/payment. </t>
  </si>
  <si>
    <t xml:space="preserve">Nome do destinatário envolvido na transferência/pagamento. </t>
  </si>
  <si>
    <t>DDYD03A4_NOMEDEV
DDYD04A6_NOMEDEV
DDYD03A4_NOMEDEV
DDYD04A6_NOMEDEV</t>
  </si>
  <si>
    <r>
      <rPr>
        <b/>
        <sz val="11"/>
        <color rgb="FF000000"/>
        <rFont val="Calibri"/>
        <scheme val="minor"/>
      </rPr>
      <t xml:space="preserve">SELECT </t>
    </r>
    <r>
      <rPr>
        <sz val="11"/>
        <color rgb="FF000000"/>
        <rFont val="Calibri"/>
        <scheme val="minor"/>
      </rPr>
      <t xml:space="preserve">IF( TRIM( DDT03_IDDREC.DDYD03A4_NOMEDEV) = '', NULL, DDT03_IDDREC.DDYD03A4_NOMEDEV)
</t>
    </r>
    <r>
      <rPr>
        <b/>
        <sz val="11"/>
        <color rgb="FF000000"/>
        <rFont val="Calibri"/>
        <scheme val="minor"/>
      </rPr>
      <t>WHERE</t>
    </r>
    <r>
      <rPr>
        <sz val="11"/>
        <color rgb="FF000000"/>
        <rFont val="Calibri"/>
        <scheme val="minor"/>
      </rPr>
      <t xml:space="preserve"> 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IF(TRIM(DDT04_IDDEMI.DDYD04A6_NOMEDEV) = '', NULL, DDT04_IDDEMI.DDYD04A6_NOMEDEV)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IF(TRIM(DDT03_IDDREC.DDYD03A4_NOMEDEV) = '', NULL, DDT03_IDDREC.DDYD03A4_NOMEDEV)
</t>
    </r>
    <r>
      <rPr>
        <b/>
        <sz val="11"/>
        <color rgb="FF000000"/>
        <rFont val="Calibri"/>
        <scheme val="minor"/>
      </rPr>
      <t>WHERE</t>
    </r>
    <r>
      <rPr>
        <sz val="11"/>
        <color rgb="FF000000"/>
        <rFont val="Calibri"/>
        <scheme val="minor"/>
      </rPr>
      <t xml:space="preserve">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IF(TRIM(DDT04_IDDEMI.DDYD04A6_NOMEDEV) = '', NULL, DDT04_IDDEMI.DDYD04A6_NOMEDEV)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</si>
  <si>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NOMEDEV || NOMEDEV</t>
  </si>
  <si>
    <t>ORYD01H9_NOMEDST
ORYD01H9_NOMEDST
ORYD01H9_NOMEDST</t>
  </si>
  <si>
    <r>
      <rPr>
        <b/>
        <sz val="11"/>
        <color rgb="FF000000"/>
        <rFont val="Calibri"/>
        <scheme val="minor"/>
      </rPr>
      <t xml:space="preserve">SELECT </t>
    </r>
    <r>
      <rPr>
        <sz val="11"/>
        <color rgb="FF000000"/>
        <rFont val="Calibri"/>
        <scheme val="minor"/>
      </rPr>
      <t xml:space="preserve">IF(TRIM(ORT01_SEPA_EMI.ORYD01H9_NOMEDST) = '', NULL, ORT01_SEPA_EMI.ORYD01H9_NOMEDST)
</t>
    </r>
    <r>
      <rPr>
        <b/>
        <sz val="11"/>
        <color rgb="FF000000"/>
        <rFont val="Calibri"/>
        <scheme val="minor"/>
      </rPr>
      <t xml:space="preserve">SELECT </t>
    </r>
    <r>
      <rPr>
        <sz val="11"/>
        <color rgb="FF000000"/>
        <rFont val="Calibri"/>
        <scheme val="minor"/>
      </rPr>
      <t xml:space="preserve">IF(TRIM(ORT01_SEPA_INT.ORYD01H9_NOMEDST) = '', NULL, ORT01_SEPA_INT.ORYD01H9_NOMEDST)
</t>
    </r>
    <r>
      <rPr>
        <b/>
        <sz val="11"/>
        <color rgb="FF000000"/>
        <rFont val="Calibri"/>
        <scheme val="minor"/>
      </rPr>
      <t xml:space="preserve">SELECT </t>
    </r>
    <r>
      <rPr>
        <sz val="11"/>
        <color rgb="FF000000"/>
        <rFont val="Calibri"/>
        <scheme val="minor"/>
      </rPr>
      <t xml:space="preserve">IF(TRIM(ORT01_SEPA_REC.ORYD01H9_NOMEDST) = '', NULL, ORT01_SEPA_REC.ORYD01H9_NOMEDST) </t>
    </r>
  </si>
  <si>
    <t>NOMEDST
NOMEDST
NOMEDST</t>
  </si>
  <si>
    <t>Receiver Swfit</t>
  </si>
  <si>
    <t>receiver_swift</t>
  </si>
  <si>
    <t xml:space="preserve">Represents the receiver´s financial institution identification. </t>
  </si>
  <si>
    <t xml:space="preserve">Representa a identificação da instituição financeira do destinatário. </t>
  </si>
  <si>
    <t>CURATED_INTERNAL_MAINFRAME_ESTRANGEIRO
CURATED_INTERNAL_MAINFRAME_ESTRANGEIRO
CURATED_INTERNAL_MAINFRAME_ESTRANGEIRO
CURATED_INTERNAL_MAINFRAME_TRANSFERENCIAS
CURATED_INTERNAL_MAINFRAME_TRANSFERENCIAS
CURATED_INTERNAL_MAINFRAME_TRANSFERENCIAS
CURATED_INTERNAL_MAINFRAME_TRANSFERENCIAS
CURATED_INTERNAL_MAINFRAME_TRANSFERENCIAS
CURATED_INTERNAL_MAINFRAME_TRANSFERENCIAS
CURATED_INTERNAL_MAINFRAME_TRANSFERENCIAS
CURATED_INTERNAL_MAINFRAME_TRANSFERENCIAS</t>
  </si>
  <si>
    <t>EST10_ORDENS
IGT05
RST03_MT101TRF
HH_TRANSF_EMIT
PRSW_DIRECCION
HH_DATOS_BANCOS (REC)
PRSW_DIRECCION (REC)
JK_ORDEN_ENVIAR
PRSW_DIRECCION (REC DAT 581) || PRSW_DIRECCION (REC DAT 584) || PRSW_DIRECCION (REC ORD 581) || PRSW_DIRECCION (REC ORD 584)
JK_ORDEN_ENVIAR
PRSW_DIRECCION (REC DAT 581) || PRSW_DIRECCION (REC DAT 584) || PRSW_DIRECCION (REC ORD 581) || PRSW_DIRECCION (REC ORD 584)</t>
  </si>
  <si>
    <t>SWBBENEF
ENDER_SWIFT_CRED
RSYD03A2_CBICBNF
N/A
IDEMEXSW, IDOFEXSW
N/A
IDEMEXSW, IDOFEXSW
N/A
IDEMEXSW, IDOFEXSW
N/A
IDEMEXSW, IDOFEXSW</t>
  </si>
  <si>
    <r>
      <rPr>
        <b/>
        <sz val="11"/>
        <color rgb="FF000000"/>
        <rFont val="Calibri"/>
      </rPr>
      <t xml:space="preserve">SELECT </t>
    </r>
    <r>
      <rPr>
        <sz val="11"/>
        <color rgb="FF000000"/>
        <rFont val="Calibri"/>
      </rPr>
      <t xml:space="preserve">IF(TRIM(EST10_ORDENS.SWBBENEF) = '', NULL, EST10_ORDENS.SWBBENEF)
</t>
    </r>
    <r>
      <rPr>
        <b/>
        <sz val="11"/>
        <color rgb="FF000000"/>
        <rFont val="Calibri"/>
      </rPr>
      <t xml:space="preserve">WHERE </t>
    </r>
    <r>
      <rPr>
        <sz val="11"/>
        <color rgb="FF000000"/>
        <rFont val="Calibri"/>
      </rPr>
      <t xml:space="preserve">SUBSTRING( HTIMEST, 1, 10) &gt; SUBSTRING( LAST_DATA_DATE_PART, 1, 10 ) AND SUBSTRING( HTIMEST, 1, 10 ) &lt;= SUBSTRING( LAST_DATA_DATE_PART, 11, 10 )
</t>
    </r>
    <r>
      <rPr>
        <b/>
        <sz val="11"/>
        <color rgb="FF000000"/>
        <rFont val="Calibri"/>
      </rPr>
      <t xml:space="preserve">SELECT </t>
    </r>
    <r>
      <rPr>
        <sz val="11"/>
        <color rgb="FF000000"/>
        <rFont val="Calibri"/>
      </rPr>
      <t xml:space="preserve">IF(TRIM(IGT05.ENDER_SWIFT_CRED) = '',NULL, IGT05.ENDER_SWIFT_CRED)
</t>
    </r>
    <r>
      <rPr>
        <b/>
        <sz val="11"/>
        <color rgb="FF000000"/>
        <rFont val="Calibri"/>
      </rPr>
      <t xml:space="preserve">WHERE </t>
    </r>
    <r>
      <rPr>
        <sz val="11"/>
        <color rgb="FF000000"/>
        <rFont val="Calibri"/>
      </rPr>
      <t xml:space="preserve">IGT05.PRODUTO IN ( 'TRR', 'TNR', 'TRE', 'TNE' )
</t>
    </r>
    <r>
      <rPr>
        <b/>
        <sz val="11"/>
        <color rgb="FF000000"/>
        <rFont val="Calibri"/>
      </rPr>
      <t xml:space="preserve">SELECT </t>
    </r>
    <r>
      <rPr>
        <sz val="11"/>
        <color rgb="FF000000"/>
        <rFont val="Calibri"/>
      </rPr>
      <t xml:space="preserve">IF(TRIM(RST03_MT101TRF.RSYD03A2_CBICBNF) = '', NULL, RST03_MT101TRF.RSYD03A2_CBICBNF)
</t>
    </r>
    <r>
      <rPr>
        <b/>
        <sz val="11"/>
        <color rgb="FF000000"/>
        <rFont val="Calibri"/>
      </rPr>
      <t>WHERE</t>
    </r>
    <r>
      <rPr>
        <sz val="11"/>
        <color rgb="FF000000"/>
        <rFont val="Calibri"/>
      </rPr>
      <t xml:space="preserve">  SUBSTRING( RST03_MT101TRF.RSYD03A2_HMODIFI, 1, 10 ) &gt; SUBSTRING( LAST_DATA_DATE_PART, 1, 10 ) AND SUBSTRING( RST03_MT101TRF.RSYD03A2_HMODIFI, 1, 10 ) &lt;= SUBSTRING( LAST_DATA_DATE_PART, 11, 10)
   AND RST03_MT101TRF.RSYD03A2_CAPLICDST = 'RS'
</t>
    </r>
    <r>
      <rPr>
        <b/>
        <sz val="11"/>
        <color rgb="FF000000"/>
        <rFont val="Calibri"/>
      </rPr>
      <t xml:space="preserve">SELECT </t>
    </r>
    <r>
      <rPr>
        <sz val="11"/>
        <color rgb="FF000000"/>
        <rFont val="Calibri"/>
      </rPr>
      <t xml:space="preserve">IF( TRIM( CONCAT( PRSW_DIRECCION.IDEMEXSW, PRSW_DIRECCION.IDOFEXSW ) )  = '', NULL, CONCAT( PRSW_DIRECCION.IDEMEXSW, PRSW_DIRECCION.IDOFEXSW ) )
</t>
    </r>
    <r>
      <rPr>
        <b/>
        <sz val="11"/>
        <color rgb="FF000000"/>
        <rFont val="Calibri"/>
      </rPr>
      <t xml:space="preserve">SELECT </t>
    </r>
    <r>
      <rPr>
        <sz val="11"/>
        <color rgb="FF000000"/>
        <rFont val="Calibri"/>
      </rPr>
      <t xml:space="preserve">IF( TRIM( CONCAT( PRSW_DIRECCION.IDEMEXSW, PRSW_DIRECCION.IDOFEXSW ) ) = '', NULL, CONCAT( PRSW_DIRECCION.IDEMEXSW, PRSW_DIRECCION.IDOFEXSW ) )
</t>
    </r>
    <r>
      <rPr>
        <b/>
        <sz val="11"/>
        <color rgb="FF000000"/>
        <rFont val="Calibri"/>
      </rPr>
      <t xml:space="preserve">WHERE </t>
    </r>
    <r>
      <rPr>
        <sz val="11"/>
        <color rgb="FF000000"/>
        <rFont val="Calibri"/>
      </rPr>
      <t xml:space="preserve">HH_DATOS_BANCOS.HHF_INDBAN1 = 'B'
</t>
    </r>
    <r>
      <rPr>
        <b/>
        <sz val="11"/>
        <color rgb="FF000000"/>
        <rFont val="Calibri"/>
      </rPr>
      <t xml:space="preserve">SELECT </t>
    </r>
    <r>
      <rPr>
        <sz val="11"/>
        <color rgb="FF000000"/>
        <rFont val="Calibri"/>
      </rPr>
      <t xml:space="preserve">CASE
      WHEN TRIM( CONCAT( PRSW_DIRECCION (REC DAT 581).IDEMEXSW, PRSW_DIRECCION (REC DAT 581).IDOFEXSW) ) != '' AND CONCAT( PRSW_DIRECCION (REC DAT 581).IDEMEXSW, PRSW_DIRECCION (REC DAT 581).IDOFEXSW) IS NOT NULL THEN CONCAT( PRSW_DIRECCION (REC DAT 581).IDEMEXSW, PRSW_DIRECCION (REC DAT 581).IDOFEXSW )
      WHEN TRIM( CONCAT( PRSW_DIRECCION (REC DAT 584).IDEMEXSW, PRSW_DIRECCION (REC DAT 584).IDOFEXSW) ) != '' AND CONCAT( PRSW_DIRECCION (REC DAT 584).IDEMEXSW, PRSW_DIRECCION (REC DAT 584).IDOFEXSW) IS NOT NULL THEN CONCAT( PRSW_DIRECCION (REC DAT 584).IDEMEXSW, PRSW_DIRECCION (REC DAT 584).IDOFEXSW )
      WHEN TRIM( CONCAT( PRSW_DIRECCION (REC ORD 581).IDEMEXSW, PRSW_DIRECCION (REC ORD 581).IDOFEXSW) ) != '' AND CONCAT( PRSW_DIRECCION (REC ORD 581).IDEMEXSW, PRSW_DIRECCION (REC ORD 581).IDOFEXSW) IS NOT NULL THEN CONCAT( PRSW_DIRECCION (REC ORD 581).IDEMEXSW, PRSW_DIRECCION (REC ORD 581).IDOFEXSW )
      WHEN TRIM( CONCAT( PRSW_DIRECCION (REC ORD 584).IDEMEXSW, PRSW_DIRECCION (REC ORD 584).IDOFEXSW) ) != '' AND CONCAT( PRSW_DIRECCION (REC ORD 584).IDEMEXSW, PRSW_DIRECCION (REC ORD 584).IDOFEXSW) IS NOT NULL THEN CONCAT( PRSW_DIRECCION (REC ORD 584).IDEMEXSW, PRSW_DIRECCION (REC ORD 584).IDOFEXSW )
      ELSE NULL
END
</t>
    </r>
    <r>
      <rPr>
        <b/>
        <sz val="11"/>
        <color rgb="FF000000"/>
        <rFont val="Calibri"/>
      </rPr>
      <t xml:space="preserve">WHERE </t>
    </r>
    <r>
      <rPr>
        <sz val="11"/>
        <color rgb="FF000000"/>
        <rFont val="Calibri"/>
      </rPr>
      <t xml:space="preserve">CONCAT( JK_ORDEN_ENVIAR.TIPMSJ, JK_ORDEN_ENVIAR.INDMSJ, JK_ORDEN_ENVIAR.NUMMSJ) != 'MT103' AND JK_DATOS_CAMPOS.JKDCP_CAMPO IN ('581', '584') AND JK_ORDEN_CAMPOS.JKOCP_CAMPO IN ('581', '584')
</t>
    </r>
    <r>
      <rPr>
        <b/>
        <sz val="11"/>
        <color rgb="FF000000"/>
        <rFont val="Calibri"/>
      </rPr>
      <t xml:space="preserve">SELECT </t>
    </r>
    <r>
      <rPr>
        <sz val="11"/>
        <color rgb="FF000000"/>
        <rFont val="Calibri"/>
      </rPr>
      <t xml:space="preserve">CASE
      WHEN TRIM( CONCAT( PRSW_DIRECCION (REC DAT 581).IDEMEXSW, PRSW_DIRECCION (REC DAT 581).IDOFEXSW) ) != '' AND CONCAT( PRSW_DIRECCION (REC DAT 581).IDEMEXSW, PRSW_DIRECCION (REC DAT 581).IDOFEXSW) IS NOT NULL THEN CONCAT( PRSW_DIRECCION (REC DAT 581).IDEMEXSW, PRSW_DIRECCION (REC DAT 581).IDOFEXSW )
      WHEN TRIM( CONCAT( PRSW_DIRECCION (REC DAT 584).IDEMEXSW, PRSW_DIRECCION (REC DAT 584).IDOFEXSW) ) != '' AND CONCAT( PRSW_DIRECCION (REC DAT 584).IDEMEXSW, PRSW_DIRECCION (REC DAT 584).IDOFEXSW) IS NOT NULL THEN CONCAT( PRSW_DIRECCION (REC DAT 584).IDEMEXSW, PRSW_DIRECCION (REC DAT 584).IDOFEXSW )
      WHEN TRIM( CONCAT( PRSW_DIRECCION (REC ORD 581).IDEMEXSW, PRSW_DIRECCION (REC ORD 581).IDOFEXSW) ) != '' AND CONCAT( PRSW_DIRECCION (REC ORD 581).IDEMEXSW, PRSW_DIRECCION (REC ORD 581).IDOFEXSW) IS NOT NULL THEN CONCAT( PRSW_DIRECCION (REC ORD 581).IDEMEXSW, PRSW_DIRECCION (REC ORD 581).IDOFEXSW )
      WHEN TRIM( CONCAT( PRSW_DIRECCION (REC ORD 584).IDEMEXSW, PRSW_DIRECCION (REC ORD 584).IDOFEXSW) ) != '' AND CONCAT( PRSW_DIRECCION (REC ORD 584).IDEMEXSW, PRSW_DIRECCION (REC ORD 584).IDOFEXSW) IS NOT NULL THEN CONCAT( PRSW_DIRECCION (REC ORD 584).IDEMEXSW, PRSW_DIRECCION (REC ORD 584).IDOFEXSW )
      ELSE NULL
END
</t>
    </r>
    <r>
      <rPr>
        <b/>
        <sz val="11"/>
        <color rgb="FF000000"/>
        <rFont val="Calibri"/>
      </rPr>
      <t>WHERE</t>
    </r>
    <r>
      <rPr>
        <sz val="11"/>
        <color rgb="FF000000"/>
        <rFont val="Calibri"/>
      </rPr>
      <t xml:space="preserve"> CONCAT( JK_ORDEN_CAMARA.TIPMSJ, JK_ORDEN_CAMARA.INDMSJ, JK_ORDEN_CAMARA.NUMMSJ) != 'MT103' AND JK_DATOS_CAMPOS.JKDCP_CAMPO IN ('581', '584') AND JK_ORDEN_CAMPOS.JKOCP_CAMPO IN ('581', '584')</t>
    </r>
  </si>
  <si>
    <t xml:space="preserve">EST10_ORDENS
IGT05_CONFIRMA
RST03_MT101TRF
HH_TRANSF_EMIT -&gt; HH_DATOS_BANCOS -&gt; PRWS_DIRECCION
HH_SWIFT_RELAC -&gt; HH_DAT_SW_COBRO -&gt; HH_DATOS_BANCOS (REC) -&gt; PRSW_DIRECCION (REC)
JK_ORDEN_ENVIAR -&gt; JK_DATOS_CAMPOS || JK_ORDEN_CAMPOS -&gt; PRSW_DIRECCION || PRSW_DIRECCION 
JK_ORDEN_CAMARA-&gt; JK_DATOS_CAMPOS || JK_ORDEN_CAMPOS -&gt; PRSW_DIRECCION || PRSW_DIRECCION </t>
  </si>
  <si>
    <t>SWBBENEF
ENDER_SWIFT_CRE
CBICBNF
CONCAT( IDEMEXSW, IDOFEXSW)
CONCAT( IDEMEXSW, IDOFEXSW)
CONCAT( IDEMEXSW, IDOFEXSW) || CONCAT( IDEMEXSW, IDOFEXSW)
CONCAT( IDEMEXSW, IDOFEXSW) || CONCAT( IDEMEXSW, IDOFEXSW)</t>
  </si>
  <si>
    <t>N/A ||  IF BANCO_RECEPTOR=ENDER_SWIFT_CRED then ENDER_SWIFT_CRE else ENDERECO_SWIFT_DEB
INDBAN1 = B
JK - CAMP = 594\596 REC</t>
  </si>
  <si>
    <t>Receiver NIB</t>
  </si>
  <si>
    <t xml:space="preserve">receiver_nib </t>
  </si>
  <si>
    <t>Nacional number of banking identification of the receiver's main current account involved in the transfer/payment.</t>
  </si>
  <si>
    <t xml:space="preserve">Número de identificação bancária nacional da conta à ordem do destinatário envolvido na transferência/pagamento. </t>
  </si>
  <si>
    <t>CNIBHB || CNIBCR</t>
  </si>
  <si>
    <t>SELECT CASE 
      WHEN CRT67.CTRANSCR IN ('037', '179') THEN IF(TRIM(CRT67.CNIBCR) = '', NULL, CRT67.CNIBCR)
      WHEN CRT67.CTRANSCR IN ('052', '199') THEN IF(TRIM(CRT67.CNIBHB) = '', NULL, CRT67.CNIBHB)
      ELSE NULL</t>
  </si>
  <si>
    <t>N\A || N\A</t>
  </si>
  <si>
    <t>Receiver Swift</t>
  </si>
  <si>
    <t>DDYD03A4_CBICDEV
DDYD04A6_CBICDEV
DDYD03A4_CBICDEV
DDYD04A6_CBICDEV</t>
  </si>
  <si>
    <r>
      <rPr>
        <b/>
        <sz val="11"/>
        <color rgb="FF000000"/>
        <rFont val="Calibri"/>
        <scheme val="minor"/>
      </rPr>
      <t xml:space="preserve">SELECT </t>
    </r>
    <r>
      <rPr>
        <sz val="11"/>
        <color rgb="FF000000"/>
        <rFont val="Calibri"/>
        <scheme val="minor"/>
      </rPr>
      <t xml:space="preserve">IF( TRIM( DDT03_IDDREC.DDYD03A4_CBICDEV) = '', NULL, DDT03_IDDREC.DDYD03A4_CBICDEV)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IF(TRIM(DDT04_IDDEMI.DDYD04A6_CBICDEV) = '', NULL, DDT04_IDDEMI.DDYD04A6_CBICDEV)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IF(TRIM(DDT03_IDDREC.DDYD03A4_CBICDEV) = '', NULL, DDT03_IDDREC.DDYD03A4_CBICDEV)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IF(TRIM(DDT04_IDDEMI.DDYD04A6_CBICDEV) = '', NULL, DDT04_IDDEMI.DDYD04A6_CBICDEV)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</si>
  <si>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CBICDEV
CBICDEV
CBICDEV
CBICDEV</t>
  </si>
  <si>
    <t>CURATED_INTERNAL_MAINFRAME_ESTRANGEIRO
CURATED_INTERNAL_MAINFRAME_ESTRANGEIRO
N/A</t>
  </si>
  <si>
    <t>ORT01_SEPA_EMI
ORT01_SEPA_INT
N/A</t>
  </si>
  <si>
    <t>ORYD01H9_CBIC
ORYD01H9_CBIC
N/A</t>
  </si>
  <si>
    <r>
      <rPr>
        <b/>
        <sz val="11"/>
        <color rgb="FF000000"/>
        <rFont val="Calibri"/>
        <scheme val="minor"/>
      </rPr>
      <t xml:space="preserve">SELECT </t>
    </r>
    <r>
      <rPr>
        <sz val="11"/>
        <color rgb="FF000000"/>
        <rFont val="Calibri"/>
        <scheme val="minor"/>
      </rPr>
      <t xml:space="preserve">IF(TRIM(ORT01_SEPA_EMI.ORYD01H9_CBIC) = '', NULL, ORT01_SEPA_EMI.ORYD01H9_CBIC)
</t>
    </r>
    <r>
      <rPr>
        <b/>
        <sz val="11"/>
        <color rgb="FF000000"/>
        <rFont val="Calibri"/>
        <scheme val="minor"/>
      </rPr>
      <t xml:space="preserve">SELECT </t>
    </r>
    <r>
      <rPr>
        <sz val="11"/>
        <color rgb="FF000000"/>
        <rFont val="Calibri"/>
        <scheme val="minor"/>
      </rPr>
      <t xml:space="preserve">IF(TRIM(ORT01_SEPA_INT.ORYD01H9_CBIC) = '', NULL, ORT01_SEPA_INT.ORYD01H9_CBIC)
</t>
    </r>
    <r>
      <rPr>
        <b/>
        <sz val="11"/>
        <color rgb="FF000000"/>
        <rFont val="Calibri"/>
        <scheme val="minor"/>
      </rPr>
      <t xml:space="preserve">SELECT </t>
    </r>
    <r>
      <rPr>
        <sz val="11"/>
        <color rgb="FF000000"/>
        <rFont val="Calibri"/>
        <scheme val="minor"/>
      </rPr>
      <t>'TOTAPTPL'</t>
    </r>
  </si>
  <si>
    <t>CBIC
CBIC
N/A</t>
  </si>
  <si>
    <t>if CINSTORD='E' THEN CBIC else 'TOTAPTPL'</t>
  </si>
  <si>
    <t>N\A
N\A
"TOTAPTPL"</t>
  </si>
  <si>
    <t>EST51_INF_DET (REC)
IGT05
RST03_MT101TRF
HH_TRANSF_EMIT
HH_BENEFIC_SW
HH_BENEFIC_SW
JK_ORDEN_ENVIAR
JK_DATOS_CAMPOS (REC NAME) || JK_ORDEN_CAMPOS (REC NAME)
JK_ORDEN_ENVIAR
JK_DATOS_CAMPOS (REC NAME) || JK_ORDEN_CAMPOS (REC NAME)</t>
  </si>
  <si>
    <t>DETPAGAM
NOME_CTA_1_DEB
RSYD03A2_CNOMEBNF
N/A
NOMEBENSW
NOMEBENSW
N/A
JKDCP_DATOSVA_TEXT || JKOCP_DATOSVA_TEXT
N/A
JKDCP_DATOSVA_TEXT || JKOCP_DATOSVA_TEXT</t>
  </si>
  <si>
    <r>
      <rPr>
        <b/>
        <sz val="11"/>
        <color rgb="FF000000"/>
        <rFont val="Calibri"/>
        <scheme val="minor"/>
      </rPr>
      <t xml:space="preserve">SELECT </t>
    </r>
    <r>
      <rPr>
        <sz val="11"/>
        <color rgb="FF000000"/>
        <rFont val="Calibri"/>
        <scheme val="minor"/>
      </rPr>
      <t xml:space="preserve">IF(TRIM(EST51_INF_DET.DETPAGAM) = '', NULL, EST51_INF_DET.DETPAGAM)
</t>
    </r>
    <r>
      <rPr>
        <b/>
        <sz val="11"/>
        <color rgb="FF000000"/>
        <rFont val="Calibri"/>
        <scheme val="minor"/>
      </rPr>
      <t xml:space="preserve">WHERE </t>
    </r>
    <r>
      <rPr>
        <sz val="11"/>
        <color rgb="FF000000"/>
        <rFont val="Calibri"/>
        <scheme val="minor"/>
      </rPr>
      <t xml:space="preserve">SUBSTRING( HTIMEST, 1, 10) &gt; SUBSTRING( LAST_DATA_DATE_PART, 1, 10 ) AND SUBSTRING( HTIMEST, 1, 10 ) &lt;= SUBSTRING( LAST_DATA_DATE_PART, 11, 10 )
   AND EST51_INF_DET.TIPMSG = '00103' AND EST51_INF_DET.TIPINFOR = '00059' AND EST51_INF_DET.NCAMPO = '00001'
</t>
    </r>
    <r>
      <rPr>
        <b/>
        <sz val="11"/>
        <color rgb="FF000000"/>
        <rFont val="Calibri"/>
        <scheme val="minor"/>
      </rPr>
      <t xml:space="preserve">SELECT </t>
    </r>
    <r>
      <rPr>
        <sz val="11"/>
        <color rgb="FF000000"/>
        <rFont val="Calibri"/>
        <scheme val="minor"/>
      </rPr>
      <t xml:space="preserve">IF(TRIM(IGT05.NOME_CTA_1_CRED) = '', NULL, IGT05.NOME_CTA_1_CRED)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IF(TRIM(RST03_MT101TRF.RSYD03A2_CNOMEBNF) = '', NULL, RST03_MT101TRF.RSYD03A2_CNOMEBNF) 
</t>
    </r>
    <r>
      <rPr>
        <b/>
        <sz val="11"/>
        <color rgb="FF000000"/>
        <rFont val="Calibri"/>
        <scheme val="minor"/>
      </rPr>
      <t xml:space="preserve">WHERE </t>
    </r>
    <r>
      <rPr>
        <sz val="11"/>
        <color rgb="FF000000"/>
        <rFont val="Calibri"/>
        <scheme val="minor"/>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scheme val="minor"/>
      </rPr>
      <t>SELECT</t>
    </r>
    <r>
      <rPr>
        <sz val="11"/>
        <color rgb="FF000000"/>
        <rFont val="Calibri"/>
        <scheme val="minor"/>
      </rPr>
      <t xml:space="preserve"> IF( TRIM( HH_BENEFIC_SW.NOMEBENSW ) = '', NULL, RTRIM( HH_BENEFIC_SW.NOMEBENSW ) )
</t>
    </r>
    <r>
      <rPr>
        <b/>
        <sz val="11"/>
        <color rgb="FF000000"/>
        <rFont val="Calibri"/>
        <scheme val="minor"/>
      </rPr>
      <t xml:space="preserve">SELECT </t>
    </r>
    <r>
      <rPr>
        <sz val="11"/>
        <color rgb="FF000000"/>
        <rFont val="Calibri"/>
        <scheme val="minor"/>
      </rPr>
      <t xml:space="preserve">IF( TRIM( HH_BENEFIC_SW.NOMEBENSW ) = '', NULL, RTRIM( HH_BENEFIC_SW.NOMEBENSW ) )
</t>
    </r>
    <r>
      <rPr>
        <b/>
        <sz val="11"/>
        <color rgb="FF000000"/>
        <rFont val="Calibri"/>
        <scheme val="minor"/>
      </rPr>
      <t xml:space="preserve">SELECT </t>
    </r>
    <r>
      <rPr>
        <sz val="11"/>
        <color rgb="FF000000"/>
        <rFont val="Calibri"/>
        <scheme val="minor"/>
      </rPr>
      <t xml:space="preserve">CASE
      WHEN TRIM( JK_DATOS_CAMPOS.JKDCP_DATOSVA_TEXT ) != '' AND JK_DATOS_CAMPOS.JKDCP_DATOSVA_TEXT IS NOT NULL AND JK_DATOS_CAMPOS.JKDCP_CAMPO = '573' THEN RTRIM( SUBSTRING( JK_DATOS_CAMPOS.JKDCP_DATOSVA_TEXT, 35, 35 ) )
      WHEN TRIM(JK_ORDEN_CAMPOS.JKOCP_DATOSVA_TEXT) != '' AND JK_ORDEN_CAMPOS.JKOCP_DATOSVA_TEXT IS NOT NULL AND JK_ORDEN_CAMPOS.JKOCP_CAMPO = '573' THEN RTRIM(SUBSTRING(JK_ORDEN_CAMPOS.JKOCP_DATOSVA_TEXT, 35, 35 ) )
      WHEN TRIM( JK_DATOS_CAMPOS.JKDCP_DATOSVA_TEXT ) != '' AND JK_DATOS_CAMPOS.JKDCP_DATOSVA_TEXT IS NOT NULL AND JK_DATOS_CAMPOS.JKDCP_CAMPO = '576' THEN RTRIM( SUBSTRING( JK_DATOS_CAMPOS.JKDCP_DATOSVA_TEXT , 1, 35 ) )
      WHEN TRIM( JK_ORDEN_CAMPOS.JKOCP_DATOSVA_TEXT) != '' AND JK_ORDEN_CAMPOS.JKOCP_DATOSVA_TEXT IS NOT NULL AND JK_ORDEN_CAMPOS.JKOCP_CAMPO = '576' THEN RTRIM( SUBSTRING( JK_ORDEN_CAMPOS.JKOCP_DATOSVA_TEXT, 1, 35 ) )
      ELSE NULL
END
</t>
    </r>
    <r>
      <rPr>
        <b/>
        <sz val="11"/>
        <color rgb="FF000000"/>
        <rFont val="Calibri"/>
        <scheme val="minor"/>
      </rPr>
      <t xml:space="preserve">WHERE </t>
    </r>
    <r>
      <rPr>
        <sz val="11"/>
        <color rgb="FF000000"/>
        <rFont val="Calibri"/>
        <scheme val="minor"/>
      </rPr>
      <t xml:space="preserve">CONCAT( JK_ORDEN_ENVIAR.TIPMSJ, JK_ORDEN_ENVIAR.INDMSJ, JK_ORDEN_ENVIAR.NUMMSJ) != 'MT103' AND JK_DATOS_CAMPOS .JKDCP_CAMPO IN ( '573', '576' ) AND JK_ORDEN_CAMPOS.JKOCP_campo in ( '573', '576')
</t>
    </r>
    <r>
      <rPr>
        <b/>
        <sz val="11"/>
        <color rgb="FF000000"/>
        <rFont val="Calibri"/>
        <scheme val="minor"/>
      </rPr>
      <t xml:space="preserve">SELECT </t>
    </r>
    <r>
      <rPr>
        <sz val="11"/>
        <color rgb="FF000000"/>
        <rFont val="Calibri"/>
        <scheme val="minor"/>
      </rPr>
      <t xml:space="preserve">CASE
      WHEN TRIM( JK_DATOS_CAMPOS.JKDCP_DATOSVA_TEXT ) != '' AND JK_DATOS_CAMPOS.JKDCP_DATOSVA_TEXT IS NOT NULL AND JK_DATOS_CAMPOS.JKDCP_CAMPO = '573' THEN RTRIM( SUBSTRING( JK_DATOS_CAMPOS.JKDCP_DATOSVA_TEXT, 35, 35 ) )
      WHEN TRIM(JK_ORDEN_CAMPOS.JKOCP_DATOSVA_TEXT) != '' AND JK_ORDEN_CAMPOS.JKOCP_DATOSVA_TEXT IS NOT NULL AND JK_ORDEN_CAMPOS.JKOCP_CAMPO = '573' THEN RTRIM(SUBSTRING(JK_ORDEN_CAMPOS.JKOCP_DATOSVA_TEXT, 35, 35 ) )
      WHEN TRIM( JK_DATOS_CAMPOS.JKDCP_DATOSVA_TEXT ) != '' AND JK_DATOS_CAMPOS.JKDCP_DATOSVA_TEXT IS NOT NULL AND JK_DATOS_CAMPOS.JKDCP_CAMPO = '576' THEN RTRIM( SUBSTRING( JK_DATOS_CAMPOS.JKDCP_DATOSVA_TEXT , 1, 35 ) )
      WHEN TRIM( JK_ORDEN_CAMPOS.JKOCP_DATOSVA_TEXT) != '' AND JK_ORDEN_CAMPOS.JKOCP_DATOSVA_TEXT IS NOT NULL AND JK_ORDEN_CAMPOS.JKOCP_CAMPO = '576' THEN RTRIM( SUBSTRING( JK_ORDEN_CAMPOS.JKOCP_DATOSVA_TEXT, 1, 35 ) )
      ELSE NULL
END
</t>
    </r>
    <r>
      <rPr>
        <b/>
        <sz val="11"/>
        <color rgb="FF000000"/>
        <rFont val="Calibri"/>
        <scheme val="minor"/>
      </rPr>
      <t xml:space="preserve">WHERE </t>
    </r>
    <r>
      <rPr>
        <sz val="11"/>
        <color rgb="FF000000"/>
        <rFont val="Calibri"/>
        <scheme val="minor"/>
      </rPr>
      <t>CONCAT( JK_ORDEN_ENVIAR.TIPMSJ, JK_ORDEN_ENVIAR.INDMSJ, JK_ORDEN_ENVIAR.NUMMSJ) != 'MT103' AND JK_DATOS_CAMPOS .JKDCP_CAMPO IN ( '573', '576' ) AND JK_ORDEN_CAMPOS.JKOCP_campo in ( '573', '576')</t>
    </r>
  </si>
  <si>
    <t>EST10_ORDENS -&gt; EST51_INF_DEF
IGT05_CONFIRMA
RST03_MT101TRF
HH_TRANSF_EMIT -&gt; HH_BENEFIC_SW
HH_SWIFT_RELAC  -&gt; HH_DAT_SW_COBRO  -&gt; HH_BENEFIC_SW
JK_ORDEN_ENVIAR  -&gt; JK_DATOS_CAMPOS (REC NAME) || JK_ORDEN_CAMPOS (REC NAME)
JK_ORDEN_CAMARA-&gt; JK_DATOS_CAMPOS (REC NAME) || JK_ORDEN_CAMPOS (REC NAME)</t>
  </si>
  <si>
    <t>DETPAGAM
NOME_CTA_1_CRE
CNOMEBNF
NOMBENSW
NOMBENSW
DATOSVA( 35, 35 ) || DATOSVA( 1, 35 )
DATOSVA( 35, 35 ) || DATOSVA( 1, 35 )</t>
  </si>
  <si>
    <t>N/A || IF BANCO_RECEPTOR=ENDER_SWIFT_CRED then NOME_CTA_1_CRE else NOME_CTA_1_DEB
TIPINFOR = '00059' and TIPMSG = '00103' and NCAMPO = '00001'
JK - CAMP = 593\ 596\597\598</t>
  </si>
  <si>
    <t>N\A 
N\A
N\A
N\A
N\A
N\A || N\A
N\A || N\A</t>
  </si>
  <si>
    <t>Message Format Type</t>
  </si>
  <si>
    <t>message_format_type</t>
  </si>
  <si>
    <t xml:space="preserve">Message format type such as MT103, MT202, etc. </t>
  </si>
  <si>
    <t xml:space="preserve">Classificação da tipologia de mensagem em MT103, MT202, entre outras </t>
  </si>
  <si>
    <t>Format Type</t>
  </si>
  <si>
    <r>
      <rPr>
        <b/>
        <sz val="11"/>
        <color rgb="FF000000"/>
        <rFont val="Calibri"/>
        <scheme val="minor"/>
      </rPr>
      <t xml:space="preserve">SELECT </t>
    </r>
    <r>
      <rPr>
        <sz val="11"/>
        <color rgb="FF000000"/>
        <rFont val="Calibri"/>
        <scheme val="minor"/>
      </rPr>
      <t xml:space="preserve">IF(TRIM(EST94_HISMSGSW.ESYD94A5_TIPMTMX) = '', NULL, EST94_HISMSGSW.ESYD94A5_TIPMTMX)
</t>
    </r>
    <r>
      <rPr>
        <b/>
        <sz val="11"/>
        <color rgb="FF000000"/>
        <rFont val="Calibri"/>
        <scheme val="minor"/>
      </rPr>
      <t xml:space="preserve">WHERE </t>
    </r>
    <r>
      <rPr>
        <sz val="11"/>
        <color rgb="FF000000"/>
        <rFont val="Calibri"/>
        <scheme val="minor"/>
      </rPr>
      <t>SUBSTRING( EST94_HISMSGSW.ESYD94A5_HTIMEST, 1, 10 ) &gt; SUBSTRING( LAST_DATA_DATE_PART, 1, 10 ) AND SUBSTRING( EST94_HISMSGSW.ESYD94A5_HTIMEST, 1, 10) &lt;= SUBSTRING( LAST_DATA_DATE_PART, 11, 10 )
AND EST94_HISMSGSW.ESYD94A5_TIPMTMX IN ('PACS.008', 'PACS.009', 'PAIN.001', 'MT103', 'MT202')</t>
    </r>
  </si>
  <si>
    <t>CURATED_INTERNAL_MAINFRAME_ESTRANGEIRO
CURATED_INTERNAL_MAINFRAME_ESTRUTURAIS
CURATED_INTERNAL_MAINFRAME_ESTRANGEIRO
CURATED_INTERNAL_MAINFRAME_ESTRUTURAIS
CURATED_INTERNAL_MAINFRAME_ESTRANGEIRO
CURATED_INTERNAL_MAINFRAME_ESTRUTURAIS
CURATED_INTERNAL_MAINFRAME_ESTRUTURAIS
CURATED_INTERNAL_MAINFRAME_ESTRUTURAIS
CURATED_INTERNAL_MAINFRAME_TRANSFERENCIAS
CURATED_INTERNAL_MAINFRAME_ESTRUTURAIS
CURATED_INTERNAL_MAINFRAME_TRANSFERENCIAS
CURATED_INTERNAL_MAINFRAME_ESTRUTURAIS</t>
  </si>
  <si>
    <t>EST10_ORDENS
TAT91_TABELAS_NEW
IGT05
TAT91_TABELAS_NEW
RST03_MT101TRF
TAT91_TABELAS_NEW
TAT91_TABELAS_NEW
TAT91_TABELAS_NEW
JK_ORDEN_ENVIAR
TAT91_TABELAS_NEW
JK_ORDEN_ENVIAR
TAT91_TABELAS_NEW</t>
  </si>
  <si>
    <t>N/A
TAYD91C0_CELEMTAB
N/A
TAYD91C0_CELEMTAB
N/A
TAYD91C0_CELEMTAB
TAYD91C0_CELEMTAB
TAYD91C0_CELEMTAB
N/A
TAYD91C0_CELEMTAB
N/A
TAYD91C0_CELEMTAB</t>
  </si>
  <si>
    <r>
      <rPr>
        <b/>
        <sz val="11"/>
        <color rgb="FF000000"/>
        <rFont val="Calibri"/>
        <scheme val="minor"/>
      </rPr>
      <t xml:space="preserve">SELECT </t>
    </r>
    <r>
      <rPr>
        <sz val="11"/>
        <color rgb="FF000000"/>
        <rFont val="Calibri"/>
        <scheme val="minor"/>
      </rPr>
      <t xml:space="preserve">IF(TRIM( TAT91_TABELAS_NEW.TAYD91C0_CELEMTAB) = '', NULL, TRIM(TAT91_TABELAS_NEW.TAYD91C0_CELEMTAB ) )
</t>
    </r>
    <r>
      <rPr>
        <b/>
        <sz val="11"/>
        <color rgb="FF000000"/>
        <rFont val="Calibri"/>
        <scheme val="minor"/>
      </rPr>
      <t xml:space="preserve">WHERE </t>
    </r>
    <r>
      <rPr>
        <sz val="11"/>
        <color rgb="FF000000"/>
        <rFont val="Calibri"/>
        <scheme val="minor"/>
      </rPr>
      <t xml:space="preserve">SUBSTRING( HTIMEST, 1, 10) &gt; SUBSTRING( LAST_DATA_DATE_PART, 1, 10 ) AND SUBSTRING( HTIMEST, 1, 10 ) &lt;= SUBSTRING( LAST_DATA_DATE_PART, 11, 10 )
</t>
    </r>
    <r>
      <rPr>
        <b/>
        <sz val="11"/>
        <color rgb="FF000000"/>
        <rFont val="Calibri"/>
        <scheme val="minor"/>
      </rPr>
      <t>SELECT</t>
    </r>
    <r>
      <rPr>
        <sz val="11"/>
        <color rgb="FF000000"/>
        <rFont val="Calibri"/>
        <scheme val="minor"/>
      </rPr>
      <t xml:space="preserve"> IF(TRIM( TAT91_TABELAS_NEW.TAYD91C0_CELEMTAB) = '', NULL, TRIM(TAT91_TABELAS_NEW.TAYD91C0_CELEMTAB ) ) 
</t>
    </r>
    <r>
      <rPr>
        <b/>
        <sz val="11"/>
        <color rgb="FF000000"/>
        <rFont val="Calibri"/>
        <scheme val="minor"/>
      </rPr>
      <t xml:space="preserve">WHERE </t>
    </r>
    <r>
      <rPr>
        <sz val="11"/>
        <color rgb="FF000000"/>
        <rFont val="Calibri"/>
        <scheme val="minor"/>
      </rPr>
      <t xml:space="preserve">IGT05.PRODUTO IN ( 'TRR', 'TNR', 'TRE', 'TNE' ) AND TAT91_TABELAS_NEW.TAYD91C0_CTABELA = '206'
</t>
    </r>
    <r>
      <rPr>
        <b/>
        <sz val="11"/>
        <color rgb="FF000000"/>
        <rFont val="Calibri"/>
        <scheme val="minor"/>
      </rPr>
      <t xml:space="preserve">SELECT </t>
    </r>
    <r>
      <rPr>
        <sz val="11"/>
        <color rgb="FF000000"/>
        <rFont val="Calibri"/>
        <scheme val="minor"/>
      </rPr>
      <t xml:space="preserve">IF(TRIM( TAT91_TABELAS_NEW.TAYD91C0_CELEMTAB) = '', NULL, TRIM(TAT91_TABELAS_NEW.TAYD91C0_CELEMTAB ) ) 
</t>
    </r>
    <r>
      <rPr>
        <b/>
        <sz val="11"/>
        <color rgb="FF000000"/>
        <rFont val="Calibri"/>
        <scheme val="minor"/>
      </rPr>
      <t xml:space="preserve">WHERE </t>
    </r>
    <r>
      <rPr>
        <sz val="11"/>
        <color rgb="FF000000"/>
        <rFont val="Calibri"/>
        <scheme val="minor"/>
      </rPr>
      <t xml:space="preserve">SUBSTRING( RST03_MT101TRF.RSYD03A2_HMODIFI, 1, 10 ) &gt; SUBSTRING( LAST_DATA_DATE_PART, 1, 10 ) AND SUBSTRING( RST03_MT101TRF.RSYD03A2_HMODIFI, 1, 10 ) &lt;= SUBSTRING( LAST_DATA_DATE_PART, 11, 10)
   AND RST03_MT101TRF.RSYD03A2_CAPLICDST = 'RS' AND TAT91_TABELAS_NEW.TAYD91C0_CTABELA = '206'
</t>
    </r>
    <r>
      <rPr>
        <b/>
        <sz val="11"/>
        <color rgb="FF000000"/>
        <rFont val="Calibri"/>
        <scheme val="minor"/>
      </rPr>
      <t xml:space="preserve">SELECT </t>
    </r>
    <r>
      <rPr>
        <sz val="11"/>
        <color rgb="FF000000"/>
        <rFont val="Calibri"/>
        <scheme val="minor"/>
      </rPr>
      <t xml:space="preserve">IF( TRIM( TAT91_TABELAS_NEW.TAYD91C0_CELEMTAB ) = '', NULL, TRIM( TAT91_TABELAS_NEW.TAYD91C0_CELEMTAB ) )
</t>
    </r>
    <r>
      <rPr>
        <b/>
        <sz val="11"/>
        <color rgb="FF000000"/>
        <rFont val="Calibri"/>
        <scheme val="minor"/>
      </rPr>
      <t xml:space="preserve">WHERE </t>
    </r>
    <r>
      <rPr>
        <sz val="11"/>
        <color rgb="FF000000"/>
        <rFont val="Calibri"/>
        <scheme val="minor"/>
      </rPr>
      <t xml:space="preserve">TAT91_TABELAS_NEW.TAYD91C0_CTABELA = '206'
</t>
    </r>
    <r>
      <rPr>
        <b/>
        <sz val="11"/>
        <color rgb="FF000000"/>
        <rFont val="Calibri"/>
        <scheme val="minor"/>
      </rPr>
      <t xml:space="preserve">SELECT </t>
    </r>
    <r>
      <rPr>
        <sz val="11"/>
        <color rgb="FF000000"/>
        <rFont val="Calibri"/>
        <scheme val="minor"/>
      </rPr>
      <t xml:space="preserve">IF( TRIM( TAT91_TABELAS_NEW.TAYD91C0_CELEMTAB ) = '', NULL, TRIM( TAT91_TABELAS_NEW.TAYD91C0_CELEMTAB ) )
</t>
    </r>
    <r>
      <rPr>
        <b/>
        <sz val="11"/>
        <color rgb="FF000000"/>
        <rFont val="Calibri"/>
        <scheme val="minor"/>
      </rPr>
      <t xml:space="preserve">WHERE </t>
    </r>
    <r>
      <rPr>
        <sz val="11"/>
        <color rgb="FF000000"/>
        <rFont val="Calibri"/>
        <scheme val="minor"/>
      </rPr>
      <t xml:space="preserve">TAT91_TABELAS_NEW.TAYD91C0_CTABELA = '206'
</t>
    </r>
    <r>
      <rPr>
        <b/>
        <sz val="11"/>
        <color rgb="FF000000"/>
        <rFont val="Calibri"/>
        <scheme val="minor"/>
      </rPr>
      <t xml:space="preserve">SELECT </t>
    </r>
    <r>
      <rPr>
        <sz val="11"/>
        <color rgb="FF000000"/>
        <rFont val="Calibri"/>
        <scheme val="minor"/>
      </rPr>
      <t xml:space="preserve">IF( TRIM( TAT91_TABELAS_NEW.TAYD91C0_CELEMTAB) = '', NULL, TRIM( TAT91_TABELAS_NEW.TAYD91C0_CELEMTAB ) )
</t>
    </r>
    <r>
      <rPr>
        <b/>
        <sz val="11"/>
        <color rgb="FF000000"/>
        <rFont val="Calibri"/>
        <scheme val="minor"/>
      </rPr>
      <t xml:space="preserve">WHERE </t>
    </r>
    <r>
      <rPr>
        <sz val="11"/>
        <color rgb="FF000000"/>
        <rFont val="Calibri"/>
        <scheme val="minor"/>
      </rPr>
      <t xml:space="preserve">CONCAT( JK_ORDEN_ENVIAR.TIPMSJ, JK_ORDEN_ENVIAR.INDMSJ, JK_ORDEN_ENVIAR.NUMMSJ) != 'MT103' AND TAT91_TABELAS_NEW.TAYD91C0_CTABELA = '206'
</t>
    </r>
    <r>
      <rPr>
        <b/>
        <sz val="11"/>
        <color rgb="FF000000"/>
        <rFont val="Calibri"/>
        <scheme val="minor"/>
      </rPr>
      <t xml:space="preserve">SELECT </t>
    </r>
    <r>
      <rPr>
        <sz val="11"/>
        <color rgb="FF000000"/>
        <rFont val="Calibri"/>
        <scheme val="minor"/>
      </rPr>
      <t xml:space="preserve">IF( TRIM( TAT91_TABELAS_NEW.TAYD91C0_CELEMTAB) = '', NULL, TRIM( TAT91_TABELAS_NEW.TAYD91C0_CELEMTAB ) )
</t>
    </r>
    <r>
      <rPr>
        <b/>
        <sz val="11"/>
        <color rgb="FF000000"/>
        <rFont val="Calibri"/>
        <scheme val="minor"/>
      </rPr>
      <t xml:space="preserve">WHERE </t>
    </r>
    <r>
      <rPr>
        <sz val="11"/>
        <color rgb="FF000000"/>
        <rFont val="Calibri"/>
        <scheme val="minor"/>
      </rPr>
      <t>CONCAT( JK_ORDEN_CAMARA.TIPMSJ, JK_ORDEN_CAMARA.INDMSJ, JK_ORDEN_CAMARA.NUMMSJ) != 'MT103' AND TAT91_TABELAS_NEW.TAYD91C0_CTABELA = '206'</t>
    </r>
  </si>
  <si>
    <t>EST10_ORDENS -&gt; TAT91_TABELAS_NEW
IGT05_CONFIRMA -&gt; TAT91_TABELAS_NEW
RST03_MT101TRF -&gt; TAT91_TABELAS_NEW
HH_TRANSF_EMIT -&gt; TAT91_TABELAS_NEW
HH_SWIFT_RELAC -&gt; HH_ESTADO_DECRE  -&gt; TAT91_TABELAS_NEW
JK_ORDEN_ENVIAR -&gt; TAT91_TABELAS_NEW
JK_ORDEN_CAMARA -&gt; TAT91_TABELAS_NEW</t>
  </si>
  <si>
    <t>TAYD91C0_CELEMTAB
TAYD91C0_CELEMTAB
TAYD91C0_CELEMTAB
TAYD91C0_CELEMTAB
TAYD91C0_CELEMTAB
TAYD91C0_CELEMTAB
TAYD91C0_CELEMTAB</t>
  </si>
  <si>
    <t xml:space="preserve">Full Message </t>
  </si>
  <si>
    <t>full_message</t>
  </si>
  <si>
    <t>Full message text</t>
  </si>
  <si>
    <t xml:space="preserve">Descritivo completo da mensagem de transação / pagamento. </t>
  </si>
  <si>
    <t>Full Message</t>
  </si>
  <si>
    <t>EST95_HISTXMSG (FULL_MESSAGE)</t>
  </si>
  <si>
    <r>
      <rPr>
        <b/>
        <sz val="11"/>
        <color rgb="FF000000"/>
        <rFont val="Calibri"/>
        <scheme val="minor"/>
      </rPr>
      <t xml:space="preserve">SELECT </t>
    </r>
    <r>
      <rPr>
        <sz val="11"/>
        <color rgb="FF000000"/>
        <rFont val="Calibri"/>
        <scheme val="minor"/>
      </rPr>
      <t xml:space="preserve">IF(TRIM(CONCAT_WS(' ', COLLECT_LIST(TRIM(LEFT(TRIM(EST95_HISTXMSG.ESYD95A1_GTXTMSG), LENGTH(TRIM(EST95_HISTXMSG.ESYD95A1_GTXTMSG)) - 1)))))='', NULL, CONCAT_WS(' ', COLLECT_LIST(TRIM(LEFT(TRIM(EST95_HISTXMSG.ESYD95A1_GTXTMSG), LENGTH(TRIM(EST95_HISTXMSG.ESYD95A1_GTXTMSG)) - 1))))
</t>
    </r>
    <r>
      <rPr>
        <b/>
        <sz val="11"/>
        <color rgb="FF000000"/>
        <rFont val="Calibri"/>
        <scheme val="minor"/>
      </rPr>
      <t>WHERE</t>
    </r>
    <r>
      <rPr>
        <sz val="11"/>
        <color rgb="FF000000"/>
        <rFont val="Calibri"/>
        <scheme val="minor"/>
      </rPr>
      <t xml:space="preserve"> SUBSTRING( EST94_HISMSGSW.ESYD94A5_HTIMEST, 1, 10 ) &gt; SUBSTRING( LAST_DATA_DATE_PART, 1, 10 ) AND SUBSTRING( EST94_HISMSGSW.ESYD94A5_HTIMEST, 1, 10) &lt;= SUBSTRING( LAST_DATA_DATE_PART, 11, 10 )
   AND EST94_HISMSGSW.ESYD94A5_TIPMTMX IN ('pacs.008', 'pacs.009', 'pain.001', 'MT103', 'MT202')
</t>
    </r>
    <r>
      <rPr>
        <b/>
        <sz val="11"/>
        <color rgb="FF000000"/>
        <rFont val="Calibri"/>
        <scheme val="minor"/>
      </rPr>
      <t xml:space="preserve">GROUP BY </t>
    </r>
    <r>
      <rPr>
        <sz val="11"/>
        <color rgb="FF000000"/>
        <rFont val="Calibri"/>
        <scheme val="minor"/>
      </rPr>
      <t>TRIM(EST95_HISTXMSG.ESYD95A1_CMUR, TRIM(ESYD95A1_ZSN)</t>
    </r>
  </si>
  <si>
    <t>All lines with the same CMUR</t>
  </si>
  <si>
    <t xml:space="preserve">Sender IBAN </t>
  </si>
  <si>
    <t>sender_iban</t>
  </si>
  <si>
    <t>DDYD03A4_CIBANCRE
DDYD04A6_CIBANCRE
DDYD03A4_CIBANCRE
DDYD04A6_CIBANCRE</t>
  </si>
  <si>
    <r>
      <rPr>
        <b/>
        <sz val="11"/>
        <color rgb="FF000000"/>
        <rFont val="Calibri"/>
        <scheme val="minor"/>
      </rPr>
      <t xml:space="preserve">SELECT </t>
    </r>
    <r>
      <rPr>
        <sz val="11"/>
        <color rgb="FF000000"/>
        <rFont val="Calibri"/>
        <scheme val="minor"/>
      </rPr>
      <t xml:space="preserve">IF( TRIM( DDT03_IDDREC.DDYD03A4_CIBANCRE) = '', NULL, DDT03_IDDREC.DDYD03A4_CIBANCRE)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IF(TRIM(DDT04_IDDEMI.DDYD04A6_CIBANCRE) = '', NULL, DDT04_IDDEMI.DDYD04A6_CIBANCRE)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IF(TRIM(DDT03_IDDREC.DDYD03A4_CIBANCRE) = '', NULL, DDT03_IDDREC.DDYD03A4_CIBANCRE)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SELECT IF(TRIM(DDT04_IDDEMI.DDYD04A6_CIBANCRE) = '', NULL, DDT04_IDDEMI.DDYD04A6_CIBANCRE)
</t>
    </r>
    <r>
      <rPr>
        <b/>
        <sz val="11"/>
        <color rgb="FF000000"/>
        <rFont val="Calibri"/>
        <scheme val="minor"/>
      </rPr>
      <t>WHERE</t>
    </r>
    <r>
      <rPr>
        <sz val="11"/>
        <color rgb="FF000000"/>
        <rFont val="Calibri"/>
        <scheme val="minor"/>
      </rPr>
      <t xml:space="preserve"> (DDT04_IDDEMI.DDYD04A6_cbiccre LIKE 'TOTAPTPL%' AND DDT04_IDDEMI.DDYD04A6_CBICDEV LIKE 'TOTAPTPL%') AND DDT03_IDDREC.DDYD03A4_CSCHEME IS NULL</t>
    </r>
  </si>
  <si>
    <t>CIBANCRE
CIBANCRE
CIBANCRE
CIBANCRE</t>
  </si>
  <si>
    <t xml:space="preserve">CURATED_INTERNAL_MAINFRAME_ESTRANGEIRO
CURATED_INTERNAL_MAINFRAME_ESTRANGEIRO 
CURATED_INTERNAL_MAINFRAME_ESTRANGEIRO </t>
  </si>
  <si>
    <t>ORYD01H9_CIBANORD
ORYD01H9_CIBANORD
ORYD01H9_CIBANORD</t>
  </si>
  <si>
    <r>
      <rPr>
        <b/>
        <sz val="11"/>
        <color rgb="FF000000"/>
        <rFont val="Calibri"/>
        <scheme val="minor"/>
      </rPr>
      <t xml:space="preserve">SELECT </t>
    </r>
    <r>
      <rPr>
        <sz val="11"/>
        <color rgb="FF000000"/>
        <rFont val="Calibri"/>
        <scheme val="minor"/>
      </rPr>
      <t xml:space="preserve">IF(TRIM(ORT01_SEPA_EMI.ORYD01H9_CIBANORD) = '', NULL, ORT01_SEPA_EMI.ORYD01H9_CIBANORD)
</t>
    </r>
    <r>
      <rPr>
        <b/>
        <sz val="11"/>
        <color rgb="FF000000"/>
        <rFont val="Calibri"/>
        <scheme val="minor"/>
      </rPr>
      <t xml:space="preserve">SELECT </t>
    </r>
    <r>
      <rPr>
        <sz val="11"/>
        <color rgb="FF000000"/>
        <rFont val="Calibri"/>
        <scheme val="minor"/>
      </rPr>
      <t xml:space="preserve">IF(TRIM(ORT01_SEPA_INT.ORYD01H9_CIBANORD) = '', NULL, ORT01_SEPA_INT.ORYD01H9_CIBANORD)
</t>
    </r>
    <r>
      <rPr>
        <b/>
        <sz val="11"/>
        <color rgb="FF000000"/>
        <rFont val="Calibri"/>
        <scheme val="minor"/>
      </rPr>
      <t xml:space="preserve">SELECT </t>
    </r>
    <r>
      <rPr>
        <sz val="11"/>
        <color rgb="FF000000"/>
        <rFont val="Calibri"/>
        <scheme val="minor"/>
      </rPr>
      <t>IF(TRIM(ORT01_SEPA_REC.ORYD01H9_CIBANORD) = '', NULL, ORT01_SEPA_REC.ORYD01H9_CIBANORD)</t>
    </r>
  </si>
  <si>
    <t>CIBANORD
CIBANORD
CIBANORD</t>
  </si>
  <si>
    <r>
      <rPr>
        <b/>
        <sz val="11"/>
        <color rgb="FF000000"/>
        <rFont val="Calibri"/>
        <scheme val="minor"/>
      </rPr>
      <t>SELECT</t>
    </r>
    <r>
      <rPr>
        <sz val="11"/>
        <color rgb="FF000000"/>
        <rFont val="Calibri"/>
        <scheme val="minor"/>
      </rPr>
      <t xml:space="preserve"> EST94_HISMSGSW.DATA_DATE_PART
</t>
    </r>
    <r>
      <rPr>
        <b/>
        <sz val="11"/>
        <color rgb="FF000000"/>
        <rFont val="Calibri"/>
        <scheme val="minor"/>
      </rPr>
      <t>WHERE</t>
    </r>
    <r>
      <rPr>
        <sz val="11"/>
        <color rgb="FF000000"/>
        <rFont val="Calibri"/>
        <scheme val="minor"/>
      </rPr>
      <t xml:space="preserve"> SUBSTRING( EST94_HISMSGSW.ESYD94A5_HTIMEST, 1, 10 ) &gt; SUBSTRING( LAST_DATA_DATE_PART, 1, 10 ) AND SUBSTRING( EST94_HISMSGSW.ESYD94A5_HTIMEST, 1, 10) &lt;= SUBSTRING( LAST_DATA_DATE_PART, 11, 10 )
   AND EST94_HISMSGSW.ESYD94A5_TIPMTMX IN ('pacs.008', 'pacs.009', 'pain.001', 'MT103', 'MT202')
</t>
    </r>
  </si>
  <si>
    <t>DDYD03A4_NOMECRE
DDYD04A6_NOMECRE
DDYD03A4_NOMECRE
DDYD04A6_NOMECRE</t>
  </si>
  <si>
    <r>
      <rPr>
        <b/>
        <sz val="11"/>
        <color rgb="FF000000"/>
        <rFont val="Calibri"/>
        <scheme val="minor"/>
      </rPr>
      <t xml:space="preserve">SELECT </t>
    </r>
    <r>
      <rPr>
        <sz val="11"/>
        <color rgb="FF000000"/>
        <rFont val="Calibri"/>
        <scheme val="minor"/>
      </rPr>
      <t xml:space="preserve">IF( TRIM( DDT03_IDDREC.DDYD03A4_NOMECRE) = '', NULL, DDT03_IDDREC.DDYD03A4_NOMECRE)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IF(TRIM(DDT04_IDDEMI.DDYD04A6_NOMECRE) = '', NULL, DDT04_IDDEMI.DDYD04A6_NOMECRE)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IF(TRIM(DDT03_IDDREC.DDYD03A4_NOMECRE) = '', NULL, DDT03_IDDREC.DDYD03A4_NOMECRE)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IF(TRIM(DDT04_IDDEMI.DDYD04A6_NOMECRE) = '', NULL, DDT04_IDDEMI.DDYD04A6_NOMECRE)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</si>
  <si>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NOMECRE
NOMECRE
NOMECRE
NOMECRE</t>
  </si>
  <si>
    <t>ORYD01H9_NOMEORD
ORYD01H9_NOMEORD
ORYD01H9_NOMEORD</t>
  </si>
  <si>
    <r>
      <rPr>
        <b/>
        <sz val="11"/>
        <color rgb="FF000000"/>
        <rFont val="Calibri"/>
        <scheme val="minor"/>
      </rPr>
      <t xml:space="preserve">SELECT </t>
    </r>
    <r>
      <rPr>
        <sz val="11"/>
        <color rgb="FF000000"/>
        <rFont val="Calibri"/>
        <scheme val="minor"/>
      </rPr>
      <t xml:space="preserve">IF(TRIM(ORT01_SEPA_EMI.ORYD01H9_NOMEORD) = '', NULL, ORT01_SEPA_EMI.ORYD01H9_NOMEORD)
</t>
    </r>
    <r>
      <rPr>
        <b/>
        <sz val="11"/>
        <color rgb="FF000000"/>
        <rFont val="Calibri"/>
        <scheme val="minor"/>
      </rPr>
      <t xml:space="preserve">SELECT </t>
    </r>
    <r>
      <rPr>
        <sz val="11"/>
        <color rgb="FF000000"/>
        <rFont val="Calibri"/>
        <scheme val="minor"/>
      </rPr>
      <t xml:space="preserve">IF(TRIM(ORT01_SEPA_INT.ORYD01H9_NOMEORD) = '', NULL, ORT01_SEPA_INT.ORYD01H9_NOMEORD)
</t>
    </r>
    <r>
      <rPr>
        <b/>
        <sz val="11"/>
        <color rgb="FF000000"/>
        <rFont val="Calibri"/>
        <scheme val="minor"/>
      </rPr>
      <t>SELECT</t>
    </r>
    <r>
      <rPr>
        <sz val="11"/>
        <color rgb="FF000000"/>
        <rFont val="Calibri"/>
        <scheme val="minor"/>
      </rPr>
      <t xml:space="preserve"> IF(TRIM(ORT01_SEPA_REC.ORYD01H9_NOMEORD) = '', NULL, ORT01_SEPA_REC.ORYD01H9_NOMEORD) </t>
    </r>
  </si>
  <si>
    <t>NOMEORD
NOMEORD
NOMEORD</t>
  </si>
  <si>
    <t>EST10_ORDENS
IGT05
RST03_MT101TRF
HH_TRANSF_EMIT
HH_ESTADO_DECRE
JK_ORDEN_ENVIAR
JK_ORDEN_CAMARA</t>
  </si>
  <si>
    <t>MONTTRF
IMPORTANCIA_TRA 
RSYD03A2_MONTANTE 
IMPCTR 
HHW_IMPORDEX
IMPORDOR
IMPORDOR</t>
  </si>
  <si>
    <r>
      <rPr>
        <b/>
        <sz val="11"/>
        <color rgb="FF000000"/>
        <rFont val="Calibri"/>
        <scheme val="minor"/>
      </rPr>
      <t xml:space="preserve">SELECT </t>
    </r>
    <r>
      <rPr>
        <sz val="11"/>
        <color rgb="FF000000"/>
        <rFont val="Calibri"/>
        <scheme val="minor"/>
      </rPr>
      <t xml:space="preserve">IF(TRIM(EST10_ORDENS.MONTTRF) = '', NULL, EST10_ORDENS.MONTTRF)
</t>
    </r>
    <r>
      <rPr>
        <b/>
        <sz val="11"/>
        <color rgb="FF000000"/>
        <rFont val="Calibri"/>
        <scheme val="minor"/>
      </rPr>
      <t>WHERE</t>
    </r>
    <r>
      <rPr>
        <sz val="11"/>
        <color rgb="FF000000"/>
        <rFont val="Calibri"/>
        <scheme val="minor"/>
      </rPr>
      <t xml:space="preserve"> SUBSTRING( HTIMEST, 1, 10) &gt; SUBSTRING( LAST_DATA_DATE_PART, 1, 10 ) AND SUBSTRING( HTIMEST, 1, 10 ) &lt;= SUBSTRING( LAST_DATA_DATE_PART, 11, 10 )
</t>
    </r>
    <r>
      <rPr>
        <b/>
        <sz val="11"/>
        <color rgb="FF000000"/>
        <rFont val="Calibri"/>
        <scheme val="minor"/>
      </rPr>
      <t xml:space="preserve">SELECT </t>
    </r>
    <r>
      <rPr>
        <sz val="11"/>
        <color rgb="FF000000"/>
        <rFont val="Calibri"/>
        <scheme val="minor"/>
      </rPr>
      <t xml:space="preserve">CAST(IGT05.IMPORTANCIA_TRA AS DECIMAL(23, 6))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CAST( RST03_MT101TRF.RSYD03A2_MONTANTE AS DECIMAL( 23, 6 ) )
</t>
    </r>
    <r>
      <rPr>
        <b/>
        <sz val="11"/>
        <color rgb="FF000000"/>
        <rFont val="Calibri"/>
        <scheme val="minor"/>
      </rPr>
      <t xml:space="preserve">WHERE </t>
    </r>
    <r>
      <rPr>
        <sz val="11"/>
        <color rgb="FF000000"/>
        <rFont val="Calibri"/>
        <scheme val="minor"/>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scheme val="minor"/>
      </rPr>
      <t xml:space="preserve">
SELECT </t>
    </r>
    <r>
      <rPr>
        <sz val="11"/>
        <color rgb="FF000000"/>
        <rFont val="Calibri"/>
        <scheme val="minor"/>
      </rPr>
      <t xml:space="preserve">IF( TRIM( HH_TRANFS_EMIT.IMPCTR ) = '', NULL, HH_TRANFS_EMIT.IMPCTR )
</t>
    </r>
    <r>
      <rPr>
        <b/>
        <sz val="11"/>
        <color rgb="FF000000"/>
        <rFont val="Calibri"/>
        <scheme val="minor"/>
      </rPr>
      <t xml:space="preserve">SELECT </t>
    </r>
    <r>
      <rPr>
        <sz val="11"/>
        <color rgb="FF000000"/>
        <rFont val="Calibri"/>
        <scheme val="minor"/>
      </rPr>
      <t xml:space="preserve">IF( TRIM( HH_ESTADO_DECRE.HHW_IMPORDEX ) = '', NULL, HH_ESTADO_DECRE.HHW_IMPORDEX)
</t>
    </r>
    <r>
      <rPr>
        <b/>
        <sz val="11"/>
        <color rgb="FF000000"/>
        <rFont val="Calibri"/>
        <scheme val="minor"/>
      </rPr>
      <t xml:space="preserve">SELECT </t>
    </r>
    <r>
      <rPr>
        <sz val="11"/>
        <color rgb="FF000000"/>
        <rFont val="Calibri"/>
        <scheme val="minor"/>
      </rPr>
      <t xml:space="preserve">IF(TRIM(JK_ORDEN_ENVIAR.IMPORDOR) = '', NULL, JK_ORDEN_ENVIAR.IMPORDOR)
</t>
    </r>
    <r>
      <rPr>
        <b/>
        <sz val="11"/>
        <color rgb="FF000000"/>
        <rFont val="Calibri"/>
        <scheme val="minor"/>
      </rPr>
      <t xml:space="preserve">WHERE </t>
    </r>
    <r>
      <rPr>
        <sz val="11"/>
        <color rgb="FF000000"/>
        <rFont val="Calibri"/>
        <scheme val="minor"/>
      </rPr>
      <t xml:space="preserve">CONCAT( JK_ORDEN_ENVIAR.TIPMSJ, JK_ORDEN_ENVIAR.INDMSJ, JK_ORDEN_ENVIAR.NUMMSJ) != 'MT103'
</t>
    </r>
    <r>
      <rPr>
        <b/>
        <sz val="11"/>
        <color rgb="FF000000"/>
        <rFont val="Calibri"/>
        <scheme val="minor"/>
      </rPr>
      <t xml:space="preserve">SELECT </t>
    </r>
    <r>
      <rPr>
        <sz val="11"/>
        <color rgb="FF000000"/>
        <rFont val="Calibri"/>
        <scheme val="minor"/>
      </rPr>
      <t xml:space="preserve">IF(TRIM(JK_ORDEN_CAMARA.IMPORDOR) = '', NULL, JK_ORDEN_CAMARA.IMPORDOR)
</t>
    </r>
    <r>
      <rPr>
        <b/>
        <sz val="11"/>
        <color rgb="FF000000"/>
        <rFont val="Calibri"/>
        <scheme val="minor"/>
      </rPr>
      <t xml:space="preserve">WHERE </t>
    </r>
    <r>
      <rPr>
        <sz val="11"/>
        <color rgb="FF000000"/>
        <rFont val="Calibri"/>
        <scheme val="minor"/>
      </rPr>
      <t>CONCAT( JK_ORDEN_CAMARA.TIPMSJ, JK_ORDEN_CAMARA.INDMSJ, JK_ORDEN_CAMARA.NUMMSJ) != 'MT103'</t>
    </r>
  </si>
  <si>
    <t>EST10_ORDENS
IGT05_CONFIRMA
RST03_MT101TRF
HH_TRANSF_EMIT
HH_ESTADO_DECRE
JK_ORDEN_ENVIAR
JK_ORDEN_CAMARA</t>
  </si>
  <si>
    <t>MONTTRF
IMPORTANCIA_TRA
MONTANTE
IMPCTR
IMPORDEX
IMPORDOR
IMPORDOR</t>
  </si>
  <si>
    <t>Sender NIB</t>
  </si>
  <si>
    <t xml:space="preserve">sender_nib </t>
  </si>
  <si>
    <t>Nacional number of banking identification of the sender's main current account involved in the transfer/payment.</t>
  </si>
  <si>
    <t xml:space="preserve">Número de identificação bancária nacional da conta à ordem do emitente envolvido na transferência/pagamento. </t>
  </si>
  <si>
    <t xml:space="preserve">SELECT CASE
      WHEN CRT67.CTRANSCR IN ('037', '179') THEN IF(TRIM(CRT67.CNIBHB) = '', NULL, CRT67.CNIBHB)
      WHEN CRT67.CTRANSCR IN ('052', '199') THEN IF(TRIM(CRT67.CNIBCR) = '', NULL, CRT67.CNIBCR)
      ELSE NULL
</t>
  </si>
  <si>
    <t>DDYD03A4_CBICCRE
DDYD04A6_CBICCRE
DDYD03A4_CBICCRE
DDYD04A6_CBICCRE</t>
  </si>
  <si>
    <r>
      <rPr>
        <b/>
        <sz val="11"/>
        <color rgb="FF000000"/>
        <rFont val="Calibri"/>
        <scheme val="minor"/>
      </rPr>
      <t xml:space="preserve">SELECT </t>
    </r>
    <r>
      <rPr>
        <sz val="11"/>
        <color rgb="FF000000"/>
        <rFont val="Calibri"/>
        <scheme val="minor"/>
      </rPr>
      <t xml:space="preserve">IF( TRIM( DDT03_IDDREC.DDYD03A4_CBICCRE) = '', NULL, DDT03_IDDREC.DDYD03A4_CBICCRE)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IF(TRIM(DDT04_IDDEMI.DDYD04A6_CBICCRE) = '', NULL, DDT04_IDDEMI.DDYD04A6_CBICCRE)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IF(TRIM(DDT03_IDDREC.DDYD03A4_CBICCRE) = '', NULL, DDT03_IDDREC.DDYD03A4_CBICCRE)
WHERE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IF(TRIM(DDT04_IDDEMI.DDYD04A6_CBICCRE) = '', NULL, DDT04_IDDEMI.DDYD04A6_CBICCRE)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</si>
  <si>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CBICCRE
CBICCRE
CBICCRE
CBICCRE</t>
  </si>
  <si>
    <t>N/A
CURATED_INTERNAL_MAINFRAME_ESTRANGEIRO
CURATED_INTERNAL_MAINFRAME_ESTRANGEIRO</t>
  </si>
  <si>
    <t>N/A
ORT01_SEPA_INT
ORT01_SEPA_REC</t>
  </si>
  <si>
    <t>N/A
ORYD01H9_CBIC
ORYD01H9_CBIC</t>
  </si>
  <si>
    <r>
      <rPr>
        <b/>
        <sz val="11"/>
        <color rgb="FF000000"/>
        <rFont val="Calibri"/>
        <scheme val="minor"/>
      </rPr>
      <t xml:space="preserve">SELECT </t>
    </r>
    <r>
      <rPr>
        <sz val="11"/>
        <color rgb="FF000000"/>
        <rFont val="Calibri"/>
        <scheme val="minor"/>
      </rPr>
      <t xml:space="preserve">'TOTAPTPL'
</t>
    </r>
    <r>
      <rPr>
        <b/>
        <sz val="11"/>
        <color rgb="FF000000"/>
        <rFont val="Calibri"/>
        <scheme val="minor"/>
      </rPr>
      <t xml:space="preserve">SELECT </t>
    </r>
    <r>
      <rPr>
        <sz val="11"/>
        <color rgb="FF000000"/>
        <rFont val="Calibri"/>
        <scheme val="minor"/>
      </rPr>
      <t xml:space="preserve">IF(TRIM(ORT01_SEPA_INT.ORYD01H9_CBIC) = '', NULL, ORT01_SEPA_INT.ORYD01H9_CBIC)
</t>
    </r>
    <r>
      <rPr>
        <b/>
        <sz val="11"/>
        <color rgb="FF000000"/>
        <rFont val="Calibri"/>
        <scheme val="minor"/>
      </rPr>
      <t xml:space="preserve">SELECT </t>
    </r>
    <r>
      <rPr>
        <sz val="11"/>
        <color rgb="FF000000"/>
        <rFont val="Calibri"/>
        <scheme val="minor"/>
      </rPr>
      <t>IF(TRIM(ORT01_SEPA_REC.ORYD01H9_CBIC) = '', NULL, ORT01_SEPA_REC.ORYD01H9_CBIC)</t>
    </r>
  </si>
  <si>
    <t>N/A
CBIC
CBIC</t>
  </si>
  <si>
    <t>if CINSTORD='R' THEN CBIC else 'TOTAPTPL'</t>
  </si>
  <si>
    <t>"TOTAPTPL"
N/A
N/A</t>
  </si>
  <si>
    <t xml:space="preserve">Transaction Date </t>
  </si>
  <si>
    <t>transaction_date</t>
  </si>
  <si>
    <t>Represents the date in which the transaction was performed. This does not correspond to the actual execution of the transaction, for example, due to weekends it can change from one to another.</t>
  </si>
  <si>
    <t xml:space="preserve">Representa a data na qual a transação foi efetuada. Não corresponde à data real de execução, por exemplo fruto dos fins-de-semana, esta data poderá alterar de uma data para outra. </t>
  </si>
  <si>
    <t>DTVALTRF
DTVALCLI
RSYD03A2_DTVALTRF
FECVAL
FECVAL
FCHVADE
FCHVAL</t>
  </si>
  <si>
    <r>
      <rPr>
        <b/>
        <sz val="11"/>
        <color rgb="FF000000"/>
        <rFont val="Calibri"/>
      </rPr>
      <t xml:space="preserve">SELECT </t>
    </r>
    <r>
      <rPr>
        <sz val="11"/>
        <color rgb="FF000000"/>
        <rFont val="Calibri"/>
      </rPr>
      <t xml:space="preserve">IF(TRIM(EST10_ORDENS.DTVALTRF) = '', NULL, EST10_ORDENS.DTVALTRF)
</t>
    </r>
    <r>
      <rPr>
        <b/>
        <sz val="11"/>
        <color rgb="FF000000"/>
        <rFont val="Calibri"/>
      </rPr>
      <t xml:space="preserve">WHERE </t>
    </r>
    <r>
      <rPr>
        <sz val="11"/>
        <color rgb="FF000000"/>
        <rFont val="Calibri"/>
      </rPr>
      <t xml:space="preserve">SUBSTRING( HTIMEST, 1, 10) &gt; SUBSTRING( LAST_DATA_DATE_PART, 1, 10 ) AND SUBSTRING( HTIMEST, 1, 10 ) &lt;= SUBSTRING( LAST_DATA_DATE_PART, 11, 10 )
</t>
    </r>
    <r>
      <rPr>
        <b/>
        <sz val="11"/>
        <color rgb="FF000000"/>
        <rFont val="Calibri"/>
      </rPr>
      <t xml:space="preserve">SELECT </t>
    </r>
    <r>
      <rPr>
        <sz val="11"/>
        <color rgb="FF000000"/>
        <rFont val="Calibri"/>
      </rPr>
      <t xml:space="preserve">IF(TRIM(IGT05.DTVALCLI) = '', NULL, IGT05.DTVALCLI)
</t>
    </r>
    <r>
      <rPr>
        <b/>
        <sz val="11"/>
        <color rgb="FF000000"/>
        <rFont val="Calibri"/>
      </rPr>
      <t xml:space="preserve">WHERE </t>
    </r>
    <r>
      <rPr>
        <sz val="11"/>
        <color rgb="FF000000"/>
        <rFont val="Calibri"/>
      </rPr>
      <t xml:space="preserve">IGT05.PRODUTO IN ( 'TRR', 'TNR', 'TRE', 'TNE' ) 
</t>
    </r>
    <r>
      <rPr>
        <b/>
        <sz val="11"/>
        <color rgb="FF000000"/>
        <rFont val="Calibri"/>
      </rPr>
      <t xml:space="preserve">SELECT </t>
    </r>
    <r>
      <rPr>
        <sz val="11"/>
        <color rgb="FF000000"/>
        <rFont val="Calibri"/>
      </rPr>
      <t xml:space="preserve">IF(TRIM(RST03_MT101TRF.RSYD03A2_DTVALTRF) = '', NULL, RST03_MT101TRF.RSYD03A2_DTVALTRF)
</t>
    </r>
    <r>
      <rPr>
        <b/>
        <sz val="11"/>
        <color rgb="FF000000"/>
        <rFont val="Calibri"/>
      </rPr>
      <t xml:space="preserve">WHERE </t>
    </r>
    <r>
      <rPr>
        <sz val="11"/>
        <color rgb="FF000000"/>
        <rFont val="Calibri"/>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rPr>
      <t xml:space="preserve">SELECT </t>
    </r>
    <r>
      <rPr>
        <sz val="11"/>
        <color rgb="FF000000"/>
        <rFont val="Calibri"/>
      </rPr>
      <t xml:space="preserve">IF( TRIM( HH_TRANSF_EMIT.FECVAL ) = '', NULL, HH_TRANSF_EMIT.FECVAL )
</t>
    </r>
    <r>
      <rPr>
        <b/>
        <sz val="11"/>
        <color rgb="FF000000"/>
        <rFont val="Calibri"/>
      </rPr>
      <t xml:space="preserve">SELECT </t>
    </r>
    <r>
      <rPr>
        <sz val="11"/>
        <color rgb="FF000000"/>
        <rFont val="Calibri"/>
      </rPr>
      <t xml:space="preserve">IF( TRIM( HH_ESTADO_DECRE.HHW_FECVAL) = '', NULL, HH_ESTADO_DECRE.HHW_FECVAL)
</t>
    </r>
    <r>
      <rPr>
        <b/>
        <sz val="11"/>
        <color rgb="FF000000"/>
        <rFont val="Calibri"/>
      </rPr>
      <t xml:space="preserve">SELECT </t>
    </r>
    <r>
      <rPr>
        <sz val="11"/>
        <color rgb="FF000000"/>
        <rFont val="Calibri"/>
      </rPr>
      <t xml:space="preserve">IF(TRIM(JK_ORDEN_ENVIAR.FCHVADE) = '', NULL, JK_ORDEN_ENVIAR.FCHVADE)
</t>
    </r>
    <r>
      <rPr>
        <b/>
        <sz val="11"/>
        <color rgb="FF000000"/>
        <rFont val="Calibri"/>
      </rPr>
      <t xml:space="preserve">WHERE </t>
    </r>
    <r>
      <rPr>
        <sz val="11"/>
        <color rgb="FF000000"/>
        <rFont val="Calibri"/>
      </rPr>
      <t xml:space="preserve">CONCAT( JK_ORDEN_ENVIAR.TIPMSJ, JK_ORDEN_ENVIAR.INDMSJ, JK_ORDEN_ENVIAR.NUMMSJ) != 'MT103'
</t>
    </r>
    <r>
      <rPr>
        <b/>
        <sz val="11"/>
        <color rgb="FF000000"/>
        <rFont val="Calibri"/>
      </rPr>
      <t xml:space="preserve">SELECT </t>
    </r>
    <r>
      <rPr>
        <sz val="11"/>
        <color rgb="FF000000"/>
        <rFont val="Calibri"/>
      </rPr>
      <t xml:space="preserve">IF(TRIM(JK_ORDEN_CAMARA.FCHVAL) = '', NULL, JK_ORDEN_CAMARA.FCHVAL)
</t>
    </r>
    <r>
      <rPr>
        <b/>
        <sz val="11"/>
        <color rgb="FF000000"/>
        <rFont val="Calibri"/>
      </rPr>
      <t>WHERE</t>
    </r>
    <r>
      <rPr>
        <sz val="11"/>
        <color rgb="FF000000"/>
        <rFont val="Calibri"/>
      </rPr>
      <t xml:space="preserve"> CONCAT( JK_ORDEN_CAMARA.TIPMSJ, JK_ORDEN_CAMARA.INDMSJ, JK_ORDEN_CAMARA.NUMMSJ) != 'MT103'</t>
    </r>
  </si>
  <si>
    <t>DTVALTRF
DTVALCLI
DTVALTRF
FECVAL
FECVAL
FCHVADE
FCHVAL</t>
  </si>
  <si>
    <t>Service Type Code</t>
  </si>
  <si>
    <t>service_type_code</t>
  </si>
  <si>
    <t>Key - Code</t>
  </si>
  <si>
    <t>Code that categorizes the service or product for wich a payment is made, aiding accurate transaction routing and providing relevant details to both parties.</t>
  </si>
  <si>
    <t>Código que categoriza o serviço ou produto para o qual é efectuado um pagamento, ajudando a um encaminhamento preciso da transação e fornecendo detalhes relevantes a ambas as partes.</t>
  </si>
  <si>
    <t>DDYD03A4_CSCHEME
DDYD04A6_CSCHEME
DDYD03A4_CSCHEME
DDYD04A6_CSCHEME</t>
  </si>
  <si>
    <r>
      <rPr>
        <b/>
        <sz val="11"/>
        <color rgb="FF000000"/>
        <rFont val="Calibri"/>
        <scheme val="minor"/>
      </rPr>
      <t xml:space="preserve">SELECT </t>
    </r>
    <r>
      <rPr>
        <sz val="11"/>
        <color rgb="FF000000"/>
        <rFont val="Calibri"/>
        <scheme val="minor"/>
      </rPr>
      <t xml:space="preserve">DDT03_IDDREC.DDYD03A4_CSCHEME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DDT04_IDDEMI.DDYD04A6_CSCHEME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DDT03_IDDREC.DDYD03A4_CSCHEME
</t>
    </r>
    <r>
      <rPr>
        <b/>
        <sz val="11"/>
        <color rgb="FF000000"/>
        <rFont val="Calibri"/>
        <scheme val="minor"/>
      </rPr>
      <t xml:space="preserve">WHERE </t>
    </r>
    <r>
      <rPr>
        <sz val="11"/>
        <color rgb="FF000000"/>
        <rFont val="Calibri"/>
        <scheme val="minor"/>
      </rPr>
      <t>DDT03_IDDREC</t>
    </r>
    <r>
      <rPr>
        <b/>
        <sz val="11"/>
        <color rgb="FF000000"/>
        <rFont val="Calibri"/>
        <scheme val="minor"/>
      </rPr>
      <t>.</t>
    </r>
    <r>
      <rPr>
        <sz val="11"/>
        <color rgb="FF000000"/>
        <rFont val="Calibri"/>
        <scheme val="minor"/>
      </rPr>
      <t xml:space="preserve">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DDT04_IDDEMI.DDYD04A6_CSCHEME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</si>
  <si>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CSCHEME
CSCHEME
CSCHEME
CSCHEME</t>
  </si>
  <si>
    <t>Source Code</t>
  </si>
  <si>
    <t>source_code</t>
  </si>
  <si>
    <t>Tec - Code</t>
  </si>
  <si>
    <t>Identifier of the Santander's application that generated the information. For example, EP for loans, CR for cards, etc.</t>
  </si>
  <si>
    <t>Identificador da aplicação do Santander que gerou a informação. Por exemplo, EP para empréstimos, CR para cartões, etc.</t>
  </si>
  <si>
    <r>
      <rPr>
        <b/>
        <sz val="11"/>
        <color rgb="FF000000"/>
        <rFont val="Calibri"/>
        <scheme val="minor"/>
      </rPr>
      <t xml:space="preserve">SELECT </t>
    </r>
    <r>
      <rPr>
        <sz val="11"/>
        <color rgb="FF000000"/>
        <rFont val="Calibri"/>
        <scheme val="minor"/>
      </rPr>
      <t xml:space="preserve">'DD'
</t>
    </r>
    <r>
      <rPr>
        <b/>
        <sz val="11"/>
        <color rgb="FF000000"/>
        <rFont val="Calibri"/>
        <scheme val="minor"/>
      </rPr>
      <t xml:space="preserve">SELECT </t>
    </r>
    <r>
      <rPr>
        <sz val="11"/>
        <color rgb="FF000000"/>
        <rFont val="Calibri"/>
        <scheme val="minor"/>
      </rPr>
      <t xml:space="preserve">'DD'
</t>
    </r>
    <r>
      <rPr>
        <b/>
        <sz val="11"/>
        <color rgb="FF000000"/>
        <rFont val="Calibri"/>
        <scheme val="minor"/>
      </rPr>
      <t xml:space="preserve">SELECT </t>
    </r>
    <r>
      <rPr>
        <sz val="11"/>
        <color rgb="FF000000"/>
        <rFont val="Calibri"/>
        <scheme val="minor"/>
      </rPr>
      <t xml:space="preserve">'DD'
</t>
    </r>
    <r>
      <rPr>
        <b/>
        <sz val="11"/>
        <color rgb="FF000000"/>
        <rFont val="Calibri"/>
        <scheme val="minor"/>
      </rPr>
      <t xml:space="preserve">SELECT </t>
    </r>
    <r>
      <rPr>
        <sz val="11"/>
        <color rgb="FF000000"/>
        <rFont val="Calibri"/>
        <scheme val="minor"/>
      </rPr>
      <t>'DD'</t>
    </r>
  </si>
  <si>
    <t xml:space="preserve">"DD" 
"DD" 
"DD" 
"DD" </t>
  </si>
  <si>
    <t>SELECT 'CR'</t>
  </si>
  <si>
    <t>"CR"</t>
  </si>
  <si>
    <r>
      <rPr>
        <b/>
        <sz val="11"/>
        <color rgb="FF000000"/>
        <rFont val="Calibri"/>
        <scheme val="minor"/>
      </rPr>
      <t xml:space="preserve">SELECT </t>
    </r>
    <r>
      <rPr>
        <sz val="11"/>
        <color rgb="FF000000"/>
        <rFont val="Calibri"/>
        <scheme val="minor"/>
      </rPr>
      <t xml:space="preserve">'OR'
</t>
    </r>
    <r>
      <rPr>
        <b/>
        <sz val="11"/>
        <color rgb="FF000000"/>
        <rFont val="Calibri"/>
        <scheme val="minor"/>
      </rPr>
      <t xml:space="preserve">SELECT </t>
    </r>
    <r>
      <rPr>
        <sz val="11"/>
        <color rgb="FF000000"/>
        <rFont val="Calibri"/>
        <scheme val="minor"/>
      </rPr>
      <t xml:space="preserve">'OR'
</t>
    </r>
    <r>
      <rPr>
        <b/>
        <sz val="11"/>
        <color rgb="FF000000"/>
        <rFont val="Calibri"/>
        <scheme val="minor"/>
      </rPr>
      <t xml:space="preserve">
SELECT </t>
    </r>
    <r>
      <rPr>
        <sz val="11"/>
        <color rgb="FF000000"/>
        <rFont val="Calibri"/>
        <scheme val="minor"/>
      </rPr>
      <t>'OR'</t>
    </r>
  </si>
  <si>
    <t>"OR"
"OR"
"OR"</t>
  </si>
  <si>
    <t>Transaction Execution Date</t>
  </si>
  <si>
    <t>transaction_execution_date</t>
  </si>
  <si>
    <t>Represents the date in which the transaction was actually executed. Not to be mistaken by the moment in which the transaction was performed.</t>
  </si>
  <si>
    <t xml:space="preserve">Representa a data na qual a transação foi executada. Não deve ser confundido com o momento em que a transação é efetuada. </t>
  </si>
  <si>
    <t>DTENTRAD
DT_OPER
RSYD03A2_DTPROCTRF
FECVAL
FECVAL
FCHCAM
FCHCAM</t>
  </si>
  <si>
    <r>
      <rPr>
        <b/>
        <sz val="11"/>
        <color rgb="FF000000"/>
        <rFont val="Calibri"/>
        <scheme val="minor"/>
      </rPr>
      <t xml:space="preserve">SELECT </t>
    </r>
    <r>
      <rPr>
        <sz val="11"/>
        <color rgb="FF000000"/>
        <rFont val="Calibri"/>
        <scheme val="minor"/>
      </rPr>
      <t xml:space="preserve">IF(TRIM(EST10_ORDENS.DTENTRAD) = '', NULL, EST10_ORDENS.DTENTRAD)
</t>
    </r>
    <r>
      <rPr>
        <b/>
        <sz val="11"/>
        <color rgb="FF000000"/>
        <rFont val="Calibri"/>
        <scheme val="minor"/>
      </rPr>
      <t xml:space="preserve">WHERE </t>
    </r>
    <r>
      <rPr>
        <sz val="11"/>
        <color rgb="FF000000"/>
        <rFont val="Calibri"/>
        <scheme val="minor"/>
      </rPr>
      <t xml:space="preserve">SUBSTRING( HTIMEST, 1, 10) &gt; SUBSTRING( LAST_DATA_DATE_PART, 1, 10 ) AND SUBSTRING( HTIMEST, 1, 10 ) &lt;= SUBSTRING( LAST_DATA_DATE_PART, 11, 10 )
</t>
    </r>
    <r>
      <rPr>
        <b/>
        <sz val="11"/>
        <color rgb="FF000000"/>
        <rFont val="Calibri"/>
        <scheme val="minor"/>
      </rPr>
      <t xml:space="preserve">SELECT </t>
    </r>
    <r>
      <rPr>
        <sz val="11"/>
        <color rgb="FF000000"/>
        <rFont val="Calibri"/>
        <scheme val="minor"/>
      </rPr>
      <t xml:space="preserve">IF(TRIM(IGT05.DT_OPER) = '', NULL, IGT05.DT_OPER)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IF(TRIM(RST03_MT101TRF.RSYD03A2_DTPROCTRF) = '', NULL, RST03_MT101TRF.RSYD03A2_DTPROCTRF)
</t>
    </r>
    <r>
      <rPr>
        <b/>
        <sz val="11"/>
        <color rgb="FF000000"/>
        <rFont val="Calibri"/>
        <scheme val="minor"/>
      </rPr>
      <t xml:space="preserve">WHERE </t>
    </r>
    <r>
      <rPr>
        <sz val="11"/>
        <color rgb="FF000000"/>
        <rFont val="Calibri"/>
        <scheme val="minor"/>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scheme val="minor"/>
      </rPr>
      <t>SELECT</t>
    </r>
    <r>
      <rPr>
        <sz val="11"/>
        <color rgb="FF000000"/>
        <rFont val="Calibri"/>
        <scheme val="minor"/>
      </rPr>
      <t xml:space="preserve"> IF( TRIM( HH_TRANSF_EMIT.FECVAL ) = '', NULL, HH_TRANSF_EMIT.FECVAL )
</t>
    </r>
    <r>
      <rPr>
        <b/>
        <sz val="11"/>
        <color rgb="FF000000"/>
        <rFont val="Calibri"/>
        <scheme val="minor"/>
      </rPr>
      <t xml:space="preserve">SELECT </t>
    </r>
    <r>
      <rPr>
        <sz val="11"/>
        <color rgb="FF000000"/>
        <rFont val="Calibri"/>
        <scheme val="minor"/>
      </rPr>
      <t xml:space="preserve">IF( TRIM( HH_ESTADO_DECRE.HHW_FECVAL) = '', NULL, HH_ESTADO_DECRE.HHW_FECVAL)
</t>
    </r>
    <r>
      <rPr>
        <b/>
        <sz val="11"/>
        <color rgb="FF000000"/>
        <rFont val="Calibri"/>
        <scheme val="minor"/>
      </rPr>
      <t xml:space="preserve">SELECT </t>
    </r>
    <r>
      <rPr>
        <sz val="11"/>
        <color rgb="FF000000"/>
        <rFont val="Calibri"/>
        <scheme val="minor"/>
      </rPr>
      <t xml:space="preserve">IF(TRIM(JK_ORDEN_ENVIAR.FCHCAM) = '', NULL, JK_ORDEN_ENVIAR.FCHCAM)
</t>
    </r>
    <r>
      <rPr>
        <b/>
        <sz val="11"/>
        <color rgb="FF000000"/>
        <rFont val="Calibri"/>
        <scheme val="minor"/>
      </rPr>
      <t xml:space="preserve">WHERE </t>
    </r>
    <r>
      <rPr>
        <sz val="11"/>
        <color rgb="FF000000"/>
        <rFont val="Calibri"/>
        <scheme val="minor"/>
      </rPr>
      <t>CONCAT( JK_ORDEN_ENVIAR.TIPMSJ, JK_ORDEN_ENVIAR.INDMSJ, JK_ORDEN_ENVIAR.NUMMSJ) != 'MT103'
SELECT IF(TRIM(JK_ORDEN_CAMARA.FCHCAM) = '', NULL, JK_ORDEN_CAMARA.FCHCAM)
WHERE CONCAT( JK_ORDEN_CAMARA.TIPMSJ, JK_ORDEN_CAMARA.INDMSJ, JK_ORDEN_CAMARA.NUMMSJ) != 'MT103'</t>
    </r>
  </si>
  <si>
    <t xml:space="preserve">DTENTRADA
DT_OPER
DTPROCTRF
FECVAL
FECVAL
FCHACAM
FCHACAM </t>
  </si>
  <si>
    <t>Debit - Ext  Inf - Date</t>
  </si>
  <si>
    <t>DDYD03A4_DTLIQUID
DDYD04A6_DTLIQUID
DDYD03A4_DTLIQUID
DDYD04A6_DTLIQUID</t>
  </si>
  <si>
    <r>
      <rPr>
        <b/>
        <sz val="11"/>
        <color rgb="FF000000"/>
        <rFont val="Calibri"/>
        <scheme val="minor"/>
      </rPr>
      <t xml:space="preserve">SELECT </t>
    </r>
    <r>
      <rPr>
        <sz val="11"/>
        <color rgb="FF000000"/>
        <rFont val="Calibri"/>
        <scheme val="minor"/>
      </rPr>
      <t xml:space="preserve">IF( TRIM( DDT03_IDDREC.DDYD03A4_DTLIQUID) = '', NULL, DDT03_IDDREC.DDYD03A4_DTLIQUID)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IF(TRIM(DDT04_IDDEMI.DDYD04A6_DTLIQUID) = '', NULL, DDT04_IDDEMI.DDYD04A6_DTLIQUID)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IF(TRIM(DDT03_IDDREC.DDYD03A4_DTLIQUID) = '', NULL, DDT03_IDDREC.DDYD03A4_DTLIQUID)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IF(TRIM(DDT04_IDDEMI.DDYD04A6_DTLIQUID) = '', NULL, DDT04_IDDEMI.DDYD04A6_DTLIQUID)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</si>
  <si>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DTLIQUID
DTLIQUID
DTLIQUID
DTLIQUID</t>
  </si>
  <si>
    <t>Representa a data na qual a transação foi efetuada. Não corresponde à data real de execução, por exemplo fruto dos fins-de-semana, esta data poderá alterar de uma data para outra.</t>
  </si>
  <si>
    <t>DDATACR</t>
  </si>
  <si>
    <t xml:space="preserve">SELECT IF(TRIM(CRT67.DDATACR) = '', NULL, CRT67.DDATACR) </t>
  </si>
  <si>
    <t>ORYD01H9_DTVALCLI
ORYD01H9_DTVALCLI
ORYD01H9_DTVALCLI</t>
  </si>
  <si>
    <r>
      <rPr>
        <b/>
        <sz val="11"/>
        <color rgb="FF000000"/>
        <rFont val="Calibri"/>
        <scheme val="minor"/>
      </rPr>
      <t xml:space="preserve">SELECT </t>
    </r>
    <r>
      <rPr>
        <sz val="11"/>
        <color rgb="FF000000"/>
        <rFont val="Calibri"/>
        <scheme val="minor"/>
      </rPr>
      <t xml:space="preserve">IF( TRIM( ORT01_SEPA_EMI.ORYD01H9_DTVALCLI) = '', NULL, ORT01_SEPA_EMI.ORYD01H9_DTVALCLI)
</t>
    </r>
    <r>
      <rPr>
        <b/>
        <sz val="11"/>
        <color rgb="FF000000"/>
        <rFont val="Calibri"/>
        <scheme val="minor"/>
      </rPr>
      <t xml:space="preserve">SELECT </t>
    </r>
    <r>
      <rPr>
        <sz val="11"/>
        <color rgb="FF000000"/>
        <rFont val="Calibri"/>
        <scheme val="minor"/>
      </rPr>
      <t xml:space="preserve">IF( TRIM( ORT01_SEPA_INT.ORYD01H9_DTVALCLI) = '', NULL, ORT01_SEPA_INT.ORYD01H9_DTVALCLI)
</t>
    </r>
    <r>
      <rPr>
        <b/>
        <sz val="11"/>
        <color rgb="FF000000"/>
        <rFont val="Calibri"/>
        <scheme val="minor"/>
      </rPr>
      <t xml:space="preserve">SELECT </t>
    </r>
    <r>
      <rPr>
        <sz val="11"/>
        <color rgb="FF000000"/>
        <rFont val="Calibri"/>
        <scheme val="minor"/>
      </rPr>
      <t>IF( TRIM( ORT01_SEPA_REC.ORYD01H9_DTVALCLI) = '', NULL, ORT01_SEPA_REC.ORYD01H9_DTVALCLI)</t>
    </r>
  </si>
  <si>
    <t>DTVALCLI
DTVALCLI
DTVALCLI</t>
  </si>
  <si>
    <t>N/A
N/A
N/A
N/A
N/A
N/A
JK</t>
  </si>
  <si>
    <r>
      <rPr>
        <b/>
        <sz val="11"/>
        <color rgb="FF000000"/>
        <rFont val="Calibri"/>
        <scheme val="minor"/>
      </rPr>
      <t xml:space="preserve">SELECT </t>
    </r>
    <r>
      <rPr>
        <sz val="11"/>
        <color rgb="FF000000"/>
        <rFont val="Calibri"/>
        <scheme val="minor"/>
      </rPr>
      <t xml:space="preserve">'ES'
</t>
    </r>
    <r>
      <rPr>
        <b/>
        <sz val="11"/>
        <color rgb="FF000000"/>
        <rFont val="Calibri"/>
        <scheme val="minor"/>
      </rPr>
      <t xml:space="preserve">SELECT </t>
    </r>
    <r>
      <rPr>
        <sz val="11"/>
        <color rgb="FF000000"/>
        <rFont val="Calibri"/>
        <scheme val="minor"/>
      </rPr>
      <t xml:space="preserve">'IG'
</t>
    </r>
    <r>
      <rPr>
        <b/>
        <sz val="11"/>
        <color rgb="FF000000"/>
        <rFont val="Calibri"/>
        <scheme val="minor"/>
      </rPr>
      <t xml:space="preserve">SELECT </t>
    </r>
    <r>
      <rPr>
        <sz val="11"/>
        <color rgb="FF000000"/>
        <rFont val="Calibri"/>
        <scheme val="minor"/>
      </rPr>
      <t xml:space="preserve">'RS'
</t>
    </r>
    <r>
      <rPr>
        <b/>
        <sz val="11"/>
        <color rgb="FF000000"/>
        <rFont val="Calibri"/>
        <scheme val="minor"/>
      </rPr>
      <t xml:space="preserve">SELECT </t>
    </r>
    <r>
      <rPr>
        <sz val="11"/>
        <color rgb="FF000000"/>
        <rFont val="Calibri"/>
        <scheme val="minor"/>
      </rPr>
      <t xml:space="preserve">'HH'
</t>
    </r>
    <r>
      <rPr>
        <b/>
        <sz val="11"/>
        <color rgb="FF000000"/>
        <rFont val="Calibri"/>
        <scheme val="minor"/>
      </rPr>
      <t xml:space="preserve">SELECT </t>
    </r>
    <r>
      <rPr>
        <sz val="11"/>
        <color rgb="FF000000"/>
        <rFont val="Calibri"/>
        <scheme val="minor"/>
      </rPr>
      <t xml:space="preserve">'HH'
</t>
    </r>
    <r>
      <rPr>
        <b/>
        <sz val="11"/>
        <color rgb="FF000000"/>
        <rFont val="Calibri"/>
        <scheme val="minor"/>
      </rPr>
      <t xml:space="preserve">SELECT </t>
    </r>
    <r>
      <rPr>
        <sz val="11"/>
        <color rgb="FF000000"/>
        <rFont val="Calibri"/>
        <scheme val="minor"/>
      </rPr>
      <t>'JK'
SELECT JK</t>
    </r>
  </si>
  <si>
    <t>"ES"
"IG"
"RS"
"HH"
"HH"
 "JK"
"JK"</t>
  </si>
  <si>
    <t>HTIMEST</t>
  </si>
  <si>
    <r>
      <rPr>
        <b/>
        <sz val="11"/>
        <color rgb="FF000000"/>
        <rFont val="Calibri"/>
        <scheme val="minor"/>
      </rPr>
      <t xml:space="preserve">SELECT </t>
    </r>
    <r>
      <rPr>
        <sz val="11"/>
        <color rgb="FF000000"/>
        <rFont val="Calibri"/>
        <scheme val="minor"/>
      </rPr>
      <t>IF( TRIM(CRT67.HTIMEST ) = '', NULL, SUBSTRING( CRT67.HTIMEST, 1, 10 ) )</t>
    </r>
  </si>
  <si>
    <t>ORYD01H9_DTLIQUID
ORYD01H9_DTLIQUID
ORYD01H9_DTLIQUID</t>
  </si>
  <si>
    <r>
      <rPr>
        <b/>
        <sz val="11"/>
        <color rgb="FF000000"/>
        <rFont val="Calibri"/>
        <scheme val="minor"/>
      </rPr>
      <t xml:space="preserve">SELECT </t>
    </r>
    <r>
      <rPr>
        <sz val="11"/>
        <color rgb="FF000000"/>
        <rFont val="Calibri"/>
        <scheme val="minor"/>
      </rPr>
      <t xml:space="preserve">IF(TRIM(ORT01_SEPA_EMI.ORYD01H9_DTLIQUID) = '', NULL, ORT01_SEPA_EMI.ORYD01H9_DTLIQUID)
</t>
    </r>
    <r>
      <rPr>
        <b/>
        <sz val="11"/>
        <color rgb="FF000000"/>
        <rFont val="Calibri"/>
        <scheme val="minor"/>
      </rPr>
      <t xml:space="preserve">SELECT </t>
    </r>
    <r>
      <rPr>
        <sz val="11"/>
        <color rgb="FF000000"/>
        <rFont val="Calibri"/>
        <scheme val="minor"/>
      </rPr>
      <t xml:space="preserve">IF(TRIM(ORT01_SEPA_INT.ORYD01H9_DTLIQUID) = '', NULL, ORT01_SEPA_INT.ORYD01H9_DTLIQUID)
</t>
    </r>
    <r>
      <rPr>
        <b/>
        <sz val="11"/>
        <color rgb="FF000000"/>
        <rFont val="Calibri"/>
        <scheme val="minor"/>
      </rPr>
      <t xml:space="preserve">SELECT </t>
    </r>
    <r>
      <rPr>
        <sz val="11"/>
        <color rgb="FF000000"/>
        <rFont val="Calibri"/>
        <scheme val="minor"/>
      </rPr>
      <t xml:space="preserve">IF(TRIM(ORT01_SEPA_REC.ORYD01H9_DTLIQUID) = '', NULL, ORT01_SEPA_REC.ORYD01H9_DTLIQUID) </t>
    </r>
  </si>
  <si>
    <t>DTLIQUID
DTLIQUID
DTLIQUID</t>
  </si>
  <si>
    <t>DATA_DATE_PART
DATA_DATE_PART
DATA_DATE_PART
DATA_DATE_PART
DATA_DATE_PART
DATA_DATE_PART
DATA_DATE_PART</t>
  </si>
  <si>
    <r>
      <rPr>
        <b/>
        <sz val="11"/>
        <color rgb="FF000000"/>
        <rFont val="Calibri"/>
        <scheme val="minor"/>
      </rPr>
      <t xml:space="preserve">SELECT </t>
    </r>
    <r>
      <rPr>
        <sz val="11"/>
        <color rgb="FF000000"/>
        <rFont val="Calibri"/>
        <scheme val="minor"/>
      </rPr>
      <t xml:space="preserve">EST10_ORDENS.DATA_DATE_PART
</t>
    </r>
    <r>
      <rPr>
        <b/>
        <sz val="11"/>
        <color rgb="FF000000"/>
        <rFont val="Calibri"/>
        <scheme val="minor"/>
      </rPr>
      <t xml:space="preserve">WHERE </t>
    </r>
    <r>
      <rPr>
        <sz val="11"/>
        <color rgb="FF000000"/>
        <rFont val="Calibri"/>
        <scheme val="minor"/>
      </rPr>
      <t xml:space="preserve">SUBSTRING( HTIMEST, 1, 10) &gt; SUBSTRING( LAST_DATA_DATE_PART, 1, 10 ) AND SUBSTRING( HTIMEST, 1, 10 ) &lt;= SUBSTRING( LAST_DATA_DATE_PART, 11, 10 )
</t>
    </r>
    <r>
      <rPr>
        <b/>
        <sz val="11"/>
        <color rgb="FF000000"/>
        <rFont val="Calibri"/>
        <scheme val="minor"/>
      </rPr>
      <t xml:space="preserve">SELECT </t>
    </r>
    <r>
      <rPr>
        <sz val="11"/>
        <color rgb="FF000000"/>
        <rFont val="Calibri"/>
        <scheme val="minor"/>
      </rPr>
      <t xml:space="preserve">IGT05.DATA_DATE_PART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RST03_MT101TRF.DATA_DATE_PART
</t>
    </r>
    <r>
      <rPr>
        <b/>
        <sz val="11"/>
        <color rgb="FF000000"/>
        <rFont val="Calibri"/>
        <scheme val="minor"/>
      </rPr>
      <t xml:space="preserve">WHERE </t>
    </r>
    <r>
      <rPr>
        <sz val="11"/>
        <color rgb="FF000000"/>
        <rFont val="Calibri"/>
        <scheme val="minor"/>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scheme val="minor"/>
      </rPr>
      <t xml:space="preserve">SELECT </t>
    </r>
    <r>
      <rPr>
        <sz val="11"/>
        <color rgb="FF000000"/>
        <rFont val="Calibri"/>
        <scheme val="minor"/>
      </rPr>
      <t xml:space="preserve">HH_TRANSF_EMIT.DATA_DATE_PART
</t>
    </r>
    <r>
      <rPr>
        <b/>
        <sz val="11"/>
        <color rgb="FF000000"/>
        <rFont val="Calibri"/>
        <scheme val="minor"/>
      </rPr>
      <t xml:space="preserve">SELECT </t>
    </r>
    <r>
      <rPr>
        <sz val="11"/>
        <color rgb="FF000000"/>
        <rFont val="Calibri"/>
        <scheme val="minor"/>
      </rPr>
      <t xml:space="preserve">HH_SWIFT_RELAC.DATA_DATE_PART
</t>
    </r>
    <r>
      <rPr>
        <b/>
        <sz val="11"/>
        <color rgb="FF000000"/>
        <rFont val="Calibri"/>
        <scheme val="minor"/>
      </rPr>
      <t xml:space="preserve">SELECT </t>
    </r>
    <r>
      <rPr>
        <sz val="11"/>
        <color rgb="FF000000"/>
        <rFont val="Calibri"/>
        <scheme val="minor"/>
      </rPr>
      <t xml:space="preserve">JK_ORDEN_ENVIAR.DATA_DATE_PART
</t>
    </r>
    <r>
      <rPr>
        <b/>
        <sz val="11"/>
        <color rgb="FF000000"/>
        <rFont val="Calibri"/>
        <scheme val="minor"/>
      </rPr>
      <t xml:space="preserve">WHERE </t>
    </r>
    <r>
      <rPr>
        <sz val="11"/>
        <color rgb="FF000000"/>
        <rFont val="Calibri"/>
        <scheme val="minor"/>
      </rPr>
      <t xml:space="preserve">CONCAT( JK_ORDEN_ENVIAR.TIPMSJ, JK_ORDEN_ENVIAR.INDMSJ, JK_ORDEN_ENVIAR.NUMMSJ) != 'MT103'
</t>
    </r>
    <r>
      <rPr>
        <b/>
        <sz val="11"/>
        <color rgb="FF000000"/>
        <rFont val="Calibri"/>
        <scheme val="minor"/>
      </rPr>
      <t xml:space="preserve">SELECT </t>
    </r>
    <r>
      <rPr>
        <sz val="11"/>
        <color rgb="FF000000"/>
        <rFont val="Calibri"/>
        <scheme val="minor"/>
      </rPr>
      <t xml:space="preserve">JK_ORDEN_CAMARA.DATA_DATE_PART
</t>
    </r>
    <r>
      <rPr>
        <b/>
        <sz val="11"/>
        <color rgb="FF000000"/>
        <rFont val="Calibri"/>
        <scheme val="minor"/>
      </rPr>
      <t xml:space="preserve">WHERE </t>
    </r>
    <r>
      <rPr>
        <sz val="11"/>
        <color rgb="FF000000"/>
        <rFont val="Calibri"/>
        <scheme val="minor"/>
      </rPr>
      <t xml:space="preserve">CONCAT( JK_ORDEN_CAMARA.TIPMSJ, JK_ORDEN_CAMARA.INDMSJ, JK_ORDEN_CAMARA.NUMMSJ) != 'MT103'
</t>
    </r>
  </si>
  <si>
    <t>Transfer Create Date</t>
  </si>
  <si>
    <t>transfer_create_date</t>
  </si>
  <si>
    <t>The date in which the transaction record was created.</t>
  </si>
  <si>
    <t>Data em que o registo da transação foi criado.</t>
  </si>
  <si>
    <t>ORYD01H9_DTCRIACAO
ORYD01H9_DTCRIACAO 
ORYD01H9_DTCRIACAO</t>
  </si>
  <si>
    <r>
      <rPr>
        <b/>
        <sz val="11"/>
        <color rgb="FF000000"/>
        <rFont val="Calibri"/>
        <scheme val="minor"/>
      </rPr>
      <t xml:space="preserve">SELECT </t>
    </r>
    <r>
      <rPr>
        <sz val="11"/>
        <color rgb="FF000000"/>
        <rFont val="Calibri"/>
        <scheme val="minor"/>
      </rPr>
      <t xml:space="preserve">ORT01_SEPA_EMI.ORYD01H9_DTCRIACAO
</t>
    </r>
    <r>
      <rPr>
        <b/>
        <sz val="11"/>
        <color rgb="FF000000"/>
        <rFont val="Calibri"/>
        <scheme val="minor"/>
      </rPr>
      <t xml:space="preserve">SELECT </t>
    </r>
    <r>
      <rPr>
        <sz val="11"/>
        <color rgb="FF000000"/>
        <rFont val="Calibri"/>
        <scheme val="minor"/>
      </rPr>
      <t xml:space="preserve">ORT01_SEPA_INT.ORYD01H9_DTCRIACAO
</t>
    </r>
    <r>
      <rPr>
        <b/>
        <sz val="11"/>
        <color rgb="FF000000"/>
        <rFont val="Calibri"/>
        <scheme val="minor"/>
      </rPr>
      <t xml:space="preserve">SELECT </t>
    </r>
    <r>
      <rPr>
        <sz val="11"/>
        <color rgb="FF000000"/>
        <rFont val="Calibri"/>
        <scheme val="minor"/>
      </rPr>
      <t>ORT01_SEPA_REC.ORYD01H9_DTCRIACAO</t>
    </r>
  </si>
  <si>
    <t>DTCRIACAO
DTCRIACAO
DTCRIACAO</t>
  </si>
  <si>
    <r>
      <rPr>
        <b/>
        <sz val="11"/>
        <color rgb="FF000000"/>
        <rFont val="Calibri"/>
        <scheme val="minor"/>
      </rPr>
      <t xml:space="preserve">SELECT </t>
    </r>
    <r>
      <rPr>
        <sz val="11"/>
        <color rgb="FF000000"/>
        <rFont val="Calibri"/>
        <scheme val="minor"/>
      </rPr>
      <t xml:space="preserve">'REC'
</t>
    </r>
    <r>
      <rPr>
        <b/>
        <sz val="11"/>
        <color rgb="FF000000"/>
        <rFont val="Calibri"/>
        <scheme val="minor"/>
      </rPr>
      <t xml:space="preserve">SELECT </t>
    </r>
    <r>
      <rPr>
        <sz val="11"/>
        <color rgb="FF000000"/>
        <rFont val="Calibri"/>
        <scheme val="minor"/>
      </rPr>
      <t xml:space="preserve">'SEN'
</t>
    </r>
    <r>
      <rPr>
        <b/>
        <sz val="11"/>
        <color rgb="FF000000"/>
        <rFont val="Calibri"/>
        <scheme val="minor"/>
      </rPr>
      <t xml:space="preserve">SELECT </t>
    </r>
    <r>
      <rPr>
        <sz val="11"/>
        <color rgb="FF000000"/>
        <rFont val="Calibri"/>
        <scheme val="minor"/>
      </rPr>
      <t xml:space="preserve">'INT'
</t>
    </r>
    <r>
      <rPr>
        <b/>
        <sz val="11"/>
        <color rgb="FF000000"/>
        <rFont val="Calibri"/>
        <scheme val="minor"/>
      </rPr>
      <t xml:space="preserve">SELECT </t>
    </r>
    <r>
      <rPr>
        <sz val="11"/>
        <color rgb="FF000000"/>
        <rFont val="Calibri"/>
        <scheme val="minor"/>
      </rPr>
      <t>'INT'</t>
    </r>
  </si>
  <si>
    <t>"REC" 
"SEN"
"INT" 
"INT"</t>
  </si>
  <si>
    <t>Transfer/payment direction indicator which evaluates if the transaction is sent or received.</t>
  </si>
  <si>
    <t xml:space="preserve">CTRANSCR </t>
  </si>
  <si>
    <t>SELECT CASE
      WHEN SUBSTRING(CRT67.CNIBHB, 1, 4) = '0018' AND SUBSTRING(CRT67.CNIBCR, 1, 4) = '0018' THEN 'INT'
      WHEN CRT67.CTRANSCR IN ('037', '179') THEN 'SEN'
      WHEN CRT67.CTRANSCR IN ('052', '199') THEN 'REC'
      ELSE NULL</t>
  </si>
  <si>
    <t>CTRANSCR</t>
  </si>
  <si>
    <r>
      <rPr>
        <b/>
        <sz val="11"/>
        <color rgb="FF000000"/>
        <rFont val="Calibri"/>
        <scheme val="minor"/>
      </rPr>
      <t xml:space="preserve">SELECT </t>
    </r>
    <r>
      <rPr>
        <sz val="11"/>
        <color rgb="FF000000"/>
        <rFont val="Calibri"/>
        <scheme val="minor"/>
      </rPr>
      <t xml:space="preserve">'SEN'
</t>
    </r>
    <r>
      <rPr>
        <b/>
        <sz val="11"/>
        <color rgb="FF000000"/>
        <rFont val="Calibri"/>
        <scheme val="minor"/>
      </rPr>
      <t xml:space="preserve">SELECT </t>
    </r>
    <r>
      <rPr>
        <sz val="11"/>
        <color rgb="FF000000"/>
        <rFont val="Calibri"/>
        <scheme val="minor"/>
      </rPr>
      <t xml:space="preserve">'INT'
</t>
    </r>
    <r>
      <rPr>
        <b/>
        <sz val="11"/>
        <color rgb="FF000000"/>
        <rFont val="Calibri"/>
        <scheme val="minor"/>
      </rPr>
      <t xml:space="preserve">SELECT </t>
    </r>
    <r>
      <rPr>
        <sz val="11"/>
        <color rgb="FF000000"/>
        <rFont val="Calibri"/>
        <scheme val="minor"/>
      </rPr>
      <t>'REC'</t>
    </r>
  </si>
  <si>
    <t>CINSTORD
CINSTORD
CINSTORD</t>
  </si>
  <si>
    <t>"SEN"
"INT"
"REC"</t>
  </si>
  <si>
    <t>N/A
N/A
N/A
N/A
HH
N/A
JK</t>
  </si>
  <si>
    <r>
      <rPr>
        <b/>
        <sz val="11"/>
        <color rgb="FF000000"/>
        <rFont val="Calibri"/>
        <scheme val="minor"/>
      </rPr>
      <t xml:space="preserve">SELECT </t>
    </r>
    <r>
      <rPr>
        <sz val="11"/>
        <color rgb="FF000000"/>
        <rFont val="Calibri"/>
        <scheme val="minor"/>
      </rPr>
      <t xml:space="preserve">NOW()
</t>
    </r>
    <r>
      <rPr>
        <b/>
        <sz val="11"/>
        <color rgb="FF000000"/>
        <rFont val="Calibri"/>
        <scheme val="minor"/>
      </rPr>
      <t>SELECT</t>
    </r>
    <r>
      <rPr>
        <sz val="11"/>
        <color rgb="FF000000"/>
        <rFont val="Calibri"/>
        <scheme val="minor"/>
      </rPr>
      <t xml:space="preserve"> NOW()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NOW()</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</si>
  <si>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SUBSTRING( EST94_HISMSGSW.ESYD94A5_HTIMEST, 1, 10 ) &gt; SUBSTRING( LAST_DATA_DATE_PART, 1, 10 ) AND SUBSTRING( EST94_HISMSGSW.ESYD94A5_HTIMEST, 1, 10) &lt;= SUBSTRING( LAST_DATA_DATE_PART, 11, 10 )
   AND EST94_HISMSGSW.ESYD94A5_TIPMTMX IN ('pacs.008', 'pacs.009', 'pain.001', 'MT103', 'MT202')
</t>
    </r>
  </si>
  <si>
    <t>MIMPORT
MIMPORT</t>
  </si>
  <si>
    <r>
      <rPr>
        <b/>
        <sz val="11"/>
        <color rgb="FF000000"/>
        <rFont val="Calibri"/>
      </rPr>
      <t xml:space="preserve">SELECT </t>
    </r>
    <r>
      <rPr>
        <sz val="11"/>
        <color rgb="FF000000"/>
        <rFont val="Calibri"/>
      </rPr>
      <t xml:space="preserve">CCT71_APRESENT.MIMPORT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CCT72_RECEBIDA.MIMPORT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</si>
  <si>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Bank ID</t>
  </si>
  <si>
    <t>bank_id</t>
  </si>
  <si>
    <t>Identifier of the sender bank - Santander  (which appears in the optical character recognition of the check).</t>
  </si>
  <si>
    <t>Identificador do banco remetente - Santander (apresentdo na linha ótica do cheque).</t>
  </si>
  <si>
    <t>N/A
N/A</t>
  </si>
  <si>
    <r>
      <rPr>
        <b/>
        <sz val="11"/>
        <color rgb="FF000000"/>
        <rFont val="Calibri"/>
      </rPr>
      <t xml:space="preserve">SELECT </t>
    </r>
    <r>
      <rPr>
        <sz val="11"/>
        <color rgb="FF000000"/>
        <rFont val="Calibri"/>
      </rPr>
      <t xml:space="preserve">IF(TRIM(CCT71_APRESENT.CZIBBAN) = '0018', '31', '#N/A' )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IF(TRIM(CCT72_RECEBIDA.CZIBBAN) = '0018', '31, '#N/A' )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</si>
  <si>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N\A || N\A
N\A || N\A</t>
  </si>
  <si>
    <t>"31" || "#N/A"
"31" || "#N/A"</t>
  </si>
  <si>
    <t>Branch ID</t>
  </si>
  <si>
    <t>branch_id</t>
  </si>
  <si>
    <t>Sender bank's branch identifier (which appears in the optical character recognition of the check).</t>
  </si>
  <si>
    <t>Identificador da filial do banco remetente (apresentdo na linha ótica do cheque).</t>
  </si>
  <si>
    <t>CKBALCAO
CKBALCAO</t>
  </si>
  <si>
    <r>
      <rPr>
        <b/>
        <sz val="11"/>
        <color rgb="FF000000"/>
        <rFont val="Calibri"/>
      </rPr>
      <t xml:space="preserve">SELECT </t>
    </r>
    <r>
      <rPr>
        <sz val="11"/>
        <color rgb="FF000000"/>
        <rFont val="Calibri"/>
      </rPr>
      <t xml:space="preserve">CCT71_APRESENT.CKBALCAO
WHERE 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CCT72_RECEBIDA.CKBALCAO
WHERE SUBSTRING(CCT72_RECEBIDA.HTIMEST, 1, 10) &gt; SUBSTRING(LAST_DATA_DATE_PART, 1, 10) AND SUBSTRING(CCT72_RECEBIDA.HTIMEST, 1, 10) &lt;= SUBSTRING(LAST_DATA_DATE_PART, 11, 10)</t>
    </r>
  </si>
  <si>
    <t>Check Archive Reference</t>
  </si>
  <si>
    <t>check_archive_reference</t>
  </si>
  <si>
    <t>Unique identifier of the archive referecen associated to the check.</t>
  </si>
  <si>
    <t>Referência do arquivo associado ao cheque.</t>
  </si>
  <si>
    <t>REFARQ
REFARQ</t>
  </si>
  <si>
    <r>
      <rPr>
        <b/>
        <sz val="11"/>
        <color rgb="FF000000"/>
        <rFont val="Calibri"/>
      </rPr>
      <t xml:space="preserve">SELECT </t>
    </r>
    <r>
      <rPr>
        <sz val="11"/>
        <color rgb="FF000000"/>
        <rFont val="Calibri"/>
      </rPr>
      <t xml:space="preserve">CCT71_APRESENT.REFARQ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CCT72_RECEBIDA.REFARQ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</si>
  <si>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Check Number</t>
  </si>
  <si>
    <t>check_number</t>
  </si>
  <si>
    <t>Unique identifier of the check (which appears in the optical character recognition of the check).</t>
  </si>
  <si>
    <t>Identificador único do cheque (apresentdo na linha ótica do cheque).</t>
  </si>
  <si>
    <t>ZCHQ
ZCHQ</t>
  </si>
  <si>
    <r>
      <rPr>
        <b/>
        <sz val="11"/>
        <color rgb="FF000000"/>
        <rFont val="Calibri"/>
      </rPr>
      <t xml:space="preserve">SELECT </t>
    </r>
    <r>
      <rPr>
        <sz val="11"/>
        <color rgb="FF000000"/>
        <rFont val="Calibri"/>
      </rPr>
      <t xml:space="preserve">CCT71_APRESENT.ZCHQ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CCT72_RECEBIDA.ZCHQ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</si>
  <si>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Check Type Code</t>
  </si>
  <si>
    <t>check_type_code</t>
  </si>
  <si>
    <t>Identifier of the check type (which appears in the optical character recognition of the check).</t>
  </si>
  <si>
    <t>Identificador do tipo de cheque (apresentdo na linha ótica do cheque).</t>
  </si>
  <si>
    <t>CTIPCHQ
CTIPCHQ</t>
  </si>
  <si>
    <r>
      <rPr>
        <b/>
        <sz val="11"/>
        <color rgb="FF000000"/>
        <rFont val="Calibri"/>
      </rPr>
      <t xml:space="preserve">SELECT </t>
    </r>
    <r>
      <rPr>
        <sz val="11"/>
        <color rgb="FF000000"/>
        <rFont val="Calibri"/>
      </rPr>
      <t xml:space="preserve">LPAD(CCT71_APRESENT.CTIPCHQ, 2, 0)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SELECT</t>
    </r>
    <r>
      <rPr>
        <sz val="11"/>
        <color rgb="FF000000"/>
        <rFont val="Calibri"/>
      </rPr>
      <t xml:space="preserve"> LPAD(CCT72_RECEBIDA.CTIPCHQ, 2, 0)
</t>
    </r>
    <r>
      <rPr>
        <b/>
        <sz val="11"/>
        <color rgb="FF000000"/>
        <rFont val="Calibri"/>
      </rPr>
      <t>WHERE</t>
    </r>
    <r>
      <rPr>
        <sz val="11"/>
        <color rgb="FF000000"/>
        <rFont val="Calibri"/>
      </rPr>
      <t xml:space="preserve"> SUBSTRING(CCT72_RECEBIDA.HTIMEST, 1, 10) &gt; SUBSTRING(LAST_DATA_DATE_PART, 1, 10) AND SUBSTRING(CCT72_RECEBIDA.HTIMEST, 1, 10) &lt;= SUBSTRING(LAST_DATA_DATE_PART, 11, 10)</t>
    </r>
  </si>
  <si>
    <t>Clearing Date</t>
  </si>
  <si>
    <t>clearing_date</t>
  </si>
  <si>
    <t>Compensation date</t>
  </si>
  <si>
    <t>Data da compensação</t>
  </si>
  <si>
    <t>DTCOMP
DTCOMP</t>
  </si>
  <si>
    <r>
      <rPr>
        <b/>
        <sz val="11"/>
        <color rgb="FF000000"/>
        <rFont val="Calibri"/>
      </rPr>
      <t xml:space="preserve">SELECT </t>
    </r>
    <r>
      <rPr>
        <sz val="11"/>
        <color rgb="FF000000"/>
        <rFont val="Calibri"/>
      </rPr>
      <t xml:space="preserve">CCT71_APRESENT.DTCOMP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CCT72_RECEBIDA.DTCOMP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</si>
  <si>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Collecting Bank ID</t>
  </si>
  <si>
    <t>collecting_bank_id</t>
  </si>
  <si>
    <t>Identifier of the acquiring bank.</t>
  </si>
  <si>
    <t>Identificador do banco tomador.</t>
  </si>
  <si>
    <t>CBANTOM
CBANTOM</t>
  </si>
  <si>
    <r>
      <rPr>
        <b/>
        <sz val="11"/>
        <color rgb="FF000000"/>
        <rFont val="Calibri"/>
      </rPr>
      <t xml:space="preserve">SELECT </t>
    </r>
    <r>
      <rPr>
        <sz val="11"/>
        <color rgb="FF000000"/>
        <rFont val="Calibri"/>
      </rPr>
      <t xml:space="preserve">CCT71_APRESENT.CBANTOM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CCT72_RECEBIDA.CBANTOM
</t>
    </r>
    <r>
      <rPr>
        <b/>
        <sz val="11"/>
        <color rgb="FF000000"/>
        <rFont val="Calibri"/>
      </rPr>
      <t>WHERE</t>
    </r>
    <r>
      <rPr>
        <sz val="11"/>
        <color rgb="FF000000"/>
        <rFont val="Calibri"/>
      </rPr>
      <t xml:space="preserve"> SUBSTRING(CCT72_RECEBIDA.HTIMEST, 1, 10) &gt; SUBSTRING(LAST_DATA_DATE_PART, 1, 10) AND SUBSTRING(CCT72_RECEBIDA.HTIMEST, 1, 10) &lt;= SUBSTRING(LAST_DATA_DATE_PART, 11, 10)</t>
    </r>
  </si>
  <si>
    <t>Contract ID</t>
  </si>
  <si>
    <t>contract_id</t>
  </si>
  <si>
    <t>Santander's contract identifier (which appears in the optical character recognition of the check).</t>
  </si>
  <si>
    <t>Identificador de contrato do Santander (apresentdo na linha ótica do cheque).</t>
  </si>
  <si>
    <t>CKBALCAO;CKNUMCTA
CKBALCAO;CKNUMCTA</t>
  </si>
  <si>
    <r>
      <rPr>
        <b/>
        <sz val="11"/>
        <color rgb="FF000000"/>
        <rFont val="Calibri"/>
      </rPr>
      <t>SELECT</t>
    </r>
    <r>
      <rPr>
        <sz val="11"/>
        <color rgb="FF000000"/>
        <rFont val="Calibri"/>
      </rPr>
      <t xml:space="preserve"> IF(TRIM(CCT71_APRESENT.CZIBBAN) = '0018', CONCAT( CCT71_APRESENT.CKBALCAO, CCT71_APRESENT.CKNUMCTA, '000000000000000'), '#N/A' )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SELECT</t>
    </r>
    <r>
      <rPr>
        <sz val="11"/>
        <color rgb="FF000000"/>
        <rFont val="Calibri"/>
      </rPr>
      <t xml:space="preserve"> IF(TRIM(CCT72_RECEBIDA.CZIBBAN) = '0018', CONCAT( CCT72_RECEBIDA.CKBALCAO, CCT72_RECEBIDA.CKNUMCTA, '000000000000000'), '#N/A' )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</si>
  <si>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CONCAT( CKBALCAO, CKNUMCTA, "000000000000000" ) || N\A
CONCAT( CKBALCAO, CKNUMCTA, "000000000000000" ) || N\A</t>
  </si>
  <si>
    <t>N\A || "#N/A"
N\A || "#N/A"</t>
  </si>
  <si>
    <t>CURATED_INTERNAL_MAINFRAME_CHEQUESCOMPENSACAO
CURATED_INTERNAL_MAINFRAME_ESTRUTURAIS
CURATED_INTERNAL_MAINFRAME_CHEQUESCOMPENSACAO</t>
  </si>
  <si>
    <t>CCT71_APRESENT
TAT91_TABELAS_NEW
CCT72_RECEBIDA</t>
  </si>
  <si>
    <t>N/A
TAYD91C0_CELEMTAB
N/A
TAYD91C0_CELEMTAB</t>
  </si>
  <si>
    <r>
      <rPr>
        <b/>
        <sz val="11"/>
        <color rgb="FF000000"/>
        <rFont val="Calibri"/>
      </rPr>
      <t xml:space="preserve">SELECT </t>
    </r>
    <r>
      <rPr>
        <sz val="11"/>
        <color rgb="FF000000"/>
        <rFont val="Calibri"/>
      </rPr>
      <t xml:space="preserve">TRIM( TAT91_TABELAS_NEW.TAYD91C0_CELEMTAB )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TRIM( TAT91_TABELAS_NEW.TAYD91C0_CELEMTAB )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</si>
  <si>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CMOEDA
CMOEDA</t>
  </si>
  <si>
    <t>Data Date Part</t>
  </si>
  <si>
    <t>DATA_DATE_PART
DATA_DATE_PART</t>
  </si>
  <si>
    <r>
      <rPr>
        <b/>
        <sz val="11"/>
        <color rgb="FF000000"/>
        <rFont val="Calibri"/>
      </rPr>
      <t xml:space="preserve">SELECT </t>
    </r>
    <r>
      <rPr>
        <sz val="11"/>
        <color rgb="FF000000"/>
        <rFont val="Calibri"/>
      </rPr>
      <t xml:space="preserve">CCT71_APRESENT.DATA_DATE_PART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CCT72_RECEBIDA.DATA_DATE_PART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</si>
  <si>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r>
      <rPr>
        <b/>
        <sz val="11"/>
        <color rgb="FF000000"/>
        <rFont val="Calibri"/>
      </rPr>
      <t xml:space="preserve">SELECT </t>
    </r>
    <r>
      <rPr>
        <sz val="11"/>
        <color rgb="FF000000"/>
        <rFont val="Calibri"/>
      </rPr>
      <t xml:space="preserve">NOW()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NOW()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</si>
  <si>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Internal Sequence Number</t>
  </si>
  <si>
    <t>internal_sequence_number</t>
  </si>
  <si>
    <t>INT</t>
  </si>
  <si>
    <t>Sequencial number attributed to the received checks.</t>
  </si>
  <si>
    <t>Número sequencial atribuído aos cheques recebidos.</t>
  </si>
  <si>
    <t>ZSEQ
N\A</t>
  </si>
  <si>
    <r>
      <rPr>
        <b/>
        <sz val="11"/>
        <color rgb="FF000000"/>
        <rFont val="Calibri"/>
      </rPr>
      <t xml:space="preserve">SELECT </t>
    </r>
    <r>
      <rPr>
        <sz val="11"/>
        <color rgb="FF000000"/>
        <rFont val="Calibri"/>
      </rPr>
      <t xml:space="preserve">CCT71_APRESENT.ZSEQ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</si>
  <si>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N\A
"#N/A"</t>
  </si>
  <si>
    <t>Organization ID</t>
  </si>
  <si>
    <t>organisation_id</t>
  </si>
  <si>
    <t>Unique identifier of the sender organization (which appears in the optical character recognition of the check).</t>
  </si>
  <si>
    <t>Identificador único da organização remetente (apresentdo na linha ótica do cheque).</t>
  </si>
  <si>
    <t>CZIBBAN
CZIBBAN</t>
  </si>
  <si>
    <r>
      <rPr>
        <b/>
        <sz val="11"/>
        <color rgb="FF000000"/>
        <rFont val="Calibri"/>
      </rPr>
      <t xml:space="preserve">SELECT </t>
    </r>
    <r>
      <rPr>
        <sz val="11"/>
        <color rgb="FF000000"/>
        <rFont val="Calibri"/>
      </rPr>
      <t xml:space="preserve">CCT71_APRESENT.CZIBBAN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CCT72_RECEBIDA.CZIBBAN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</si>
  <si>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Transaction Direction Code</t>
  </si>
  <si>
    <t>transaction_direction_code</t>
  </si>
  <si>
    <t>Identifies if the compensation was sent to another organization or received.</t>
  </si>
  <si>
    <t>Código que identifica o sentido da compensação, enviada ou recebida.</t>
  </si>
  <si>
    <r>
      <rPr>
        <b/>
        <sz val="11"/>
        <color rgb="FF000000"/>
        <rFont val="Calibri"/>
      </rPr>
      <t xml:space="preserve">SELECT </t>
    </r>
    <r>
      <rPr>
        <sz val="11"/>
        <color rgb="FF000000"/>
        <rFont val="Calibri"/>
      </rPr>
      <t xml:space="preserve">'REC'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'SEN'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</si>
  <si>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"REC"
"SEN"</t>
  </si>
  <si>
    <t>Word</t>
  </si>
  <si>
    <t>Abbreviation</t>
  </si>
  <si>
    <t>Second</t>
  </si>
  <si>
    <t>scnd</t>
  </si>
  <si>
    <t>Settlement</t>
  </si>
  <si>
    <t>settl</t>
  </si>
  <si>
    <t>Underlying</t>
  </si>
  <si>
    <t>under</t>
  </si>
  <si>
    <t>Notional</t>
  </si>
  <si>
    <t>notio</t>
  </si>
  <si>
    <t>Instrument</t>
  </si>
  <si>
    <t>inst</t>
  </si>
  <si>
    <t>Currency</t>
  </si>
  <si>
    <t>curr</t>
  </si>
  <si>
    <t>Periodicity</t>
  </si>
  <si>
    <t>period</t>
  </si>
  <si>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</si>
  <si>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</si>
  <si>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</si>
  <si>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</si>
  <si>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</si>
  <si>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</si>
  <si>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</si>
  <si>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curated_internal_mainframe_estrangeiro</t>
  </si>
  <si>
    <t>ort01_sepa_emi</t>
  </si>
  <si>
    <t>curated_internal_mainframe_estruturais</t>
  </si>
  <si>
    <t>tat91_tabelas_new</t>
  </si>
  <si>
    <t>ort01_sepa_emi.oryd01h9_cmoeda = SUBSTRING(tat91_tabelas_new.tayd91c0_nelemc01, 1, 3)</t>
  </si>
  <si>
    <t>left</t>
  </si>
  <si>
    <t>ort01_sepa_int</t>
  </si>
  <si>
    <t>ort01_sepa_int.oryd01h9_cmoeda = SUBSTRING(tat91_tabelas_new.tayd91c0_nelemc01, 1, 3)</t>
  </si>
  <si>
    <t xml:space="preserve">ort01_sepa_rec </t>
  </si>
  <si>
    <t>ort01_sepa_rec.oryd01h9_cmoeda = SUBSTRING(tat91_tabelas_new.tayd91c0_nelemc01, 1, 3)</t>
  </si>
  <si>
    <t>curated_internal_mainframe_debitosdirectos</t>
  </si>
  <si>
    <t>ddt03_iddrec</t>
  </si>
  <si>
    <t>ddt03_iddrec.ddyd03a4_cmoeda = SUBSTRING(tat91_tabelas_new.tayd91c0_nelemc01, 1, 3)</t>
  </si>
  <si>
    <t>ddt04_iddemi</t>
  </si>
  <si>
    <t>ddt04_iddemi.ddyd04a6_cmoeda= SUBSTRING(tat91_tabelas_new.tayd91c0_nelemc01, 1, 3)</t>
  </si>
  <si>
    <t>ddt03_iddrec.ddyd03a4_cscheme = ddt04_iddemi.ddyd04a6_cscheme AND ddt03_iddrec.ddyd03a4_creflot = ddt04_iddemi.ddyd04a6_creflot AND ddt03_iddrec.ddyd03a4_crefopr = ddt04_iddemi.ddyd04a6_crefopr AND ddt03_iddrec.data_date_part = ddt04_iddemi.data_date_part</t>
  </si>
  <si>
    <t>common_payments_transfersswift</t>
  </si>
  <si>
    <t>est10_ordens</t>
  </si>
  <si>
    <t>est10_ordens.data_date_part = est10_ordens.data_date_part</t>
  </si>
  <si>
    <t>inner</t>
  </si>
  <si>
    <t>est51_inf_det</t>
  </si>
  <si>
    <t>est10_ordens.ckrefest = est51_inf_det.ckrefest</t>
  </si>
  <si>
    <t>est12_movordem</t>
  </si>
  <si>
    <t>est10_ordens.ckrefest = est12_movordem.ckrefest AND est10_ordens.zseqmov = est12_movordem.zseqmov</t>
  </si>
  <si>
    <t>est10_ordens.cmoetrf = SUBSTRING(tat91_tabelas_new.tayd91c0_nelemc01, 1, 3)</t>
  </si>
  <si>
    <t>igt05</t>
  </si>
  <si>
    <t>igt05.moeda_tra= SUBSTRING(tat91_tabelas_new.tayd91c0_nelemc01, 1, 3)</t>
  </si>
  <si>
    <t>rst03_mt101trf</t>
  </si>
  <si>
    <t>rst02_mt101msg</t>
  </si>
  <si>
    <t>rst02_mt101msg.rsyd02a0_crefmt101 = rst03_mt101trf.rsyd03a2_crefmt101 AND rst02_mt101msg.rsyd02a0_zindex = rst03_mt101trf.rsyd03a2_zindex</t>
  </si>
  <si>
    <t>rst03_mt101trf.rsyd03a2_cmoeda = SUBSTRING(tat91_tabelas_new.tayd91c0_nelemc01, 1, 3)</t>
  </si>
  <si>
    <t>curated_internal_mainframe_transferencias</t>
  </si>
  <si>
    <t>hh_transf_emit</t>
  </si>
  <si>
    <t>hh_benefic_sw</t>
  </si>
  <si>
    <t>hh_benefic_sw.idcent = hh_transf_emit.idcent AND hh_benefic_sw.codprod = hh_transf_emit.codprod AND hh_benefic_sw.numsor = hh_transf_emit.numsor</t>
  </si>
  <si>
    <t>hh_datos_bancos</t>
  </si>
  <si>
    <t>hh_datos_bancos.hhf_idcent = hh_transf_emit.idcent AND hh_datos_bancos.hhf_codprod = hh_transf_emit.codprod AND hh_datos_bancos.hhf_numsor = hh_transf_emit.numsor AND hh_datos_banco.hhf_indban1 = 'B'</t>
  </si>
  <si>
    <t>prsw_direccion</t>
  </si>
  <si>
    <t>prsw_direccion.idemex = hh_datos_bancos.hhf_idemex AND prsw_direccion.idofex = hh_datos_bancos.hhf_idofex</t>
  </si>
  <si>
    <t>hh_transf_emit.codmonsw = SUBSTRING(tat91_tabelas_new.tayd91c0_nelemc01, 1, 3)</t>
  </si>
  <si>
    <t>hh_swift_relac</t>
  </si>
  <si>
    <t>hh_estado_decre</t>
  </si>
  <si>
    <t>hh_estado_decre.hhw_numtrn = hh_swift_relac.numtrn AND hh_estado_decre.hhw_usuaul = hh_swift_relac.usuaul</t>
  </si>
  <si>
    <t>hh_dat_sw_cobro</t>
  </si>
  <si>
    <t xml:space="preserve">hh_dat_sw_cobro.hh1_idempr = hh_swift_relac.idempr  AND hh_dat_sw_cobro.hh1_idcent = hh_swift_relac.idcent AND hh_dat_sw_cobro.hh1_codprod = hh_swift_relac.codprod AND hh_dat.hh1_numsor = hh_swift_relac.numsor </t>
  </si>
  <si>
    <t>hh_oper_refer</t>
  </si>
  <si>
    <t>hh_oper_refer.idempr = hh_dat_sw_cobro.hh1_idempr  AND hh_oper_refer.idcent = hh_dat_sw_cobro.hh1_idcent AND hh_oper_refer.codprod = hh_dat_sw_cobro.hh1_codprod AND hh_oper_refer.numsor = hh_dat_sw_cobro.hh1_numsor</t>
  </si>
  <si>
    <t>hh_benefic_sw.idempr = hh_dat_sw_cobro.hh1_idempr AND hh_benefic_sw.idcent = hh_dat_sw_cobro.hh1_idcent AND hh_benefic_sw.codprod = hh_dat_sw_cobro.hh1_codprod  AND hh_benefic_sw.numsor = hh_dat_sw_cobro.hh1_numsor</t>
  </si>
  <si>
    <t>hh_datos_bancos (SEN)</t>
  </si>
  <si>
    <t>hh_datos_bancos.hhf_idempr = hh_dat_sw_cobro.hh1_idempr AND hh_datos_bancos.hhf_idcent = hh_dat_sw_cobro.hh1_idcent AND hh_datos_bancos .hhf_codprod = hh_dat_sw_cobro.hh1_codprod AND hh_datos_bancos.hhf_numsor = hh_dat_sw_cobro.hh1_numsor AND hh_datos_bancos.hhf_indban1 = 'O'</t>
  </si>
  <si>
    <t>hh_datos_bancos (REC)</t>
  </si>
  <si>
    <t>hh_datos_bancos.hhf_idempr = hh_dat_sw_cobro.hh1_idempr AND hh_datos_bancos.hhf_idcent = hh_dat_sw_cobro.hh1_idcent AND hh_datos_bancos .hhf_codprod = hh_dat_sw_cobro.hh1_codprod AND hh_datos_bancos.hhf_numsor = hh_dat_sw_cobro.hh1_numsor AND hh_datos_bancos.hhf_indban1 = 'B'</t>
  </si>
  <si>
    <t>prsw_direccion (SEN)</t>
  </si>
  <si>
    <t>prsw_direccion (REC)</t>
  </si>
  <si>
    <t>hh_estado_decre.hhw_moneda = SUBSTRING(tat91_tabelas_new.tayd91c0_nelemc01, 1, 3)</t>
  </si>
  <si>
    <t>jk_orden_enviar</t>
  </si>
  <si>
    <t>jk_datos_campos (SEN ID)</t>
  </si>
  <si>
    <t>jk_datos_campos.jkdcp_reftrn = jk_orden_enviar.reftrn AND jk_datos_campos.jkdcp_campo IN ('521', '523')</t>
  </si>
  <si>
    <t>jk_orden_campos (SEN ID)</t>
  </si>
  <si>
    <t>jk_orden_campos.jkocp_idempr = jk_orden_enviar.idempr AND jk_orden_sen_acc_id.jkocp_idcent = jk_orden_enviar.idcent AND jk_orden_campos.jkocp_servapli = jk_orden_enviar.servapli AND jk_orden_campos.jkocp_numecont = jk_orden_enviar.numecont AND jk_orden_campos.jkocp_campo IN ('521', '523')</t>
  </si>
  <si>
    <t>prsw_direccion.idemex = SUBSTRING(jk_orden_enviar.bicade, 1, 4) AND prsw_direccion.idofex = SUBSTRING(jk_orden_enviar.bicade, 5, 4)</t>
  </si>
  <si>
    <t>jk_datos_campos (SEN NAME)</t>
  </si>
  <si>
    <t>jk_datos_campos.jkdcp_reftrn = jk_orden_enviar.reftrn AND jk_datos_campos.jkdcp_campo IN ('523', '526')</t>
  </si>
  <si>
    <t>jk_orden_campos (SEN NAME)</t>
  </si>
  <si>
    <t>jk_orden_campos.jkocp_idempr = jk_orden_enviar.idempr AND jk_orden_campos.jkocp_idcent = jk_orden_enviar.idcent AND jk_orden_campos.jkocp_servapli = jk_orden_enviar.servapli AND jk_orden_campos.jkocp_numecont = jk_orden_enviar.numecont AND jk_orden_campos.jkocp_campo IN ('523', '526')</t>
  </si>
  <si>
    <t>jk_datos_campos (REC ID)</t>
  </si>
  <si>
    <t>jk_datos_campos.jkdcp_reftrn = jk_orden_enviar.reftrn AND jk_datos_campos.jkdcp_campo IN ('571', '573')</t>
  </si>
  <si>
    <t>jk_orden_campos (REC ID)</t>
  </si>
  <si>
    <t>jk_orden_campos.jkocp_idempr = jk_orden_enviar.idempr AND jk_orden_campos.jkocp_idcent = jk_orden_enviar.idcent AND jk_orden_campos.jkocp_servapli = jk_orden_enviar.servapli AND jk_orden_campos.jkocp_numecont = jk_orden_enviar.numecont AND jk_orden_campos.jkocp_campo IN ('571', '573')</t>
  </si>
  <si>
    <t>jk_datos_campos (REC 581)</t>
  </si>
  <si>
    <t>jk_datos_campos.jkdcp_reftrn = jk_orden_enviar.reftrn AND jk_datos_campos.jkdcp_campo IN ('581')</t>
  </si>
  <si>
    <t>prsw_direccion (REC 581)</t>
  </si>
  <si>
    <t>prsw_direccion.idemex = SUBSTRING(jk_datos_campos.jkdcp_datosva_text, 34, 4) AND prsw_direccion.idofex = SUBSTRING(jk_datos_campos.jkdcp_datosva_text, 39, 4)</t>
  </si>
  <si>
    <t>jk_datos_campos (REC 584)</t>
  </si>
  <si>
    <t>jk_datos_campos.jkdcp_reftrn = jk_orden_enviar.reftrn AND jk_datos_campos.jkdcp_campo IN ('584')</t>
  </si>
  <si>
    <t>prsw_direccion (REC 584)</t>
  </si>
  <si>
    <t>prsw_direccion.idemex = SUBSTRING(jk_datos_campos.jkdcp_datosva_text, 1, 4) AND prsw_direccion.idofex = SUBSTRING(jk_datos_campos.jkdcp_datosva_text, 5, 4)</t>
  </si>
  <si>
    <t>jk_orden_campos (REC 581)</t>
  </si>
  <si>
    <t>jk_orden_campos.jkocp_idempr = jk_orden_enviar.idempr AND jk_orden_campos.jkocp_idcent = jk_orden_enviar.idcent AND jk_orden_campos.jkocp_servapli = jk_orden_enviar.servapli AND jk_orden_campos.jkocp_numecont = jk_orden_enviar.numecont AND jk_orden_campos.jkocp_campo IN ('581')</t>
  </si>
  <si>
    <t>prsw_direccion.idemex = SUBSTRING(jk_orden_campos.jkocp_datosva_text, 34, 4) AND prsw_direccion.idofex = SUBSTRING(jk_orden_campos.jkocp_datosva_text, 39, 4)</t>
  </si>
  <si>
    <t>jk_orden_campos (REC 584)</t>
  </si>
  <si>
    <t>jk_orden_campos.jkocp_idempr = jk_orden_enviar.idempr AND jk_orden_campos.jkocp_idcent = jk_orden_enviar.idcent AND jk_orden_campos.jkocp_servapli = jk_orden_enviar.servapli AND jk_orden_campos.jkocp_numecont = jk_orden_enviar.numecont AND jk_orden_campos.jkocp_campo IN ('584')</t>
  </si>
  <si>
    <t>prsw_direccion.idemex = SUBSTRING(jk_orden_campos.jkocp_datosva_text, 1, 4) AND prsw_direccion.idofex = SUBSTRING(jk_orden_campos.jkocp_datosva_text, 5, 4)</t>
  </si>
  <si>
    <t>jk_datos_campos (REC NAME)</t>
  </si>
  <si>
    <t>jk_datos_campos.jkdcp_reftrn = jk_orden_enviar.reftrn AND jk_datos_campos.jkdcp_campo IN ('573', '576')</t>
  </si>
  <si>
    <t>jk_orden_campos (REC NAME)</t>
  </si>
  <si>
    <t>jk_orden_campos.jkocp_idempr = jk_orden_enviar.idempr AND jk_orden_campos.jkocp_idcent = jk_orden_enviar.idcent AND jk_orden_campos.jkocp_servapli = jk_orden_enviar.servapli AND jk_orden_campos.jkocp_numecont = jk_orden_enviar.numecont AND jk_orden_campos.jkocp_campo IN ('573', '576')</t>
  </si>
  <si>
    <t>jk_orden_enviar.codmon = SUBSTRING(tat91_tabelas_new.tayd91c0_nelemc01, 1, 3)</t>
  </si>
  <si>
    <t>jk_orden_camara</t>
  </si>
  <si>
    <t>jk_datos_campos.jkdcp_reftrn = jk_orden_camara.numecont AND jk_datos_campos.jkdcp_campo IN ('521', '523')</t>
  </si>
  <si>
    <t>jk_orden_campos.jkocp_idempr = jk_orden_camara.idempr AND jk_orden_enviar.jkocp_idcent = jk_orden_camara.idcent AND jk_orden_campos.jkocp_servapli = jk_orden_camara.servapli AND jk_orden_campos.jkocp_numecont = jk_orden_camara.numecont AND jk_orden_campos.jkocp_campo IN ('521', '523')</t>
  </si>
  <si>
    <t>prsw_direccion.idemex = jk_orden_camara.bcoemi AND prsw_direccion.idofex = jk_orden_camara.sucemi</t>
  </si>
  <si>
    <t>jk_datos_campos.jkdcp_reftrn = jk_orden_camara.numecont AND jk_datos_campos.jkdcp_campo IN ('523', '526')</t>
  </si>
  <si>
    <t>jk_orden_campos.jkocp_idempr = jk_orden_camara.idempr AND jk_orden_campos.jkocp_idcent = jk_orden_camara.idcent AND jk_orden_campos.jkocp_servapli = jk_orden_camara.servapli AND jk_orden_campos.jkocp_numecont = jk_orden_camara.numecont AND jk_orden_campos.jkocp_campo IN ('523', '526')</t>
  </si>
  <si>
    <t>jk_datos_campos.jkdcp_reftrn = jk_orden_camara.numecont AND jk_datos_campos.jkdcp_campo IN ('571', '573')</t>
  </si>
  <si>
    <t>jk_orden_campos.jkocp_idempr = jk_orden_camara.idempr AND jk_orden_campos.jkocp_idcent = jk_orden_camara.idcent AND jk_orden_campos.jkocp_servapli = jk_orden_camara.servapli AND jk_orden_campos.jkocp_numecont = jk_orden_camara.numecont AND jk_orden_campos.jkocp_campo IN ('571', '573')</t>
  </si>
  <si>
    <t>jk_datos_campos.jkdcp_reftrn = jk_orden_camara.numecont AND jk_datos_campos.jkdcp_campo IN ('581')</t>
  </si>
  <si>
    <t>jk_datos_campos.jkdcp_reftrn = jk_orden_camara.numecont AND jk_datos_campos.jkdcp_campo IN ('584')</t>
  </si>
  <si>
    <t>jk_datos_campos.jkdcp_reftrn = jk_orden_camara.numecont AND jk_datos_campos.jkdcp_campo IN ('573', '576')</t>
  </si>
  <si>
    <t>jk_orden_campos.jkocp_idempr = jk_orden_camara.idempr AND jk_orden_campos.jkocp_idcent = jk_orden_camara.idcent AND jk_orden_campos.jkocp_servapli = jk_orden_camara.servapli AND jk_orden_campos.jkocp_numecont = jk_orden_camara.numecont AND jk_orden_campos.jkocp_campo IN ('573', '576')</t>
  </si>
  <si>
    <t>jk_orden_camara.codmon = SUBSTRING(tat91_tabelas_new.tayd91c0_nelemc01, 1, 3)</t>
  </si>
  <si>
    <t>est94_hismsgsw</t>
  </si>
  <si>
    <t>est95_histxmsg</t>
  </si>
  <si>
    <t>TRIM(est94_hismsgsw.esyd94a5_zsn) = TRIM(est95_histxmsg.esyd95a1_zsn) AND
TRIM(est94_hismsgsw.esyd94a5_cmur) = TRIM(est95_histxmsg.esyd95a1_cmur)</t>
  </si>
  <si>
    <t>est95_histxmsg (FILTRO_53)</t>
  </si>
  <si>
    <t>TRIM(est95_histxmsg .esyd95a1_cmur) = TRIM(FILTRO_53.esyd95a1_cmur)</t>
  </si>
  <si>
    <t>est95_histxmsg (FILTRO_54)</t>
  </si>
  <si>
    <t>TRIM(est95_histxmsg .esyd95a1_cmur) = TRIM(FILTRO_54.esyd95a1_cmur)</t>
  </si>
  <si>
    <t>est95_histxmsg (FULL_MESSAGE)</t>
  </si>
  <si>
    <t>TRIM(est94_hismsgsw.esyd94a5_zsn) = TRIM(FULL_MESSAGE.esyd95a1_zsn) AND
TRIM(est94_hismsgsw.esyd94a5_cmur) = TRIM(FULL_MESSAGE.esyd95a1_cmur)</t>
  </si>
  <si>
    <t>est95_histxmsg (RECEIVER_REF)</t>
  </si>
  <si>
    <t>TRIM(est95_histxmsg .esyd95a1_cmur) = TRIM(RECEIVER_REF.esyd95a1_cmur)</t>
  </si>
  <si>
    <t>curated_internal_mainframe_chequescompensacao</t>
  </si>
  <si>
    <t>cct71_apresent</t>
  </si>
  <si>
    <t>cct71_apresent.cmoeda = SUBSTRING(tat91_tabelas_new.tayd91c0_nelemc01, 1, 3)</t>
  </si>
  <si>
    <t>cct72_recebida</t>
  </si>
  <si>
    <t>cct72_recebida.cmoeda = SUBSTRING(tat91_tabelas_new.tayd91c0_nelemc01, 1, 3)</t>
  </si>
  <si>
    <t>NOME FÍSICO BD FONTE</t>
  </si>
  <si>
    <t>NOME FÍSICO TABELA FONTE</t>
  </si>
  <si>
    <t>REGRA DE ATAQUE</t>
  </si>
  <si>
    <t>DESCRIÇÃO ESTADOS CONSIDERADOS</t>
  </si>
  <si>
    <t>DESCRIÇÃO ESTADOS DESCONSIDERADOS</t>
  </si>
  <si>
    <t>tayd91c0_ctabela = '206'</t>
  </si>
  <si>
    <t>NOT ( ddyd03a4_cbiccreLIKE 'TOTAPTPL%' AND ddyd03a4_cbicdev LIKE 'TOTAPTPL%')</t>
  </si>
  <si>
    <t>NOT (ddyd04a6_cbiccre LIKE 'TOTAPTPL%' AND ddyd04a6_cbicdev LIKE 'TOTAPTPL%')</t>
  </si>
  <si>
    <t>ddyd03a4_cbiccre LIKE 'TOTAPTPL%' AND ddyd03a4_cbicdev LIKE 'TOTAPTPL%'</t>
  </si>
  <si>
    <t>ddyd04a6_cbiccre LIKE 'TOTAPTPL%' AND ddyd04a6_cbicdev LIKE 'TOTAPTPL%' AND ddyd03a4_cscheme IS NULL</t>
  </si>
  <si>
    <t>est51_inf_det (ENV)</t>
  </si>
  <si>
    <t>est51_inf_det.tipmsg = '00103' AND (est51_inf_det .tipinfor = '00050' OR est51_inf_det.tipinfor = '00503') AND est51_inf_det ncampo = '00001'</t>
  </si>
  <si>
    <t>est51_inf_det (REC)</t>
  </si>
  <si>
    <t>est51_inf_det.tipmsg = '00103' AND est51_inf_det.tipinfor = '00059' AND est51_inf_det.ncampo = '00001'</t>
  </si>
  <si>
    <t>igt05.produto IN ('TRR', 'TNR', 'TRE', 'TNE')</t>
  </si>
  <si>
    <t>rst03_mt101trf.rsyd03a2_caplicdst = 'RS'</t>
  </si>
  <si>
    <t>hhf_indban1 = 'B'</t>
  </si>
  <si>
    <t>tiprel = 'K'</t>
  </si>
  <si>
    <t>hhf_indban1 = 'O'</t>
  </si>
  <si>
    <t>CONCAT(tipmsj, indmsj, nummsj) != 'MT103'</t>
  </si>
  <si>
    <t>jkdcp_campo IN ('521', '523')</t>
  </si>
  <si>
    <t>jkocp_campo IN ('521', '523')</t>
  </si>
  <si>
    <t>jkdcp_campo IN ('523', '526')</t>
  </si>
  <si>
    <t>jkocp_campo IN ('523', '526')</t>
  </si>
  <si>
    <t>jkdcp_campo IN ('571', '573')</t>
  </si>
  <si>
    <t>jkocp_campo IN ('571,', '573')</t>
  </si>
  <si>
    <t>jkdcp_campo IN ('581')</t>
  </si>
  <si>
    <t>jkocp_campo IN ('581')</t>
  </si>
  <si>
    <t>jkdcp_campo IN ('584')</t>
  </si>
  <si>
    <t>jkocp_campo IN ('584')</t>
  </si>
  <si>
    <t xml:space="preserve">jkdcp_campo IN ('573', '576')  </t>
  </si>
  <si>
    <t xml:space="preserve">jkocp_campo IN ('573', '576')  </t>
  </si>
  <si>
    <t>esyd94a5_tipmtmx IN ('pacs.008', 'pacs.009', 'pain.001', 'MT103', 'MT202')</t>
  </si>
  <si>
    <t>est95_histxmsg.esyd95a1_gtxtmsg LIKE '20%' AND RIGHT(TRIM(est95_histxmsg.esyd95a1_gtxtmsg), 1) = '1'</t>
  </si>
  <si>
    <t>GROUP BY TRIM(esyd95a1_cmur), TRIM(esyd95a1_zsn)</t>
  </si>
  <si>
    <t>est95_histxmsg .esyd95a1_gtxtmsg LIKE '21%' AND RIGHT(TRIM(est95_histxmsg .esyd95a1_gtxtmsg), 1) = '1'</t>
  </si>
  <si>
    <t>est95_histxmsg .esyd95a1_gtxtmsg LIKE '54A%' AND RIGHT(TRIM(est95_histxmsg .esyd95a1_gtxtmsg), 1) = '1'</t>
  </si>
  <si>
    <t>est95_histxmsg .esyd95a1_gtxtmsg LIKE '53A%' AND RIGHT(TRIM(est95_histxmsg .esyd95a1_gtxtmsg), 1) = '1'</t>
  </si>
  <si>
    <t>ID</t>
  </si>
  <si>
    <t>Case Test</t>
  </si>
  <si>
    <t>Description</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</si>
  <si>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</si>
  <si>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</si>
  <si>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</si>
  <si>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</si>
  <si>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</si>
  <si>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</si>
  <si>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</si>
  <si>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</si>
  <si>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</si>
  <si>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</si>
  <si>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</si>
  <si>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</si>
  <si>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</si>
  <si>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</si>
  <si>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</si>
  <si>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</si>
  <si>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</si>
  <si>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</si>
  <si>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</si>
  <si>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</si>
  <si>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</si>
  <si>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</si>
  <si>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</si>
  <si>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</si>
  <si>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</si>
  <si>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</si>
  <si>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</si>
  <si>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</si>
  <si>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</si>
  <si>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</si>
  <si>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</si>
  <si>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</si>
  <si>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</si>
  <si>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</si>
  <si>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</si>
  <si>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</si>
  <si>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</si>
  <si>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</si>
  <si>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</si>
  <si>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</si>
  <si>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</si>
  <si>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</si>
  <si>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</si>
  <si>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</si>
  <si>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</si>
  <si>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</si>
  <si>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</si>
  <si>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</si>
  <si>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</si>
  <si>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</si>
  <si>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</si>
  <si>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</si>
  <si>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</si>
  <si>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</si>
  <si>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2024-09-23T16:29:40.024</t>
  </si>
  <si>
    <t>null</t>
  </si>
  <si>
    <t>2024-09-23T16:29:44.530</t>
  </si>
  <si>
    <t>2024-09-23T16:29:49.851</t>
  </si>
  <si>
    <t>-</t>
  </si>
  <si>
    <t>2024-09-23T16:30:06.014</t>
  </si>
  <si>
    <t>2024-09-23T16:30:11.544</t>
  </si>
  <si>
    <t>2024-09-23T16:30:16.031</t>
  </si>
  <si>
    <t>0231IE00010470</t>
  </si>
  <si>
    <t>AD0200070039000146477013</t>
  </si>
  <si>
    <t>AACSDE33XXX</t>
  </si>
  <si>
    <t xml:space="preserve"> Porto  - Herz fur Algarve-Hunde e.V.</t>
  </si>
  <si>
    <t>AD0900040019000041041013</t>
  </si>
  <si>
    <t>ABBYGB2L</t>
  </si>
  <si>
    <t>"O PONTAO" ASSOCIA  O SOLIDARIEDADE SOCIAL CONC TVR</t>
  </si>
  <si>
    <t>0.010000</t>
  </si>
  <si>
    <t>OR</t>
  </si>
  <si>
    <t>2024-09-23 16:23:53.289000</t>
  </si>
  <si>
    <t>2024-09-23T16:30:19.750</t>
  </si>
  <si>
    <t>2024-09-23T16:30:24.146</t>
  </si>
  <si>
    <t>9631IE01672315</t>
  </si>
  <si>
    <t>SEN</t>
  </si>
  <si>
    <t>SK7811000000008013223226</t>
  </si>
  <si>
    <t>ZKBKCHZZ80A</t>
  </si>
  <si>
    <t>zooplus SE</t>
  </si>
  <si>
    <t>SK7911110000001056739001</t>
  </si>
  <si>
    <t>ZURIITM2</t>
  </si>
  <si>
    <t>zury wami</t>
  </si>
  <si>
    <t>2024-09-23T16:30:27.893</t>
  </si>
  <si>
    <t>2024-09-23T16:30:50.694</t>
  </si>
  <si>
    <t>2024-09-23T16:30:55.978</t>
  </si>
  <si>
    <t>2024-09-23T16:30:59.040</t>
  </si>
  <si>
    <t>2024-09-23T16:31:20.946</t>
  </si>
  <si>
    <t>2024-09-23T16:31:30.775</t>
  </si>
  <si>
    <t>string</t>
  </si>
  <si>
    <t>decimal(23,6)</t>
  </si>
  <si>
    <t>timestamp</t>
  </si>
  <si>
    <t>Data Model Data Types</t>
  </si>
  <si>
    <t>now()</t>
  </si>
  <si>
    <t>today()</t>
  </si>
  <si>
    <t>Data Model Lenghts</t>
  </si>
  <si>
    <t>Test Summary</t>
  </si>
  <si>
    <t>Test ID</t>
  </si>
  <si>
    <t>Field</t>
  </si>
  <si>
    <t>Justification</t>
  </si>
  <si>
    <t>Number of Occurences</t>
  </si>
  <si>
    <t>Justification State</t>
  </si>
  <si>
    <t>Test 7</t>
  </si>
  <si>
    <t>1 - Os campos vêm da tat91_new com 20 dígitos, apesar de apenas os 3 primeiros ficarem preenchidos.</t>
  </si>
  <si>
    <t>Test 12</t>
  </si>
  <si>
    <t>1 - Entradas associadas a transferências recebidas.</t>
  </si>
  <si>
    <t>1 -  118147</t>
  </si>
  <si>
    <t>1 - OK</t>
  </si>
  <si>
    <t>2024-09-23T15:51:07.215</t>
  </si>
  <si>
    <t>2024-09-23T15:51:14.374</t>
  </si>
  <si>
    <t>2024-09-23T15:51:18.925</t>
  </si>
  <si>
    <t>2024-09-23T15:51:31.403</t>
  </si>
  <si>
    <t>2024-09-23T15:51:35.427</t>
  </si>
  <si>
    <t>2024-09-23T15:51:39.267</t>
  </si>
  <si>
    <t>CR</t>
  </si>
  <si>
    <t>2024-09-23 15:49:11.024000</t>
  </si>
  <si>
    <t>2024-09-23T15:51:43.064</t>
  </si>
  <si>
    <t>2024-09-23T15:51:46.574</t>
  </si>
  <si>
    <t>CK426341016950</t>
  </si>
  <si>
    <t>2024-09-23T15:51:52.732</t>
  </si>
  <si>
    <t>2024-09-23T15:52:02.003</t>
  </si>
  <si>
    <t>2024-09-23T15:52:07.098</t>
  </si>
  <si>
    <t>2024-09-23T15:52:10.231</t>
  </si>
  <si>
    <t>2024-09-23T15:52:18.761</t>
  </si>
  <si>
    <t>2024-09-23T15:52:21.136</t>
  </si>
  <si>
    <t>2024-09-24T10:09:23.943+00:00</t>
  </si>
  <si>
    <t>155937</t>
  </si>
  <si>
    <t>2024-09-24T10:09:28.347+00:00</t>
  </si>
  <si>
    <t>0.999820</t>
  </si>
  <si>
    <t>28</t>
  </si>
  <si>
    <t>2024-09-24T10:09:35.296+00:00</t>
  </si>
  <si>
    <t>0.000000</t>
  </si>
  <si>
    <t>2024-09-24T10:13:19.924+00:00</t>
  </si>
  <si>
    <t>2024-09-24T10:13:52.106+00:00</t>
  </si>
  <si>
    <t>2024-09-24T10:13:56.654+00:00</t>
  </si>
  <si>
    <t>B2B</t>
  </si>
  <si>
    <t>C0021635</t>
  </si>
  <si>
    <t>+COMDP476097306607ME</t>
  </si>
  <si>
    <t>(HH1CFSTBEZABAKKJFG95JVCXG58P?</t>
  </si>
  <si>
    <t>AT443820600000209403</t>
  </si>
  <si>
    <t>ABNANL2A</t>
  </si>
  <si>
    <t>1+1 Mail + Media GmbH</t>
  </si>
  <si>
    <t>BE07799521992566</t>
  </si>
  <si>
    <t>(EN-D+)  ANTONIO MARTINS  FO LDA</t>
  </si>
  <si>
    <t>EUR</t>
  </si>
  <si>
    <t>DD</t>
  </si>
  <si>
    <t>2024-09-24 10:04:46.515000</t>
  </si>
  <si>
    <t>2024-09-24T10:14:01.181+00:00</t>
  </si>
  <si>
    <t>2024-09-24 10:13:59.094000</t>
  </si>
  <si>
    <t>2024-09-24T10:14:05.129+00:00</t>
  </si>
  <si>
    <t>COR</t>
  </si>
  <si>
    <t>V0013352</t>
  </si>
  <si>
    <t>na.QrISPRW8VCN2g3:Ch9cYdUgeo</t>
  </si>
  <si>
    <t>ZZZYYXBXXB66BDDD7</t>
  </si>
  <si>
    <t>SE8797800000097817083608</t>
  </si>
  <si>
    <t>WELADEDDXXX</t>
  </si>
  <si>
    <t>klarmobil GmbH</t>
  </si>
  <si>
    <t>PT50750000020147148400012</t>
  </si>
  <si>
    <t>WELADEDN</t>
  </si>
  <si>
    <t>�ris Andreia Pereira da Silva</t>
  </si>
  <si>
    <t>2024-09-24T10:14:09.132+00:00</t>
  </si>
  <si>
    <t>2024-09-24 10:14:07.341000</t>
  </si>
  <si>
    <t>2024-09-24T10:14:23.757+00:00</t>
  </si>
  <si>
    <t>2024-09-24T10:14:28.742+00:00</t>
  </si>
  <si>
    <t>2024-09-24T10:14:36.703+00:00</t>
  </si>
  <si>
    <t>2024-09-24T10:14:54.301+00:00</t>
  </si>
  <si>
    <t>2024-09-24T10:14:57.310+00:00</t>
  </si>
  <si>
    <t>Test 2</t>
  </si>
  <si>
    <t>Universe</t>
  </si>
  <si>
    <t>1 - Os duplicados que existem são devidos a problemas na ingestão de dados. Na query desenvolvida a aplicação do UNION ao universo das transferênicas internas permite a remoção destes duplicados, mas carcteres como acentos e ç foram substituídos por outros, o que impossibilita a ação do UNION</t>
  </si>
  <si>
    <t>Total - 28
1 - 28</t>
  </si>
  <si>
    <t>1 -NOK</t>
  </si>
  <si>
    <t>message_id</t>
  </si>
  <si>
    <t>message_date</t>
  </si>
  <si>
    <t>transaction_id</t>
  </si>
  <si>
    <t>sender_reference</t>
  </si>
  <si>
    <t>receiver_reference</t>
  </si>
  <si>
    <t>intermediate_sender_bank</t>
  </si>
  <si>
    <t>intermediate_receiver_bank</t>
  </si>
  <si>
    <t>global_reference</t>
  </si>
  <si>
    <t>beneficiary_bank</t>
  </si>
  <si>
    <t>originator_bank</t>
  </si>
  <si>
    <t>schema</t>
  </si>
  <si>
    <t>format</t>
  </si>
  <si>
    <t>format_type</t>
  </si>
  <si>
    <t>2024-09-30T18:27:52.471+00:00</t>
  </si>
  <si>
    <t>1.00</t>
  </si>
  <si>
    <t>1508</t>
  </si>
  <si>
    <t>2024-09-30T18:28:06.301+00:00</t>
  </si>
  <si>
    <t>0.00</t>
  </si>
  <si>
    <t>2024-09-30T18:28:30.972+00:00</t>
  </si>
  <si>
    <t>2024-09-30T18:28:49.136+00:00</t>
  </si>
  <si>
    <t>2024-09-30T18:28:55.458+00:00</t>
  </si>
  <si>
    <t>2024-09-30T18:28:58.262+00:00</t>
  </si>
  <si>
    <t>ABBYGB2LXXX0626984422</t>
  </si>
  <si>
    <t>0000104 26TOTAPTPLAXXX983971020426BCVSCH2LBXXX42869103O022409260104N  1 121cdf6f760-31fd-4d2e-8cf9-5db4c5ccc7ca                               1 20 40926237670.0001                                                   1 23BCRED                                                               0 32A240926CHF000000000065000                                           1 33BCHF000000000065000                                                 1 50F/CH6700765000H01661198                                             1 50F1/de Oliveira Vilela Jose                                          2 50F2/chemin des Paquerettes 6                                         2 50F3/CH/1950 Sion                                                     2 53AUBSWCHZH80A                                                        1 57ATOTAPTPLXXX                                                        1 59 /PT50001800002258529100128                                         1 59 Jose Oliveira Vilela                                               2 59 PT-4860 Cabeceiras de Basto                                        2 71ASHA                                                                1 999CHK:E9473A9D7A56                                                   1</t>
  </si>
  <si>
    <t>2024-09-25</t>
  </si>
  <si>
    <t>00201T1D050</t>
  </si>
  <si>
    <t>00001ECH2406559</t>
  </si>
  <si>
    <t>BSCHESMM</t>
  </si>
  <si>
    <t>ABBYGB3EXXX</t>
  </si>
  <si>
    <t>0036d491-adc2-4c61-bdc6-3306a8397c92</t>
  </si>
  <si>
    <t>ISO20022</t>
  </si>
  <si>
    <t>ISO</t>
  </si>
  <si>
    <t>MT103</t>
  </si>
  <si>
    <t>2024-09-30 18:20:18.218000</t>
  </si>
  <si>
    <t>2024-09-30T18:30:01.593+00:00</t>
  </si>
  <si>
    <t xml:space="preserve">00201T1D050                                                 </t>
  </si>
  <si>
    <t xml:space="preserve">00001ECH2406559                                             </t>
  </si>
  <si>
    <t xml:space="preserve">BSCHESMM                                                    </t>
  </si>
  <si>
    <t xml:space="preserve">ABBYGB3EXXX                                                 </t>
  </si>
  <si>
    <t>2024-09-30 18:29:02.155000</t>
  </si>
  <si>
    <t>2024-09-30T18:30:07.350+00:00</t>
  </si>
  <si>
    <t>WBKPPLPPXXX1152985255</t>
  </si>
  <si>
    <t>000TOTAPTPLAXXX203702202I02PNBPUS33XXX240926   N                      1 121c183a981-c1c1-4b83-89ed-d8f9c1f5c3c0                               1 20 39010380009265                                                     1 21 BP0269012400007                                                    1 32A240930USD000000003586300                                           1 57APNBPUS3NNYC                                                        1 58ALYCBCNBLNBA                                                        1 72 /REC/NO CHARGES FOR US                                             1 999CHK:C9C2007AA8CD                                                   1</t>
  </si>
  <si>
    <t>ZD81770LK4193234</t>
  </si>
  <si>
    <t>XT42700051454019</t>
  </si>
  <si>
    <t>TRF141409</t>
  </si>
  <si>
    <t>PNBPUS33</t>
  </si>
  <si>
    <t>UBSWCHZH80A</t>
  </si>
  <si>
    <t>ff9c288c-1b8c-418c-9f8c-9c8258f4b8f5</t>
  </si>
  <si>
    <t>YAPITRIS</t>
  </si>
  <si>
    <t>SWIFT</t>
  </si>
  <si>
    <t>MT</t>
  </si>
  <si>
    <t>pacs.009</t>
  </si>
  <si>
    <t>2024-09-30T18:30:55.852+00:00</t>
  </si>
  <si>
    <t xml:space="preserve">XT42700051454019                                            </t>
  </si>
  <si>
    <t xml:space="preserve">TRF141409                                                   </t>
  </si>
  <si>
    <t xml:space="preserve">PNBPUS33                                                    </t>
  </si>
  <si>
    <t xml:space="preserve">UBSWCHZH80A                                                 </t>
  </si>
  <si>
    <t>2024-09-30 18:30:10.759000</t>
  </si>
  <si>
    <t>2024-09-30T18:31:05.678+00:00</t>
  </si>
  <si>
    <t>0.63</t>
  </si>
  <si>
    <t>2024-09-30T18:31:09.414+00:00</t>
  </si>
  <si>
    <t>2024-09-30T18:31:12.581+00:00</t>
  </si>
  <si>
    <t>2024-09-30T18:35:10.701+00:00</t>
  </si>
  <si>
    <t>2024-09-30T18:35:17.207+00:00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</si>
</sst>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charset val="1"/>
    </font>
    <font>
      <b/>
      <sz val="8"/>
      <name val="Arial"/>
    </font>
    <font>
      <sz val="10"/>
      <color theme="1"/>
      <name val="Calibri"/>
      <family val="2"/>
      <scheme val="minor"/>
    </font>
    <font>
      <sz val="10"/>
      <color rgb="FF000000"/>
      <name val="Calibri"/>
      <scheme val="minor"/>
    </font>
    <font>
      <sz val="8"/>
      <color theme="1"/>
      <name val="Calibri"/>
      <family val="2"/>
    </font>
    <font>
      <sz val="8"/>
      <color theme="1"/>
      <name val="Calibri"/>
      <family val="2"/>
      <scheme val="minor"/>
    </font>
    <font>
      <b/>
      <sz val="11"/>
      <color theme="0"/>
      <name val="Calibri"/>
      <family val="2"/>
      <scheme val="minor"/>
    </font>
    <font>
      <sz val="11"/>
      <color rgb="FF000000"/>
      <name val="Calibri"/>
      <family val="2"/>
      <scheme val="minor"/>
    </font>
    <font>
      <sz val="11"/>
      <color rgb="FF000000"/>
      <name val="Calibri"/>
      <scheme val="minor"/>
    </font>
    <font>
      <b/>
      <sz val="11"/>
      <color rgb="FF000000"/>
      <name val="Calibri"/>
      <scheme val="minor"/>
    </font>
    <font>
      <b/>
      <sz val="11"/>
      <color rgb="FF000000"/>
      <name val="Calibri"/>
    </font>
    <font>
      <sz val="11"/>
      <color rgb="FF000000"/>
      <name val="Calibri"/>
    </font>
    <font>
      <sz val="10"/>
      <name val="Arial"/>
    </font>
    <font>
      <b/>
      <sz val="10"/>
      <name val="Arial"/>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s>
  <borders count="26">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thin">
        <color rgb="FF969696"/>
      </left>
      <right style="thin">
        <color rgb="FF969696"/>
      </right>
      <top style="thin">
        <color rgb="FF969696"/>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indexed="64"/>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top/>
      <bottom/>
      <diagonal/>
    </border>
    <border>
      <left/>
      <right/>
      <top/>
      <bottom style="thin">
        <color rgb="FF000000"/>
      </bottom>
      <diagonal/>
    </border>
    <border>
      <left style="thin">
        <color indexed="64"/>
      </left>
      <right style="thin">
        <color theme="6"/>
      </right>
      <top/>
      <bottom/>
      <diagonal/>
    </border>
    <border>
      <left style="thin">
        <color rgb="FF000000"/>
      </left>
      <right style="thin">
        <color rgb="FF000000"/>
      </right>
      <top style="thin">
        <color rgb="FF000000"/>
      </top>
      <bottom style="thin">
        <color indexed="64"/>
      </bottom>
      <diagonal/>
    </border>
  </borders>
  <cellStyleXfs count="5">
    <xf numFmtId="0" fontId="0" fillId="0" borderId="0"/>
    <xf numFmtId="0" fontId="2" fillId="0" borderId="0"/>
    <xf numFmtId="0" fontId="5" fillId="0" borderId="0"/>
    <xf numFmtId="0" fontId="21" fillId="0" borderId="0" applyNumberFormat="0" applyFill="0" applyBorder="0" applyAlignment="0" applyProtection="0">
      <alignment vertical="top"/>
      <protection locked="0"/>
    </xf>
    <xf numFmtId="0" fontId="22" fillId="0" borderId="0"/>
  </cellStyleXfs>
  <cellXfs count="261">
    <xf numFmtId="0" fontId="0" fillId="0" borderId="0" xfId="0"/>
    <xf numFmtId="0" fontId="3" fillId="0" borderId="0" xfId="1" applyFont="1"/>
    <xf numFmtId="0" fontId="6" fillId="0" borderId="0" xfId="1" applyFont="1" applyAlignment="1">
      <alignment vertical="center"/>
    </xf>
    <xf numFmtId="0" fontId="8"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3" fillId="2" borderId="1" xfId="1" applyFont="1" applyFill="1" applyBorder="1"/>
    <xf numFmtId="0" fontId="5" fillId="2" borderId="0" xfId="2" applyFill="1"/>
    <xf numFmtId="0" fontId="6" fillId="2" borderId="0" xfId="1" applyFont="1" applyFill="1" applyAlignment="1">
      <alignment vertical="center"/>
    </xf>
    <xf numFmtId="0" fontId="7" fillId="2" borderId="0" xfId="1" applyFont="1" applyFill="1" applyAlignment="1">
      <alignment horizontal="right" vertical="center"/>
    </xf>
    <xf numFmtId="0" fontId="8" fillId="2" borderId="0" xfId="1" applyFont="1" applyFill="1"/>
    <xf numFmtId="0" fontId="9" fillId="2" borderId="0" xfId="1" applyFont="1" applyFill="1" applyAlignment="1">
      <alignment horizontal="right"/>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applyAlignment="1">
      <alignment horizontal="right"/>
    </xf>
    <xf numFmtId="0" fontId="18" fillId="2" borderId="0" xfId="0" applyFont="1" applyFill="1"/>
    <xf numFmtId="0" fontId="20" fillId="2" borderId="0" xfId="0" applyFont="1" applyFill="1"/>
    <xf numFmtId="0" fontId="19"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6" borderId="2" xfId="0" applyFill="1" applyBorder="1"/>
    <xf numFmtId="0" fontId="0" fillId="0" borderId="0" xfId="0" applyProtection="1">
      <protection locked="0"/>
    </xf>
    <xf numFmtId="0" fontId="25" fillId="0" borderId="2" xfId="0" applyFont="1" applyBorder="1" applyAlignment="1" applyProtection="1">
      <alignment wrapText="1"/>
      <protection locked="0"/>
    </xf>
    <xf numFmtId="0" fontId="25" fillId="7" borderId="2" xfId="0" applyFont="1" applyFill="1" applyBorder="1" applyProtection="1">
      <protection locked="0"/>
    </xf>
    <xf numFmtId="0" fontId="25" fillId="7" borderId="2" xfId="0" applyFont="1" applyFill="1" applyBorder="1" applyAlignment="1" applyProtection="1">
      <alignment wrapText="1"/>
      <protection locked="0"/>
    </xf>
    <xf numFmtId="0" fontId="25" fillId="0" borderId="2" xfId="0" applyFont="1" applyBorder="1" applyProtection="1">
      <protection locked="0"/>
    </xf>
    <xf numFmtId="0" fontId="25" fillId="6"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7" borderId="0" xfId="0" applyFill="1"/>
    <xf numFmtId="0" fontId="0" fillId="6" borderId="2" xfId="0" applyFill="1" applyBorder="1" applyAlignment="1">
      <alignment wrapText="1"/>
    </xf>
    <xf numFmtId="0" fontId="26" fillId="0" borderId="0" xfId="0" applyFont="1"/>
    <xf numFmtId="0" fontId="25" fillId="0" borderId="3" xfId="0" applyFont="1" applyBorder="1" applyAlignment="1" applyProtection="1">
      <alignment wrapText="1"/>
      <protection locked="0"/>
    </xf>
    <xf numFmtId="0" fontId="25" fillId="7" borderId="3" xfId="0" applyFont="1" applyFill="1" applyBorder="1" applyAlignment="1" applyProtection="1">
      <alignment wrapText="1"/>
      <protection locked="0"/>
    </xf>
    <xf numFmtId="0" fontId="0" fillId="0" borderId="3" xfId="0" applyBorder="1" applyAlignment="1">
      <alignment wrapText="1"/>
    </xf>
    <xf numFmtId="0" fontId="0" fillId="7" borderId="2" xfId="0" applyFill="1" applyBorder="1" applyAlignment="1">
      <alignment wrapText="1"/>
    </xf>
    <xf numFmtId="0" fontId="0" fillId="0" borderId="5" xfId="0" applyBorder="1" applyAlignment="1">
      <alignment wrapText="1"/>
    </xf>
    <xf numFmtId="0" fontId="0" fillId="6" borderId="0" xfId="0" applyFill="1" applyAlignment="1">
      <alignment wrapText="1"/>
    </xf>
    <xf numFmtId="0" fontId="27" fillId="0" borderId="0" xfId="0" applyFont="1"/>
    <xf numFmtId="0" fontId="0" fillId="6" borderId="0" xfId="0" applyFill="1"/>
    <xf numFmtId="0" fontId="0" fillId="0" borderId="0" xfId="0" quotePrefix="1"/>
    <xf numFmtId="0" fontId="0" fillId="7" borderId="0" xfId="0" applyFill="1" applyAlignment="1">
      <alignment horizontal="right"/>
    </xf>
    <xf numFmtId="0" fontId="0" fillId="8" borderId="0" xfId="0" applyFill="1"/>
    <xf numFmtId="0" fontId="0" fillId="9" borderId="0" xfId="0" applyFill="1"/>
    <xf numFmtId="0" fontId="0" fillId="10" borderId="0" xfId="0" applyFill="1"/>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24" fillId="5" borderId="7" xfId="0" applyFont="1" applyFill="1" applyBorder="1" applyAlignment="1">
      <alignment horizontal="center" vertical="center" wrapText="1"/>
    </xf>
    <xf numFmtId="0" fontId="28" fillId="2" borderId="0" xfId="0" applyFont="1" applyFill="1" applyAlignment="1">
      <alignment horizontal="left" vertical="center" readingOrder="1"/>
    </xf>
    <xf numFmtId="0" fontId="18" fillId="0" borderId="0" xfId="0" applyFont="1" applyProtection="1">
      <protection locked="0"/>
    </xf>
    <xf numFmtId="0" fontId="18" fillId="0" borderId="0" xfId="0" applyFont="1" applyAlignment="1" applyProtection="1">
      <alignment horizontal="center" vertical="center" wrapText="1"/>
      <protection locked="0"/>
    </xf>
    <xf numFmtId="0" fontId="18" fillId="0" borderId="0" xfId="0" applyFont="1" applyAlignment="1" applyProtection="1">
      <alignment vertical="center"/>
      <protection locked="0"/>
    </xf>
    <xf numFmtId="0" fontId="18" fillId="0" borderId="0" xfId="0" applyFont="1" applyAlignment="1" applyProtection="1">
      <alignment horizontal="center" vertical="center"/>
      <protection locked="0"/>
    </xf>
    <xf numFmtId="0" fontId="18" fillId="0" borderId="0" xfId="0" applyFont="1" applyAlignment="1" applyProtection="1">
      <alignment vertical="center" wrapText="1"/>
      <protection locked="0"/>
    </xf>
    <xf numFmtId="0" fontId="18" fillId="0" borderId="0" xfId="0" applyFont="1" applyAlignment="1" applyProtection="1">
      <alignment horizontal="left" vertical="center"/>
      <protection locked="0"/>
    </xf>
    <xf numFmtId="0" fontId="0" fillId="0" borderId="0" xfId="0" applyAlignment="1">
      <alignment horizontal="center" vertical="center"/>
    </xf>
    <xf numFmtId="0" fontId="29" fillId="0" borderId="0" xfId="0" applyFont="1" applyAlignment="1">
      <alignment vertical="center"/>
    </xf>
    <xf numFmtId="0" fontId="0" fillId="0" borderId="0" xfId="0" applyAlignment="1">
      <alignment vertical="center"/>
    </xf>
    <xf numFmtId="0" fontId="0" fillId="0" borderId="8" xfId="0" applyBorder="1" applyAlignment="1">
      <alignment vertical="center"/>
    </xf>
    <xf numFmtId="0" fontId="0" fillId="0" borderId="8" xfId="0" applyBorder="1" applyAlignment="1">
      <alignment vertical="center" wrapText="1"/>
    </xf>
    <xf numFmtId="0" fontId="0" fillId="0" borderId="8" xfId="0" applyBorder="1" applyAlignment="1" applyProtection="1">
      <alignment vertical="center"/>
      <protection locked="0"/>
    </xf>
    <xf numFmtId="0" fontId="22" fillId="0" borderId="8" xfId="0" applyFont="1" applyBorder="1" applyAlignment="1">
      <alignment horizontal="left" vertical="center" indent="1"/>
    </xf>
    <xf numFmtId="0" fontId="17" fillId="4" borderId="9" xfId="0" applyFont="1" applyFill="1" applyBorder="1" applyAlignment="1">
      <alignment horizontal="center" vertical="center"/>
    </xf>
    <xf numFmtId="0" fontId="24" fillId="5" borderId="7" xfId="0" applyFont="1" applyFill="1" applyBorder="1" applyAlignment="1">
      <alignment horizontal="center" vertical="center"/>
    </xf>
    <xf numFmtId="0" fontId="24" fillId="5" borderId="7" xfId="0" applyFont="1" applyFill="1" applyBorder="1" applyAlignment="1">
      <alignment horizontal="left" vertical="center" wrapText="1"/>
    </xf>
    <xf numFmtId="0" fontId="24" fillId="5" borderId="14" xfId="0" applyFont="1" applyFill="1" applyBorder="1" applyAlignment="1">
      <alignment horizontal="center" vertical="center" wrapText="1"/>
    </xf>
    <xf numFmtId="0" fontId="23" fillId="11" borderId="12" xfId="0" applyFont="1" applyFill="1" applyBorder="1" applyAlignment="1" applyProtection="1">
      <alignment horizontal="center" vertical="center" wrapText="1" readingOrder="1"/>
      <protection locked="0"/>
    </xf>
    <xf numFmtId="0" fontId="0" fillId="0" borderId="15" xfId="0" applyBorder="1" applyAlignment="1" applyProtection="1">
      <alignment vertical="center"/>
      <protection locked="0"/>
    </xf>
    <xf numFmtId="0" fontId="30" fillId="5" borderId="4" xfId="0" applyFont="1" applyFill="1" applyBorder="1" applyAlignment="1" applyProtection="1">
      <alignment horizontal="center" vertical="center" wrapText="1"/>
      <protection locked="0"/>
    </xf>
    <xf numFmtId="0" fontId="23" fillId="12" borderId="13" xfId="0" applyFont="1" applyFill="1" applyBorder="1" applyAlignment="1" applyProtection="1">
      <alignment horizontal="center" vertical="center" wrapText="1" readingOrder="1"/>
      <protection locked="0"/>
    </xf>
    <xf numFmtId="0" fontId="0" fillId="0" borderId="8" xfId="0" applyBorder="1" applyAlignment="1" applyProtection="1">
      <alignment horizontal="center" vertical="center"/>
      <protection locked="0"/>
    </xf>
    <xf numFmtId="0" fontId="0" fillId="0" borderId="2" xfId="0" applyBorder="1" applyAlignment="1">
      <alignment vertical="center"/>
    </xf>
    <xf numFmtId="0" fontId="0" fillId="0" borderId="8" xfId="0" applyBorder="1" applyAlignment="1">
      <alignment horizontal="left" vertical="center"/>
    </xf>
    <xf numFmtId="0" fontId="27" fillId="0" borderId="2" xfId="0" applyFont="1" applyBorder="1" applyAlignment="1">
      <alignment horizontal="left" vertical="center" wrapText="1"/>
    </xf>
    <xf numFmtId="0" fontId="0" fillId="0" borderId="2" xfId="0" applyBorder="1" applyAlignment="1">
      <alignment horizontal="left" vertical="center"/>
    </xf>
    <xf numFmtId="0" fontId="24" fillId="5" borderId="0" xfId="0" applyFont="1" applyFill="1" applyAlignment="1">
      <alignment horizontal="center" vertical="center" wrapText="1"/>
    </xf>
    <xf numFmtId="0" fontId="31" fillId="0" borderId="2" xfId="0" applyFont="1" applyBorder="1" applyAlignment="1">
      <alignment horizontal="left" vertical="center"/>
    </xf>
    <xf numFmtId="0" fontId="0" fillId="0" borderId="2" xfId="0" applyBorder="1" applyAlignment="1">
      <alignment horizontal="left" vertical="center" wrapText="1"/>
    </xf>
    <xf numFmtId="0" fontId="31" fillId="0" borderId="2" xfId="0" applyFont="1" applyBorder="1" applyAlignment="1">
      <alignment horizontal="left" vertical="center" wrapText="1"/>
    </xf>
    <xf numFmtId="0" fontId="0" fillId="0" borderId="8" xfId="0" applyBorder="1" applyAlignment="1">
      <alignment horizontal="center" vertical="center"/>
    </xf>
    <xf numFmtId="0" fontId="27" fillId="2" borderId="2" xfId="0" applyFont="1" applyFill="1" applyBorder="1" applyAlignment="1">
      <alignment horizontal="left" vertical="center"/>
    </xf>
    <xf numFmtId="0" fontId="0" fillId="0" borderId="2" xfId="0" applyBorder="1" applyAlignment="1" applyProtection="1">
      <alignment vertical="center"/>
      <protection locked="0"/>
    </xf>
    <xf numFmtId="0" fontId="27" fillId="2" borderId="8" xfId="0" applyFont="1" applyFill="1" applyBorder="1" applyAlignment="1">
      <alignment horizontal="left" vertical="center"/>
    </xf>
    <xf numFmtId="0" fontId="31" fillId="0" borderId="8" xfId="0" applyFont="1" applyBorder="1" applyAlignment="1">
      <alignment horizontal="left" vertical="center"/>
    </xf>
    <xf numFmtId="0" fontId="31" fillId="0" borderId="15" xfId="0" applyFont="1" applyBorder="1" applyAlignment="1">
      <alignment horizontal="left" vertical="center"/>
    </xf>
    <xf numFmtId="0" fontId="31" fillId="0" borderId="2" xfId="0" applyFont="1" applyBorder="1" applyAlignment="1" applyProtection="1">
      <alignment vertical="center"/>
      <protection locked="0"/>
    </xf>
    <xf numFmtId="0" fontId="27" fillId="0" borderId="8" xfId="0" applyFont="1" applyBorder="1" applyAlignment="1">
      <alignment horizontal="left" vertical="center" wrapText="1"/>
    </xf>
    <xf numFmtId="0" fontId="0" fillId="0" borderId="2" xfId="0" quotePrefix="1" applyBorder="1" applyAlignment="1" applyProtection="1">
      <alignment vertical="center" wrapText="1"/>
      <protection locked="0"/>
    </xf>
    <xf numFmtId="0" fontId="0" fillId="0" borderId="15" xfId="0" applyBorder="1" applyAlignment="1">
      <alignment horizontal="left" vertical="center"/>
    </xf>
    <xf numFmtId="0" fontId="0" fillId="0" borderId="15" xfId="0" applyBorder="1" applyAlignment="1">
      <alignment vertical="center"/>
    </xf>
    <xf numFmtId="0" fontId="0" fillId="0" borderId="8" xfId="0" applyBorder="1" applyAlignment="1" applyProtection="1">
      <alignment vertical="center" wrapText="1"/>
      <protection locked="0"/>
    </xf>
    <xf numFmtId="0" fontId="31" fillId="0" borderId="15" xfId="0" applyFont="1" applyBorder="1" applyAlignment="1">
      <alignment horizontal="left" vertical="center" wrapText="1"/>
    </xf>
    <xf numFmtId="0" fontId="0" fillId="0" borderId="16" xfId="0" applyBorder="1" applyAlignment="1">
      <alignment vertical="center"/>
    </xf>
    <xf numFmtId="0" fontId="0" fillId="0" borderId="15" xfId="0" applyBorder="1" applyAlignment="1" applyProtection="1">
      <alignment vertical="center" wrapText="1"/>
      <protection locked="0"/>
    </xf>
    <xf numFmtId="0" fontId="0" fillId="0" borderId="8" xfId="0" applyBorder="1" applyAlignment="1" applyProtection="1">
      <alignment horizontal="center" vertical="center" wrapText="1"/>
      <protection locked="0"/>
    </xf>
    <xf numFmtId="0" fontId="0" fillId="0" borderId="2" xfId="0" applyBorder="1" applyAlignment="1" applyProtection="1">
      <alignment vertical="center" wrapText="1"/>
      <protection locked="0"/>
    </xf>
    <xf numFmtId="0" fontId="0" fillId="0" borderId="17" xfId="0" applyBorder="1" applyAlignment="1" applyProtection="1">
      <alignment vertical="center" wrapText="1"/>
      <protection locked="0"/>
    </xf>
    <xf numFmtId="0" fontId="0" fillId="0" borderId="8" xfId="0" applyBorder="1" applyAlignment="1" applyProtection="1">
      <alignment horizontal="left" vertical="center" wrapText="1"/>
      <protection locked="0"/>
    </xf>
    <xf numFmtId="0" fontId="0" fillId="0" borderId="16" xfId="0" applyBorder="1" applyAlignment="1">
      <alignment horizontal="left" vertical="center"/>
    </xf>
    <xf numFmtId="0" fontId="0" fillId="0" borderId="2" xfId="0" applyBorder="1" applyAlignment="1">
      <alignment vertical="center" wrapText="1"/>
    </xf>
    <xf numFmtId="0" fontId="31" fillId="0" borderId="8" xfId="0" applyFont="1" applyBorder="1" applyAlignment="1" applyProtection="1">
      <alignment vertical="center"/>
      <protection locked="0"/>
    </xf>
    <xf numFmtId="0" fontId="27" fillId="2" borderId="15" xfId="0" applyFont="1" applyFill="1" applyBorder="1" applyAlignment="1">
      <alignment horizontal="left" vertical="center"/>
    </xf>
    <xf numFmtId="0" fontId="0" fillId="0" borderId="15" xfId="0" applyBorder="1" applyAlignment="1">
      <alignment horizontal="left" vertical="center" wrapText="1"/>
    </xf>
    <xf numFmtId="0" fontId="31" fillId="0" borderId="17" xfId="0" applyFont="1" applyBorder="1" applyAlignment="1">
      <alignment horizontal="left" vertical="center" wrapText="1"/>
    </xf>
    <xf numFmtId="0" fontId="27" fillId="2" borderId="8" xfId="0" applyFont="1" applyFill="1" applyBorder="1" applyAlignment="1">
      <alignment horizontal="center" vertical="center"/>
    </xf>
    <xf numFmtId="0" fontId="27" fillId="2" borderId="8" xfId="0" applyFont="1" applyFill="1" applyBorder="1" applyAlignment="1">
      <alignment horizontal="left" vertical="center" wrapText="1"/>
    </xf>
    <xf numFmtId="0" fontId="27" fillId="2" borderId="8" xfId="0" applyFont="1" applyFill="1" applyBorder="1" applyAlignment="1">
      <alignment vertical="center" wrapText="1"/>
    </xf>
    <xf numFmtId="0" fontId="24" fillId="5" borderId="19" xfId="0" applyFont="1" applyFill="1" applyBorder="1" applyAlignment="1">
      <alignment horizontal="center" vertical="center" wrapText="1"/>
    </xf>
    <xf numFmtId="0" fontId="24" fillId="5" borderId="15" xfId="0" applyFont="1" applyFill="1" applyBorder="1" applyAlignment="1">
      <alignment horizontal="center" vertical="center" wrapText="1"/>
    </xf>
    <xf numFmtId="0" fontId="24" fillId="5" borderId="20" xfId="0" applyFont="1" applyFill="1" applyBorder="1" applyAlignment="1">
      <alignment horizontal="center" vertical="center" wrapText="1"/>
    </xf>
    <xf numFmtId="0" fontId="33" fillId="0" borderId="13" xfId="0" applyFont="1" applyBorder="1" applyAlignment="1">
      <alignment horizontal="center" vertical="center"/>
    </xf>
    <xf numFmtId="0" fontId="34" fillId="0" borderId="8" xfId="0" applyFont="1" applyBorder="1" applyAlignment="1">
      <alignment horizontal="left" vertical="center"/>
    </xf>
    <xf numFmtId="0" fontId="34" fillId="0" borderId="8" xfId="0" applyFont="1" applyBorder="1" applyAlignment="1">
      <alignment horizontal="left" vertical="center" wrapText="1"/>
    </xf>
    <xf numFmtId="0" fontId="34" fillId="0" borderId="11" xfId="0" applyFont="1" applyBorder="1" applyAlignment="1">
      <alignment horizontal="left" vertical="center"/>
    </xf>
    <xf numFmtId="0" fontId="34" fillId="0" borderId="13" xfId="0" applyFont="1" applyBorder="1" applyAlignment="1">
      <alignment horizontal="center" vertical="center"/>
    </xf>
    <xf numFmtId="49" fontId="34" fillId="0" borderId="11" xfId="0" applyNumberFormat="1" applyFont="1" applyBorder="1" applyAlignment="1">
      <alignment horizontal="left" vertical="center"/>
    </xf>
    <xf numFmtId="0" fontId="34" fillId="0" borderId="21" xfId="0" applyFont="1" applyBorder="1" applyAlignment="1">
      <alignment horizontal="center" vertical="center"/>
    </xf>
    <xf numFmtId="0" fontId="34" fillId="0" borderId="16" xfId="0" applyFont="1" applyBorder="1" applyAlignment="1">
      <alignment horizontal="left" vertical="center"/>
    </xf>
    <xf numFmtId="0" fontId="34" fillId="0" borderId="16" xfId="0" applyFont="1" applyBorder="1" applyAlignment="1">
      <alignment horizontal="left" vertical="center" wrapText="1"/>
    </xf>
    <xf numFmtId="0" fontId="34" fillId="0" borderId="18" xfId="0" applyFont="1" applyBorder="1" applyAlignment="1">
      <alignment horizontal="left" vertical="center"/>
    </xf>
    <xf numFmtId="0" fontId="0" fillId="0" borderId="0" xfId="0" applyAlignment="1">
      <alignment horizontal="left" vertical="center"/>
    </xf>
    <xf numFmtId="14" fontId="0" fillId="0" borderId="0" xfId="0" applyNumberFormat="1" applyAlignment="1">
      <alignment horizontal="left" vertical="center"/>
    </xf>
    <xf numFmtId="4"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2" fontId="0" fillId="0" borderId="0" xfId="0" applyNumberFormat="1" applyAlignment="1">
      <alignment horizontal="left" vertical="center"/>
    </xf>
    <xf numFmtId="0" fontId="35" fillId="14" borderId="20" xfId="0" applyFont="1" applyFill="1" applyBorder="1" applyAlignment="1">
      <alignment horizontal="center" vertical="center"/>
    </xf>
    <xf numFmtId="0" fontId="35" fillId="14" borderId="12" xfId="0" applyFont="1" applyFill="1" applyBorder="1" applyAlignment="1">
      <alignment horizontal="center" vertical="center"/>
    </xf>
    <xf numFmtId="0" fontId="35" fillId="0" borderId="22" xfId="0" applyFont="1" applyBorder="1" applyAlignment="1">
      <alignment horizontal="center" vertical="center"/>
    </xf>
    <xf numFmtId="0" fontId="35" fillId="0" borderId="0" xfId="0" applyFont="1" applyAlignment="1">
      <alignment horizontal="center" vertical="center"/>
    </xf>
    <xf numFmtId="0" fontId="0" fillId="0" borderId="20" xfId="0" applyBorder="1"/>
    <xf numFmtId="0" fontId="0" fillId="0" borderId="23" xfId="0" applyBorder="1" applyAlignment="1">
      <alignment horizontal="left"/>
    </xf>
    <xf numFmtId="22" fontId="0" fillId="0" borderId="23" xfId="0" applyNumberFormat="1" applyBorder="1"/>
    <xf numFmtId="0" fontId="0" fillId="0" borderId="23" xfId="0" applyBorder="1"/>
    <xf numFmtId="0" fontId="0" fillId="0" borderId="22" xfId="0" applyBorder="1"/>
    <xf numFmtId="0" fontId="0" fillId="0" borderId="12" xfId="0" applyBorder="1"/>
    <xf numFmtId="0" fontId="0" fillId="0" borderId="12" xfId="0" applyBorder="1" applyAlignment="1">
      <alignment horizontal="left"/>
    </xf>
    <xf numFmtId="0" fontId="0" fillId="0" borderId="22" xfId="0" applyBorder="1" applyAlignment="1">
      <alignment horizontal="left"/>
    </xf>
    <xf numFmtId="0" fontId="0" fillId="0" borderId="0" xfId="0" applyAlignment="1">
      <alignment horizontal="left"/>
    </xf>
    <xf numFmtId="0" fontId="35" fillId="14" borderId="8" xfId="0" applyFont="1" applyFill="1" applyBorder="1" applyAlignment="1">
      <alignment vertical="center"/>
    </xf>
    <xf numFmtId="0" fontId="35" fillId="14" borderId="23" xfId="0" applyFont="1" applyFill="1" applyBorder="1" applyAlignment="1">
      <alignment horizontal="center" vertical="center"/>
    </xf>
    <xf numFmtId="0" fontId="35" fillId="14" borderId="19" xfId="0" applyFont="1" applyFill="1" applyBorder="1" applyAlignment="1">
      <alignment horizontal="center" vertical="center"/>
    </xf>
    <xf numFmtId="0" fontId="0" fillId="0" borderId="10" xfId="0" applyBorder="1" applyAlignment="1">
      <alignment vertical="center"/>
    </xf>
    <xf numFmtId="0" fontId="0" fillId="0" borderId="18" xfId="0" applyBorder="1" applyAlignment="1">
      <alignment vertical="center"/>
    </xf>
    <xf numFmtId="0" fontId="0" fillId="0" borderId="16" xfId="0" applyBorder="1" applyAlignment="1">
      <alignment vertical="center" wrapText="1"/>
    </xf>
    <xf numFmtId="0" fontId="0" fillId="0" borderId="22" xfId="0" applyBorder="1" applyAlignment="1">
      <alignment vertical="center" wrapText="1"/>
    </xf>
    <xf numFmtId="0" fontId="0" fillId="0" borderId="12" xfId="0" applyBorder="1" applyAlignment="1">
      <alignment vertical="center"/>
    </xf>
    <xf numFmtId="0" fontId="0" fillId="0" borderId="11" xfId="0" applyBorder="1" applyAlignment="1">
      <alignment vertical="center"/>
    </xf>
    <xf numFmtId="0" fontId="36" fillId="0" borderId="8" xfId="0" applyFont="1" applyBorder="1" applyAlignment="1">
      <alignment vertical="center" wrapText="1"/>
    </xf>
    <xf numFmtId="0" fontId="0" fillId="0" borderId="23" xfId="0" applyBorder="1" applyAlignment="1">
      <alignment horizontal="left" vertical="center" wrapText="1"/>
    </xf>
    <xf numFmtId="0" fontId="0" fillId="0" borderId="20" xfId="0" applyBorder="1" applyAlignment="1">
      <alignment vertical="center" wrapText="1"/>
    </xf>
    <xf numFmtId="0" fontId="0" fillId="0" borderId="22" xfId="0" applyBorder="1" applyAlignment="1">
      <alignment horizontal="left" vertical="center" wrapText="1"/>
    </xf>
    <xf numFmtId="0" fontId="0" fillId="0" borderId="10" xfId="0" applyBorder="1" applyAlignment="1">
      <alignment horizontal="left" vertical="center"/>
    </xf>
    <xf numFmtId="0" fontId="0" fillId="0" borderId="18" xfId="0" applyBorder="1" applyAlignment="1">
      <alignment horizontal="left" vertical="center"/>
    </xf>
    <xf numFmtId="0" fontId="0" fillId="0" borderId="16" xfId="0" applyBorder="1" applyAlignment="1">
      <alignment horizontal="left" vertical="center" wrapText="1"/>
    </xf>
    <xf numFmtId="0" fontId="36" fillId="0" borderId="8" xfId="0" applyFont="1" applyBorder="1" applyAlignment="1">
      <alignment vertical="center"/>
    </xf>
    <xf numFmtId="0" fontId="37" fillId="0" borderId="8" xfId="0" applyFont="1" applyBorder="1" applyAlignment="1">
      <alignment horizontal="center" vertical="center"/>
    </xf>
    <xf numFmtId="0" fontId="37" fillId="0" borderId="8" xfId="0" applyFont="1" applyBorder="1" applyAlignment="1">
      <alignment horizontal="left" vertical="center"/>
    </xf>
    <xf numFmtId="0" fontId="25" fillId="0" borderId="2" xfId="0" applyFont="1" applyBorder="1" applyAlignment="1" applyProtection="1">
      <alignment vertical="center"/>
      <protection locked="0"/>
    </xf>
    <xf numFmtId="49" fontId="0" fillId="0" borderId="0" xfId="0" applyNumberFormat="1" applyAlignment="1">
      <alignment horizontal="left" vertical="center"/>
    </xf>
    <xf numFmtId="0" fontId="35" fillId="13" borderId="10" xfId="0" applyFont="1" applyFill="1" applyBorder="1"/>
    <xf numFmtId="0" fontId="35" fillId="0" borderId="20" xfId="0" applyFont="1" applyBorder="1" applyAlignment="1">
      <alignment horizontal="center" vertical="center"/>
    </xf>
    <xf numFmtId="0" fontId="35" fillId="0" borderId="23" xfId="0" applyFont="1" applyBorder="1" applyAlignment="1">
      <alignment horizontal="center" vertical="center"/>
    </xf>
    <xf numFmtId="0" fontId="0" fillId="0" borderId="12" xfId="0" applyBorder="1" applyAlignment="1">
      <alignment horizontal="left" vertical="center"/>
    </xf>
    <xf numFmtId="0" fontId="35" fillId="13" borderId="21" xfId="0" applyFont="1" applyFill="1" applyBorder="1"/>
    <xf numFmtId="0" fontId="0" fillId="0" borderId="13" xfId="0" applyBorder="1"/>
    <xf numFmtId="0" fontId="0" fillId="0" borderId="19" xfId="0" applyBorder="1"/>
    <xf numFmtId="3" fontId="0" fillId="0" borderId="0" xfId="0" quotePrefix="1" applyNumberFormat="1" applyAlignment="1">
      <alignment horizontal="left" vertical="center"/>
    </xf>
    <xf numFmtId="0" fontId="37" fillId="0" borderId="8" xfId="0" applyFont="1" applyBorder="1" applyAlignment="1">
      <alignment vertical="center" wrapText="1"/>
    </xf>
    <xf numFmtId="0" fontId="0" fillId="0" borderId="0" xfId="0" applyAlignment="1" applyProtection="1">
      <alignment horizontal="left" vertical="center" wrapText="1"/>
      <protection locked="0"/>
    </xf>
    <xf numFmtId="0" fontId="30" fillId="5" borderId="7" xfId="0" applyFont="1" applyFill="1" applyBorder="1" applyAlignment="1">
      <alignment horizontal="center" vertical="center" wrapText="1"/>
    </xf>
    <xf numFmtId="0" fontId="30" fillId="5" borderId="24" xfId="0" applyFont="1" applyFill="1" applyBorder="1" applyAlignment="1">
      <alignment horizontal="center" vertical="center" wrapText="1"/>
    </xf>
    <xf numFmtId="0" fontId="30" fillId="5" borderId="0" xfId="0" applyFont="1" applyFill="1" applyAlignment="1">
      <alignment horizontal="center" vertical="center" wrapText="1"/>
    </xf>
    <xf numFmtId="0" fontId="0" fillId="0" borderId="8" xfId="0" applyBorder="1" applyAlignment="1">
      <alignment horizontal="left" vertical="center" wrapText="1"/>
    </xf>
    <xf numFmtId="0" fontId="37" fillId="0" borderId="8" xfId="0" applyFont="1" applyBorder="1" applyAlignment="1" applyProtection="1">
      <alignment vertical="center" wrapText="1"/>
      <protection locked="0"/>
    </xf>
    <xf numFmtId="0" fontId="0" fillId="0" borderId="16" xfId="0" applyBorder="1" applyAlignment="1" applyProtection="1">
      <alignment horizontal="center" vertical="center"/>
      <protection locked="0"/>
    </xf>
    <xf numFmtId="0" fontId="37" fillId="0" borderId="16" xfId="0" applyFont="1" applyBorder="1" applyAlignment="1">
      <alignment vertical="center" wrapText="1"/>
    </xf>
    <xf numFmtId="0" fontId="40" fillId="0" borderId="8" xfId="0" applyFont="1" applyBorder="1" applyAlignment="1">
      <alignment vertical="center" wrapText="1"/>
    </xf>
    <xf numFmtId="0" fontId="0" fillId="0" borderId="25" xfId="0" applyBorder="1" applyAlignment="1">
      <alignment vertical="center" wrapText="1"/>
    </xf>
    <xf numFmtId="0" fontId="0" fillId="0" borderId="15" xfId="0" quotePrefix="1" applyBorder="1" applyAlignment="1" applyProtection="1">
      <alignment vertical="center" wrapText="1"/>
      <protection locked="0"/>
    </xf>
    <xf numFmtId="0" fontId="27" fillId="0" borderId="2" xfId="0" applyFont="1" applyBorder="1" applyAlignment="1">
      <alignment vertical="center" wrapText="1"/>
    </xf>
    <xf numFmtId="0" fontId="0" fillId="0" borderId="15" xfId="0" applyBorder="1" applyAlignment="1">
      <alignment vertical="center" wrapText="1"/>
    </xf>
    <xf numFmtId="0" fontId="0" fillId="0" borderId="15" xfId="0" applyBorder="1" applyAlignment="1" applyProtection="1">
      <alignment horizontal="center" vertical="center" wrapText="1"/>
      <protection locked="0"/>
    </xf>
    <xf numFmtId="0" fontId="27" fillId="2" borderId="2" xfId="0" applyFont="1" applyFill="1" applyBorder="1" applyAlignment="1">
      <alignment horizontal="left" vertical="center" wrapText="1"/>
    </xf>
    <xf numFmtId="0" fontId="27" fillId="2" borderId="15" xfId="0" applyFont="1" applyFill="1" applyBorder="1" applyAlignment="1">
      <alignment horizontal="center" vertical="center"/>
    </xf>
    <xf numFmtId="0" fontId="0" fillId="0" borderId="2" xfId="0" applyBorder="1" applyAlignment="1" applyProtection="1">
      <alignment horizontal="center" vertical="center"/>
      <protection locked="0"/>
    </xf>
    <xf numFmtId="0" fontId="37" fillId="0" borderId="8" xfId="0" applyFont="1" applyBorder="1" applyAlignment="1" applyProtection="1">
      <alignment vertical="center"/>
      <protection locked="0"/>
    </xf>
    <xf numFmtId="0" fontId="0" fillId="0" borderId="25" xfId="0" applyBorder="1" applyAlignment="1">
      <alignment vertical="center"/>
    </xf>
    <xf numFmtId="0" fontId="0" fillId="0" borderId="2" xfId="0" applyBorder="1" applyAlignment="1" applyProtection="1">
      <alignment horizontal="left" vertical="center" wrapText="1"/>
      <protection locked="0"/>
    </xf>
    <xf numFmtId="0" fontId="27" fillId="2" borderId="15" xfId="0" applyFont="1" applyFill="1" applyBorder="1" applyAlignment="1">
      <alignment horizontal="left" vertical="center" wrapText="1"/>
    </xf>
    <xf numFmtId="0" fontId="36" fillId="0" borderId="8" xfId="0" applyFont="1" applyBorder="1" applyAlignment="1" applyProtection="1">
      <alignment vertical="center" wrapText="1"/>
      <protection locked="0"/>
    </xf>
    <xf numFmtId="0" fontId="0" fillId="0" borderId="15" xfId="0" applyBorder="1" applyAlignment="1" applyProtection="1">
      <alignment horizontal="left" vertical="center" wrapText="1"/>
      <protection locked="0"/>
    </xf>
    <xf numFmtId="0" fontId="27" fillId="2" borderId="15" xfId="0" applyFont="1" applyFill="1" applyBorder="1" applyAlignment="1">
      <alignment vertical="center" wrapText="1"/>
    </xf>
    <xf numFmtId="0" fontId="27" fillId="0" borderId="15" xfId="0" applyFont="1" applyBorder="1" applyAlignment="1">
      <alignment vertical="center" wrapText="1"/>
    </xf>
    <xf numFmtId="0" fontId="37" fillId="0" borderId="15" xfId="0" applyFont="1" applyBorder="1" applyAlignment="1" applyProtection="1">
      <alignment vertical="center" wrapText="1"/>
      <protection locked="0"/>
    </xf>
    <xf numFmtId="0" fontId="0" fillId="0" borderId="17" xfId="0" applyBorder="1" applyAlignment="1" applyProtection="1">
      <alignment vertical="center"/>
      <protection locked="0"/>
    </xf>
    <xf numFmtId="0" fontId="31" fillId="0" borderId="17" xfId="0" applyFont="1" applyBorder="1" applyAlignment="1">
      <alignment horizontal="left" vertical="center"/>
    </xf>
    <xf numFmtId="0" fontId="31" fillId="0" borderId="17" xfId="0" applyFont="1" applyBorder="1" applyAlignment="1" applyProtection="1">
      <alignment vertical="center"/>
      <protection locked="0"/>
    </xf>
    <xf numFmtId="0" fontId="0" fillId="0" borderId="15" xfId="0" applyBorder="1" applyAlignment="1" applyProtection="1">
      <alignment horizontal="center" vertical="center"/>
      <protection locked="0"/>
    </xf>
    <xf numFmtId="0" fontId="36" fillId="0" borderId="8" xfId="0" applyFont="1" applyBorder="1" applyAlignment="1" applyProtection="1">
      <alignment vertical="center"/>
      <protection locked="0"/>
    </xf>
    <xf numFmtId="0" fontId="41" fillId="0" borderId="8" xfId="0" applyFont="1" applyBorder="1" applyAlignment="1">
      <alignment horizontal="left" vertical="center" indent="1"/>
    </xf>
    <xf numFmtId="0" fontId="42" fillId="4" borderId="9" xfId="0" applyFont="1" applyFill="1" applyBorder="1" applyAlignment="1">
      <alignment horizontal="center" vertical="center"/>
    </xf>
    <xf numFmtId="0" fontId="0" fillId="0" borderId="16" xfId="0" applyBorder="1" applyAlignment="1" applyProtection="1">
      <alignment vertical="center"/>
      <protection locked="0"/>
    </xf>
    <xf numFmtId="0" fontId="0" fillId="0" borderId="16" xfId="0" applyBorder="1" applyAlignment="1" applyProtection="1">
      <alignment vertical="center" wrapText="1"/>
      <protection locked="0"/>
    </xf>
    <xf numFmtId="0" fontId="0" fillId="0" borderId="16" xfId="0" applyBorder="1" applyAlignment="1" applyProtection="1">
      <alignment horizontal="center" vertical="center" wrapText="1"/>
      <protection locked="0"/>
    </xf>
    <xf numFmtId="0" fontId="40" fillId="0" borderId="16" xfId="0" applyFont="1" applyBorder="1" applyAlignment="1">
      <alignment vertical="center" wrapText="1"/>
    </xf>
    <xf numFmtId="0" fontId="40" fillId="0" borderId="16" xfId="0" applyFont="1" applyBorder="1" applyAlignment="1" applyProtection="1">
      <alignment vertical="center" wrapText="1"/>
      <protection locked="0"/>
    </xf>
    <xf numFmtId="0" fontId="31" fillId="0" borderId="15" xfId="0" applyFont="1" applyBorder="1" applyAlignment="1" applyProtection="1">
      <alignment vertical="center" wrapText="1"/>
      <protection locked="0"/>
    </xf>
    <xf numFmtId="0" fontId="31" fillId="0" borderId="17" xfId="0" applyFont="1" applyBorder="1" applyAlignment="1" applyProtection="1">
      <alignment vertical="center" wrapText="1"/>
      <protection locked="0"/>
    </xf>
    <xf numFmtId="0" fontId="32" fillId="0" borderId="2" xfId="0" applyFont="1" applyBorder="1" applyAlignment="1">
      <alignment horizontal="left" vertical="center" wrapText="1"/>
    </xf>
    <xf numFmtId="0" fontId="37" fillId="0" borderId="8" xfId="0" applyFont="1" applyBorder="1" applyAlignment="1" applyProtection="1">
      <alignment horizontal="center" vertical="center" wrapText="1"/>
      <protection locked="0"/>
    </xf>
    <xf numFmtId="0" fontId="0" fillId="0" borderId="16" xfId="0" applyBorder="1" applyAlignment="1">
      <alignment horizontal="center" vertical="center"/>
    </xf>
    <xf numFmtId="0" fontId="37" fillId="0" borderId="25" xfId="0" applyFont="1" applyBorder="1" applyAlignment="1">
      <alignment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3" fillId="12" borderId="11" xfId="0" applyFont="1" applyFill="1" applyBorder="1" applyAlignment="1" applyProtection="1">
      <alignment horizontal="center" vertical="center" wrapText="1"/>
      <protection locked="0"/>
    </xf>
    <xf numFmtId="0" fontId="23" fillId="12" borderId="12" xfId="0" applyFont="1" applyFill="1" applyBorder="1" applyAlignment="1" applyProtection="1">
      <alignment horizontal="center" vertical="center" wrapText="1"/>
      <protection locked="0"/>
    </xf>
    <xf numFmtId="0" fontId="23" fillId="12" borderId="13" xfId="0" applyFont="1" applyFill="1" applyBorder="1" applyAlignment="1" applyProtection="1">
      <alignment horizontal="center" vertical="center" wrapText="1"/>
      <protection locked="0"/>
    </xf>
    <xf numFmtId="0" fontId="23" fillId="12" borderId="18" xfId="0" applyFont="1" applyFill="1" applyBorder="1" applyAlignment="1" applyProtection="1">
      <alignment horizontal="center" vertical="center" wrapText="1" readingOrder="1"/>
      <protection locked="0"/>
    </xf>
    <xf numFmtId="0" fontId="23" fillId="12" borderId="10" xfId="0" applyFont="1" applyFill="1" applyBorder="1" applyAlignment="1" applyProtection="1">
      <alignment horizontal="center" vertical="center" wrapText="1" readingOrder="1"/>
      <protection locked="0"/>
    </xf>
    <xf numFmtId="0" fontId="23" fillId="3" borderId="16" xfId="0" applyFont="1" applyFill="1" applyBorder="1" applyAlignment="1" applyProtection="1">
      <alignment horizontal="center" vertical="center" wrapText="1" readingOrder="1"/>
      <protection locked="0"/>
    </xf>
    <xf numFmtId="0" fontId="23" fillId="3" borderId="8" xfId="0" applyFont="1" applyFill="1" applyBorder="1" applyAlignment="1" applyProtection="1">
      <alignment horizontal="center" vertical="center" wrapText="1" readingOrder="1"/>
      <protection locked="0"/>
    </xf>
    <xf numFmtId="0" fontId="23" fillId="13" borderId="10" xfId="0" applyFont="1" applyFill="1" applyBorder="1" applyAlignment="1" applyProtection="1">
      <alignment horizontal="center" vertical="center" wrapText="1" readingOrder="1"/>
      <protection locked="0"/>
    </xf>
    <xf numFmtId="0" fontId="23" fillId="13" borderId="8" xfId="0" applyFont="1" applyFill="1" applyBorder="1" applyAlignment="1" applyProtection="1">
      <alignment horizontal="center" vertical="center" wrapText="1" readingOrder="1"/>
      <protection locked="0"/>
    </xf>
    <xf numFmtId="0" fontId="23" fillId="11" borderId="11" xfId="0" applyFont="1" applyFill="1" applyBorder="1" applyAlignment="1" applyProtection="1">
      <alignment horizontal="center" vertical="center" wrapText="1" readingOrder="1"/>
      <protection locked="0"/>
    </xf>
    <xf numFmtId="0" fontId="23" fillId="11" borderId="12" xfId="0" applyFont="1" applyFill="1" applyBorder="1" applyAlignment="1" applyProtection="1">
      <alignment horizontal="center" vertical="center" wrapText="1" readingOrder="1"/>
      <protection locked="0"/>
    </xf>
    <xf numFmtId="0" fontId="23" fillId="11" borderId="13" xfId="0" applyFont="1" applyFill="1" applyBorder="1" applyAlignment="1" applyProtection="1">
      <alignment horizontal="center" vertical="center" wrapText="1" readingOrder="1"/>
      <protection locked="0"/>
    </xf>
    <xf numFmtId="0" fontId="1" fillId="0" borderId="8" xfId="0" applyFont="1" applyBorder="1" applyAlignment="1">
      <alignment horizontal="center" vertical="center"/>
    </xf>
    <xf numFmtId="0" fontId="1" fillId="0" borderId="8" xfId="0" applyFont="1" applyBorder="1" applyAlignment="1">
      <alignment vertical="center"/>
    </xf>
    <xf numFmtId="0" fontId="1" fillId="0" borderId="8" xfId="0" applyFont="1" applyBorder="1" applyAlignment="1">
      <alignment horizontal="left" vertical="center"/>
    </xf>
    <xf numFmtId="0" fontId="1" fillId="0" borderId="8" xfId="0" applyFont="1" applyBorder="1" applyAlignment="1">
      <alignment vertical="center" wrapText="1"/>
    </xf>
    <xf numFmtId="0" fontId="1" fillId="0" borderId="8" xfId="0" applyFont="1" applyBorder="1" applyAlignment="1" applyProtection="1">
      <alignment vertical="center"/>
      <protection locked="0"/>
    </xf>
    <xf numFmtId="0" fontId="1" fillId="0" borderId="2" xfId="0" applyFont="1" applyBorder="1" applyAlignment="1" applyProtection="1">
      <alignment vertical="center"/>
      <protection locked="0"/>
    </xf>
    <xf numFmtId="0" fontId="1" fillId="0" borderId="8" xfId="0" applyFont="1" applyBorder="1" applyAlignment="1" applyProtection="1">
      <alignment horizontal="center" vertical="center"/>
      <protection locked="0"/>
    </xf>
    <xf numFmtId="0" fontId="1" fillId="0" borderId="8" xfId="0" applyFont="1" applyBorder="1" applyAlignment="1" applyProtection="1">
      <alignment vertical="center" wrapText="1"/>
      <protection locked="0"/>
    </xf>
    <xf numFmtId="0" fontId="1" fillId="0" borderId="8" xfId="0" applyFont="1" applyBorder="1" applyAlignment="1">
      <alignment horizontal="center" vertical="center" wrapText="1"/>
    </xf>
    <xf numFmtId="0" fontId="1" fillId="0" borderId="16" xfId="0" applyFont="1" applyBorder="1" applyAlignment="1">
      <alignment horizontal="center" vertical="center"/>
    </xf>
    <xf numFmtId="0" fontId="1" fillId="0" borderId="16" xfId="0" applyFont="1" applyBorder="1" applyAlignment="1">
      <alignment horizontal="left" vertical="center"/>
    </xf>
    <xf numFmtId="0" fontId="1" fillId="0" borderId="15" xfId="0" applyFont="1" applyBorder="1" applyAlignment="1" applyProtection="1">
      <alignment vertical="center"/>
      <protection locked="0"/>
    </xf>
    <xf numFmtId="0" fontId="1" fillId="0" borderId="15" xfId="0" applyFont="1" applyBorder="1" applyAlignment="1">
      <alignment horizontal="center" vertical="center"/>
    </xf>
    <xf numFmtId="0" fontId="1" fillId="0" borderId="2" xfId="0" applyFont="1" applyBorder="1" applyAlignment="1">
      <alignment vertical="center" wrapText="1"/>
    </xf>
    <xf numFmtId="0" fontId="1" fillId="0" borderId="16" xfId="0" applyFont="1" applyBorder="1" applyAlignment="1">
      <alignment vertical="center"/>
    </xf>
    <xf numFmtId="0" fontId="1" fillId="0" borderId="16" xfId="0" applyFont="1" applyBorder="1" applyAlignment="1" applyProtection="1">
      <alignment vertical="center"/>
      <protection locked="0"/>
    </xf>
    <xf numFmtId="0" fontId="1" fillId="0" borderId="16" xfId="0" applyFont="1" applyBorder="1" applyAlignment="1" applyProtection="1">
      <alignment horizontal="center" vertical="center"/>
      <protection locked="0"/>
    </xf>
    <xf numFmtId="0" fontId="1" fillId="0" borderId="16" xfId="0" applyFont="1" applyBorder="1" applyAlignment="1">
      <alignment vertical="center" wrapText="1"/>
    </xf>
    <xf numFmtId="0" fontId="1" fillId="0" borderId="16" xfId="0" applyFont="1" applyBorder="1" applyAlignment="1" applyProtection="1">
      <alignment vertical="center" wrapText="1"/>
      <protection locked="0"/>
    </xf>
    <xf numFmtId="0" fontId="1" fillId="0" borderId="8" xfId="0" applyFont="1" applyBorder="1" applyAlignment="1" applyProtection="1">
      <alignment horizontal="left" vertical="center"/>
      <protection locked="0"/>
    </xf>
    <xf numFmtId="0" fontId="1" fillId="0" borderId="16" xfId="0" applyFont="1" applyBorder="1" applyAlignment="1" applyProtection="1">
      <alignment horizontal="left" vertical="center"/>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200">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scheme val="none"/>
      </font>
      <alignment vertical="center"/>
    </dxf>
    <dxf>
      <font>
        <b val="0"/>
        <i val="0"/>
        <strike val="0"/>
        <condense val="0"/>
        <extend val="0"/>
        <outline val="0"/>
        <shadow val="0"/>
        <u val="none"/>
        <vertAlign val="baseline"/>
        <sz val="11"/>
        <color rgb="FF000000"/>
        <name val="Calibri"/>
        <scheme val="none"/>
      </font>
      <alignment vertical="center"/>
    </dxf>
    <dxf>
      <font>
        <b val="0"/>
        <i val="0"/>
        <strike val="0"/>
        <condense val="0"/>
        <extend val="0"/>
        <outline val="0"/>
        <shadow val="0"/>
        <u val="none"/>
        <vertAlign val="baseline"/>
        <sz val="11"/>
        <color rgb="FF000000"/>
        <name val="Calibri"/>
        <scheme val="none"/>
      </font>
      <alignment vertical="center"/>
    </dxf>
    <dxf>
      <alignment horizontal="center" vertical="cent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bottom style="thin">
          <color rgb="FF000000"/>
        </bottom>
        <vertical/>
        <horizontal/>
      </border>
      <protection locked="0" hidden="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border diagonalUp="0" diagonalDown="0">
        <left style="thin">
          <color indexed="64"/>
        </left>
        <right style="thin">
          <color indexed="64"/>
        </right>
        <top/>
        <bottom/>
      </border>
      <protection locked="0"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7.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externalLink" Target="externalLinks/externalLink3.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 Id="rId27" Type="http://schemas.openxmlformats.org/officeDocument/2006/relationships/sheetMetadata" Target="metadata.xml"/><Relationship Id="rId30"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56189" y="358571"/>
    <xdr:ext cx="1063066" cy="177675"/>
    <xdr:pic>
      <xdr:nvPicPr>
        <xdr:cNvPr id="2" name="Gráfico 10">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66453" cy="18518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453466</xdr:colOff>
      <xdr:row>0</xdr:row>
      <xdr:rowOff>177675</xdr:rowOff>
    </xdr:to>
    <xdr:pic>
      <xdr:nvPicPr>
        <xdr:cNvPr id="2" name="Picture 1">
          <a:extLst>
            <a:ext uri="{FF2B5EF4-FFF2-40B4-BE49-F238E27FC236}">
              <a16:creationId xmlns:a16="http://schemas.microsoft.com/office/drawing/2014/main" id="{EC849C92-00A5-4C6D-BD9C-6B90985B8C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8501B6EA-C7C2-4897-95B8-6D880ACAB80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26FDB6FB-174A-4EE4-914B-A688B2940AA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1">
          <a:extLst>
            <a:ext uri="{FF2B5EF4-FFF2-40B4-BE49-F238E27FC236}">
              <a16:creationId xmlns:a16="http://schemas.microsoft.com/office/drawing/2014/main" id="{E68AB9F9-57C8-4CAD-A204-B1B03A2E127D}"/>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1">
          <a:extLst>
            <a:ext uri="{FF2B5EF4-FFF2-40B4-BE49-F238E27FC236}">
              <a16:creationId xmlns:a16="http://schemas.microsoft.com/office/drawing/2014/main" id="{235683F4-EDED-4ADE-B41E-6F1FBD99E09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1">
          <a:extLst>
            <a:ext uri="{FF2B5EF4-FFF2-40B4-BE49-F238E27FC236}">
              <a16:creationId xmlns:a16="http://schemas.microsoft.com/office/drawing/2014/main" id="{94B641DC-4984-4F01-9B50-ACA128A18925}"/>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1">
          <a:extLst>
            <a:ext uri="{FF2B5EF4-FFF2-40B4-BE49-F238E27FC236}">
              <a16:creationId xmlns:a16="http://schemas.microsoft.com/office/drawing/2014/main" id="{8F45F586-52FF-4E27-895A-1812A13FBB1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6D3477C0\Worksheet%20in%205550%20Detalhe%20das%20participa&#231;&#245;es%20financeira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6D3477C0\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s>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s>
  </externalBook>
</externalLink>
</file>

<file path=xl/persons/person.xml><?xml version="1.0" encoding="utf-8"?>
<personList xmlns="http://schemas.microsoft.com/office/spreadsheetml/2018/threadedcomments" xmlns:x="http://schemas.openxmlformats.org/spreadsheetml/2006/main">
  <person displayName="Afonso Mak Gramocha da Costa Silva" id="{704938EE-5C53-4BD1-992C-7F8EA0F637C5}"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B7:AA98" totalsRowShown="0" headerRowDxfId="199" dataDxfId="198" tableBorderDxfId="197">
  <autoFilter ref="B7:AA98" xr:uid="{00000000-0009-0000-0100-000002000000}">
    <filterColumn colId="2">
      <filters>
        <filter val="check_clearing"/>
      </filters>
    </filterColumn>
  </autoFilter>
  <sortState xmlns:xlrd2="http://schemas.microsoft.com/office/spreadsheetml/2017/richdata2" ref="B8:AA98">
    <sortCondition ref="F7:F98"/>
  </sortState>
  <tableColumns count="26">
    <tableColumn id="1" xr3:uid="{00000000-0010-0000-0000-000001000000}" name="NOME BD" dataDxfId="196"/>
    <tableColumn id="2" xr3:uid="{00000000-0010-0000-0000-000002000000}" name="NOME TABELA" dataDxfId="195"/>
    <tableColumn id="21" xr3:uid="{00000000-0010-0000-0000-000015000000}" name="NOME FÍSICO TABELA" dataDxfId="194"/>
    <tableColumn id="23" xr3:uid="{00000000-0010-0000-0000-000017000000}" name="NÍVEL TABELA" dataDxfId="193"/>
    <tableColumn id="3" xr3:uid="{00000000-0010-0000-0000-000003000000}" name="NOME CAMPO" dataDxfId="192"/>
    <tableColumn id="22" xr3:uid="{00000000-0010-0000-0000-000016000000}" name="NOME FÍSICO CAMPO" dataDxfId="191"/>
    <tableColumn id="25" xr3:uid="{00000000-0010-0000-0000-000019000000}" name="BLOCO" dataDxfId="190"/>
    <tableColumn id="4" xr3:uid="{00000000-0010-0000-0000-000004000000}" name="ORDEM" dataDxfId="189"/>
    <tableColumn id="5" xr3:uid="{00000000-0010-0000-0000-000005000000}" name="FORMATO" dataDxfId="188"/>
    <tableColumn id="6" xr3:uid="{00000000-0010-0000-0000-000006000000}" name="COMP_ CAMPO" dataDxfId="187"/>
    <tableColumn id="7" xr3:uid="{00000000-0010-0000-0000-000007000000}" name="NUM_ DECIMAIS" dataDxfId="186"/>
    <tableColumn id="8" xr3:uid="{00000000-0010-0000-0000-000008000000}" name="DESCRIÇÃO FUNCIONAL (ENG)" dataDxfId="185"/>
    <tableColumn id="9" xr3:uid="{00000000-0010-0000-0000-000009000000}" name="DESCRIÇÃO FUNCIONAL (PT)" dataDxfId="184"/>
    <tableColumn id="10" xr3:uid="{00000000-0010-0000-0000-00000A000000}" name="CHAVE PRIMÁRIA" dataDxfId="183"/>
    <tableColumn id="26" xr3:uid="{00000000-0010-0000-0000-00001A000000}" name="NOME TABELA ONEFCC" dataDxfId="182"/>
    <tableColumn id="24" xr3:uid="{00000000-0010-0000-0000-000018000000}" name="NOME CAMPO ONEFCC" dataDxfId="181"/>
    <tableColumn id="13" xr3:uid="{00000000-0010-0000-0000-00000D000000}" name="NOME BD CURATED" dataDxfId="180"/>
    <tableColumn id="14" xr3:uid="{00000000-0010-0000-0000-00000E000000}" name="NOME FISICO TABELA CURATED" dataDxfId="179"/>
    <tableColumn id="15" xr3:uid="{00000000-0010-0000-0000-00000F000000}" name="NOME FISICO CAMPO CURATED" dataDxfId="178"/>
    <tableColumn id="16" xr3:uid="{00000000-0010-0000-0000-000010000000}" name="CODIÇÃO CURATED - CDM" dataDxfId="177"/>
    <tableColumn id="17" xr3:uid="{00000000-0010-0000-0000-000011000000}" name="TABELA / FICHEIRO" dataDxfId="176"/>
    <tableColumn id="19" xr3:uid="{00000000-0010-0000-0000-000013000000}" name="ID APLICAÇÂO TÉCNICA" dataDxfId="175"/>
    <tableColumn id="20" xr3:uid="{00000000-0010-0000-0000-000014000000}" name="NOME FISICO TABELA FONTE" dataDxfId="174"/>
    <tableColumn id="11" xr3:uid="{00000000-0010-0000-0000-00000B000000}" name="NOME FISICO CAMPO FONTE" dataDxfId="173"/>
    <tableColumn id="18" xr3:uid="{00000000-0010-0000-0000-000012000000}" name="Regras" dataDxfId="172"/>
    <tableColumn id="12" xr3:uid="{00000000-0010-0000-0000-00000C000000}" name="VALOR MANUAL FONTE" dataDxfId="171"/>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1:B8" totalsRowShown="0" headerRowDxfId="170" dataDxfId="169">
  <autoFilter ref="A1:B8" xr:uid="{00000000-0009-0000-0100-000001000000}"/>
  <tableColumns count="2">
    <tableColumn id="1" xr3:uid="{00000000-0010-0000-0100-000001000000}" name="Word" dataDxfId="168"/>
    <tableColumn id="2" xr3:uid="{00000000-0010-0000-0100-000002000000}" name="Abbreviation" dataDxfId="167"/>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9146581-7632-4BE0-BD31-22FC02BAC62E}" name="Table7" displayName="Table7" ref="B2:I65" totalsRowShown="0" headerRowDxfId="166" dataDxfId="165" tableBorderDxfId="164">
  <autoFilter ref="B2:I65" xr:uid="{29146581-7632-4BE0-BD31-22FC02BAC62E}">
    <filterColumn colId="5">
      <filters>
        <filter val="tat91_tabelas_new"/>
      </filters>
    </filterColumn>
  </autoFilter>
  <sortState xmlns:xlrd2="http://schemas.microsoft.com/office/spreadsheetml/2017/richdata2" ref="B3:I63">
    <sortCondition ref="C2:C63"/>
  </sortState>
  <tableColumns count="8">
    <tableColumn id="1" xr3:uid="{EA8AFA05-A17F-483C-8794-36EA921A648D}" name="NOME BD " dataDxfId="163"/>
    <tableColumn id="2" xr3:uid="{88427B2D-8221-4D25-B732-8B450224B184}" name="NOME FÍSICO TABELA" dataDxfId="162"/>
    <tableColumn id="3" xr3:uid="{EFBDE27F-CE12-4ACB-953F-A7B2EE02EACA}" name="NOME FÍSICO BD FONTE ESQUERDA" dataDxfId="161"/>
    <tableColumn id="4" xr3:uid="{B3DA846E-8EC0-431F-8FA4-1951608404D2}" name="NOME FÍSICO TABELA FONTE ESQUERDA" dataDxfId="160"/>
    <tableColumn id="5" xr3:uid="{CD141E8F-3A6F-4BC9-85F4-9867A327896C}" name="NOME FÍSICO BD FONTE DIREITA" dataDxfId="159"/>
    <tableColumn id="6" xr3:uid="{550365F1-D5D0-42F3-9A86-03860D57B14F}" name="NOME FÍSICO TABELA FONTE DIREITA" dataDxfId="158"/>
    <tableColumn id="7" xr3:uid="{2229267A-92EC-4C6A-B710-BAD888549544}" name="REGRA DE CRUZAMENTO" dataDxfId="157"/>
    <tableColumn id="8" xr3:uid="{8200D16A-C61E-4C9A-BF1A-D2B1C9BA6158}" name="TIPO CRUZAMENTO" dataDxfId="15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91AA21BB-937F-4224-B711-D3FA2E1F918E}" name="Table69" displayName="Table69" ref="B2:H35" totalsRowShown="0" headerRowDxfId="155" dataDxfId="154" tableBorderDxfId="153">
  <autoFilter ref="B2:H35" xr:uid="{91AA21BB-937F-4224-B711-D3FA2E1F918E}"/>
  <sortState xmlns:xlrd2="http://schemas.microsoft.com/office/spreadsheetml/2017/richdata2" ref="B3:H29">
    <sortCondition ref="C2:C29"/>
  </sortState>
  <tableColumns count="7">
    <tableColumn id="1" xr3:uid="{79B341D1-695B-43AB-80D5-B77D68F92DF9}" name="NOME BD" dataDxfId="151" totalsRowDxfId="152"/>
    <tableColumn id="2" xr3:uid="{81772F1B-B49B-439B-956A-A5CE05A0EF19}" name="NOME FÍSICO TABELA" dataDxfId="149" totalsRowDxfId="150"/>
    <tableColumn id="5" xr3:uid="{27DA3368-F147-491F-A43A-269549972768}" name="NOME FÍSICO BD FONTE" dataDxfId="147" totalsRowDxfId="148"/>
    <tableColumn id="6" xr3:uid="{590F60E5-B793-4539-9DBC-D928E9E502E0}" name="NOME FÍSICO TABELA FONTE" dataDxfId="145" totalsRowDxfId="146"/>
    <tableColumn id="3" xr3:uid="{05BA70C4-D1D9-4F88-9D1E-A913AC1AF430}" name="REGRA DE ATAQUE" dataDxfId="143" totalsRowDxfId="144"/>
    <tableColumn id="4" xr3:uid="{4D3A6DC7-B137-4BF1-AC3C-691817FFCFC0}" name="DESCRIÇÃO ESTADOS CONSIDERADOS" dataDxfId="141" totalsRowDxfId="142"/>
    <tableColumn id="7" xr3:uid="{5A58B8CD-6C2B-430D-98F7-44377F43B2A9}" name="DESCRIÇÃO ESTADOS DESCONSIDERADOS" dataDxfId="139" totalsRowDxfId="140"/>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C1F6D9A-6629-4CE9-AD10-429C86B3500F}" name="Table24" displayName="Table24" ref="B2:E23" totalsRowShown="0" headerRowDxfId="137" dataDxfId="136" headerRowBorderDxfId="134" tableBorderDxfId="135" totalsRowBorderDxfId="133">
  <autoFilter ref="B2:E23" xr:uid="{BC1F6D9A-6629-4CE9-AD10-429C86B3500F}"/>
  <tableColumns count="4">
    <tableColumn id="1" xr3:uid="{1E1A615F-20A9-443A-9B4B-20274B73797B}" name="ID" dataDxfId="132">
      <calculatedColumnFormula>ROW() - ROW([1]!Table2[[#Headers],[ID]])</calculatedColumnFormula>
    </tableColumn>
    <tableColumn id="2" xr3:uid="{00E831C5-F022-43BC-BF4E-3E76EEB3C9DC}" name="Case Test" dataDxfId="131"/>
    <tableColumn id="3" xr3:uid="{106B061F-B027-4EB0-ADE1-4E8D7E1A51CD}" name="Description" dataDxfId="130"/>
    <tableColumn id="4" xr3:uid="{110D634A-5BC1-4090-BE9C-C05A098D2B40}" name="Observation" dataDxfId="129"/>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C61DE9B-47A2-4758-AACC-E5ADA6210286}" name="Table167" displayName="Table167" ref="B2:X21" totalsRowShown="0" headerRowDxfId="128" dataDxfId="127">
  <autoFilter ref="B2:X21" xr:uid="{693458F0-B11B-4E86-8F73-BD478A9300A8}"/>
  <tableColumns count="23">
    <tableColumn id="1" xr3:uid="{E3057925-37E7-4D14-8C32-F3AF66026AAF}" name="case_test" dataDxfId="126"/>
    <tableColumn id="2" xr3:uid="{0EF3BCD5-4BB7-4EA0-A031-D7C3FE5D7036}" name="test_id" dataDxfId="125"/>
    <tableColumn id="3" xr3:uid="{7A977EF5-97D6-4A59-A2A9-8F1D60FFE492}" name="test_timestamp" dataDxfId="124"/>
    <tableColumn id="4" xr3:uid="{BA1FE8AD-D9C1-44D7-8A97-8B52C7339AD7}" name="query_driver_data_date_part" dataDxfId="123"/>
    <tableColumn id="5" xr3:uid="{DE9E30ED-ABB0-4C56-9D43-092C6642CDAF}" name="test_number" dataDxfId="122"/>
    <tableColumn id="6" xr3:uid="{0C4CACC0-9D07-4808-B067-85DBB3A5F331}" name="score" dataDxfId="121"/>
    <tableColumn id="7" xr3:uid="{9A9C3945-9569-4AC5-A481-1604743F6623}" name="general_result" dataDxfId="120"/>
    <tableColumn id="8" xr3:uid="{8D20F1AE-C01F-4FA8-A8EA-0BDFDDADC63D}" name="internal_reference_id" dataDxfId="119"/>
    <tableColumn id="9" xr3:uid="{371412C8-EC1A-4E85-A76E-B2851A4FBA67}" name="transfer_create_date" dataDxfId="118"/>
    <tableColumn id="10" xr3:uid="{198CFFAB-1CD2-4CD2-B00C-FC82C3593618}" name="transfer_direction_code" dataDxfId="117"/>
    <tableColumn id="11" xr3:uid="{6A22F231-0B53-48DB-8563-AAB7E7305153}" name="sender_iban" dataDxfId="116"/>
    <tableColumn id="12" xr3:uid="{8CB38E5E-670B-4030-9D83-7CEE8CA7E08B}" name="sender_swift" dataDxfId="115"/>
    <tableColumn id="13" xr3:uid="{F859AA63-5416-45DA-9CA2-32221F5B3468}" name="sender_name" dataDxfId="114"/>
    <tableColumn id="14" xr3:uid="{14810339-ED76-4630-94FB-C34584EC3753}" name="receiver_iban" dataDxfId="113"/>
    <tableColumn id="15" xr3:uid="{802D0592-42D5-4FCC-818E-37C2CFEABE2A}" name="receiver_swift" dataDxfId="112"/>
    <tableColumn id="16" xr3:uid="{2DFD6BEC-F943-4821-8FE9-1ABA52257C73}" name="receiver_name" dataDxfId="111"/>
    <tableColumn id="17" xr3:uid="{D55562F5-CA7E-4A24-9895-D254F43BA621}" name="currency_code" dataDxfId="110"/>
    <tableColumn id="18" xr3:uid="{2113BE7B-37D2-46B4-AEDE-2DCE0CEF225B}" name="amount" dataDxfId="109"/>
    <tableColumn id="19" xr3:uid="{47A1EF94-A640-40BE-8C56-75C6BAE3F5F3}" name="transaction_date" dataDxfId="108"/>
    <tableColumn id="20" xr3:uid="{E057C4F9-64FD-4AB8-A4C5-06AB941E7BCE}" name="transaction_execution_date" dataDxfId="107"/>
    <tableColumn id="21" xr3:uid="{EEA79B63-48C3-4732-BB8F-FF136A0FDE46}" name="source_code" dataDxfId="106"/>
    <tableColumn id="22" xr3:uid="{2308495D-691F-406D-88C3-DAF758222CD3}" name="data_date_part" dataDxfId="105"/>
    <tableColumn id="23" xr3:uid="{22F18E8D-1F03-4C59-9A64-E79B93C618BF}" name="data_timestamp_part" dataDxfId="104"/>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2955361-B8B3-4AD0-BF53-1B102D424F82}" name="Table15198" displayName="Table15198" ref="B28:F34" totalsRowShown="0" headerRowDxfId="103" headerRowBorderDxfId="101" tableBorderDxfId="102">
  <autoFilter ref="B28:F34" xr:uid="{9FFDD126-925E-436E-A538-23CE63325D40}"/>
  <sortState xmlns:xlrd2="http://schemas.microsoft.com/office/spreadsheetml/2017/richdata2" ref="B29:F34">
    <sortCondition ref="B28:B34"/>
  </sortState>
  <tableColumns count="5">
    <tableColumn id="1" xr3:uid="{B7F376AA-9D9D-4BE5-AF08-DB40EA14C225}" name="Test ID" dataDxfId="100"/>
    <tableColumn id="2" xr3:uid="{2CEFAD98-C894-4A65-A9CF-8651451D59D3}" name="Field" dataDxfId="99"/>
    <tableColumn id="3" xr3:uid="{B78B18AC-A129-46A4-88FB-AE37703AA542}" name="Justification" dataDxfId="98"/>
    <tableColumn id="4" xr3:uid="{B6496A45-0653-41BE-BF21-CCA34235F393}" name="Number of Occurences" dataDxfId="97"/>
    <tableColumn id="5" xr3:uid="{9D3F1C14-D218-4079-B994-CAB7CFE1A8C1}" name="Justification State" dataDxfId="96"/>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934A1BC-6456-466B-998E-DBC421D942AA}" name="Table1679" displayName="Table1679" ref="B2:S21" totalsRowShown="0" headerRowDxfId="95" dataDxfId="94">
  <autoFilter ref="B2:S21" xr:uid="{693458F0-B11B-4E86-8F73-BD478A9300A8}"/>
  <tableColumns count="18">
    <tableColumn id="1" xr3:uid="{C170A8E5-1EF7-45B9-AE8E-AF649A5BED39}" name="case_test" dataDxfId="93"/>
    <tableColumn id="2" xr3:uid="{9342BEC7-170F-4192-99AA-350C849C9492}" name="test_id" dataDxfId="92"/>
    <tableColumn id="3" xr3:uid="{84DE91A2-A8D1-43DD-B16E-73F29BE430DA}" name="test_timestamp" dataDxfId="91"/>
    <tableColumn id="4" xr3:uid="{3F9DCA53-B851-4B37-9227-134738B93FBF}" name="query_driver_data_date_part" dataDxfId="90"/>
    <tableColumn id="5" xr3:uid="{7F04A934-998E-4159-8220-1101FDCFBD4B}" name="test_number" dataDxfId="89"/>
    <tableColumn id="6" xr3:uid="{2CC364EB-4A4A-46AC-865B-2E48C322880C}" name="score" dataDxfId="88"/>
    <tableColumn id="7" xr3:uid="{98D723FF-32B7-4C57-9EB7-A986E8FF2DCB}" name="general_result" dataDxfId="87"/>
    <tableColumn id="8" xr3:uid="{B6251DF0-C4DD-4F13-98D8-47F113C5C0F7}" name="internal_reference_id" dataDxfId="86"/>
    <tableColumn id="9" xr3:uid="{B3BB5C0B-7034-48F9-917B-147457A47402}" name="transaction_execution_date" dataDxfId="85"/>
    <tableColumn id="10" xr3:uid="{96DBAE42-9C84-44AE-A44C-CAC7FEDB0550}" name="transfer_direction_code" dataDxfId="84"/>
    <tableColumn id="11" xr3:uid="{F8AC7BB0-458C-4BD4-9B6F-43D0066A2B73}" name="sender_nib " dataDxfId="83"/>
    <tableColumn id="12" xr3:uid="{00DFE9AE-0920-4DD6-BF70-6EA7446C686B}" name="receiver_nib " dataDxfId="82"/>
    <tableColumn id="13" xr3:uid="{D42AEAE2-3252-42C4-B1D2-31962BE1B4F8}" name="currency_code" dataDxfId="81"/>
    <tableColumn id="14" xr3:uid="{454D8EC7-2BFC-4E8B-B25B-D63F4F2D40CE}" name="amount" dataDxfId="80"/>
    <tableColumn id="15" xr3:uid="{7C100AD3-D81D-486B-9F41-072826D72A66}" name="transaction_date" dataDxfId="79"/>
    <tableColumn id="16" xr3:uid="{2422F270-5A7A-448C-ABE8-1FBAB858A256}" name="source_code" dataDxfId="78"/>
    <tableColumn id="17" xr3:uid="{6D4F5183-8458-4F6B-856A-93C12BB67ED5}" name="data_date_part" dataDxfId="77"/>
    <tableColumn id="18" xr3:uid="{F778A36B-1561-4D89-8F33-A433CF675E3A}" name="data_timestamp_part" dataDxfId="76"/>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A35648C-CD49-41D7-BCA6-EA6827269048}" name="Table1519810" displayName="Table1519810" ref="B28:F29" insertRow="1" totalsRowShown="0" headerRowDxfId="75" headerRowBorderDxfId="73" tableBorderDxfId="74">
  <autoFilter ref="B28:F29" xr:uid="{9FFDD126-925E-436E-A538-23CE63325D40}"/>
  <sortState xmlns:xlrd2="http://schemas.microsoft.com/office/spreadsheetml/2017/richdata2" ref="B29:F29">
    <sortCondition ref="B28:B29"/>
  </sortState>
  <tableColumns count="5">
    <tableColumn id="1" xr3:uid="{FD7A3BA8-99E1-4226-BBC1-F2CF1B7D1079}" name="Test ID" dataDxfId="72"/>
    <tableColumn id="2" xr3:uid="{77B28156-34E1-44C9-88DC-1D6ED7EA1556}" name="Field" dataDxfId="71"/>
    <tableColumn id="3" xr3:uid="{E2F09A1A-24F3-4F16-9ACC-3D1CB1BD169E}" name="Justification" dataDxfId="70"/>
    <tableColumn id="4" xr3:uid="{2514F2C8-EE75-4A46-96F4-4C32C937D4A7}" name="Number of Occurences" dataDxfId="69"/>
    <tableColumn id="5" xr3:uid="{BA614DCF-7B4A-40CA-BE62-B838053D8538}" name="Justification State" dataDxfId="68"/>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DF25F5E-5D44-4CB5-BEAD-BE3415460A2F}" name="Table16795" displayName="Table16795" ref="B2:Z21" totalsRowShown="0" headerRowDxfId="67" dataDxfId="66">
  <autoFilter ref="B2:Z21" xr:uid="{693458F0-B11B-4E86-8F73-BD478A9300A8}"/>
  <tableColumns count="25">
    <tableColumn id="1" xr3:uid="{237DA05A-6B9E-41DB-9F60-C5BBC829387A}" name="case_test" dataDxfId="65"/>
    <tableColumn id="2" xr3:uid="{BE0ADB53-FFB7-4008-8BF7-62B681C3C730}" name="test_id" dataDxfId="64"/>
    <tableColumn id="3" xr3:uid="{5FFAC20F-FF38-4415-9B79-45EF36B66F95}" name="test_timestamp" dataDxfId="63"/>
    <tableColumn id="4" xr3:uid="{9E75CB67-3323-4074-95E5-1046B9E990BA}" name="query_driver_data_date_part" dataDxfId="62"/>
    <tableColumn id="5" xr3:uid="{C54AFD5E-615A-41C6-8E36-6692E51D9EDB}" name="test_number" dataDxfId="61"/>
    <tableColumn id="6" xr3:uid="{3A4B0252-E703-4E23-9918-911072F65F54}" name="score" dataDxfId="60"/>
    <tableColumn id="7" xr3:uid="{7278D7E6-F102-4D0F-826B-A7BA3FF4F8A0}" name="general_result" dataDxfId="59"/>
    <tableColumn id="8" xr3:uid="{8E9550B2-8CBD-4C64-9446-E1B810AAEF30}" name="service_type_code" dataDxfId="58"/>
    <tableColumn id="9" xr3:uid="{0C06DC98-983E-4C5C-8E5A-975E942C63BE}" name="batch_id" dataDxfId="57"/>
    <tableColumn id="10" xr3:uid="{DE9FCD70-A056-4193-84DB-DFF400162B14}" name="reference_id" dataDxfId="56"/>
    <tableColumn id="11" xr3:uid="{CC69D8E9-F9FB-4415-9A24-7223DCC49822}" name="authorization_number" dataDxfId="55"/>
    <tableColumn id="12" xr3:uid="{00F0BABA-D093-44BF-86FC-68CB20FEEB0D}" name="transfer_direction_code" dataDxfId="54"/>
    <tableColumn id="13" xr3:uid="{0C57CDD0-DEDA-4853-8D1A-215E68AD3416}" name="sender_iban" dataDxfId="53"/>
    <tableColumn id="14" xr3:uid="{8C5BA250-B74C-4643-8C5F-5E779B940124}" name="sender_swift" dataDxfId="52"/>
    <tableColumn id="15" xr3:uid="{4078018A-0B5B-4398-BC7A-20F0E17DA091}" name="sender_name" dataDxfId="51"/>
    <tableColumn id="16" xr3:uid="{2330B3DD-4057-4CA4-88B2-22DDC569F4EF}" name="receiver_iban" dataDxfId="50"/>
    <tableColumn id="17" xr3:uid="{5CBB685E-4029-44D7-9C27-9B8C01B19CE0}" name="receiver_swift" dataDxfId="49"/>
    <tableColumn id="18" xr3:uid="{F52EEE24-6301-4C23-B350-4C3759B5C88A}" name="receiver_name" dataDxfId="48"/>
    <tableColumn id="19" xr3:uid="{28500196-30E4-4972-938B-A97F0EDE9B66}" name="currency_code" dataDxfId="47"/>
    <tableColumn id="20" xr3:uid="{5E6FB1A0-7FAD-4CEB-94F0-AE03688BD69E}" name="amount" dataDxfId="46"/>
    <tableColumn id="21" xr3:uid="{49D234CE-FF05-4C87-B9A8-78AF390E042E}" name="transaction_date" dataDxfId="45"/>
    <tableColumn id="22" xr3:uid="{542C84AE-3383-4BE5-8A8F-4AF97C6AD53B}" name="transaction_execution_date" dataDxfId="44"/>
    <tableColumn id="23" xr3:uid="{687E0946-8681-4CA7-9059-6E1306317F42}" name="source_code" dataDxfId="43"/>
    <tableColumn id="24" xr3:uid="{3134FD23-AAEE-4C28-A445-8135872F3523}" name="data_date_part" dataDxfId="42"/>
    <tableColumn id="25" xr3:uid="{AD9CF609-EDF5-411D-AA97-0436EAE87382}" name="data_timestamp_part" dataDxfId="41"/>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48DB648-7F26-42FC-AABA-2895D7C062EE}" name="Table15198106" displayName="Table15198106" ref="B28:F29" totalsRowShown="0" headerRowDxfId="40" headerRowBorderDxfId="38" tableBorderDxfId="39">
  <autoFilter ref="B28:F29" xr:uid="{9FFDD126-925E-436E-A538-23CE63325D40}"/>
  <sortState xmlns:xlrd2="http://schemas.microsoft.com/office/spreadsheetml/2017/richdata2" ref="B29:F29">
    <sortCondition ref="B28:B29"/>
  </sortState>
  <tableColumns count="5">
    <tableColumn id="1" xr3:uid="{E9ABB6A7-A114-45F9-9A61-BD97F0D9D690}" name="Test ID" dataDxfId="37"/>
    <tableColumn id="2" xr3:uid="{7CFDD92A-52EF-4A92-96E2-D438B5300C1C}" name="Field" dataDxfId="36"/>
    <tableColumn id="3" xr3:uid="{AE212736-C0F3-41AE-940A-3ED31B646475}" name="Justification" dataDxfId="35"/>
    <tableColumn id="4" xr3:uid="{43224FCE-177A-4D2F-810A-B68BD860DAE7}" name="Number of Occurences" dataDxfId="34"/>
    <tableColumn id="5" xr3:uid="{9E8D894F-2BE6-4F8D-A0EB-CB1998AFCCE7}" name="Justification State" dataDxfId="33"/>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6588C94-CBB0-4114-B5A8-C1D8B1FDAA27}" name="Table1679511" displayName="Table1679511" ref="B2:X21" totalsRowShown="0" headerRowDxfId="32" dataDxfId="31">
  <autoFilter ref="B2:X21" xr:uid="{693458F0-B11B-4E86-8F73-BD478A9300A8}"/>
  <tableColumns count="23">
    <tableColumn id="1" xr3:uid="{5435EBC7-E6A5-49FC-A80D-2EF1CE589E2B}" name="case_test" dataDxfId="30"/>
    <tableColumn id="2" xr3:uid="{4E9C3C74-0FB6-4F19-86F4-FD30FA2B6445}" name="test_id" dataDxfId="29"/>
    <tableColumn id="3" xr3:uid="{41A483DF-72DC-4D9F-8BB3-B86C6E3D5FE2}" name="test_timestamp" dataDxfId="28"/>
    <tableColumn id="4" xr3:uid="{1E374959-2FC1-4F8E-ABB0-78081FB70DDF}" name="query_driver_data_date_part" dataDxfId="27"/>
    <tableColumn id="5" xr3:uid="{CD386E4F-D567-40E1-9766-075C17AB804D}" name="test_number" dataDxfId="26"/>
    <tableColumn id="6" xr3:uid="{DCC9C957-9859-4CCF-B5D2-D7E3D656FF01}" name="score" dataDxfId="25"/>
    <tableColumn id="7" xr3:uid="{0AA1A2F5-33C5-4D6E-AF61-2E3856DAAF6D}" name="general_result" dataDxfId="24"/>
    <tableColumn id="8" xr3:uid="{B0EB25A4-5721-49A4-84FC-324CA92CE6E7}" name="message_id" dataDxfId="23"/>
    <tableColumn id="9" xr3:uid="{0A8B77E0-B25F-425B-AEA0-5CE728F3A4AB}" name="full_message" dataDxfId="22"/>
    <tableColumn id="10" xr3:uid="{B1D0218F-C482-4F1F-A956-E6256D4F8E06}" name="message_date" dataDxfId="21"/>
    <tableColumn id="11" xr3:uid="{96E3F3CA-BC2B-4FF3-AD6D-EA718FDF6D07}" name="transaction_id" dataDxfId="20"/>
    <tableColumn id="12" xr3:uid="{8425BCA6-8BCC-42B2-B80A-CD39D3AEE9DB}" name="sender_reference" dataDxfId="19"/>
    <tableColumn id="13" xr3:uid="{7302BB38-78D1-46CA-B873-B5EE0FA61168}" name="receiver_reference" dataDxfId="18"/>
    <tableColumn id="14" xr3:uid="{AFF84EEE-C3D6-4A2B-BFE0-E3E43EE748FA}" name="intermediate_sender_bank" dataDxfId="17"/>
    <tableColumn id="15" xr3:uid="{77E73A01-CD8A-414F-9AB9-E32BE706F88C}" name="intermediate_receiver_bank" dataDxfId="16"/>
    <tableColumn id="16" xr3:uid="{FF51DADA-0A9B-4FA0-A70F-7EEB4F27A1B6}" name="global_reference" dataDxfId="15"/>
    <tableColumn id="17" xr3:uid="{662F91D1-92E3-423D-A820-553814C90113}" name="beneficiary_bank" dataDxfId="14"/>
    <tableColumn id="18" xr3:uid="{98F8D5EB-54C4-4174-A961-CB21F9219D26}" name="originator_bank" dataDxfId="13"/>
    <tableColumn id="19" xr3:uid="{DCD156F2-A3A0-4820-B078-49C1BD8844E3}" name="schema" dataDxfId="12"/>
    <tableColumn id="20" xr3:uid="{3A607FD6-5967-47F8-B761-9C8622340F28}" name="format" dataDxfId="11"/>
    <tableColumn id="21" xr3:uid="{5872DD06-0A4A-43E0-945B-94A9B1A054E0}" name="format_type" dataDxfId="10"/>
    <tableColumn id="22" xr3:uid="{605C84E2-F284-4318-A814-674461EE47E9}" name="data_date_part" dataDxfId="9"/>
    <tableColumn id="23" xr3:uid="{8E3C2D39-4B9E-4C37-8455-153C8D975A2B}" name="data_timestamp_part" dataDxfId="8"/>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753F793-BFB2-48D9-BA69-4A926A4FB206}" name="Table1519810612" displayName="Table1519810612" ref="B28:F29" insertRow="1" totalsRowShown="0" headerRowDxfId="7" headerRowBorderDxfId="5" tableBorderDxfId="6">
  <autoFilter ref="B28:F29" xr:uid="{9FFDD126-925E-436E-A538-23CE63325D40}"/>
  <sortState xmlns:xlrd2="http://schemas.microsoft.com/office/spreadsheetml/2017/richdata2" ref="B29:F29">
    <sortCondition ref="B28:B29"/>
  </sortState>
  <tableColumns count="5">
    <tableColumn id="1" xr3:uid="{DAFDD2F2-1962-4E32-BF74-D62DABAED6B2}" name="Test ID" dataDxfId="4"/>
    <tableColumn id="2" xr3:uid="{99F0DEAA-3422-42B6-A417-E336AFC5E70F}" name="Field" dataDxfId="3"/>
    <tableColumn id="3" xr3:uid="{267C13BC-9042-4EDC-8DAC-DCACF0E47F97}" name="Justification" dataDxfId="2"/>
    <tableColumn id="4" xr3:uid="{1A89019B-6950-4E62-9F87-4496B134A68D}" name="Number of Occurences" dataDxfId="1"/>
    <tableColumn id="5" xr3:uid="{31C8BCC9-E224-4006-B1A7-44FFD6867685}" name="Justification State"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85" dT="2024-03-19T09:03:34.14" personId="{704938EE-5C53-4BD1-992C-7F8EA0F637C5}" id="{A0C332B1-8720-4334-A76C-1AD82429A842}">
    <text xml:space="preserve">Não existe na aplicação.
</text>
  </threadedComment>
</ThreadedComments>
</file>

<file path=xl/threadedComments/threadedComment2.xml><?xml version="1.0" encoding="utf-8"?>
<ThreadedComments xmlns="http://schemas.microsoft.com/office/spreadsheetml/2018/threadedcomments" xmlns:x="http://schemas.openxmlformats.org/spreadsheetml/2006/main">
  <threadedComment ref="C83" dT="2024-03-19T09:03:34.14" personId="{704938EE-5C53-4BD1-992C-7F8EA0F637C5}" id="{5D4EC1EF-F5CD-42E8-9B53-73CB883E3F63}">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1.vml"/><Relationship Id="rId1" Type="http://schemas.openxmlformats.org/officeDocument/2006/relationships/drawing" Target="../drawings/drawing4.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2.vml"/><Relationship Id="rId1" Type="http://schemas.openxmlformats.org/officeDocument/2006/relationships/drawing" Target="../drawings/drawing5.x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4" sqref="B4"/>
    </sheetView>
  </sheetViews>
  <sheetFormatPr defaultColWidth="9.42578125" defaultRowHeight="12.6" zeroHeight="1"/>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29.45">
      <c r="A3" s="5"/>
      <c r="B3" s="56" t="s">
        <v>0</v>
      </c>
      <c r="C3" s="5"/>
      <c r="D3" s="5"/>
      <c r="E3" s="5"/>
      <c r="F3" s="5"/>
      <c r="G3" s="5"/>
      <c r="H3" s="5"/>
      <c r="I3" s="5"/>
      <c r="J3" s="5"/>
      <c r="K3" s="5"/>
      <c r="L3" s="5"/>
      <c r="M3" s="5"/>
      <c r="N3" s="5"/>
      <c r="O3" s="5"/>
      <c r="P3" s="5"/>
    </row>
    <row r="4" spans="1:16" ht="17.45">
      <c r="A4" s="5"/>
      <c r="B4" s="6"/>
      <c r="C4" s="5"/>
      <c r="D4" s="5"/>
      <c r="E4" s="5"/>
      <c r="F4" s="5"/>
      <c r="G4" s="5"/>
      <c r="H4" s="5"/>
      <c r="I4" s="5"/>
      <c r="J4" s="5"/>
      <c r="K4" s="5"/>
      <c r="L4" s="5"/>
      <c r="M4" s="5"/>
      <c r="N4" s="5"/>
      <c r="O4" s="5"/>
      <c r="P4" s="5"/>
    </row>
    <row r="5" spans="1:16" ht="12.95" thickBot="1">
      <c r="A5" s="5"/>
      <c r="B5" s="7"/>
      <c r="C5" s="7"/>
      <c r="D5" s="7"/>
      <c r="E5" s="7"/>
      <c r="F5" s="7"/>
      <c r="G5" s="7"/>
      <c r="H5" s="7"/>
      <c r="I5" s="7"/>
      <c r="J5" s="5"/>
      <c r="K5" s="5"/>
      <c r="L5" s="5"/>
      <c r="M5" s="5"/>
      <c r="N5" s="5"/>
      <c r="O5" s="5"/>
      <c r="P5" s="5"/>
    </row>
    <row r="6" spans="1:16" ht="13.5">
      <c r="A6" s="5"/>
      <c r="B6" s="5"/>
      <c r="C6" s="5"/>
      <c r="D6" s="5"/>
      <c r="E6" s="5"/>
      <c r="F6" s="8"/>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9"/>
      <c r="B16" s="9"/>
      <c r="C16" s="9"/>
      <c r="D16" s="9"/>
      <c r="E16" s="9"/>
      <c r="F16" s="9"/>
      <c r="G16" s="9"/>
      <c r="H16" s="9"/>
      <c r="I16" s="9"/>
      <c r="J16" s="9"/>
      <c r="K16" s="9"/>
      <c r="L16" s="9"/>
      <c r="M16" s="9"/>
      <c r="N16" s="9"/>
      <c r="O16" s="10"/>
      <c r="P16" s="9"/>
    </row>
    <row r="17" spans="1:16" s="3" customFormat="1" ht="24.95">
      <c r="A17" s="11"/>
      <c r="B17" s="11"/>
      <c r="C17" s="11"/>
      <c r="D17" s="11"/>
      <c r="E17" s="11"/>
      <c r="F17" s="11"/>
      <c r="G17" s="11"/>
      <c r="H17" s="11"/>
      <c r="I17" s="11"/>
      <c r="J17" s="11"/>
      <c r="K17" s="11"/>
      <c r="L17" s="11"/>
      <c r="M17" s="11"/>
      <c r="N17" s="11"/>
      <c r="O17" s="12"/>
      <c r="P17" s="11"/>
    </row>
    <row r="18" spans="1:16" ht="12.95">
      <c r="A18" s="5"/>
      <c r="B18" s="5"/>
      <c r="C18" s="5"/>
      <c r="D18" s="5"/>
      <c r="E18" s="5"/>
      <c r="F18" s="5"/>
      <c r="G18" s="5"/>
      <c r="H18" s="5"/>
      <c r="I18" s="5"/>
      <c r="J18" s="5"/>
      <c r="K18" s="5"/>
      <c r="L18" s="5"/>
      <c r="M18" s="5"/>
      <c r="N18" s="5"/>
      <c r="O18" s="13"/>
      <c r="P18" s="5"/>
    </row>
    <row r="19" spans="1:16" ht="12.95">
      <c r="A19" s="5"/>
      <c r="B19" s="5"/>
      <c r="C19" s="5"/>
      <c r="D19" s="5"/>
      <c r="E19" s="5"/>
      <c r="F19" s="5"/>
      <c r="G19" s="5"/>
      <c r="H19" s="5"/>
      <c r="I19" s="5"/>
      <c r="J19" s="5"/>
      <c r="K19" s="5"/>
      <c r="L19" s="5"/>
      <c r="M19" s="5"/>
      <c r="N19" s="5"/>
      <c r="O19" s="13"/>
      <c r="P19" s="5"/>
    </row>
    <row r="20" spans="1:16" ht="15.6">
      <c r="A20" s="5"/>
      <c r="B20" s="5"/>
      <c r="C20" s="5"/>
      <c r="D20" s="5"/>
      <c r="E20" s="5"/>
      <c r="F20" s="5"/>
      <c r="G20" s="5"/>
      <c r="H20" s="5"/>
      <c r="I20" s="5"/>
      <c r="J20" s="5"/>
      <c r="K20" s="5"/>
      <c r="L20" s="5"/>
      <c r="M20" s="5"/>
      <c r="N20" s="5"/>
      <c r="O20" s="14"/>
      <c r="P20" s="5"/>
    </row>
    <row r="21" spans="1:16" ht="12.95">
      <c r="A21" s="5"/>
      <c r="B21" s="5"/>
      <c r="C21" s="5"/>
      <c r="D21" s="5"/>
      <c r="E21" s="5"/>
      <c r="F21" s="5"/>
      <c r="G21" s="5"/>
      <c r="H21" s="5"/>
      <c r="I21" s="5"/>
      <c r="J21" s="5"/>
      <c r="K21" s="5"/>
      <c r="L21" s="5"/>
      <c r="M21" s="5"/>
      <c r="N21" s="5"/>
      <c r="O21" s="15"/>
      <c r="P21" s="5"/>
    </row>
    <row r="22" spans="1:16" ht="12.95">
      <c r="A22" s="5"/>
      <c r="B22" s="5"/>
      <c r="C22" s="5"/>
      <c r="D22" s="5"/>
      <c r="E22" s="5"/>
      <c r="F22" s="5"/>
      <c r="G22" s="5"/>
      <c r="H22" s="5"/>
      <c r="I22" s="5"/>
      <c r="J22" s="5"/>
      <c r="K22" s="5"/>
      <c r="L22" s="5"/>
      <c r="M22" s="5"/>
      <c r="N22" s="5"/>
      <c r="O22" s="15"/>
      <c r="P22" s="5"/>
    </row>
    <row r="23" spans="1:16" ht="15.6">
      <c r="A23" s="5"/>
      <c r="B23" s="5"/>
      <c r="C23" s="5"/>
      <c r="D23" s="5"/>
      <c r="E23" s="5"/>
      <c r="F23" s="5"/>
      <c r="G23" s="5"/>
      <c r="H23" s="5"/>
      <c r="I23" s="5"/>
      <c r="J23" s="5"/>
      <c r="K23" s="5"/>
      <c r="L23" s="5"/>
      <c r="M23" s="5"/>
      <c r="N23" s="5"/>
      <c r="O23" s="16"/>
      <c r="P23" s="5"/>
    </row>
    <row r="24" spans="1:16" ht="12.95">
      <c r="A24" s="5"/>
      <c r="B24" s="5"/>
      <c r="C24" s="5"/>
      <c r="D24" s="5"/>
      <c r="E24" s="5"/>
      <c r="F24" s="5"/>
      <c r="G24" s="5"/>
      <c r="H24" s="5"/>
      <c r="I24" s="5"/>
      <c r="J24" s="5"/>
      <c r="K24" s="5"/>
      <c r="L24" s="5"/>
      <c r="M24" s="5"/>
      <c r="N24" s="5"/>
      <c r="O24" s="13"/>
      <c r="P24" s="5"/>
    </row>
    <row r="25" spans="1:16" ht="12.95">
      <c r="A25" s="5"/>
      <c r="B25" s="5"/>
      <c r="C25" s="5"/>
      <c r="D25" s="5"/>
      <c r="E25" s="5"/>
      <c r="F25" s="5"/>
      <c r="G25" s="5"/>
      <c r="H25" s="5"/>
      <c r="I25" s="5"/>
      <c r="J25" s="5"/>
      <c r="K25" s="5"/>
      <c r="L25" s="5"/>
      <c r="M25" s="5"/>
      <c r="N25" s="5"/>
      <c r="O25" s="13"/>
      <c r="P25" s="5"/>
    </row>
    <row r="26" spans="1:16" ht="12.95">
      <c r="A26" s="5"/>
      <c r="B26" s="5"/>
      <c r="C26" s="5"/>
      <c r="D26" s="5"/>
      <c r="E26" s="5"/>
      <c r="F26" s="5"/>
      <c r="G26" s="5"/>
      <c r="H26" s="5"/>
      <c r="I26" s="5"/>
      <c r="J26" s="5"/>
      <c r="K26" s="5"/>
      <c r="L26" s="5"/>
      <c r="M26" s="5"/>
      <c r="N26" s="5"/>
      <c r="O26" s="13"/>
      <c r="P26" s="5"/>
    </row>
    <row r="27" spans="1:16" ht="12.95">
      <c r="A27" s="5"/>
      <c r="B27" s="5"/>
      <c r="C27" s="5"/>
      <c r="D27" s="5"/>
      <c r="E27" s="5"/>
      <c r="F27" s="5"/>
      <c r="G27" s="5"/>
      <c r="H27" s="5"/>
      <c r="I27" s="5"/>
      <c r="J27" s="5"/>
      <c r="K27" s="5"/>
      <c r="L27" s="5"/>
      <c r="M27" s="5"/>
      <c r="N27" s="5"/>
      <c r="O27" s="13"/>
      <c r="P27" s="5"/>
    </row>
    <row r="28" spans="1:16" ht="12.95">
      <c r="A28" s="5"/>
      <c r="B28" s="5"/>
      <c r="C28" s="5"/>
      <c r="D28" s="5"/>
      <c r="E28" s="5"/>
      <c r="F28" s="5"/>
      <c r="G28" s="5"/>
      <c r="H28" s="5"/>
      <c r="I28" s="5"/>
      <c r="J28" s="5"/>
      <c r="K28" s="5"/>
      <c r="L28" s="5"/>
      <c r="M28" s="5"/>
      <c r="N28" s="5"/>
      <c r="O28" s="13"/>
      <c r="P28" s="5"/>
    </row>
    <row r="29" spans="1:16" ht="12.95">
      <c r="A29" s="5"/>
      <c r="B29" s="5"/>
      <c r="C29" s="5"/>
      <c r="D29" s="5"/>
      <c r="E29" s="5"/>
      <c r="F29" s="5"/>
      <c r="G29" s="5"/>
      <c r="H29" s="5"/>
      <c r="I29" s="5"/>
      <c r="J29" s="5"/>
      <c r="K29" s="5"/>
      <c r="L29" s="5"/>
      <c r="M29" s="5"/>
      <c r="N29" s="5"/>
      <c r="O29" s="13"/>
      <c r="P29" s="5"/>
    </row>
    <row r="30" spans="1:16" ht="12.95">
      <c r="A30" s="5"/>
      <c r="B30" s="5"/>
      <c r="C30" s="5"/>
      <c r="D30" s="5"/>
      <c r="E30" s="5"/>
      <c r="F30" s="5"/>
      <c r="G30" s="5"/>
      <c r="H30" s="5"/>
      <c r="I30" s="5"/>
      <c r="J30" s="5"/>
      <c r="K30" s="5"/>
      <c r="L30" s="5"/>
      <c r="M30" s="5"/>
      <c r="N30" s="5"/>
      <c r="O30" s="13"/>
      <c r="P30" s="5"/>
    </row>
    <row r="31" spans="1:16">
      <c r="A31" s="5"/>
      <c r="B31" s="5"/>
      <c r="C31" s="5"/>
      <c r="D31" s="5"/>
      <c r="E31" s="5"/>
      <c r="F31" s="5"/>
      <c r="G31" s="5"/>
      <c r="H31" s="5"/>
      <c r="I31" s="5"/>
      <c r="J31" s="5"/>
      <c r="K31" s="5"/>
      <c r="L31" s="5"/>
      <c r="M31" s="17"/>
      <c r="N31" s="18"/>
      <c r="O31" s="19"/>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5"/>
  <sheetViews>
    <sheetView workbookViewId="0">
      <selection activeCell="D11" sqref="D11"/>
    </sheetView>
  </sheetViews>
  <sheetFormatPr defaultColWidth="0" defaultRowHeight="14.45"/>
  <cols>
    <col min="1" max="1" width="8.85546875" style="4" customWidth="1"/>
    <col min="2" max="2" width="36.7109375" bestFit="1" customWidth="1"/>
    <col min="3" max="3" width="40.7109375" bestFit="1" customWidth="1"/>
    <col min="4" max="4" width="91.7109375" customWidth="1"/>
    <col min="5" max="5" width="8.85546875" style="4" customWidth="1"/>
    <col min="6" max="16384" width="8.85546875" hidden="1"/>
  </cols>
  <sheetData>
    <row r="1" spans="1:5">
      <c r="A1" s="20"/>
      <c r="B1" s="20"/>
      <c r="C1" s="20"/>
      <c r="D1" s="20"/>
      <c r="E1" s="20"/>
    </row>
    <row r="2" spans="1:5">
      <c r="A2" s="20"/>
      <c r="B2" s="20"/>
      <c r="C2" s="20"/>
      <c r="D2" s="20"/>
      <c r="E2" s="20"/>
    </row>
    <row r="3" spans="1:5" ht="15" thickBot="1">
      <c r="A3" s="22"/>
      <c r="B3" s="22"/>
      <c r="C3" s="22"/>
      <c r="D3" s="22"/>
      <c r="E3" s="22"/>
    </row>
    <row r="4" spans="1:5">
      <c r="A4" s="21"/>
      <c r="B4" s="21"/>
      <c r="C4" s="21"/>
      <c r="D4" s="21"/>
      <c r="E4" s="21"/>
    </row>
    <row r="5" spans="1:5" ht="15">
      <c r="A5" s="21"/>
      <c r="B5" s="209" t="s">
        <v>1</v>
      </c>
      <c r="C5" s="209" t="s">
        <v>2</v>
      </c>
      <c r="D5" s="70" t="s">
        <v>3</v>
      </c>
      <c r="E5" s="21"/>
    </row>
    <row r="6" spans="1:5" ht="15">
      <c r="A6" s="21"/>
      <c r="B6" s="208" t="s">
        <v>4</v>
      </c>
      <c r="C6" s="208" t="s">
        <v>5</v>
      </c>
      <c r="D6" s="69" t="s">
        <v>6</v>
      </c>
      <c r="E6" s="21"/>
    </row>
    <row r="7" spans="1:5" ht="15">
      <c r="A7" s="21"/>
      <c r="B7" s="208" t="s">
        <v>7</v>
      </c>
      <c r="C7" s="208" t="s">
        <v>8</v>
      </c>
      <c r="D7" s="69" t="s">
        <v>9</v>
      </c>
      <c r="E7" s="21"/>
    </row>
    <row r="8" spans="1:5" ht="15">
      <c r="B8" s="208" t="s">
        <v>10</v>
      </c>
      <c r="C8" s="208" t="s">
        <v>11</v>
      </c>
      <c r="D8" s="69" t="s">
        <v>12</v>
      </c>
    </row>
    <row r="9" spans="1:5" ht="15">
      <c r="B9" s="208" t="s">
        <v>13</v>
      </c>
      <c r="C9" s="208" t="s">
        <v>14</v>
      </c>
      <c r="D9" s="69" t="s">
        <v>15</v>
      </c>
    </row>
    <row r="10" spans="1:5" ht="15">
      <c r="B10" s="208" t="s">
        <v>13</v>
      </c>
      <c r="C10" s="208" t="s">
        <v>16</v>
      </c>
      <c r="D10" s="69" t="s">
        <v>17</v>
      </c>
    </row>
    <row r="11" spans="1:5" s="4" customFormat="1" ht="15">
      <c r="B11" s="208" t="s">
        <v>18</v>
      </c>
      <c r="C11" s="208" t="s">
        <v>19</v>
      </c>
      <c r="D11" s="69"/>
    </row>
    <row r="12" spans="1:5" s="4" customFormat="1">
      <c r="B12" s="66"/>
      <c r="C12" s="66"/>
      <c r="D12" s="69"/>
    </row>
    <row r="13" spans="1:5" s="4" customFormat="1">
      <c r="B13" s="66"/>
      <c r="C13" s="66"/>
      <c r="D13" s="69"/>
    </row>
    <row r="14" spans="1:5" s="4" customFormat="1">
      <c r="B14" s="66"/>
      <c r="C14" s="66"/>
      <c r="D14" s="69"/>
    </row>
    <row r="15" spans="1:5" s="4" customFormat="1">
      <c r="B15" s="66"/>
      <c r="C15" s="66"/>
      <c r="D15" s="69"/>
    </row>
    <row r="16" spans="1:5" s="4" customFormat="1">
      <c r="B16" s="66"/>
      <c r="C16" s="66"/>
      <c r="D16" s="69"/>
    </row>
    <row r="17" spans="2:4" s="4" customFormat="1">
      <c r="B17" s="66"/>
      <c r="C17" s="66"/>
      <c r="D17" s="69"/>
    </row>
    <row r="18" spans="2:4" s="4" customFormat="1">
      <c r="B18" s="66"/>
      <c r="C18" s="66"/>
      <c r="D18" s="69"/>
    </row>
    <row r="19" spans="2:4" s="4" customFormat="1">
      <c r="B19" s="66"/>
      <c r="C19" s="66"/>
      <c r="D19" s="69"/>
    </row>
    <row r="20" spans="2:4" s="4" customFormat="1">
      <c r="B20" s="66"/>
      <c r="C20" s="66"/>
      <c r="D20" s="69"/>
    </row>
    <row r="21" spans="2:4" s="4" customFormat="1">
      <c r="B21" s="66"/>
      <c r="C21" s="66"/>
      <c r="D21" s="69"/>
    </row>
    <row r="22" spans="2:4" s="4" customFormat="1">
      <c r="B22" s="66"/>
      <c r="C22" s="66"/>
      <c r="D22" s="69"/>
    </row>
    <row r="23" spans="2:4" s="4" customFormat="1">
      <c r="B23" s="66"/>
      <c r="C23" s="66"/>
      <c r="D23" s="69"/>
    </row>
    <row r="24" spans="2:4" s="4" customFormat="1">
      <c r="B24" s="66"/>
      <c r="C24" s="66"/>
      <c r="D24" s="69"/>
    </row>
    <row r="25" spans="2:4" s="4" customFormat="1">
      <c r="B25" s="66"/>
      <c r="C25" s="66"/>
      <c r="D25" s="69"/>
    </row>
    <row r="26" spans="2:4" s="4" customFormat="1">
      <c r="B26" s="66"/>
      <c r="C26" s="66"/>
      <c r="D26" s="69"/>
    </row>
    <row r="27" spans="2:4" s="4" customFormat="1">
      <c r="B27" s="66"/>
      <c r="C27" s="66"/>
      <c r="D27" s="69"/>
    </row>
    <row r="28" spans="2:4" s="4" customFormat="1">
      <c r="B28" s="66"/>
      <c r="C28" s="66"/>
      <c r="D28" s="69"/>
    </row>
    <row r="29" spans="2:4" s="4" customFormat="1">
      <c r="B29" s="66"/>
      <c r="C29" s="66"/>
      <c r="D29" s="69"/>
    </row>
    <row r="30" spans="2:4" s="4" customFormat="1">
      <c r="B30" s="66"/>
      <c r="C30" s="66"/>
      <c r="D30" s="69"/>
    </row>
    <row r="31" spans="2:4" s="4" customFormat="1">
      <c r="B31" s="66"/>
      <c r="C31" s="66"/>
      <c r="D31" s="69"/>
    </row>
    <row r="32" spans="2:4" s="4" customFormat="1">
      <c r="B32" s="66"/>
      <c r="C32" s="66"/>
      <c r="D32" s="69"/>
    </row>
    <row r="33" spans="2:4" s="4" customFormat="1">
      <c r="B33" s="66"/>
      <c r="C33" s="66"/>
      <c r="D33" s="69"/>
    </row>
    <row r="34" spans="2:4" s="4" customFormat="1">
      <c r="B34" s="66"/>
      <c r="C34" s="66"/>
      <c r="D34" s="69"/>
    </row>
    <row r="35" spans="2:4" s="4" customFormat="1">
      <c r="B35" s="66"/>
      <c r="C35" s="66"/>
      <c r="D35" s="69"/>
    </row>
  </sheetData>
  <pageMargins left="0.7" right="0.7" top="0.75" bottom="0.75" header="0.3" footer="0.3"/>
  <pageSetup paperSize="9" orientation="portrait" r:id="rId1"/>
  <headerFooter>
    <oddHeader>&amp;L&amp;"Calibri"&amp;10&amp;K000000Confidential&amp;1#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4.4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c r="B1" s="23"/>
      <c r="C1" s="23"/>
      <c r="D1" s="23" t="s">
        <v>20</v>
      </c>
      <c r="E1" s="23"/>
      <c r="F1" s="23"/>
      <c r="G1" s="23"/>
      <c r="H1" s="23" t="s">
        <v>21</v>
      </c>
      <c r="I1" s="34"/>
      <c r="J1" s="23"/>
      <c r="K1" s="23"/>
      <c r="L1" s="23"/>
      <c r="M1" s="23"/>
      <c r="N1" s="23" t="s">
        <v>22</v>
      </c>
      <c r="O1" s="23"/>
      <c r="P1" s="23"/>
      <c r="Q1" s="23"/>
    </row>
    <row r="2" spans="2:17">
      <c r="B2" s="23" t="s">
        <v>23</v>
      </c>
      <c r="C2" s="23" t="s">
        <v>24</v>
      </c>
      <c r="D2" s="23" t="s">
        <v>25</v>
      </c>
      <c r="E2" s="23">
        <v>1</v>
      </c>
      <c r="F2" s="23">
        <v>500</v>
      </c>
      <c r="G2" s="23">
        <v>500</v>
      </c>
      <c r="H2" s="23"/>
      <c r="I2" s="34"/>
      <c r="J2" s="23" t="s">
        <v>24</v>
      </c>
      <c r="K2" s="23">
        <v>1</v>
      </c>
      <c r="L2" s="23">
        <v>500</v>
      </c>
      <c r="M2" s="23">
        <v>500</v>
      </c>
      <c r="N2" s="23"/>
      <c r="O2" s="23"/>
      <c r="P2" s="23" t="s">
        <v>26</v>
      </c>
      <c r="Q2" s="23" t="s">
        <v>25</v>
      </c>
    </row>
    <row r="3" spans="2:17">
      <c r="B3" s="23" t="s">
        <v>27</v>
      </c>
      <c r="C3" s="23" t="s">
        <v>24</v>
      </c>
      <c r="D3" s="23">
        <v>25</v>
      </c>
      <c r="E3" s="23">
        <v>25</v>
      </c>
      <c r="F3" s="23">
        <v>29</v>
      </c>
      <c r="G3" s="23">
        <v>5</v>
      </c>
      <c r="H3" s="23" t="s">
        <v>28</v>
      </c>
      <c r="I3" s="34"/>
      <c r="J3" s="23" t="s">
        <v>24</v>
      </c>
      <c r="K3" s="23">
        <v>224</v>
      </c>
      <c r="L3" s="23">
        <v>228</v>
      </c>
      <c r="M3" s="23">
        <v>5</v>
      </c>
      <c r="N3" s="23" t="s">
        <v>29</v>
      </c>
      <c r="O3" s="23"/>
      <c r="P3" s="23" t="s">
        <v>30</v>
      </c>
      <c r="Q3" s="23" t="s">
        <v>31</v>
      </c>
    </row>
    <row r="4" spans="2:17">
      <c r="B4" s="23" t="s">
        <v>32</v>
      </c>
      <c r="C4" s="23" t="s">
        <v>24</v>
      </c>
      <c r="D4" s="23">
        <v>26</v>
      </c>
      <c r="E4" s="23">
        <v>69</v>
      </c>
      <c r="F4" s="23">
        <v>73</v>
      </c>
      <c r="G4" s="23">
        <v>5</v>
      </c>
      <c r="H4" s="23" t="s">
        <v>33</v>
      </c>
      <c r="I4" s="34"/>
      <c r="J4" s="23" t="s">
        <v>24</v>
      </c>
      <c r="K4" s="23">
        <v>241</v>
      </c>
      <c r="L4" s="23">
        <v>246</v>
      </c>
      <c r="M4" s="23">
        <v>6</v>
      </c>
      <c r="N4" s="23" t="s">
        <v>34</v>
      </c>
      <c r="O4" s="23"/>
      <c r="P4" s="23" t="s">
        <v>35</v>
      </c>
      <c r="Q4" s="23" t="s">
        <v>31</v>
      </c>
    </row>
    <row r="5" spans="2:17">
      <c r="B5" s="23" t="s">
        <v>36</v>
      </c>
      <c r="C5" s="23" t="s">
        <v>24</v>
      </c>
      <c r="D5" s="23">
        <v>26</v>
      </c>
      <c r="E5" s="23">
        <v>74</v>
      </c>
      <c r="F5" s="23">
        <v>78</v>
      </c>
      <c r="G5" s="23">
        <v>5</v>
      </c>
      <c r="H5" s="23" t="s">
        <v>37</v>
      </c>
      <c r="I5" s="34"/>
      <c r="J5" s="23" t="s">
        <v>24</v>
      </c>
      <c r="K5" s="23">
        <v>241</v>
      </c>
      <c r="L5" s="23">
        <v>246</v>
      </c>
      <c r="M5" s="23">
        <v>6</v>
      </c>
      <c r="N5" s="23" t="s">
        <v>34</v>
      </c>
      <c r="O5" s="23"/>
      <c r="P5" s="23" t="s">
        <v>35</v>
      </c>
      <c r="Q5" s="23" t="s">
        <v>38</v>
      </c>
    </row>
    <row r="6" spans="2:17">
      <c r="B6" s="23" t="s">
        <v>39</v>
      </c>
      <c r="C6" s="23" t="s">
        <v>24</v>
      </c>
      <c r="D6" s="23">
        <v>532</v>
      </c>
      <c r="E6" s="23">
        <v>79</v>
      </c>
      <c r="F6" s="23">
        <v>83</v>
      </c>
      <c r="G6" s="23">
        <v>5</v>
      </c>
      <c r="H6" s="23" t="s">
        <v>40</v>
      </c>
      <c r="I6" s="34"/>
      <c r="J6" s="23" t="s">
        <v>24</v>
      </c>
      <c r="K6" s="23">
        <v>247</v>
      </c>
      <c r="L6" s="23">
        <v>247</v>
      </c>
      <c r="M6" s="23">
        <v>1</v>
      </c>
      <c r="N6" s="23" t="s">
        <v>41</v>
      </c>
      <c r="O6" s="23" t="s">
        <v>42</v>
      </c>
      <c r="P6" s="23" t="s">
        <v>43</v>
      </c>
      <c r="Q6" s="23" t="s">
        <v>38</v>
      </c>
    </row>
    <row r="7" spans="2:17">
      <c r="B7" s="23" t="s">
        <v>44</v>
      </c>
      <c r="C7" s="23" t="s">
        <v>24</v>
      </c>
      <c r="D7" s="23">
        <v>27</v>
      </c>
      <c r="E7" s="23">
        <v>85</v>
      </c>
      <c r="F7" s="23">
        <v>89</v>
      </c>
      <c r="G7" s="23">
        <v>5</v>
      </c>
      <c r="H7" s="23" t="s">
        <v>45</v>
      </c>
      <c r="I7" s="34"/>
      <c r="J7" s="23" t="s">
        <v>24</v>
      </c>
      <c r="K7" s="23">
        <v>248</v>
      </c>
      <c r="L7" s="23">
        <v>248</v>
      </c>
      <c r="M7" s="23">
        <v>1</v>
      </c>
      <c r="N7" s="23" t="s">
        <v>46</v>
      </c>
      <c r="O7" s="23"/>
      <c r="P7" s="23" t="s">
        <v>47</v>
      </c>
      <c r="Q7" s="23" t="s">
        <v>31</v>
      </c>
    </row>
    <row r="8" spans="2:17">
      <c r="B8" s="23" t="s">
        <v>48</v>
      </c>
      <c r="C8" s="23" t="s">
        <v>24</v>
      </c>
      <c r="D8" s="23">
        <v>28</v>
      </c>
      <c r="E8" s="23">
        <v>90</v>
      </c>
      <c r="F8" s="23">
        <v>94</v>
      </c>
      <c r="G8" s="23">
        <v>5</v>
      </c>
      <c r="H8" s="23" t="s">
        <v>49</v>
      </c>
      <c r="I8" s="34"/>
      <c r="J8" s="23" t="s">
        <v>24</v>
      </c>
      <c r="K8" s="23">
        <v>249</v>
      </c>
      <c r="L8" s="23">
        <v>249</v>
      </c>
      <c r="M8" s="23">
        <v>1</v>
      </c>
      <c r="N8" s="23" t="s">
        <v>50</v>
      </c>
      <c r="O8" s="23"/>
      <c r="P8" s="23" t="s">
        <v>51</v>
      </c>
      <c r="Q8" s="23" t="s">
        <v>31</v>
      </c>
    </row>
    <row r="9" spans="2:17">
      <c r="B9" s="23" t="s">
        <v>52</v>
      </c>
      <c r="C9" s="23" t="s">
        <v>24</v>
      </c>
      <c r="D9" s="23">
        <v>29</v>
      </c>
      <c r="E9" s="23">
        <v>95</v>
      </c>
      <c r="F9" s="23">
        <v>99</v>
      </c>
      <c r="G9" s="23">
        <v>5</v>
      </c>
      <c r="H9" s="23" t="s">
        <v>53</v>
      </c>
      <c r="I9" s="34"/>
      <c r="J9" s="23" t="s">
        <v>24</v>
      </c>
      <c r="K9" s="23">
        <v>250</v>
      </c>
      <c r="L9" s="23">
        <v>254</v>
      </c>
      <c r="M9" s="23">
        <v>5</v>
      </c>
      <c r="N9" s="23" t="s">
        <v>54</v>
      </c>
      <c r="O9" s="23"/>
      <c r="P9" s="23" t="s">
        <v>55</v>
      </c>
      <c r="Q9" s="23" t="s">
        <v>31</v>
      </c>
    </row>
    <row r="10" spans="2:17">
      <c r="B10" s="23" t="s">
        <v>56</v>
      </c>
      <c r="C10" s="23" t="s">
        <v>24</v>
      </c>
      <c r="D10" s="23">
        <v>30</v>
      </c>
      <c r="E10" s="23">
        <v>152</v>
      </c>
      <c r="F10" s="23">
        <v>156</v>
      </c>
      <c r="G10" s="23">
        <v>5</v>
      </c>
      <c r="H10" s="23" t="s">
        <v>57</v>
      </c>
      <c r="I10" s="34"/>
      <c r="J10" s="23" t="s">
        <v>24</v>
      </c>
      <c r="K10" s="23">
        <v>255</v>
      </c>
      <c r="L10" s="23">
        <v>256</v>
      </c>
      <c r="M10" s="23">
        <v>2</v>
      </c>
      <c r="N10" s="23" t="s">
        <v>58</v>
      </c>
      <c r="O10" s="23" t="s">
        <v>59</v>
      </c>
      <c r="P10" s="23" t="s">
        <v>60</v>
      </c>
      <c r="Q10" s="23" t="s">
        <v>31</v>
      </c>
    </row>
    <row r="11" spans="2:17">
      <c r="B11" s="26" t="s">
        <v>61</v>
      </c>
      <c r="C11" s="26" t="s">
        <v>62</v>
      </c>
      <c r="D11" s="26" t="s">
        <v>25</v>
      </c>
      <c r="E11" s="26">
        <v>1</v>
      </c>
      <c r="F11" s="26">
        <v>500</v>
      </c>
      <c r="G11" s="26">
        <v>500</v>
      </c>
      <c r="H11" s="26"/>
      <c r="I11" s="36"/>
      <c r="J11" s="26" t="s">
        <v>62</v>
      </c>
      <c r="K11" s="26">
        <v>1</v>
      </c>
      <c r="L11" s="26">
        <v>500</v>
      </c>
      <c r="M11" s="26">
        <v>500</v>
      </c>
      <c r="N11" s="26"/>
      <c r="O11" s="26"/>
      <c r="P11" s="26" t="s">
        <v>26</v>
      </c>
      <c r="Q11" s="26" t="s">
        <v>25</v>
      </c>
    </row>
    <row r="12" spans="2:17">
      <c r="B12" s="26" t="s">
        <v>63</v>
      </c>
      <c r="C12" s="26" t="s">
        <v>62</v>
      </c>
      <c r="D12" s="26" t="s">
        <v>25</v>
      </c>
      <c r="E12" s="26">
        <v>501</v>
      </c>
      <c r="F12" s="26">
        <v>999</v>
      </c>
      <c r="G12" s="26">
        <v>500</v>
      </c>
      <c r="H12" s="26"/>
      <c r="I12" s="36"/>
      <c r="J12" s="26" t="s">
        <v>62</v>
      </c>
      <c r="K12" s="26">
        <v>501</v>
      </c>
      <c r="L12" s="26">
        <v>999</v>
      </c>
      <c r="M12" s="26">
        <v>500</v>
      </c>
      <c r="N12" s="26"/>
      <c r="O12" s="26"/>
      <c r="P12" s="26" t="s">
        <v>26</v>
      </c>
      <c r="Q12" s="26" t="s">
        <v>25</v>
      </c>
    </row>
    <row r="13" spans="2:17">
      <c r="B13" s="26" t="s">
        <v>64</v>
      </c>
      <c r="C13" s="26" t="s">
        <v>62</v>
      </c>
      <c r="D13" s="26">
        <v>508</v>
      </c>
      <c r="E13" s="26">
        <v>39</v>
      </c>
      <c r="F13" s="26">
        <v>43</v>
      </c>
      <c r="G13" s="26">
        <v>5</v>
      </c>
      <c r="H13" s="26" t="s">
        <v>65</v>
      </c>
      <c r="I13" s="36"/>
      <c r="J13" s="26" t="s">
        <v>62</v>
      </c>
      <c r="K13" s="26">
        <v>474</v>
      </c>
      <c r="L13" s="26">
        <v>477</v>
      </c>
      <c r="M13" s="26">
        <v>4</v>
      </c>
      <c r="N13" s="26" t="s">
        <v>66</v>
      </c>
      <c r="O13" s="26"/>
      <c r="P13" s="26" t="s">
        <v>67</v>
      </c>
      <c r="Q13" s="26" t="s">
        <v>38</v>
      </c>
    </row>
    <row r="14" spans="2:17">
      <c r="B14" s="26" t="s">
        <v>68</v>
      </c>
      <c r="C14" s="26" t="s">
        <v>62</v>
      </c>
      <c r="D14" s="26">
        <v>20</v>
      </c>
      <c r="E14" s="26">
        <v>86</v>
      </c>
      <c r="F14" s="26">
        <v>90</v>
      </c>
      <c r="G14" s="26">
        <v>5</v>
      </c>
      <c r="H14" s="26" t="s">
        <v>69</v>
      </c>
      <c r="I14" s="36"/>
      <c r="J14" s="26" t="s">
        <v>62</v>
      </c>
      <c r="K14" s="26">
        <v>478</v>
      </c>
      <c r="L14" s="26">
        <v>482</v>
      </c>
      <c r="M14" s="26">
        <v>5</v>
      </c>
      <c r="N14" s="26" t="s">
        <v>70</v>
      </c>
      <c r="O14" s="26"/>
      <c r="P14" s="26" t="s">
        <v>71</v>
      </c>
      <c r="Q14" s="26" t="s">
        <v>31</v>
      </c>
    </row>
    <row r="15" spans="2:17">
      <c r="B15" s="26" t="s">
        <v>72</v>
      </c>
      <c r="C15" s="26" t="s">
        <v>62</v>
      </c>
      <c r="D15" s="26">
        <v>32</v>
      </c>
      <c r="E15" s="26">
        <v>91</v>
      </c>
      <c r="F15" s="26">
        <v>95</v>
      </c>
      <c r="G15" s="26">
        <v>5</v>
      </c>
      <c r="H15" s="26" t="s">
        <v>73</v>
      </c>
      <c r="I15" s="36"/>
      <c r="J15" s="26" t="s">
        <v>62</v>
      </c>
      <c r="K15" s="26">
        <v>483</v>
      </c>
      <c r="L15" s="26">
        <v>487</v>
      </c>
      <c r="M15" s="26">
        <v>5</v>
      </c>
      <c r="N15" s="26" t="s">
        <v>74</v>
      </c>
      <c r="O15" s="26"/>
      <c r="P15" s="26" t="s">
        <v>75</v>
      </c>
      <c r="Q15" s="26" t="s">
        <v>31</v>
      </c>
    </row>
    <row r="16" spans="2:17">
      <c r="B16" s="26" t="s">
        <v>76</v>
      </c>
      <c r="C16" s="26" t="s">
        <v>62</v>
      </c>
      <c r="D16" s="26">
        <v>13</v>
      </c>
      <c r="E16" s="26">
        <v>96</v>
      </c>
      <c r="F16" s="26">
        <v>100</v>
      </c>
      <c r="G16" s="26">
        <v>5</v>
      </c>
      <c r="H16" s="26" t="s">
        <v>77</v>
      </c>
      <c r="I16" s="36"/>
      <c r="J16" s="26" t="s">
        <v>62</v>
      </c>
      <c r="K16" s="26">
        <v>488</v>
      </c>
      <c r="L16" s="26">
        <v>492</v>
      </c>
      <c r="M16" s="26">
        <v>5</v>
      </c>
      <c r="N16" s="26" t="s">
        <v>78</v>
      </c>
      <c r="O16" s="26"/>
      <c r="P16" s="26" t="s">
        <v>79</v>
      </c>
      <c r="Q16" s="26" t="s">
        <v>31</v>
      </c>
    </row>
    <row r="17" spans="2:17">
      <c r="B17" s="26" t="s">
        <v>80</v>
      </c>
      <c r="C17" s="26" t="s">
        <v>62</v>
      </c>
      <c r="D17" s="26">
        <v>503</v>
      </c>
      <c r="E17" s="26">
        <v>119</v>
      </c>
      <c r="F17" s="26">
        <v>123</v>
      </c>
      <c r="G17" s="26">
        <v>5</v>
      </c>
      <c r="H17" s="26" t="s">
        <v>81</v>
      </c>
      <c r="I17" s="36"/>
      <c r="J17" s="26" t="s">
        <v>62</v>
      </c>
      <c r="K17" s="26">
        <v>493</v>
      </c>
      <c r="L17" s="26">
        <v>497</v>
      </c>
      <c r="M17" s="26">
        <v>5</v>
      </c>
      <c r="N17" s="26" t="s">
        <v>82</v>
      </c>
      <c r="O17" s="26"/>
      <c r="P17" s="26" t="s">
        <v>83</v>
      </c>
      <c r="Q17" s="26" t="s">
        <v>38</v>
      </c>
    </row>
    <row r="18" spans="2:17">
      <c r="B18" s="26" t="s">
        <v>84</v>
      </c>
      <c r="C18" s="26" t="s">
        <v>62</v>
      </c>
      <c r="D18" s="26">
        <v>2</v>
      </c>
      <c r="E18" s="26">
        <v>124</v>
      </c>
      <c r="F18" s="26">
        <v>128</v>
      </c>
      <c r="G18" s="26">
        <v>5</v>
      </c>
      <c r="H18" s="26" t="s">
        <v>85</v>
      </c>
      <c r="I18" s="36"/>
      <c r="J18" s="26" t="s">
        <v>62</v>
      </c>
      <c r="K18" s="26">
        <v>498</v>
      </c>
      <c r="L18" s="26">
        <v>500</v>
      </c>
      <c r="M18" s="26">
        <v>3</v>
      </c>
      <c r="N18" s="26" t="s">
        <v>86</v>
      </c>
      <c r="O18" s="26"/>
      <c r="P18" s="26" t="s">
        <v>87</v>
      </c>
      <c r="Q18" s="26" t="s">
        <v>31</v>
      </c>
    </row>
    <row r="19" spans="2:17">
      <c r="B19" s="26" t="s">
        <v>88</v>
      </c>
      <c r="C19" s="26" t="s">
        <v>62</v>
      </c>
      <c r="D19" s="26">
        <v>6</v>
      </c>
      <c r="E19" s="26">
        <v>146</v>
      </c>
      <c r="F19" s="26">
        <v>148</v>
      </c>
      <c r="G19" s="26">
        <v>3</v>
      </c>
      <c r="H19" s="26" t="s">
        <v>89</v>
      </c>
      <c r="I19" s="36"/>
      <c r="J19" s="26" t="s">
        <v>62</v>
      </c>
      <c r="K19" s="26">
        <v>501</v>
      </c>
      <c r="L19" s="26">
        <v>503</v>
      </c>
      <c r="M19" s="26">
        <v>3</v>
      </c>
      <c r="N19" s="26" t="s">
        <v>90</v>
      </c>
      <c r="O19" s="26"/>
      <c r="P19" s="26" t="s">
        <v>91</v>
      </c>
      <c r="Q19" s="26" t="s">
        <v>31</v>
      </c>
    </row>
    <row r="20" spans="2:17">
      <c r="B20" s="26" t="s">
        <v>92</v>
      </c>
      <c r="C20" s="26" t="s">
        <v>62</v>
      </c>
      <c r="D20" s="26">
        <v>40</v>
      </c>
      <c r="E20" s="26">
        <v>199</v>
      </c>
      <c r="F20" s="26">
        <v>203</v>
      </c>
      <c r="G20" s="26">
        <v>5</v>
      </c>
      <c r="H20" s="26" t="s">
        <v>93</v>
      </c>
      <c r="I20" s="36"/>
      <c r="J20" s="26" t="s">
        <v>62</v>
      </c>
      <c r="K20" s="26">
        <v>504</v>
      </c>
      <c r="L20" s="26">
        <v>508</v>
      </c>
      <c r="M20" s="26">
        <v>5</v>
      </c>
      <c r="N20" s="26" t="s">
        <v>94</v>
      </c>
      <c r="O20" s="26"/>
      <c r="P20" s="26" t="s">
        <v>95</v>
      </c>
      <c r="Q20" s="26" t="s">
        <v>31</v>
      </c>
    </row>
    <row r="21" spans="2:17">
      <c r="B21" s="26" t="s">
        <v>96</v>
      </c>
      <c r="C21" s="26" t="s">
        <v>62</v>
      </c>
      <c r="D21" s="26">
        <v>47</v>
      </c>
      <c r="E21" s="26">
        <v>253</v>
      </c>
      <c r="F21" s="26">
        <v>257</v>
      </c>
      <c r="G21" s="26">
        <v>5</v>
      </c>
      <c r="H21" s="26" t="s">
        <v>97</v>
      </c>
      <c r="I21" s="36"/>
      <c r="J21" s="26" t="s">
        <v>62</v>
      </c>
      <c r="K21" s="26">
        <v>509</v>
      </c>
      <c r="L21" s="26">
        <v>513</v>
      </c>
      <c r="M21" s="26">
        <v>5</v>
      </c>
      <c r="N21" s="26" t="s">
        <v>98</v>
      </c>
      <c r="O21" s="26"/>
      <c r="P21" s="26" t="s">
        <v>99</v>
      </c>
      <c r="Q21" s="26" t="s">
        <v>31</v>
      </c>
    </row>
    <row r="22" spans="2:17">
      <c r="B22" s="26" t="s">
        <v>100</v>
      </c>
      <c r="C22" s="26" t="s">
        <v>62</v>
      </c>
      <c r="D22" s="26">
        <v>49</v>
      </c>
      <c r="E22" s="26">
        <v>258</v>
      </c>
      <c r="F22" s="26">
        <v>262</v>
      </c>
      <c r="G22" s="26">
        <v>5</v>
      </c>
      <c r="H22" s="26" t="s">
        <v>101</v>
      </c>
      <c r="I22" s="36"/>
      <c r="J22" s="26" t="s">
        <v>62</v>
      </c>
      <c r="K22" s="26">
        <v>514</v>
      </c>
      <c r="L22" s="26">
        <v>517</v>
      </c>
      <c r="M22" s="26">
        <v>4</v>
      </c>
      <c r="N22" s="26" t="s">
        <v>102</v>
      </c>
      <c r="O22" s="26"/>
      <c r="P22" s="26" t="s">
        <v>103</v>
      </c>
      <c r="Q22" s="26" t="s">
        <v>31</v>
      </c>
    </row>
    <row r="23" spans="2:17">
      <c r="B23" s="26" t="s">
        <v>104</v>
      </c>
      <c r="C23" s="26" t="s">
        <v>62</v>
      </c>
      <c r="D23" s="26">
        <v>50</v>
      </c>
      <c r="E23" s="26">
        <v>280</v>
      </c>
      <c r="F23" s="26">
        <v>284</v>
      </c>
      <c r="G23" s="26">
        <v>5</v>
      </c>
      <c r="H23" s="26" t="s">
        <v>105</v>
      </c>
      <c r="I23" s="36"/>
      <c r="J23" s="26" t="s">
        <v>62</v>
      </c>
      <c r="K23" s="26">
        <v>518</v>
      </c>
      <c r="L23" s="26">
        <v>522</v>
      </c>
      <c r="M23" s="26">
        <v>5</v>
      </c>
      <c r="N23" s="26" t="s">
        <v>106</v>
      </c>
      <c r="O23" s="26"/>
      <c r="P23" s="26" t="s">
        <v>107</v>
      </c>
      <c r="Q23" s="26" t="s">
        <v>31</v>
      </c>
    </row>
    <row r="24" spans="2:17">
      <c r="B24" s="26" t="s">
        <v>108</v>
      </c>
      <c r="C24" s="26" t="s">
        <v>62</v>
      </c>
      <c r="D24" s="26">
        <v>8</v>
      </c>
      <c r="E24" s="26">
        <v>285</v>
      </c>
      <c r="F24" s="26">
        <v>289</v>
      </c>
      <c r="G24" s="26">
        <v>5</v>
      </c>
      <c r="H24" s="26" t="s">
        <v>109</v>
      </c>
      <c r="I24" s="36"/>
      <c r="J24" s="26" t="s">
        <v>62</v>
      </c>
      <c r="K24" s="26">
        <v>523</v>
      </c>
      <c r="L24" s="26">
        <v>523</v>
      </c>
      <c r="M24" s="26">
        <v>1</v>
      </c>
      <c r="N24" s="26" t="s">
        <v>110</v>
      </c>
      <c r="O24" s="26"/>
      <c r="P24" s="26" t="s">
        <v>111</v>
      </c>
      <c r="Q24" s="26" t="s">
        <v>31</v>
      </c>
    </row>
    <row r="25" spans="2:17">
      <c r="B25" s="26" t="s">
        <v>112</v>
      </c>
      <c r="C25" s="26" t="s">
        <v>62</v>
      </c>
      <c r="D25" s="26">
        <v>101</v>
      </c>
      <c r="E25" s="26">
        <v>589</v>
      </c>
      <c r="F25" s="26">
        <v>593</v>
      </c>
      <c r="G25" s="26">
        <v>5</v>
      </c>
      <c r="H25" s="26" t="s">
        <v>113</v>
      </c>
      <c r="I25" s="36"/>
      <c r="J25" s="26" t="s">
        <v>62</v>
      </c>
      <c r="K25" s="26">
        <v>594</v>
      </c>
      <c r="L25" s="26">
        <v>599</v>
      </c>
      <c r="M25" s="26">
        <v>6</v>
      </c>
      <c r="N25" s="26" t="s">
        <v>34</v>
      </c>
      <c r="O25" s="26"/>
      <c r="P25" s="26" t="s">
        <v>114</v>
      </c>
      <c r="Q25" s="26" t="s">
        <v>31</v>
      </c>
    </row>
    <row r="26" spans="2:17">
      <c r="B26" s="23" t="s">
        <v>115</v>
      </c>
      <c r="C26" s="23" t="s">
        <v>116</v>
      </c>
      <c r="D26" s="23" t="s">
        <v>25</v>
      </c>
      <c r="E26" s="23">
        <v>1</v>
      </c>
      <c r="F26" s="23">
        <v>500</v>
      </c>
      <c r="G26" s="23">
        <v>500</v>
      </c>
      <c r="H26" s="23"/>
      <c r="I26" s="34"/>
      <c r="J26" s="23" t="s">
        <v>116</v>
      </c>
      <c r="K26" s="23">
        <v>1</v>
      </c>
      <c r="L26" s="23">
        <v>500</v>
      </c>
      <c r="M26" s="23">
        <v>500</v>
      </c>
      <c r="N26" s="23"/>
      <c r="O26" s="23"/>
      <c r="P26" s="23" t="s">
        <v>26</v>
      </c>
      <c r="Q26" s="23" t="s">
        <v>25</v>
      </c>
    </row>
    <row r="27" spans="2:17">
      <c r="B27" s="23" t="s">
        <v>117</v>
      </c>
      <c r="C27" s="23" t="s">
        <v>116</v>
      </c>
      <c r="D27" s="23">
        <v>26</v>
      </c>
      <c r="E27" s="23">
        <v>169</v>
      </c>
      <c r="F27" s="23">
        <v>173</v>
      </c>
      <c r="G27" s="23">
        <v>5</v>
      </c>
      <c r="H27" s="23" t="s">
        <v>33</v>
      </c>
      <c r="I27" s="34"/>
      <c r="J27" s="23" t="s">
        <v>116</v>
      </c>
      <c r="K27" s="23">
        <v>175</v>
      </c>
      <c r="L27" s="23">
        <v>180</v>
      </c>
      <c r="M27" s="23">
        <v>6</v>
      </c>
      <c r="N27" s="23" t="s">
        <v>34</v>
      </c>
      <c r="O27" s="23"/>
      <c r="P27" s="23" t="s">
        <v>35</v>
      </c>
      <c r="Q27" s="23" t="s">
        <v>31</v>
      </c>
    </row>
    <row r="28" spans="2:17" ht="43.5">
      <c r="B28" s="23" t="s">
        <v>118</v>
      </c>
      <c r="C28" s="23" t="s">
        <v>116</v>
      </c>
      <c r="D28" s="23">
        <v>81</v>
      </c>
      <c r="E28" s="23">
        <v>147</v>
      </c>
      <c r="F28" s="23">
        <v>151</v>
      </c>
      <c r="G28" s="23">
        <v>5</v>
      </c>
      <c r="H28" s="23" t="s">
        <v>119</v>
      </c>
      <c r="I28" s="34"/>
      <c r="J28" s="23" t="s">
        <v>116</v>
      </c>
      <c r="K28" s="23">
        <v>169</v>
      </c>
      <c r="L28" s="23">
        <v>180</v>
      </c>
      <c r="M28" s="23">
        <v>12</v>
      </c>
      <c r="N28" s="34" t="s">
        <v>120</v>
      </c>
      <c r="O28" s="23"/>
      <c r="P28" s="23" t="s">
        <v>121</v>
      </c>
      <c r="Q28" s="23" t="s">
        <v>31</v>
      </c>
    </row>
    <row r="31" spans="2:17">
      <c r="B31" s="23" t="s">
        <v>122</v>
      </c>
      <c r="C31" s="23" t="s">
        <v>123</v>
      </c>
      <c r="D31" s="23" t="s">
        <v>25</v>
      </c>
      <c r="E31" s="23">
        <v>1</v>
      </c>
      <c r="F31" s="23">
        <v>500</v>
      </c>
      <c r="G31" s="23">
        <v>500</v>
      </c>
      <c r="H31" s="23"/>
      <c r="I31" s="34"/>
      <c r="J31" s="23" t="s">
        <v>123</v>
      </c>
      <c r="K31" s="23">
        <v>1</v>
      </c>
      <c r="L31" s="23">
        <v>500</v>
      </c>
      <c r="M31" s="23">
        <v>500</v>
      </c>
      <c r="N31" s="23"/>
      <c r="O31" s="23"/>
      <c r="P31" s="23" t="s">
        <v>26</v>
      </c>
      <c r="Q31" s="23" t="s">
        <v>25</v>
      </c>
    </row>
    <row r="32" spans="2:17">
      <c r="B32" s="23" t="s">
        <v>124</v>
      </c>
      <c r="C32" s="23" t="s">
        <v>123</v>
      </c>
      <c r="D32" s="23" t="s">
        <v>25</v>
      </c>
      <c r="E32" s="23">
        <v>501</v>
      </c>
      <c r="F32" s="23">
        <v>500</v>
      </c>
      <c r="G32" s="23">
        <v>500</v>
      </c>
      <c r="H32" s="23"/>
      <c r="I32" s="34"/>
      <c r="J32" s="23" t="s">
        <v>123</v>
      </c>
      <c r="K32" s="23">
        <v>501</v>
      </c>
      <c r="L32" s="23">
        <v>500</v>
      </c>
      <c r="M32" s="23">
        <v>500</v>
      </c>
      <c r="N32" s="23"/>
      <c r="O32" s="23"/>
      <c r="P32" s="23" t="s">
        <v>26</v>
      </c>
      <c r="Q32" s="23" t="s">
        <v>25</v>
      </c>
    </row>
    <row r="33" spans="2:17">
      <c r="B33" s="23" t="s">
        <v>125</v>
      </c>
      <c r="C33" s="23" t="s">
        <v>123</v>
      </c>
      <c r="D33" s="23">
        <v>159</v>
      </c>
      <c r="E33" s="23">
        <v>25</v>
      </c>
      <c r="F33" s="23">
        <v>29</v>
      </c>
      <c r="G33" s="23">
        <v>5</v>
      </c>
      <c r="H33" s="23" t="s">
        <v>126</v>
      </c>
      <c r="I33" s="34"/>
      <c r="J33" s="23" t="s">
        <v>123</v>
      </c>
      <c r="K33" s="23">
        <v>501</v>
      </c>
      <c r="L33" s="23">
        <v>505</v>
      </c>
      <c r="M33" s="23">
        <v>5</v>
      </c>
      <c r="N33" s="23" t="s">
        <v>127</v>
      </c>
      <c r="O33" s="23"/>
      <c r="P33" s="23" t="s">
        <v>128</v>
      </c>
      <c r="Q33" s="23" t="s">
        <v>31</v>
      </c>
    </row>
    <row r="34" spans="2:17">
      <c r="B34" s="23" t="s">
        <v>129</v>
      </c>
      <c r="C34" s="23" t="s">
        <v>123</v>
      </c>
      <c r="D34" s="23">
        <v>160</v>
      </c>
      <c r="E34" s="23">
        <v>220</v>
      </c>
      <c r="F34" s="23">
        <v>224</v>
      </c>
      <c r="G34" s="23">
        <v>5</v>
      </c>
      <c r="H34" s="23" t="s">
        <v>130</v>
      </c>
      <c r="I34" s="34"/>
      <c r="J34" s="23" t="s">
        <v>123</v>
      </c>
      <c r="K34" s="23">
        <v>506</v>
      </c>
      <c r="L34" s="23">
        <v>510</v>
      </c>
      <c r="M34" s="23">
        <v>5</v>
      </c>
      <c r="N34" s="23" t="s">
        <v>131</v>
      </c>
      <c r="O34" s="23"/>
      <c r="P34" s="23" t="s">
        <v>132</v>
      </c>
      <c r="Q34" s="23" t="s">
        <v>31</v>
      </c>
    </row>
    <row r="35" spans="2:17">
      <c r="B35" s="23" t="s">
        <v>133</v>
      </c>
      <c r="C35" s="23" t="s">
        <v>123</v>
      </c>
      <c r="D35" s="23">
        <v>124</v>
      </c>
      <c r="E35" s="23">
        <v>327</v>
      </c>
      <c r="F35" s="23">
        <v>331</v>
      </c>
      <c r="G35" s="23">
        <v>5</v>
      </c>
      <c r="H35" s="23" t="s">
        <v>134</v>
      </c>
      <c r="I35" s="34"/>
      <c r="J35" s="23" t="s">
        <v>123</v>
      </c>
      <c r="K35" s="23">
        <v>511</v>
      </c>
      <c r="L35" s="23">
        <v>515</v>
      </c>
      <c r="M35" s="23">
        <v>5</v>
      </c>
      <c r="N35" s="23" t="s">
        <v>135</v>
      </c>
      <c r="O35" s="23"/>
      <c r="P35" s="23" t="s">
        <v>136</v>
      </c>
      <c r="Q35" s="23" t="s">
        <v>31</v>
      </c>
    </row>
    <row r="36" spans="2:17">
      <c r="B36" s="23" t="s">
        <v>137</v>
      </c>
      <c r="C36" s="23" t="s">
        <v>138</v>
      </c>
      <c r="D36" s="23" t="s">
        <v>25</v>
      </c>
      <c r="E36" s="23">
        <v>1</v>
      </c>
      <c r="F36" s="23">
        <v>250</v>
      </c>
      <c r="G36" s="23">
        <v>250</v>
      </c>
      <c r="H36" s="23" t="s">
        <v>139</v>
      </c>
      <c r="I36" s="34"/>
      <c r="J36" s="23" t="s">
        <v>138</v>
      </c>
      <c r="K36" s="23">
        <v>1</v>
      </c>
      <c r="L36" s="23">
        <v>250</v>
      </c>
      <c r="M36" s="23">
        <v>250</v>
      </c>
      <c r="N36" s="23"/>
      <c r="O36" s="23"/>
      <c r="P36" s="23" t="s">
        <v>26</v>
      </c>
      <c r="Q36" s="23" t="s">
        <v>25</v>
      </c>
    </row>
    <row r="37" spans="2:17">
      <c r="B37" s="23" t="s">
        <v>140</v>
      </c>
      <c r="C37" s="23" t="s">
        <v>138</v>
      </c>
      <c r="D37" s="23">
        <v>161</v>
      </c>
      <c r="E37" s="23">
        <v>35</v>
      </c>
      <c r="F37" s="23">
        <v>39</v>
      </c>
      <c r="G37" s="23">
        <v>5</v>
      </c>
      <c r="H37" s="23" t="s">
        <v>141</v>
      </c>
      <c r="I37" s="34"/>
      <c r="J37" s="23" t="s">
        <v>138</v>
      </c>
      <c r="K37" s="23">
        <v>129</v>
      </c>
      <c r="L37" s="23">
        <v>133</v>
      </c>
      <c r="M37" s="23">
        <v>5</v>
      </c>
      <c r="N37" s="23" t="s">
        <v>142</v>
      </c>
      <c r="O37" s="23"/>
      <c r="P37" s="23" t="s">
        <v>143</v>
      </c>
      <c r="Q37" s="23" t="s">
        <v>38</v>
      </c>
    </row>
    <row r="38" spans="2:17">
      <c r="B38" s="23" t="s">
        <v>144</v>
      </c>
      <c r="C38" s="23" t="s">
        <v>138</v>
      </c>
      <c r="D38" s="23">
        <v>161</v>
      </c>
      <c r="E38" s="23">
        <v>40</v>
      </c>
      <c r="F38" s="23">
        <v>44</v>
      </c>
      <c r="G38" s="23">
        <v>5</v>
      </c>
      <c r="H38" s="23" t="s">
        <v>145</v>
      </c>
      <c r="I38" s="34"/>
      <c r="J38" s="23" t="s">
        <v>138</v>
      </c>
      <c r="K38" s="23">
        <v>129</v>
      </c>
      <c r="L38" s="23">
        <v>133</v>
      </c>
      <c r="M38" s="23">
        <v>5</v>
      </c>
      <c r="N38" s="23" t="s">
        <v>142</v>
      </c>
      <c r="O38" s="23"/>
      <c r="P38" s="23" t="s">
        <v>143</v>
      </c>
      <c r="Q38" s="23" t="s">
        <v>31</v>
      </c>
    </row>
    <row r="39" spans="2:17">
      <c r="B39" s="23"/>
      <c r="C39" s="23"/>
      <c r="D39" s="23"/>
      <c r="E39" s="23"/>
      <c r="F39" s="23"/>
      <c r="G39" s="23"/>
      <c r="H39" s="23"/>
      <c r="I39" s="34"/>
      <c r="J39" s="23"/>
      <c r="K39" s="23"/>
      <c r="L39" s="23"/>
      <c r="M39" s="23"/>
      <c r="N39" s="23"/>
      <c r="O39" s="23"/>
      <c r="P39" s="23"/>
      <c r="Q39" s="23"/>
    </row>
    <row r="43" spans="2:17">
      <c r="B43" t="s">
        <v>146</v>
      </c>
      <c r="C43" t="s">
        <v>139</v>
      </c>
      <c r="E43">
        <v>1</v>
      </c>
      <c r="F43" t="s">
        <v>25</v>
      </c>
      <c r="G43">
        <v>500</v>
      </c>
      <c r="K43">
        <v>1</v>
      </c>
      <c r="L43" t="s">
        <v>25</v>
      </c>
      <c r="M43">
        <v>500</v>
      </c>
      <c r="P43" t="s">
        <v>26</v>
      </c>
      <c r="Q43" t="s">
        <v>25</v>
      </c>
    </row>
    <row r="44" spans="2:17">
      <c r="B44" t="s">
        <v>147</v>
      </c>
      <c r="C44" t="s">
        <v>148</v>
      </c>
      <c r="E44">
        <v>25</v>
      </c>
      <c r="F44">
        <v>29</v>
      </c>
      <c r="G44">
        <v>5</v>
      </c>
      <c r="K44">
        <v>228</v>
      </c>
      <c r="L44">
        <v>232</v>
      </c>
      <c r="M44">
        <v>5</v>
      </c>
      <c r="N44" t="s">
        <v>149</v>
      </c>
      <c r="P44" t="s">
        <v>150</v>
      </c>
      <c r="Q44" t="s">
        <v>38</v>
      </c>
    </row>
    <row r="45" spans="2:17">
      <c r="B45" t="s">
        <v>151</v>
      </c>
      <c r="C45" t="s">
        <v>152</v>
      </c>
      <c r="E45">
        <v>30</v>
      </c>
      <c r="F45">
        <v>34</v>
      </c>
      <c r="G45">
        <v>5</v>
      </c>
      <c r="K45">
        <v>228</v>
      </c>
      <c r="L45">
        <v>232</v>
      </c>
      <c r="M45">
        <v>5</v>
      </c>
      <c r="N45" t="s">
        <v>149</v>
      </c>
      <c r="P45" t="s">
        <v>150</v>
      </c>
      <c r="Q45" t="s">
        <v>31</v>
      </c>
    </row>
    <row r="48" spans="2:17">
      <c r="B48" t="s">
        <v>153</v>
      </c>
      <c r="C48" t="s">
        <v>154</v>
      </c>
      <c r="D48" t="s">
        <v>25</v>
      </c>
      <c r="E48">
        <v>1</v>
      </c>
      <c r="F48">
        <v>300</v>
      </c>
      <c r="G48">
        <v>300</v>
      </c>
      <c r="K48">
        <v>1</v>
      </c>
      <c r="L48">
        <v>300</v>
      </c>
      <c r="M48">
        <v>300</v>
      </c>
      <c r="P48" t="s">
        <v>26</v>
      </c>
    </row>
    <row r="49" spans="2:17">
      <c r="B49" t="s">
        <v>155</v>
      </c>
      <c r="C49" t="s">
        <v>154</v>
      </c>
      <c r="D49">
        <v>1</v>
      </c>
      <c r="E49">
        <v>1</v>
      </c>
      <c r="F49">
        <v>5</v>
      </c>
      <c r="G49">
        <v>5</v>
      </c>
      <c r="H49" t="s">
        <v>156</v>
      </c>
      <c r="K49">
        <v>160</v>
      </c>
      <c r="L49">
        <v>161</v>
      </c>
      <c r="M49">
        <v>2</v>
      </c>
      <c r="N49" t="s">
        <v>157</v>
      </c>
      <c r="P49" t="s">
        <v>158</v>
      </c>
      <c r="Q49" t="s">
        <v>31</v>
      </c>
    </row>
    <row r="50" spans="2:17">
      <c r="B50" t="s">
        <v>159</v>
      </c>
      <c r="C50" t="s">
        <v>154</v>
      </c>
      <c r="D50">
        <v>12</v>
      </c>
      <c r="E50">
        <v>57</v>
      </c>
      <c r="F50">
        <v>61</v>
      </c>
      <c r="G50">
        <v>5</v>
      </c>
      <c r="H50" t="s">
        <v>160</v>
      </c>
      <c r="K50">
        <v>182</v>
      </c>
      <c r="L50">
        <v>185</v>
      </c>
      <c r="M50">
        <v>4</v>
      </c>
      <c r="N50" t="s">
        <v>161</v>
      </c>
      <c r="P50" t="s">
        <v>162</v>
      </c>
      <c r="Q50" t="s">
        <v>31</v>
      </c>
    </row>
    <row r="51" spans="2:17">
      <c r="B51" t="s">
        <v>163</v>
      </c>
      <c r="C51" t="s">
        <v>154</v>
      </c>
      <c r="D51">
        <v>12</v>
      </c>
      <c r="E51">
        <v>62</v>
      </c>
      <c r="F51">
        <v>66</v>
      </c>
      <c r="G51">
        <v>5</v>
      </c>
      <c r="H51" t="s">
        <v>164</v>
      </c>
      <c r="K51">
        <v>182</v>
      </c>
      <c r="L51">
        <v>185</v>
      </c>
      <c r="M51">
        <v>4</v>
      </c>
      <c r="N51" t="s">
        <v>161</v>
      </c>
      <c r="P51" t="s">
        <v>162</v>
      </c>
      <c r="Q51" t="s">
        <v>38</v>
      </c>
    </row>
    <row r="55" spans="2:17">
      <c r="B55" t="s">
        <v>165</v>
      </c>
      <c r="C55" t="s">
        <v>156</v>
      </c>
      <c r="D55">
        <v>1</v>
      </c>
      <c r="E55">
        <v>1</v>
      </c>
      <c r="F55">
        <v>5</v>
      </c>
      <c r="G55">
        <v>5</v>
      </c>
      <c r="K55">
        <v>264</v>
      </c>
      <c r="L55">
        <v>265</v>
      </c>
      <c r="M55">
        <v>2</v>
      </c>
      <c r="N55" t="s">
        <v>157</v>
      </c>
      <c r="P55" t="s">
        <v>158</v>
      </c>
    </row>
    <row r="56" spans="2:17">
      <c r="B56" t="s">
        <v>166</v>
      </c>
      <c r="C56" t="s">
        <v>167</v>
      </c>
      <c r="D56">
        <v>2</v>
      </c>
      <c r="E56">
        <v>164</v>
      </c>
      <c r="F56">
        <v>168</v>
      </c>
      <c r="G56">
        <v>5</v>
      </c>
      <c r="K56">
        <v>276</v>
      </c>
      <c r="L56">
        <v>278</v>
      </c>
      <c r="M56">
        <v>3</v>
      </c>
      <c r="N56" t="s">
        <v>168</v>
      </c>
      <c r="P56" t="s">
        <v>169</v>
      </c>
    </row>
    <row r="57" spans="2:17">
      <c r="B57" t="s">
        <v>170</v>
      </c>
      <c r="C57" t="s">
        <v>171</v>
      </c>
      <c r="D57">
        <v>18</v>
      </c>
      <c r="E57">
        <v>212</v>
      </c>
      <c r="F57">
        <v>216</v>
      </c>
      <c r="G57">
        <v>5</v>
      </c>
      <c r="K57">
        <v>279</v>
      </c>
      <c r="L57">
        <v>283</v>
      </c>
      <c r="M57">
        <v>5</v>
      </c>
      <c r="N57" t="s">
        <v>172</v>
      </c>
      <c r="P57" t="s">
        <v>173</v>
      </c>
    </row>
    <row r="58" spans="2:17">
      <c r="B58" t="s">
        <v>174</v>
      </c>
      <c r="C58" t="s">
        <v>175</v>
      </c>
      <c r="D58">
        <v>18</v>
      </c>
      <c r="E58">
        <v>217</v>
      </c>
      <c r="F58">
        <v>221</v>
      </c>
      <c r="G58">
        <v>5</v>
      </c>
      <c r="K58">
        <v>284</v>
      </c>
      <c r="L58">
        <v>288</v>
      </c>
      <c r="M58">
        <v>5</v>
      </c>
      <c r="N58" t="s">
        <v>176</v>
      </c>
      <c r="P58" t="s">
        <v>173</v>
      </c>
    </row>
    <row r="59" spans="2:17">
      <c r="B59" t="s">
        <v>177</v>
      </c>
      <c r="C59" t="s">
        <v>178</v>
      </c>
      <c r="D59">
        <v>18</v>
      </c>
      <c r="E59">
        <v>222</v>
      </c>
      <c r="F59">
        <v>226</v>
      </c>
      <c r="G59">
        <v>5</v>
      </c>
      <c r="K59">
        <v>289</v>
      </c>
      <c r="L59">
        <v>293</v>
      </c>
      <c r="M59">
        <v>5</v>
      </c>
      <c r="N59" t="s">
        <v>179</v>
      </c>
      <c r="P59" t="s">
        <v>173</v>
      </c>
    </row>
    <row r="62" spans="2:17">
      <c r="B62" t="s">
        <v>180</v>
      </c>
      <c r="C62" t="s">
        <v>156</v>
      </c>
      <c r="D62">
        <v>1</v>
      </c>
      <c r="E62">
        <v>1</v>
      </c>
      <c r="F62">
        <v>5</v>
      </c>
      <c r="K62">
        <v>59</v>
      </c>
      <c r="L62">
        <v>60</v>
      </c>
      <c r="M62">
        <v>2</v>
      </c>
      <c r="N62" t="s">
        <v>157</v>
      </c>
      <c r="P62" t="s">
        <v>158</v>
      </c>
    </row>
    <row r="63" spans="2:17">
      <c r="B63" t="s">
        <v>181</v>
      </c>
      <c r="C63" t="s">
        <v>182</v>
      </c>
      <c r="D63">
        <v>58</v>
      </c>
      <c r="E63">
        <v>34</v>
      </c>
      <c r="F63">
        <v>38</v>
      </c>
      <c r="K63">
        <v>91</v>
      </c>
      <c r="L63">
        <v>91</v>
      </c>
      <c r="M63">
        <v>1</v>
      </c>
      <c r="N63" t="s">
        <v>183</v>
      </c>
      <c r="P63" t="s">
        <v>184</v>
      </c>
    </row>
    <row r="65" spans="2:16">
      <c r="B65" t="s">
        <v>185</v>
      </c>
      <c r="C65" t="s">
        <v>139</v>
      </c>
      <c r="D65" t="s">
        <v>25</v>
      </c>
      <c r="E65">
        <v>1</v>
      </c>
      <c r="F65">
        <v>250</v>
      </c>
      <c r="G65">
        <v>250</v>
      </c>
      <c r="K65">
        <v>1</v>
      </c>
      <c r="L65">
        <v>250</v>
      </c>
      <c r="M65">
        <v>250</v>
      </c>
      <c r="P65" t="s">
        <v>26</v>
      </c>
    </row>
    <row r="66" spans="2:16">
      <c r="B66" t="s">
        <v>186</v>
      </c>
      <c r="C66" t="s">
        <v>156</v>
      </c>
      <c r="D66">
        <v>1</v>
      </c>
      <c r="E66">
        <v>1</v>
      </c>
      <c r="F66">
        <v>5</v>
      </c>
      <c r="G66">
        <v>5</v>
      </c>
      <c r="K66">
        <v>113</v>
      </c>
      <c r="L66">
        <v>114</v>
      </c>
      <c r="M66">
        <v>2</v>
      </c>
      <c r="N66" t="s">
        <v>157</v>
      </c>
      <c r="P66" t="s">
        <v>158</v>
      </c>
    </row>
    <row r="67" spans="2:16">
      <c r="B67" t="s">
        <v>187</v>
      </c>
      <c r="C67" t="s">
        <v>171</v>
      </c>
      <c r="D67">
        <v>18</v>
      </c>
      <c r="E67">
        <v>88</v>
      </c>
      <c r="F67">
        <v>92</v>
      </c>
      <c r="G67">
        <v>5</v>
      </c>
      <c r="K67">
        <v>135</v>
      </c>
      <c r="L67">
        <v>139</v>
      </c>
      <c r="M67">
        <v>5</v>
      </c>
      <c r="N67" t="s">
        <v>172</v>
      </c>
      <c r="P67" t="s">
        <v>173</v>
      </c>
    </row>
    <row r="68" spans="2:16">
      <c r="B68" t="s">
        <v>188</v>
      </c>
      <c r="C68" t="s">
        <v>175</v>
      </c>
      <c r="D68">
        <v>18</v>
      </c>
      <c r="E68">
        <v>93</v>
      </c>
      <c r="F68">
        <v>97</v>
      </c>
      <c r="G68">
        <v>5</v>
      </c>
      <c r="K68">
        <v>140</v>
      </c>
      <c r="L68">
        <v>144</v>
      </c>
      <c r="M68">
        <v>5</v>
      </c>
      <c r="N68" t="s">
        <v>176</v>
      </c>
      <c r="P68" t="s">
        <v>173</v>
      </c>
    </row>
    <row r="69" spans="2:16">
      <c r="B69" t="s">
        <v>189</v>
      </c>
      <c r="C69" t="s">
        <v>178</v>
      </c>
      <c r="D69">
        <v>67</v>
      </c>
      <c r="E69">
        <v>98</v>
      </c>
      <c r="F69">
        <v>102</v>
      </c>
      <c r="G69">
        <v>5</v>
      </c>
      <c r="K69">
        <v>145</v>
      </c>
      <c r="L69">
        <v>149</v>
      </c>
      <c r="M69">
        <v>5</v>
      </c>
      <c r="N69" t="s">
        <v>179</v>
      </c>
      <c r="P69" t="s">
        <v>190</v>
      </c>
    </row>
    <row r="76" spans="2:16">
      <c r="B76" t="s">
        <v>191</v>
      </c>
      <c r="C76" t="s">
        <v>192</v>
      </c>
    </row>
    <row r="77" spans="2:16">
      <c r="B77" t="s">
        <v>193</v>
      </c>
      <c r="C77" t="s">
        <v>194</v>
      </c>
    </row>
    <row r="78" spans="2:16">
      <c r="B78" t="s">
        <v>195</v>
      </c>
      <c r="C78" t="s">
        <v>196</v>
      </c>
    </row>
    <row r="82" spans="2:5">
      <c r="B82" t="s">
        <v>197</v>
      </c>
      <c r="C82" t="s">
        <v>198</v>
      </c>
      <c r="D82" t="s">
        <v>199</v>
      </c>
      <c r="E82" t="s">
        <v>200</v>
      </c>
    </row>
    <row r="83" spans="2:5">
      <c r="C83" t="s">
        <v>201</v>
      </c>
      <c r="D83" t="s">
        <v>202</v>
      </c>
    </row>
    <row r="85" spans="2:5">
      <c r="B85" t="s">
        <v>203</v>
      </c>
      <c r="C85" t="s">
        <v>204</v>
      </c>
      <c r="D85" t="s">
        <v>205</v>
      </c>
    </row>
    <row r="86" spans="2:5">
      <c r="C86" t="s">
        <v>206</v>
      </c>
      <c r="D86" t="s">
        <v>207</v>
      </c>
      <c r="E86" t="s">
        <v>208</v>
      </c>
    </row>
    <row r="88" spans="2:5">
      <c r="B88" t="s">
        <v>209</v>
      </c>
      <c r="E88" t="s">
        <v>196</v>
      </c>
    </row>
  </sheetData>
  <pageMargins left="0.7" right="0.7" top="0.75" bottom="0.75" header="0.3" footer="0.3"/>
  <pageSetup paperSize="9" orientation="landscape"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4.4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c r="E1" t="s">
        <v>210</v>
      </c>
    </row>
    <row r="2" spans="1:5">
      <c r="A2">
        <v>5</v>
      </c>
      <c r="B2" t="s">
        <v>25</v>
      </c>
      <c r="C2" s="37" t="s">
        <v>211</v>
      </c>
      <c r="D2" s="37" t="s">
        <v>212</v>
      </c>
    </row>
    <row r="3" spans="1:5">
      <c r="A3">
        <v>9</v>
      </c>
      <c r="B3" t="s">
        <v>25</v>
      </c>
      <c r="C3" s="37" t="s">
        <v>213</v>
      </c>
      <c r="D3" s="37" t="s">
        <v>214</v>
      </c>
    </row>
    <row r="4" spans="1:5">
      <c r="A4">
        <v>13</v>
      </c>
      <c r="B4" t="s">
        <v>25</v>
      </c>
      <c r="C4" s="37" t="s">
        <v>215</v>
      </c>
      <c r="D4" s="37" t="s">
        <v>216</v>
      </c>
    </row>
    <row r="5" spans="1:5">
      <c r="A5">
        <v>17</v>
      </c>
      <c r="B5" t="s">
        <v>25</v>
      </c>
      <c r="C5" s="37" t="s">
        <v>217</v>
      </c>
      <c r="D5" s="37" t="s">
        <v>218</v>
      </c>
    </row>
    <row r="6" spans="1:5">
      <c r="A6">
        <v>21</v>
      </c>
      <c r="B6" t="s">
        <v>25</v>
      </c>
      <c r="C6" s="37" t="s">
        <v>219</v>
      </c>
      <c r="D6" s="37" t="s">
        <v>220</v>
      </c>
    </row>
    <row r="7" spans="1:5">
      <c r="A7">
        <v>25</v>
      </c>
      <c r="B7" t="s">
        <v>25</v>
      </c>
      <c r="C7" s="37" t="s">
        <v>221</v>
      </c>
      <c r="D7" s="37" t="s">
        <v>222</v>
      </c>
    </row>
    <row r="8" spans="1:5">
      <c r="A8">
        <v>29</v>
      </c>
      <c r="B8" t="s">
        <v>25</v>
      </c>
      <c r="C8" s="37" t="s">
        <v>223</v>
      </c>
      <c r="D8" s="37" t="s">
        <v>224</v>
      </c>
    </row>
    <row r="9" spans="1:5">
      <c r="A9">
        <v>33</v>
      </c>
      <c r="B9" t="s">
        <v>25</v>
      </c>
      <c r="C9" s="37" t="s">
        <v>225</v>
      </c>
      <c r="D9" s="37" t="s">
        <v>226</v>
      </c>
    </row>
    <row r="10" spans="1:5">
      <c r="A10">
        <v>37</v>
      </c>
      <c r="B10" t="s">
        <v>25</v>
      </c>
      <c r="C10" s="37" t="s">
        <v>227</v>
      </c>
      <c r="D10" s="37" t="s">
        <v>228</v>
      </c>
    </row>
    <row r="11" spans="1:5">
      <c r="A11">
        <v>41</v>
      </c>
      <c r="B11" t="s">
        <v>25</v>
      </c>
      <c r="C11" s="37" t="s">
        <v>229</v>
      </c>
      <c r="D11" s="37" t="s">
        <v>230</v>
      </c>
    </row>
    <row r="12" spans="1:5">
      <c r="A12">
        <v>45</v>
      </c>
      <c r="B12" t="s">
        <v>25</v>
      </c>
      <c r="C12" s="37" t="s">
        <v>231</v>
      </c>
      <c r="D12" s="37" t="s">
        <v>232</v>
      </c>
    </row>
    <row r="13" spans="1:5">
      <c r="A13">
        <v>49</v>
      </c>
      <c r="B13" t="s">
        <v>25</v>
      </c>
      <c r="C13" s="37" t="s">
        <v>233</v>
      </c>
      <c r="D13" s="37" t="s">
        <v>234</v>
      </c>
    </row>
    <row r="14" spans="1:5">
      <c r="A14">
        <v>56</v>
      </c>
      <c r="B14" t="s">
        <v>25</v>
      </c>
      <c r="C14" s="37" t="s">
        <v>235</v>
      </c>
      <c r="D14" s="37" t="s">
        <v>236</v>
      </c>
    </row>
    <row r="15" spans="1:5">
      <c r="A15">
        <v>60</v>
      </c>
      <c r="B15" t="s">
        <v>25</v>
      </c>
      <c r="C15" s="37" t="s">
        <v>237</v>
      </c>
      <c r="D15" s="37" t="s">
        <v>238</v>
      </c>
    </row>
    <row r="16" spans="1:5">
      <c r="A16">
        <v>64</v>
      </c>
      <c r="B16" t="s">
        <v>25</v>
      </c>
      <c r="C16" s="37" t="s">
        <v>239</v>
      </c>
      <c r="D16" s="37" t="s">
        <v>240</v>
      </c>
    </row>
    <row r="17" spans="1:4">
      <c r="A17">
        <v>68</v>
      </c>
      <c r="B17" t="s">
        <v>25</v>
      </c>
      <c r="C17" s="37" t="s">
        <v>241</v>
      </c>
      <c r="D17" s="37" t="s">
        <v>242</v>
      </c>
    </row>
    <row r="18" spans="1:4">
      <c r="A18">
        <v>72</v>
      </c>
      <c r="B18" t="s">
        <v>25</v>
      </c>
      <c r="C18" s="37" t="s">
        <v>243</v>
      </c>
      <c r="D18" s="37" t="s">
        <v>244</v>
      </c>
    </row>
    <row r="19" spans="1:4">
      <c r="A19">
        <v>73</v>
      </c>
      <c r="B19" t="s">
        <v>25</v>
      </c>
      <c r="C19" s="37" t="s">
        <v>25</v>
      </c>
      <c r="D19" s="37" t="s">
        <v>245</v>
      </c>
    </row>
    <row r="20" spans="1:4">
      <c r="A20">
        <v>74</v>
      </c>
      <c r="B20" t="s">
        <v>25</v>
      </c>
      <c r="D20" s="37" t="s">
        <v>246</v>
      </c>
    </row>
    <row r="21" spans="1:4">
      <c r="A21">
        <v>75</v>
      </c>
      <c r="B21" t="s">
        <v>25</v>
      </c>
      <c r="D21" s="37" t="s">
        <v>247</v>
      </c>
    </row>
    <row r="22" spans="1:4">
      <c r="A22">
        <v>79</v>
      </c>
      <c r="B22" t="s">
        <v>25</v>
      </c>
      <c r="C22" s="37" t="s">
        <v>248</v>
      </c>
      <c r="D22" s="37" t="s">
        <v>249</v>
      </c>
    </row>
    <row r="23" spans="1:4">
      <c r="A23">
        <v>83</v>
      </c>
      <c r="B23" t="s">
        <v>25</v>
      </c>
      <c r="C23" s="37" t="s">
        <v>250</v>
      </c>
      <c r="D23" s="37" t="s">
        <v>251</v>
      </c>
    </row>
    <row r="24" spans="1:4">
      <c r="A24">
        <v>87</v>
      </c>
      <c r="B24" t="s">
        <v>25</v>
      </c>
      <c r="C24" s="37" t="s">
        <v>252</v>
      </c>
      <c r="D24" s="37" t="s">
        <v>253</v>
      </c>
    </row>
    <row r="25" spans="1:4">
      <c r="A25">
        <v>91</v>
      </c>
      <c r="B25" t="s">
        <v>25</v>
      </c>
      <c r="C25" s="37" t="s">
        <v>254</v>
      </c>
      <c r="D25" s="37" t="s">
        <v>255</v>
      </c>
    </row>
    <row r="26" spans="1:4">
      <c r="A26">
        <v>95</v>
      </c>
      <c r="B26" t="s">
        <v>25</v>
      </c>
      <c r="C26" s="37" t="s">
        <v>256</v>
      </c>
      <c r="D26" s="37" t="s">
        <v>257</v>
      </c>
    </row>
    <row r="27" spans="1:4">
      <c r="A27">
        <v>96</v>
      </c>
      <c r="B27" t="s">
        <v>25</v>
      </c>
      <c r="C27" s="37" t="s">
        <v>25</v>
      </c>
      <c r="D27" s="37" t="s">
        <v>258</v>
      </c>
    </row>
    <row r="28" spans="1:4">
      <c r="A28">
        <v>97</v>
      </c>
      <c r="B28" t="s">
        <v>25</v>
      </c>
      <c r="D28" s="37" t="s">
        <v>259</v>
      </c>
    </row>
    <row r="29" spans="1:4">
      <c r="A29">
        <v>98</v>
      </c>
      <c r="B29" t="s">
        <v>25</v>
      </c>
      <c r="D29" s="37" t="s">
        <v>260</v>
      </c>
    </row>
    <row r="30" spans="1:4">
      <c r="A30">
        <v>99</v>
      </c>
      <c r="B30" t="s">
        <v>25</v>
      </c>
      <c r="D30" s="37" t="s">
        <v>261</v>
      </c>
    </row>
    <row r="31" spans="1:4">
      <c r="A31">
        <v>100</v>
      </c>
      <c r="B31" t="s">
        <v>25</v>
      </c>
      <c r="D31" s="37" t="s">
        <v>262</v>
      </c>
    </row>
    <row r="32" spans="1:4">
      <c r="A32">
        <v>101</v>
      </c>
      <c r="B32" t="s">
        <v>25</v>
      </c>
      <c r="D32" s="37" t="s">
        <v>263</v>
      </c>
    </row>
    <row r="33" spans="1:4">
      <c r="A33">
        <v>102</v>
      </c>
      <c r="B33" t="s">
        <v>25</v>
      </c>
      <c r="D33" s="37" t="s">
        <v>264</v>
      </c>
    </row>
    <row r="34" spans="1:4">
      <c r="A34">
        <v>103</v>
      </c>
      <c r="B34" t="s">
        <v>25</v>
      </c>
      <c r="D34" s="37" t="s">
        <v>265</v>
      </c>
    </row>
    <row r="35" spans="1:4">
      <c r="A35">
        <v>104</v>
      </c>
      <c r="B35" t="s">
        <v>25</v>
      </c>
      <c r="D35" s="37" t="s">
        <v>266</v>
      </c>
    </row>
    <row r="36" spans="1:4">
      <c r="A36">
        <v>105</v>
      </c>
      <c r="B36" t="s">
        <v>25</v>
      </c>
      <c r="D36" s="37" t="s">
        <v>267</v>
      </c>
    </row>
    <row r="37" spans="1:4">
      <c r="A37">
        <v>112</v>
      </c>
      <c r="B37" t="s">
        <v>25</v>
      </c>
      <c r="C37" s="37" t="s">
        <v>268</v>
      </c>
      <c r="D37" s="37" t="s">
        <v>269</v>
      </c>
    </row>
    <row r="38" spans="1:4">
      <c r="A38">
        <v>116</v>
      </c>
      <c r="B38" t="s">
        <v>25</v>
      </c>
      <c r="C38" s="37" t="s">
        <v>270</v>
      </c>
      <c r="D38" s="37" t="s">
        <v>271</v>
      </c>
    </row>
    <row r="39" spans="1:4">
      <c r="A39">
        <v>117</v>
      </c>
      <c r="B39" t="s">
        <v>25</v>
      </c>
      <c r="C39" s="37" t="s">
        <v>25</v>
      </c>
      <c r="D39" s="37" t="s">
        <v>272</v>
      </c>
    </row>
    <row r="40" spans="1:4">
      <c r="A40">
        <v>118</v>
      </c>
      <c r="B40" t="s">
        <v>25</v>
      </c>
      <c r="D40" s="37" t="s">
        <v>273</v>
      </c>
    </row>
    <row r="41" spans="1:4">
      <c r="A41">
        <v>119</v>
      </c>
      <c r="B41" t="s">
        <v>25</v>
      </c>
      <c r="D41" s="37" t="s">
        <v>274</v>
      </c>
    </row>
    <row r="42" spans="1:4">
      <c r="A42">
        <v>120</v>
      </c>
      <c r="B42" t="s">
        <v>25</v>
      </c>
      <c r="D42" s="37" t="s">
        <v>275</v>
      </c>
    </row>
    <row r="43" spans="1:4">
      <c r="A43">
        <v>121</v>
      </c>
      <c r="B43" t="s">
        <v>25</v>
      </c>
      <c r="D43" s="37" t="s">
        <v>276</v>
      </c>
    </row>
    <row r="44" spans="1:4">
      <c r="A44">
        <v>122</v>
      </c>
      <c r="B44" t="s">
        <v>25</v>
      </c>
      <c r="D44" s="37" t="s">
        <v>277</v>
      </c>
    </row>
    <row r="45" spans="1:4">
      <c r="A45">
        <v>123</v>
      </c>
      <c r="B45" t="s">
        <v>25</v>
      </c>
      <c r="D45" s="37" t="s">
        <v>278</v>
      </c>
    </row>
    <row r="46" spans="1:4">
      <c r="A46">
        <v>124</v>
      </c>
      <c r="B46" t="s">
        <v>25</v>
      </c>
      <c r="D46" s="37" t="s">
        <v>279</v>
      </c>
    </row>
    <row r="47" spans="1:4">
      <c r="A47">
        <v>125</v>
      </c>
      <c r="B47" t="s">
        <v>25</v>
      </c>
      <c r="D47" s="37" t="s">
        <v>280</v>
      </c>
    </row>
    <row r="48" spans="1:4">
      <c r="A48">
        <v>129</v>
      </c>
      <c r="B48" t="s">
        <v>25</v>
      </c>
      <c r="C48" s="37" t="s">
        <v>281</v>
      </c>
      <c r="D48" s="37" t="s">
        <v>282</v>
      </c>
    </row>
    <row r="49" spans="1:4">
      <c r="A49">
        <v>130</v>
      </c>
      <c r="B49" t="s">
        <v>25</v>
      </c>
      <c r="C49" s="37" t="s">
        <v>25</v>
      </c>
      <c r="D49" s="37" t="s">
        <v>283</v>
      </c>
    </row>
    <row r="50" spans="1:4">
      <c r="A50">
        <v>134</v>
      </c>
      <c r="B50" t="s">
        <v>25</v>
      </c>
      <c r="C50" s="37" t="s">
        <v>284</v>
      </c>
      <c r="D50" s="37" t="s">
        <v>285</v>
      </c>
    </row>
    <row r="51" spans="1:4">
      <c r="A51">
        <v>138</v>
      </c>
      <c r="B51" t="s">
        <v>25</v>
      </c>
      <c r="C51" s="37" t="s">
        <v>286</v>
      </c>
      <c r="D51" s="37" t="s">
        <v>287</v>
      </c>
    </row>
    <row r="52" spans="1:4">
      <c r="A52">
        <v>142</v>
      </c>
      <c r="B52" t="s">
        <v>25</v>
      </c>
      <c r="C52" s="37" t="s">
        <v>288</v>
      </c>
      <c r="D52" s="37" t="s">
        <v>289</v>
      </c>
    </row>
    <row r="53" spans="1:4">
      <c r="A53">
        <v>146</v>
      </c>
      <c r="B53" t="s">
        <v>25</v>
      </c>
      <c r="C53" s="37" t="s">
        <v>290</v>
      </c>
      <c r="D53" s="37" t="s">
        <v>291</v>
      </c>
    </row>
    <row r="54" spans="1:4">
      <c r="A54">
        <v>150</v>
      </c>
      <c r="B54" t="s">
        <v>25</v>
      </c>
      <c r="C54" s="37" t="s">
        <v>292</v>
      </c>
      <c r="D54" s="37" t="s">
        <v>293</v>
      </c>
    </row>
    <row r="55" spans="1:4">
      <c r="A55">
        <v>154</v>
      </c>
      <c r="B55" t="s">
        <v>25</v>
      </c>
      <c r="C55" s="37" t="s">
        <v>294</v>
      </c>
      <c r="D55" s="37" t="s">
        <v>295</v>
      </c>
    </row>
    <row r="56" spans="1:4">
      <c r="A56">
        <v>158</v>
      </c>
      <c r="B56" t="s">
        <v>25</v>
      </c>
      <c r="C56" s="37" t="s">
        <v>296</v>
      </c>
      <c r="D56" s="37" t="s">
        <v>297</v>
      </c>
    </row>
    <row r="57" spans="1:4">
      <c r="A57">
        <v>159</v>
      </c>
      <c r="B57" t="s">
        <v>25</v>
      </c>
      <c r="C57" s="37" t="s">
        <v>25</v>
      </c>
      <c r="D57" s="37" t="s">
        <v>298</v>
      </c>
    </row>
    <row r="58" spans="1:4">
      <c r="A58">
        <v>166</v>
      </c>
      <c r="B58" t="s">
        <v>25</v>
      </c>
      <c r="C58" s="37" t="s">
        <v>299</v>
      </c>
      <c r="D58" s="37" t="s">
        <v>300</v>
      </c>
    </row>
    <row r="59" spans="1:4">
      <c r="A59">
        <v>167</v>
      </c>
      <c r="B59" t="s">
        <v>25</v>
      </c>
      <c r="C59" s="37" t="s">
        <v>25</v>
      </c>
      <c r="D59" s="37" t="s">
        <v>301</v>
      </c>
    </row>
    <row r="60" spans="1:4">
      <c r="A60">
        <v>171</v>
      </c>
      <c r="B60" t="s">
        <v>25</v>
      </c>
      <c r="C60" s="37" t="s">
        <v>302</v>
      </c>
      <c r="D60" s="37" t="s">
        <v>303</v>
      </c>
    </row>
    <row r="61" spans="1:4">
      <c r="A61">
        <v>172</v>
      </c>
      <c r="B61" t="s">
        <v>25</v>
      </c>
      <c r="C61" s="37" t="s">
        <v>25</v>
      </c>
      <c r="D61" s="37" t="s">
        <v>304</v>
      </c>
    </row>
    <row r="62" spans="1:4">
      <c r="A62">
        <v>173</v>
      </c>
      <c r="B62" t="s">
        <v>25</v>
      </c>
      <c r="D62" s="37" t="s">
        <v>305</v>
      </c>
    </row>
    <row r="63" spans="1:4">
      <c r="A63">
        <v>177</v>
      </c>
      <c r="B63" t="s">
        <v>25</v>
      </c>
      <c r="C63" s="37" t="s">
        <v>306</v>
      </c>
      <c r="D63" s="37" t="s">
        <v>307</v>
      </c>
    </row>
    <row r="64" spans="1:4">
      <c r="A64">
        <v>178</v>
      </c>
      <c r="B64" t="s">
        <v>25</v>
      </c>
      <c r="C64" s="37" t="s">
        <v>25</v>
      </c>
      <c r="D64" s="37" t="s">
        <v>308</v>
      </c>
    </row>
    <row r="65" spans="1:4">
      <c r="A65">
        <v>182</v>
      </c>
      <c r="B65" t="s">
        <v>25</v>
      </c>
      <c r="C65" s="37" t="s">
        <v>309</v>
      </c>
      <c r="D65" s="37" t="s">
        <v>310</v>
      </c>
    </row>
    <row r="66" spans="1:4">
      <c r="A66">
        <v>183</v>
      </c>
      <c r="B66" t="s">
        <v>25</v>
      </c>
      <c r="C66" s="37" t="s">
        <v>25</v>
      </c>
      <c r="D66" s="37" t="s">
        <v>311</v>
      </c>
    </row>
    <row r="67" spans="1:4">
      <c r="A67">
        <v>184</v>
      </c>
      <c r="B67" t="s">
        <v>25</v>
      </c>
      <c r="D67" s="37" t="s">
        <v>312</v>
      </c>
    </row>
    <row r="68" spans="1:4">
      <c r="A68">
        <v>185</v>
      </c>
      <c r="B68" t="s">
        <v>25</v>
      </c>
      <c r="D68" s="37" t="s">
        <v>313</v>
      </c>
    </row>
    <row r="69" spans="1:4">
      <c r="A69">
        <v>186</v>
      </c>
      <c r="B69" t="s">
        <v>25</v>
      </c>
      <c r="D69" s="37" t="s">
        <v>314</v>
      </c>
    </row>
    <row r="70" spans="1:4">
      <c r="A70">
        <v>190</v>
      </c>
      <c r="B70" t="s">
        <v>25</v>
      </c>
      <c r="C70" s="37" t="s">
        <v>315</v>
      </c>
      <c r="D70" s="37" t="s">
        <v>316</v>
      </c>
    </row>
    <row r="71" spans="1:4">
      <c r="A71">
        <v>191</v>
      </c>
      <c r="B71" t="s">
        <v>25</v>
      </c>
      <c r="C71" s="37" t="s">
        <v>25</v>
      </c>
      <c r="D71" s="37" t="s">
        <v>317</v>
      </c>
    </row>
    <row r="72" spans="1:4">
      <c r="A72">
        <v>192</v>
      </c>
      <c r="B72" t="s">
        <v>25</v>
      </c>
      <c r="D72" s="37" t="s">
        <v>318</v>
      </c>
    </row>
    <row r="73" spans="1:4">
      <c r="A73">
        <v>196</v>
      </c>
      <c r="B73" t="s">
        <v>25</v>
      </c>
      <c r="C73" s="37" t="s">
        <v>319</v>
      </c>
      <c r="D73" s="37" t="s">
        <v>320</v>
      </c>
    </row>
    <row r="74" spans="1:4">
      <c r="A74">
        <v>197</v>
      </c>
      <c r="B74" t="s">
        <v>25</v>
      </c>
      <c r="C74" s="37" t="s">
        <v>25</v>
      </c>
      <c r="D74" s="37" t="s">
        <v>321</v>
      </c>
    </row>
    <row r="75" spans="1:4">
      <c r="A75">
        <v>198</v>
      </c>
      <c r="B75" t="s">
        <v>25</v>
      </c>
      <c r="D75" s="37" t="s">
        <v>322</v>
      </c>
    </row>
    <row r="76" spans="1:4">
      <c r="A76">
        <v>202</v>
      </c>
      <c r="B76" t="s">
        <v>25</v>
      </c>
      <c r="C76" s="37" t="s">
        <v>323</v>
      </c>
      <c r="D76" s="37" t="s">
        <v>324</v>
      </c>
    </row>
    <row r="77" spans="1:4">
      <c r="A77">
        <v>203</v>
      </c>
      <c r="B77" t="s">
        <v>25</v>
      </c>
      <c r="C77" s="37" t="s">
        <v>25</v>
      </c>
      <c r="D77" s="37" t="s">
        <v>325</v>
      </c>
    </row>
    <row r="78" spans="1:4">
      <c r="A78">
        <v>207</v>
      </c>
      <c r="B78" t="s">
        <v>25</v>
      </c>
      <c r="C78" s="37" t="s">
        <v>326</v>
      </c>
      <c r="D78" s="37" t="s">
        <v>327</v>
      </c>
    </row>
    <row r="79" spans="1:4">
      <c r="A79">
        <v>208</v>
      </c>
      <c r="B79" t="s">
        <v>25</v>
      </c>
      <c r="C79" s="37" t="s">
        <v>25</v>
      </c>
      <c r="D79" s="37" t="s">
        <v>328</v>
      </c>
    </row>
    <row r="80" spans="1:4">
      <c r="A80">
        <v>209</v>
      </c>
      <c r="B80" t="s">
        <v>25</v>
      </c>
      <c r="D80" s="37" t="s">
        <v>329</v>
      </c>
    </row>
    <row r="81" spans="1:4">
      <c r="A81">
        <v>210</v>
      </c>
      <c r="B81" t="s">
        <v>25</v>
      </c>
      <c r="D81" s="37" t="s">
        <v>330</v>
      </c>
    </row>
    <row r="82" spans="1:4">
      <c r="A82">
        <v>211</v>
      </c>
      <c r="B82" t="s">
        <v>25</v>
      </c>
      <c r="D82" s="37" t="s">
        <v>331</v>
      </c>
    </row>
    <row r="83" spans="1:4">
      <c r="A83">
        <v>212</v>
      </c>
      <c r="B83" t="s">
        <v>25</v>
      </c>
      <c r="D83" s="37" t="s">
        <v>332</v>
      </c>
    </row>
    <row r="84" spans="1:4">
      <c r="A84">
        <v>213</v>
      </c>
      <c r="B84" t="s">
        <v>25</v>
      </c>
      <c r="D84" s="37" t="s">
        <v>333</v>
      </c>
    </row>
    <row r="85" spans="1:4">
      <c r="A85">
        <v>214</v>
      </c>
      <c r="B85" t="s">
        <v>25</v>
      </c>
      <c r="D85" s="37" t="s">
        <v>334</v>
      </c>
    </row>
    <row r="86" spans="1:4">
      <c r="A86">
        <v>215</v>
      </c>
      <c r="B86" t="s">
        <v>25</v>
      </c>
    </row>
    <row r="87" spans="1:4">
      <c r="A87">
        <v>216</v>
      </c>
      <c r="B87" t="s">
        <v>25</v>
      </c>
    </row>
    <row r="88" spans="1:4">
      <c r="A88">
        <v>217</v>
      </c>
      <c r="B88" t="s">
        <v>25</v>
      </c>
      <c r="C88" s="37" t="s">
        <v>25</v>
      </c>
    </row>
  </sheetData>
  <pageMargins left="0.7" right="0.7" top="0.75" bottom="0.75" header="0.3" footer="0.3"/>
  <pageSetup paperSize="9"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4.4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c r="A2" s="24" t="s">
        <v>335</v>
      </c>
      <c r="B2" s="24" t="s">
        <v>139</v>
      </c>
      <c r="C2" s="24" t="s">
        <v>25</v>
      </c>
      <c r="D2" s="24">
        <v>1</v>
      </c>
      <c r="E2" s="24" t="s">
        <v>25</v>
      </c>
      <c r="F2" s="24">
        <v>732</v>
      </c>
      <c r="I2">
        <v>1</v>
      </c>
      <c r="J2" t="s">
        <v>25</v>
      </c>
      <c r="K2">
        <v>732</v>
      </c>
      <c r="L2" t="s">
        <v>26</v>
      </c>
      <c r="M2" t="s">
        <v>25</v>
      </c>
    </row>
    <row r="3" spans="1:13">
      <c r="A3" s="24" t="s">
        <v>336</v>
      </c>
      <c r="B3" s="24" t="s">
        <v>337</v>
      </c>
      <c r="C3" s="24">
        <v>1</v>
      </c>
      <c r="D3" s="24">
        <v>11</v>
      </c>
      <c r="E3" s="24">
        <v>15</v>
      </c>
      <c r="F3" s="24">
        <v>5</v>
      </c>
      <c r="I3">
        <v>542</v>
      </c>
      <c r="J3">
        <v>543</v>
      </c>
      <c r="K3">
        <v>2</v>
      </c>
      <c r="L3" t="s">
        <v>158</v>
      </c>
      <c r="M3" t="s">
        <v>31</v>
      </c>
    </row>
    <row r="4" spans="1:13">
      <c r="A4" s="24" t="s">
        <v>338</v>
      </c>
      <c r="B4" s="24" t="s">
        <v>339</v>
      </c>
      <c r="C4" s="24">
        <v>3</v>
      </c>
      <c r="D4" s="24">
        <v>314</v>
      </c>
      <c r="E4" s="24">
        <v>318</v>
      </c>
      <c r="F4" s="24">
        <v>5</v>
      </c>
      <c r="H4" t="s">
        <v>86</v>
      </c>
      <c r="I4">
        <v>724</v>
      </c>
      <c r="J4">
        <v>726</v>
      </c>
      <c r="K4">
        <v>3</v>
      </c>
      <c r="L4" t="s">
        <v>87</v>
      </c>
      <c r="M4" t="s">
        <v>31</v>
      </c>
    </row>
    <row r="5" spans="1:13">
      <c r="A5" s="24" t="s">
        <v>340</v>
      </c>
      <c r="B5" s="24" t="s">
        <v>341</v>
      </c>
      <c r="C5" s="24">
        <v>112</v>
      </c>
      <c r="D5" s="24">
        <v>358</v>
      </c>
      <c r="E5" s="24">
        <v>362</v>
      </c>
      <c r="F5" s="24">
        <v>5</v>
      </c>
      <c r="H5" t="s">
        <v>342</v>
      </c>
      <c r="I5">
        <v>727</v>
      </c>
      <c r="J5">
        <v>727</v>
      </c>
      <c r="K5">
        <v>1</v>
      </c>
      <c r="L5" t="s">
        <v>343</v>
      </c>
      <c r="M5" t="s">
        <v>31</v>
      </c>
    </row>
    <row r="6" spans="1:13">
      <c r="A6" s="24" t="s">
        <v>344</v>
      </c>
      <c r="B6" s="24" t="s">
        <v>345</v>
      </c>
      <c r="C6" s="24">
        <v>113</v>
      </c>
      <c r="D6" s="24">
        <v>492</v>
      </c>
      <c r="E6" s="24">
        <v>496</v>
      </c>
      <c r="F6" s="24">
        <v>5</v>
      </c>
      <c r="H6" t="s">
        <v>346</v>
      </c>
      <c r="I6">
        <v>728</v>
      </c>
      <c r="J6">
        <v>729</v>
      </c>
      <c r="K6">
        <v>2</v>
      </c>
      <c r="L6" t="s">
        <v>347</v>
      </c>
      <c r="M6" t="s">
        <v>31</v>
      </c>
    </row>
    <row r="7" spans="1:13">
      <c r="A7" s="24" t="s">
        <v>348</v>
      </c>
      <c r="B7" s="24" t="s">
        <v>349</v>
      </c>
      <c r="C7" s="24">
        <v>6</v>
      </c>
      <c r="D7" s="24">
        <v>598</v>
      </c>
      <c r="E7" s="24">
        <v>602</v>
      </c>
      <c r="F7" s="24">
        <v>3</v>
      </c>
      <c r="H7" t="s">
        <v>350</v>
      </c>
      <c r="I7">
        <v>730</v>
      </c>
      <c r="J7">
        <v>732</v>
      </c>
      <c r="K7">
        <v>3</v>
      </c>
      <c r="L7" t="s">
        <v>351</v>
      </c>
      <c r="M7" t="s">
        <v>31</v>
      </c>
    </row>
    <row r="9" spans="1:13">
      <c r="D9" t="s">
        <v>352</v>
      </c>
    </row>
    <row r="10" spans="1:13">
      <c r="A10" s="31" t="s">
        <v>353</v>
      </c>
      <c r="B10" s="43" t="s">
        <v>354</v>
      </c>
      <c r="C10" t="s">
        <v>354</v>
      </c>
      <c r="D10" t="s">
        <v>355</v>
      </c>
      <c r="E10" t="s">
        <v>356</v>
      </c>
    </row>
    <row r="11" spans="1:13">
      <c r="A11" s="31" t="s">
        <v>357</v>
      </c>
      <c r="B11" t="s">
        <v>358</v>
      </c>
      <c r="C11" t="s">
        <v>359</v>
      </c>
      <c r="D11" t="s">
        <v>337</v>
      </c>
      <c r="E11" t="s">
        <v>360</v>
      </c>
    </row>
    <row r="12" spans="1:13">
      <c r="A12" s="31" t="s">
        <v>361</v>
      </c>
      <c r="B12" t="s">
        <v>362</v>
      </c>
      <c r="C12" t="s">
        <v>363</v>
      </c>
      <c r="D12" t="s">
        <v>364</v>
      </c>
      <c r="E12" s="50" t="s">
        <v>365</v>
      </c>
    </row>
    <row r="13" spans="1:13">
      <c r="A13" s="31" t="s">
        <v>366</v>
      </c>
      <c r="B13" t="s">
        <v>367</v>
      </c>
      <c r="C13" t="s">
        <v>346</v>
      </c>
      <c r="D13" t="s">
        <v>368</v>
      </c>
      <c r="E13" s="49" t="s">
        <v>369</v>
      </c>
    </row>
    <row r="14" spans="1:13">
      <c r="A14" s="29" t="s">
        <v>370</v>
      </c>
      <c r="B14" t="s">
        <v>342</v>
      </c>
      <c r="C14" t="s">
        <v>342</v>
      </c>
      <c r="D14" t="s">
        <v>371</v>
      </c>
      <c r="E14" s="35" t="s">
        <v>372</v>
      </c>
    </row>
    <row r="15" spans="1:13">
      <c r="A15" s="29" t="s">
        <v>373</v>
      </c>
      <c r="B15" t="s">
        <v>374</v>
      </c>
      <c r="C15" t="s">
        <v>375</v>
      </c>
      <c r="D15" t="s">
        <v>376</v>
      </c>
      <c r="E15" s="35" t="s">
        <v>377</v>
      </c>
    </row>
    <row r="16" spans="1:13">
      <c r="A16" s="32" t="s">
        <v>378</v>
      </c>
      <c r="B16" t="s">
        <v>379</v>
      </c>
      <c r="C16" t="s">
        <v>380</v>
      </c>
      <c r="D16" t="s">
        <v>381</v>
      </c>
      <c r="E16" s="45" t="s">
        <v>382</v>
      </c>
      <c r="F16" s="45" t="s">
        <v>383</v>
      </c>
      <c r="G16" s="45"/>
    </row>
    <row r="17" spans="1:8">
      <c r="A17" s="29" t="s">
        <v>384</v>
      </c>
      <c r="B17" t="s">
        <v>385</v>
      </c>
      <c r="C17" t="s">
        <v>385</v>
      </c>
      <c r="D17" t="s">
        <v>339</v>
      </c>
      <c r="E17" s="35" t="s">
        <v>386</v>
      </c>
    </row>
    <row r="18" spans="1:8">
      <c r="A18" s="29" t="s">
        <v>387</v>
      </c>
      <c r="B18" t="s">
        <v>388</v>
      </c>
      <c r="C18" t="s">
        <v>389</v>
      </c>
      <c r="D18" t="s">
        <v>390</v>
      </c>
      <c r="E18" s="35" t="s">
        <v>391</v>
      </c>
    </row>
    <row r="19" spans="1:8">
      <c r="A19" s="29" t="s">
        <v>392</v>
      </c>
      <c r="B19" t="s">
        <v>393</v>
      </c>
      <c r="C19" t="s">
        <v>394</v>
      </c>
      <c r="D19" t="s">
        <v>395</v>
      </c>
      <c r="E19" s="47" t="s">
        <v>396</v>
      </c>
    </row>
    <row r="20" spans="1:8">
      <c r="A20" s="29" t="s">
        <v>397</v>
      </c>
      <c r="B20" t="s">
        <v>398</v>
      </c>
      <c r="C20" t="s">
        <v>399</v>
      </c>
      <c r="D20" t="s">
        <v>400</v>
      </c>
      <c r="E20" s="47" t="s">
        <v>401</v>
      </c>
      <c r="H20" t="s">
        <v>402</v>
      </c>
    </row>
    <row r="21" spans="1:8">
      <c r="A21" s="29" t="s">
        <v>403</v>
      </c>
      <c r="B21" t="s">
        <v>404</v>
      </c>
      <c r="C21" t="s">
        <v>405</v>
      </c>
      <c r="D21" t="s">
        <v>406</v>
      </c>
      <c r="E21" s="47" t="s">
        <v>407</v>
      </c>
      <c r="G21">
        <v>6</v>
      </c>
    </row>
    <row r="22" spans="1:8">
      <c r="A22" s="29" t="s">
        <v>408</v>
      </c>
      <c r="B22" t="s">
        <v>409</v>
      </c>
      <c r="C22" t="s">
        <v>410</v>
      </c>
      <c r="D22" t="s">
        <v>411</v>
      </c>
      <c r="E22" s="47" t="s">
        <v>412</v>
      </c>
      <c r="G22">
        <v>10</v>
      </c>
    </row>
    <row r="23" spans="1:8">
      <c r="A23" s="32" t="s">
        <v>413</v>
      </c>
      <c r="B23" t="s">
        <v>414</v>
      </c>
      <c r="C23" t="s">
        <v>415</v>
      </c>
      <c r="D23" t="s">
        <v>416</v>
      </c>
      <c r="G23">
        <v>3</v>
      </c>
    </row>
    <row r="24" spans="1:8">
      <c r="A24" s="29" t="s">
        <v>417</v>
      </c>
      <c r="B24" t="s">
        <v>418</v>
      </c>
      <c r="C24" s="49" t="s">
        <v>419</v>
      </c>
      <c r="D24" t="s">
        <v>341</v>
      </c>
      <c r="E24" s="35" t="s">
        <v>420</v>
      </c>
      <c r="G24">
        <v>2</v>
      </c>
    </row>
    <row r="25" spans="1:8">
      <c r="A25" s="29" t="s">
        <v>421</v>
      </c>
      <c r="B25" t="s">
        <v>422</v>
      </c>
      <c r="C25" t="s">
        <v>423</v>
      </c>
      <c r="D25" t="s">
        <v>424</v>
      </c>
      <c r="E25" s="35" t="s">
        <v>425</v>
      </c>
      <c r="G25">
        <v>1</v>
      </c>
    </row>
    <row r="26" spans="1:8">
      <c r="A26" s="29" t="s">
        <v>426</v>
      </c>
      <c r="B26" s="48" t="s">
        <v>427</v>
      </c>
      <c r="C26" s="45" t="s">
        <v>428</v>
      </c>
      <c r="D26" t="s">
        <v>429</v>
      </c>
      <c r="E26" s="47" t="s">
        <v>430</v>
      </c>
      <c r="G26">
        <v>2</v>
      </c>
    </row>
    <row r="27" spans="1:8">
      <c r="A27" s="29" t="s">
        <v>431</v>
      </c>
      <c r="B27" t="s">
        <v>432</v>
      </c>
      <c r="C27" s="45" t="s">
        <v>433</v>
      </c>
      <c r="D27" t="s">
        <v>434</v>
      </c>
      <c r="E27" s="47" t="s">
        <v>435</v>
      </c>
      <c r="G27">
        <v>10</v>
      </c>
    </row>
    <row r="28" spans="1:8">
      <c r="A28" s="31" t="s">
        <v>436</v>
      </c>
      <c r="B28" t="s">
        <v>437</v>
      </c>
      <c r="C28" s="45" t="s">
        <v>438</v>
      </c>
      <c r="D28" t="s">
        <v>439</v>
      </c>
      <c r="E28" t="s">
        <v>440</v>
      </c>
      <c r="G28">
        <v>4</v>
      </c>
    </row>
    <row r="29" spans="1:8">
      <c r="A29" s="29" t="s">
        <v>441</v>
      </c>
      <c r="B29" t="s">
        <v>442</v>
      </c>
      <c r="C29" t="s">
        <v>443</v>
      </c>
      <c r="D29" t="s">
        <v>444</v>
      </c>
      <c r="E29" s="35" t="s">
        <v>445</v>
      </c>
      <c r="G29">
        <v>11</v>
      </c>
    </row>
    <row r="30" spans="1:8">
      <c r="A30" s="29" t="s">
        <v>446</v>
      </c>
      <c r="B30" t="s">
        <v>447</v>
      </c>
      <c r="C30" s="45" t="s">
        <v>448</v>
      </c>
      <c r="D30" t="s">
        <v>449</v>
      </c>
      <c r="E30" s="47" t="s">
        <v>450</v>
      </c>
      <c r="G30">
        <v>10</v>
      </c>
    </row>
    <row r="31" spans="1:8">
      <c r="A31" s="32" t="s">
        <v>451</v>
      </c>
      <c r="B31" t="s">
        <v>452</v>
      </c>
      <c r="C31" t="s">
        <v>453</v>
      </c>
      <c r="D31" t="s">
        <v>454</v>
      </c>
      <c r="E31" s="45" t="s">
        <v>455</v>
      </c>
      <c r="G31">
        <v>5</v>
      </c>
    </row>
    <row r="32" spans="1:8">
      <c r="A32" s="32" t="s">
        <v>456</v>
      </c>
      <c r="B32" s="44" t="s">
        <v>457</v>
      </c>
      <c r="C32" t="s">
        <v>458</v>
      </c>
      <c r="D32" t="s">
        <v>459</v>
      </c>
      <c r="E32" s="45" t="s">
        <v>460</v>
      </c>
      <c r="G32">
        <v>4</v>
      </c>
    </row>
    <row r="33" spans="1:7">
      <c r="A33" s="29" t="s">
        <v>461</v>
      </c>
      <c r="B33" t="s">
        <v>462</v>
      </c>
      <c r="C33" t="s">
        <v>463</v>
      </c>
      <c r="D33" t="s">
        <v>345</v>
      </c>
      <c r="E33" s="35" t="s">
        <v>464</v>
      </c>
      <c r="G33">
        <v>9</v>
      </c>
    </row>
    <row r="34" spans="1:7">
      <c r="A34" s="29" t="s">
        <v>465</v>
      </c>
      <c r="B34" t="s">
        <v>466</v>
      </c>
      <c r="C34" t="s">
        <v>467</v>
      </c>
      <c r="D34" t="s">
        <v>468</v>
      </c>
      <c r="E34" s="35" t="s">
        <v>469</v>
      </c>
      <c r="G34">
        <v>4</v>
      </c>
    </row>
    <row r="35" spans="1:7">
      <c r="A35" s="31" t="s">
        <v>470</v>
      </c>
      <c r="C35" s="45" t="s">
        <v>342</v>
      </c>
      <c r="D35" t="s">
        <v>471</v>
      </c>
      <c r="E35" t="s">
        <v>472</v>
      </c>
      <c r="G35">
        <v>5</v>
      </c>
    </row>
    <row r="36" spans="1:7">
      <c r="A36" s="31" t="s">
        <v>473</v>
      </c>
      <c r="C36" s="45" t="s">
        <v>346</v>
      </c>
      <c r="D36" t="s">
        <v>474</v>
      </c>
      <c r="E36" t="s">
        <v>475</v>
      </c>
      <c r="G36">
        <v>7</v>
      </c>
    </row>
    <row r="37" spans="1:7">
      <c r="A37" s="29" t="s">
        <v>476</v>
      </c>
      <c r="C37" s="45" t="s">
        <v>477</v>
      </c>
      <c r="D37" t="s">
        <v>478</v>
      </c>
      <c r="E37" s="35" t="s">
        <v>479</v>
      </c>
      <c r="G37">
        <v>6</v>
      </c>
    </row>
    <row r="38" spans="1:7">
      <c r="A38" s="31" t="s">
        <v>480</v>
      </c>
      <c r="C38" t="s">
        <v>385</v>
      </c>
      <c r="D38" t="s">
        <v>481</v>
      </c>
      <c r="E38" t="s">
        <v>482</v>
      </c>
      <c r="G38">
        <v>10</v>
      </c>
    </row>
    <row r="39" spans="1:7">
      <c r="A39" s="29" t="s">
        <v>483</v>
      </c>
      <c r="C39" t="s">
        <v>389</v>
      </c>
      <c r="D39" t="s">
        <v>349</v>
      </c>
      <c r="E39" s="35" t="s">
        <v>484</v>
      </c>
      <c r="G39">
        <v>17</v>
      </c>
    </row>
    <row r="40" spans="1:7">
      <c r="A40" s="29" t="s">
        <v>485</v>
      </c>
      <c r="C40" t="s">
        <v>394</v>
      </c>
      <c r="D40" t="s">
        <v>486</v>
      </c>
      <c r="E40" s="35" t="s">
        <v>487</v>
      </c>
      <c r="G40">
        <v>17</v>
      </c>
    </row>
    <row r="41" spans="1:7">
      <c r="A41" s="29" t="s">
        <v>488</v>
      </c>
      <c r="C41" t="s">
        <v>399</v>
      </c>
      <c r="D41" t="s">
        <v>488</v>
      </c>
      <c r="E41" s="47" t="s">
        <v>489</v>
      </c>
      <c r="G41">
        <v>10</v>
      </c>
    </row>
    <row r="42" spans="1:7">
      <c r="A42" s="29" t="s">
        <v>490</v>
      </c>
      <c r="C42" s="46" t="s">
        <v>491</v>
      </c>
      <c r="D42" t="s">
        <v>492</v>
      </c>
      <c r="E42" s="47" t="s">
        <v>493</v>
      </c>
      <c r="G42">
        <v>1</v>
      </c>
    </row>
    <row r="43" spans="1:7">
      <c r="A43" s="29" t="s">
        <v>494</v>
      </c>
      <c r="C43" s="46" t="s">
        <v>495</v>
      </c>
      <c r="D43" t="s">
        <v>496</v>
      </c>
      <c r="E43" s="35" t="s">
        <v>497</v>
      </c>
      <c r="G43">
        <v>4</v>
      </c>
    </row>
    <row r="44" spans="1:7">
      <c r="A44" s="29" t="s">
        <v>498</v>
      </c>
      <c r="C44" s="46" t="s">
        <v>499</v>
      </c>
      <c r="D44" t="s">
        <v>500</v>
      </c>
      <c r="E44" s="47" t="s">
        <v>501</v>
      </c>
      <c r="G44">
        <v>50</v>
      </c>
    </row>
    <row r="45" spans="1:7">
      <c r="A45" s="29" t="s">
        <v>502</v>
      </c>
      <c r="D45" t="s">
        <v>503</v>
      </c>
      <c r="E45" s="47" t="s">
        <v>504</v>
      </c>
      <c r="G45">
        <v>10</v>
      </c>
    </row>
    <row r="46" spans="1:7">
      <c r="A46" s="31"/>
      <c r="C46" t="s">
        <v>505</v>
      </c>
      <c r="D46" t="s">
        <v>506</v>
      </c>
      <c r="E46" s="50" t="s">
        <v>507</v>
      </c>
      <c r="G46">
        <v>1</v>
      </c>
    </row>
    <row r="47" spans="1:7">
      <c r="A47" s="31"/>
      <c r="C47" t="s">
        <v>508</v>
      </c>
      <c r="D47" t="s">
        <v>509</v>
      </c>
      <c r="E47" s="49" t="s">
        <v>510</v>
      </c>
      <c r="G47">
        <v>2</v>
      </c>
    </row>
    <row r="48" spans="1:7">
      <c r="A48" s="31"/>
      <c r="C48" t="s">
        <v>511</v>
      </c>
      <c r="D48" t="s">
        <v>512</v>
      </c>
      <c r="E48" t="s">
        <v>513</v>
      </c>
      <c r="G48">
        <v>3</v>
      </c>
    </row>
    <row r="49" spans="1:8">
      <c r="A49" s="31"/>
      <c r="C49" t="s">
        <v>514</v>
      </c>
      <c r="D49" t="s">
        <v>515</v>
      </c>
      <c r="E49" t="s">
        <v>516</v>
      </c>
      <c r="G49">
        <v>15</v>
      </c>
    </row>
    <row r="50" spans="1:8">
      <c r="A50" s="31" t="s">
        <v>517</v>
      </c>
      <c r="C50" t="s">
        <v>518</v>
      </c>
      <c r="D50" t="s">
        <v>519</v>
      </c>
      <c r="E50" s="45" t="s">
        <v>520</v>
      </c>
      <c r="G50">
        <v>10</v>
      </c>
    </row>
    <row r="51" spans="1:8">
      <c r="C51" t="s">
        <v>521</v>
      </c>
      <c r="E51" s="45" t="s">
        <v>522</v>
      </c>
      <c r="G51">
        <v>5</v>
      </c>
    </row>
    <row r="52" spans="1:8">
      <c r="C52" t="s">
        <v>523</v>
      </c>
      <c r="E52" s="45" t="s">
        <v>524</v>
      </c>
      <c r="G52">
        <v>4</v>
      </c>
    </row>
    <row r="53" spans="1:8">
      <c r="C53" t="s">
        <v>525</v>
      </c>
      <c r="E53" s="45" t="s">
        <v>526</v>
      </c>
      <c r="G53">
        <v>11</v>
      </c>
    </row>
    <row r="54" spans="1:8">
      <c r="C54" s="49" t="s">
        <v>527</v>
      </c>
      <c r="E54" s="45" t="s">
        <v>528</v>
      </c>
      <c r="G54">
        <v>2</v>
      </c>
      <c r="H54">
        <f>SUM(G21:G54)</f>
        <v>271</v>
      </c>
    </row>
    <row r="55" spans="1:8">
      <c r="C55" s="49" t="s">
        <v>529</v>
      </c>
      <c r="E55" s="45" t="s">
        <v>530</v>
      </c>
    </row>
    <row r="56" spans="1:8">
      <c r="C56" t="s">
        <v>531</v>
      </c>
      <c r="E56" s="45" t="s">
        <v>532</v>
      </c>
    </row>
    <row r="57" spans="1:8">
      <c r="C57" t="s">
        <v>533</v>
      </c>
    </row>
    <row r="58" spans="1:8">
      <c r="C58" t="s">
        <v>534</v>
      </c>
    </row>
    <row r="59" spans="1:8">
      <c r="C59" t="s">
        <v>535</v>
      </c>
    </row>
    <row r="61" spans="1:8">
      <c r="B61" t="s">
        <v>536</v>
      </c>
      <c r="C61" s="45" t="s">
        <v>537</v>
      </c>
    </row>
    <row r="62" spans="1:8">
      <c r="C62" s="45" t="s">
        <v>538</v>
      </c>
    </row>
    <row r="63" spans="1:8">
      <c r="C63" s="45" t="s">
        <v>86</v>
      </c>
    </row>
    <row r="64" spans="1:8">
      <c r="C64" s="45" t="s">
        <v>350</v>
      </c>
    </row>
    <row r="65" spans="2:3">
      <c r="C65" t="s">
        <v>539</v>
      </c>
    </row>
    <row r="66" spans="2:3">
      <c r="C66" t="s">
        <v>540</v>
      </c>
    </row>
    <row r="67" spans="2:3">
      <c r="C67" s="45" t="s">
        <v>541</v>
      </c>
    </row>
    <row r="68" spans="2:3">
      <c r="C68" t="s">
        <v>364</v>
      </c>
    </row>
    <row r="70" spans="2:3">
      <c r="B70" t="s">
        <v>542</v>
      </c>
      <c r="C70" s="50" t="s">
        <v>543</v>
      </c>
    </row>
    <row r="71" spans="2:3">
      <c r="C71" s="50" t="s">
        <v>364</v>
      </c>
    </row>
  </sheetData>
  <pageMargins left="0.7" right="0.7" top="0.75" bottom="0.75" header="0.3" footer="0.3"/>
  <pageSetup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4.4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c r="A1" s="34" t="s">
        <v>544</v>
      </c>
      <c r="B1" s="40" t="s">
        <v>545</v>
      </c>
      <c r="C1" s="34" t="s">
        <v>546</v>
      </c>
      <c r="D1" s="34" t="s">
        <v>547</v>
      </c>
      <c r="E1" s="34" t="s">
        <v>548</v>
      </c>
      <c r="F1" s="34" t="s">
        <v>547</v>
      </c>
    </row>
    <row r="2" spans="1:7">
      <c r="A2" s="221" t="s">
        <v>549</v>
      </c>
      <c r="B2" s="39" t="s">
        <v>550</v>
      </c>
      <c r="C2" s="30"/>
      <c r="D2" s="41"/>
      <c r="E2" s="30" t="s">
        <v>551</v>
      </c>
      <c r="F2" s="41" t="s">
        <v>552</v>
      </c>
    </row>
    <row r="3" spans="1:7">
      <c r="A3" s="222"/>
      <c r="B3" s="40" t="s">
        <v>553</v>
      </c>
      <c r="C3" s="34" t="s">
        <v>554</v>
      </c>
      <c r="D3" s="34" t="s">
        <v>555</v>
      </c>
      <c r="E3" s="34" t="s">
        <v>556</v>
      </c>
      <c r="F3" s="34" t="s">
        <v>552</v>
      </c>
    </row>
    <row r="4" spans="1:7">
      <c r="A4" s="223"/>
      <c r="B4" s="24" t="s">
        <v>557</v>
      </c>
      <c r="C4" s="34" t="s">
        <v>558</v>
      </c>
      <c r="D4" s="34"/>
      <c r="E4" s="34" t="s">
        <v>559</v>
      </c>
      <c r="F4" s="34" t="s">
        <v>552</v>
      </c>
    </row>
    <row r="5" spans="1:7">
      <c r="A5" s="34" t="s">
        <v>560</v>
      </c>
      <c r="B5" s="28" t="s">
        <v>561</v>
      </c>
      <c r="C5" s="28" t="s">
        <v>562</v>
      </c>
      <c r="D5" s="34" t="s">
        <v>563</v>
      </c>
      <c r="E5" s="34"/>
      <c r="F5" s="34"/>
    </row>
    <row r="6" spans="1:7">
      <c r="A6" s="34"/>
      <c r="B6" s="34"/>
      <c r="C6" s="34"/>
      <c r="D6" s="34"/>
      <c r="E6" s="34"/>
      <c r="F6" s="34"/>
    </row>
    <row r="7" spans="1:7" ht="29.1">
      <c r="A7" s="34"/>
      <c r="B7" s="28"/>
      <c r="C7" s="28" t="s">
        <v>564</v>
      </c>
      <c r="D7" s="34"/>
      <c r="E7" s="34"/>
      <c r="F7" s="34"/>
      <c r="G7" s="34" t="s">
        <v>565</v>
      </c>
    </row>
    <row r="8" spans="1:7">
      <c r="A8" s="34"/>
      <c r="B8" s="34"/>
      <c r="C8" s="34"/>
      <c r="D8" s="34"/>
      <c r="E8" s="34"/>
      <c r="F8" s="34"/>
    </row>
    <row r="9" spans="1:7">
      <c r="A9" s="34" t="s">
        <v>566</v>
      </c>
      <c r="B9" s="34"/>
      <c r="C9" s="34" t="s">
        <v>567</v>
      </c>
      <c r="D9" s="34"/>
      <c r="E9" s="34"/>
      <c r="F9" s="34"/>
    </row>
    <row r="10" spans="1:7">
      <c r="A10" s="42"/>
      <c r="B10" s="42"/>
      <c r="C10" s="42"/>
      <c r="D10" s="42"/>
      <c r="E10" s="34"/>
      <c r="F10" s="34"/>
    </row>
    <row r="11" spans="1:7">
      <c r="A11" s="34" t="s">
        <v>568</v>
      </c>
      <c r="B11" s="34"/>
      <c r="C11" s="34" t="s">
        <v>569</v>
      </c>
      <c r="D11" s="34"/>
      <c r="E11" s="34"/>
      <c r="F11" s="34"/>
    </row>
    <row r="12" spans="1:7">
      <c r="A12" s="34" t="s">
        <v>568</v>
      </c>
      <c r="B12" s="34"/>
      <c r="C12" s="34" t="s">
        <v>570</v>
      </c>
      <c r="D12" s="34"/>
      <c r="E12" s="34"/>
      <c r="F12" s="34"/>
    </row>
    <row r="13" spans="1:7">
      <c r="A13" s="34" t="s">
        <v>568</v>
      </c>
      <c r="B13" s="34" t="s">
        <v>571</v>
      </c>
      <c r="C13" s="34" t="s">
        <v>572</v>
      </c>
      <c r="D13" s="34"/>
      <c r="E13" s="34" t="s">
        <v>573</v>
      </c>
      <c r="F13" s="34"/>
    </row>
    <row r="14" spans="1:7">
      <c r="A14" s="34" t="s">
        <v>568</v>
      </c>
      <c r="B14" s="34" t="s">
        <v>574</v>
      </c>
      <c r="C14" s="34" t="s">
        <v>575</v>
      </c>
      <c r="D14" s="34"/>
      <c r="E14" s="34" t="s">
        <v>576</v>
      </c>
      <c r="F14" s="34"/>
    </row>
    <row r="15" spans="1:7">
      <c r="A15" s="34"/>
      <c r="B15" s="34"/>
      <c r="C15" s="34"/>
      <c r="D15" s="34"/>
      <c r="E15" s="34"/>
      <c r="F15" s="34"/>
    </row>
    <row r="16" spans="1:7">
      <c r="A16" s="221" t="s">
        <v>577</v>
      </c>
      <c r="B16" s="221" t="s">
        <v>578</v>
      </c>
      <c r="C16" s="34" t="s">
        <v>579</v>
      </c>
      <c r="D16" s="34" t="s">
        <v>195</v>
      </c>
      <c r="E16" s="34" t="s">
        <v>580</v>
      </c>
      <c r="F16" s="34"/>
    </row>
    <row r="17" spans="1:6">
      <c r="A17" s="222"/>
      <c r="B17" s="222"/>
      <c r="C17" s="34" t="s">
        <v>581</v>
      </c>
      <c r="D17" s="34" t="s">
        <v>195</v>
      </c>
      <c r="E17" s="34" t="s">
        <v>582</v>
      </c>
      <c r="F17" s="34"/>
    </row>
    <row r="18" spans="1:6">
      <c r="A18" s="222"/>
      <c r="B18" s="222"/>
      <c r="C18" s="34" t="s">
        <v>583</v>
      </c>
      <c r="D18" s="34" t="s">
        <v>195</v>
      </c>
      <c r="E18" s="34" t="s">
        <v>584</v>
      </c>
      <c r="F18" s="34"/>
    </row>
    <row r="19" spans="1:6">
      <c r="A19" s="223"/>
      <c r="B19" s="223"/>
      <c r="C19" s="34" t="s">
        <v>585</v>
      </c>
      <c r="D19" s="34" t="s">
        <v>195</v>
      </c>
      <c r="E19" s="34" t="s">
        <v>586</v>
      </c>
      <c r="F19" s="34"/>
    </row>
    <row r="20" spans="1:6">
      <c r="A20" s="34"/>
      <c r="B20" s="34"/>
      <c r="C20" s="34"/>
      <c r="D20" s="34"/>
      <c r="E20" s="34"/>
      <c r="F20" s="34"/>
    </row>
    <row r="21" spans="1:6" ht="29.1">
      <c r="A21" s="34" t="s">
        <v>587</v>
      </c>
      <c r="B21" s="34" t="s">
        <v>588</v>
      </c>
      <c r="C21" s="34" t="s">
        <v>589</v>
      </c>
      <c r="D21" s="34" t="s">
        <v>590</v>
      </c>
      <c r="E21" s="34" t="s">
        <v>591</v>
      </c>
      <c r="F21" s="34"/>
    </row>
    <row r="22" spans="1:6">
      <c r="A22" s="34"/>
      <c r="B22" s="34"/>
      <c r="C22" s="34"/>
      <c r="D22" s="34"/>
      <c r="E22" s="34"/>
      <c r="F22" s="34"/>
    </row>
    <row r="23" spans="1:6">
      <c r="A23" s="34"/>
      <c r="B23" s="34"/>
      <c r="C23" s="34"/>
      <c r="D23" s="34"/>
      <c r="E23" s="34"/>
      <c r="F23" s="34"/>
    </row>
    <row r="24" spans="1:6">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4.45"/>
  <cols>
    <col min="1" max="1" width="10" bestFit="1" customWidth="1"/>
    <col min="2" max="2" width="40.42578125" bestFit="1" customWidth="1"/>
    <col min="3" max="3" width="44.42578125" customWidth="1"/>
    <col min="5" max="5" width="43.5703125" bestFit="1" customWidth="1"/>
    <col min="6" max="6" width="10" bestFit="1" customWidth="1"/>
  </cols>
  <sheetData>
    <row r="1" spans="1:6">
      <c r="A1" s="23" t="s">
        <v>544</v>
      </c>
      <c r="B1" s="25" t="s">
        <v>545</v>
      </c>
      <c r="C1" s="23" t="s">
        <v>546</v>
      </c>
      <c r="D1" s="23" t="s">
        <v>547</v>
      </c>
      <c r="E1" s="23" t="s">
        <v>548</v>
      </c>
      <c r="F1" s="23" t="s">
        <v>547</v>
      </c>
    </row>
    <row r="2" spans="1:6">
      <c r="A2" s="224" t="s">
        <v>549</v>
      </c>
      <c r="B2" s="38" t="s">
        <v>550</v>
      </c>
      <c r="C2" s="28"/>
      <c r="D2" s="23"/>
      <c r="E2" s="28" t="s">
        <v>551</v>
      </c>
      <c r="F2" s="23" t="s">
        <v>552</v>
      </c>
    </row>
    <row r="3" spans="1:6">
      <c r="A3" s="225"/>
      <c r="B3" s="25" t="s">
        <v>553</v>
      </c>
      <c r="C3" s="23" t="s">
        <v>554</v>
      </c>
      <c r="D3" s="23" t="s">
        <v>555</v>
      </c>
      <c r="E3" s="23" t="s">
        <v>556</v>
      </c>
      <c r="F3" s="23" t="s">
        <v>552</v>
      </c>
    </row>
    <row r="4" spans="1:6">
      <c r="A4" s="226"/>
      <c r="B4" t="s">
        <v>557</v>
      </c>
      <c r="C4" s="34" t="s">
        <v>558</v>
      </c>
      <c r="D4" s="23"/>
      <c r="E4" s="34" t="s">
        <v>559</v>
      </c>
      <c r="F4" s="23" t="s">
        <v>552</v>
      </c>
    </row>
    <row r="5" spans="1:6">
      <c r="A5" s="23"/>
      <c r="B5" s="25"/>
      <c r="C5" s="23"/>
      <c r="D5" s="23"/>
      <c r="E5" s="23"/>
      <c r="F5" s="23"/>
    </row>
    <row r="6" spans="1:6">
      <c r="A6" s="227" t="s">
        <v>592</v>
      </c>
      <c r="B6" s="23"/>
      <c r="C6" s="23" t="s">
        <v>593</v>
      </c>
      <c r="D6" s="23"/>
      <c r="E6" s="23" t="s">
        <v>594</v>
      </c>
      <c r="F6" s="25"/>
    </row>
    <row r="7" spans="1:6">
      <c r="A7" s="227"/>
      <c r="B7" s="23"/>
      <c r="C7" s="23" t="s">
        <v>595</v>
      </c>
      <c r="D7" s="23"/>
      <c r="E7" s="23" t="s">
        <v>596</v>
      </c>
      <c r="F7" s="25"/>
    </row>
    <row r="8" spans="1:6">
      <c r="A8" s="227"/>
      <c r="B8" s="23"/>
      <c r="C8" s="23" t="s">
        <v>597</v>
      </c>
      <c r="D8" s="23"/>
      <c r="E8" s="23" t="s">
        <v>598</v>
      </c>
    </row>
    <row r="9" spans="1:6">
      <c r="A9" s="227"/>
      <c r="B9" s="23"/>
      <c r="C9" s="23" t="s">
        <v>599</v>
      </c>
      <c r="D9" s="23"/>
      <c r="E9" s="23" t="s">
        <v>600</v>
      </c>
    </row>
    <row r="10" spans="1:6">
      <c r="A10" s="227"/>
      <c r="B10" s="23"/>
      <c r="C10" s="23" t="s">
        <v>601</v>
      </c>
      <c r="D10" s="23"/>
      <c r="E10" s="23" t="s">
        <v>602</v>
      </c>
    </row>
    <row r="11" spans="1:6">
      <c r="A11" s="227"/>
      <c r="B11" s="23"/>
      <c r="C11" s="23" t="s">
        <v>603</v>
      </c>
      <c r="D11" s="23"/>
      <c r="E11" s="23" t="s">
        <v>604</v>
      </c>
    </row>
    <row r="12" spans="1:6">
      <c r="A12" s="227"/>
      <c r="B12" s="23"/>
      <c r="C12" s="23" t="s">
        <v>605</v>
      </c>
      <c r="D12" s="23"/>
      <c r="E12" s="23" t="s">
        <v>606</v>
      </c>
    </row>
    <row r="13" spans="1:6">
      <c r="A13" s="227"/>
      <c r="B13" s="23"/>
      <c r="C13" s="23" t="s">
        <v>607</v>
      </c>
      <c r="D13" s="23"/>
      <c r="E13" s="23" t="s">
        <v>608</v>
      </c>
    </row>
    <row r="14" spans="1:6">
      <c r="A14" s="227"/>
      <c r="B14" s="23"/>
      <c r="C14" s="23" t="s">
        <v>609</v>
      </c>
      <c r="D14" s="23"/>
      <c r="E14" s="23" t="s">
        <v>610</v>
      </c>
    </row>
    <row r="15" spans="1:6">
      <c r="A15" s="227"/>
      <c r="B15" s="23"/>
      <c r="C15" s="23" t="s">
        <v>611</v>
      </c>
      <c r="D15" s="23"/>
      <c r="E15" s="23" t="s">
        <v>612</v>
      </c>
    </row>
    <row r="16" spans="1:6">
      <c r="A16" s="227"/>
      <c r="B16" s="23"/>
      <c r="C16" s="23" t="s">
        <v>613</v>
      </c>
      <c r="D16" s="23"/>
      <c r="E16" s="23" t="s">
        <v>614</v>
      </c>
    </row>
    <row r="17" spans="1:5">
      <c r="A17" s="227"/>
      <c r="B17" s="23"/>
      <c r="C17" s="23" t="s">
        <v>615</v>
      </c>
      <c r="D17" s="23"/>
      <c r="E17" s="23" t="s">
        <v>616</v>
      </c>
    </row>
    <row r="18" spans="1:5">
      <c r="A18" s="227"/>
      <c r="B18" s="23"/>
      <c r="C18" s="23" t="s">
        <v>617</v>
      </c>
      <c r="D18" s="23"/>
      <c r="E18" s="23" t="s">
        <v>618</v>
      </c>
    </row>
    <row r="19" spans="1:5">
      <c r="A19" s="227"/>
      <c r="B19" s="23"/>
      <c r="C19" s="23" t="s">
        <v>619</v>
      </c>
      <c r="D19" s="23"/>
      <c r="E19" s="23" t="s">
        <v>620</v>
      </c>
    </row>
    <row r="20" spans="1:5">
      <c r="A20" s="224" t="s">
        <v>621</v>
      </c>
      <c r="B20" s="23"/>
      <c r="C20" s="23" t="s">
        <v>622</v>
      </c>
      <c r="D20" s="23"/>
      <c r="E20" s="23" t="s">
        <v>623</v>
      </c>
    </row>
    <row r="21" spans="1:5">
      <c r="A21" s="225"/>
      <c r="B21" s="23"/>
      <c r="C21" s="23" t="s">
        <v>624</v>
      </c>
      <c r="D21" s="23"/>
      <c r="E21" s="23" t="s">
        <v>625</v>
      </c>
    </row>
    <row r="22" spans="1:5">
      <c r="A22" s="225"/>
      <c r="B22" s="23"/>
      <c r="C22" s="23" t="s">
        <v>626</v>
      </c>
      <c r="D22" s="23"/>
      <c r="E22" s="23" t="s">
        <v>627</v>
      </c>
    </row>
    <row r="23" spans="1:5">
      <c r="A23" s="225"/>
      <c r="B23" s="23"/>
      <c r="C23" s="23" t="s">
        <v>628</v>
      </c>
      <c r="D23" s="23"/>
      <c r="E23" s="23" t="s">
        <v>629</v>
      </c>
    </row>
    <row r="24" spans="1:5">
      <c r="A24" s="225"/>
      <c r="B24" s="23"/>
      <c r="C24" s="23" t="s">
        <v>630</v>
      </c>
      <c r="D24" s="23"/>
      <c r="E24" s="23" t="s">
        <v>631</v>
      </c>
    </row>
    <row r="25" spans="1:5">
      <c r="A25" s="225"/>
      <c r="B25" s="23"/>
      <c r="C25" s="23" t="s">
        <v>632</v>
      </c>
      <c r="D25" s="23"/>
      <c r="E25" s="23" t="s">
        <v>633</v>
      </c>
    </row>
    <row r="26" spans="1:5">
      <c r="A26" s="225"/>
      <c r="B26" s="23"/>
      <c r="C26" s="23" t="s">
        <v>634</v>
      </c>
      <c r="D26" s="23"/>
      <c r="E26" s="23" t="s">
        <v>635</v>
      </c>
    </row>
    <row r="27" spans="1:5">
      <c r="A27" s="225"/>
      <c r="B27" s="23"/>
      <c r="C27" s="23" t="s">
        <v>636</v>
      </c>
      <c r="D27" s="23"/>
      <c r="E27" s="23" t="s">
        <v>637</v>
      </c>
    </row>
    <row r="28" spans="1:5">
      <c r="A28" s="225"/>
      <c r="B28" s="23"/>
      <c r="C28" s="23" t="s">
        <v>638</v>
      </c>
      <c r="D28" s="23"/>
      <c r="E28" s="23" t="s">
        <v>639</v>
      </c>
    </row>
    <row r="29" spans="1:5">
      <c r="A29" s="225"/>
      <c r="B29" s="23"/>
      <c r="C29" s="23" t="s">
        <v>640</v>
      </c>
      <c r="D29" s="23"/>
      <c r="E29" s="23" t="s">
        <v>641</v>
      </c>
    </row>
    <row r="30" spans="1:5">
      <c r="A30" s="226"/>
      <c r="B30" s="23"/>
      <c r="C30" s="23" t="s">
        <v>642</v>
      </c>
      <c r="D30" s="23"/>
      <c r="E30" s="23" t="s">
        <v>643</v>
      </c>
    </row>
    <row r="31" spans="1:5">
      <c r="A31" s="23"/>
      <c r="B31" s="23"/>
      <c r="C31" s="23" t="s">
        <v>644</v>
      </c>
      <c r="D31" s="23"/>
      <c r="E31" s="23" t="s">
        <v>645</v>
      </c>
    </row>
    <row r="32" spans="1:5">
      <c r="A32" s="23"/>
      <c r="B32" s="23"/>
      <c r="C32" s="23" t="s">
        <v>646</v>
      </c>
      <c r="D32" s="23"/>
      <c r="E32" s="23" t="s">
        <v>647</v>
      </c>
    </row>
    <row r="33" spans="1:5">
      <c r="A33" s="23"/>
      <c r="B33" s="23"/>
      <c r="C33" s="23" t="s">
        <v>648</v>
      </c>
      <c r="D33" s="23"/>
      <c r="E33" s="23" t="s">
        <v>649</v>
      </c>
    </row>
    <row r="34" spans="1:5">
      <c r="A34" s="23"/>
      <c r="B34" s="23"/>
      <c r="C34" s="23" t="s">
        <v>650</v>
      </c>
      <c r="D34" s="23"/>
      <c r="E34" s="23" t="s">
        <v>651</v>
      </c>
    </row>
    <row r="35" spans="1:5">
      <c r="A35" s="23"/>
      <c r="B35" s="23"/>
      <c r="C35" s="23" t="s">
        <v>652</v>
      </c>
      <c r="D35" s="23"/>
      <c r="E35" s="23" t="s">
        <v>653</v>
      </c>
    </row>
    <row r="36" spans="1:5">
      <c r="A36" s="23"/>
      <c r="B36" s="23"/>
      <c r="C36" s="23" t="s">
        <v>654</v>
      </c>
      <c r="D36" s="23"/>
      <c r="E36" s="23" t="s">
        <v>655</v>
      </c>
    </row>
    <row r="37" spans="1:5">
      <c r="A37" s="23"/>
      <c r="B37" s="23"/>
      <c r="C37" s="23" t="s">
        <v>656</v>
      </c>
      <c r="D37" s="23"/>
      <c r="E37" s="23" t="s">
        <v>657</v>
      </c>
    </row>
    <row r="38" spans="1:5">
      <c r="A38" s="23"/>
      <c r="B38" s="23"/>
      <c r="C38" s="23" t="s">
        <v>658</v>
      </c>
      <c r="D38" s="23"/>
      <c r="E38" s="23" t="s">
        <v>659</v>
      </c>
    </row>
    <row r="39" spans="1:5">
      <c r="A39" s="23"/>
      <c r="B39" s="23"/>
      <c r="C39" s="23" t="s">
        <v>660</v>
      </c>
      <c r="D39" s="23"/>
      <c r="E39" s="23" t="s">
        <v>661</v>
      </c>
    </row>
    <row r="40" spans="1:5">
      <c r="A40" s="23"/>
      <c r="B40" s="23"/>
      <c r="C40" s="23"/>
      <c r="D40" s="23"/>
      <c r="E40" s="23"/>
    </row>
    <row r="41" spans="1:5">
      <c r="A41" s="23"/>
      <c r="B41" s="28"/>
      <c r="C41" s="28" t="s">
        <v>564</v>
      </c>
      <c r="D41" s="23"/>
      <c r="E41" s="23" t="s">
        <v>565</v>
      </c>
    </row>
    <row r="42" spans="1:5">
      <c r="A42" s="23"/>
      <c r="B42" s="23"/>
      <c r="C42" s="23"/>
      <c r="D42" s="23"/>
      <c r="E42" s="23"/>
    </row>
    <row r="43" spans="1:5">
      <c r="A43" s="23" t="s">
        <v>662</v>
      </c>
      <c r="B43" s="23"/>
      <c r="C43" s="23" t="s">
        <v>663</v>
      </c>
      <c r="D43" s="23"/>
      <c r="E43" s="23"/>
    </row>
    <row r="44" spans="1:5">
      <c r="A44" s="23"/>
      <c r="B44" s="23"/>
      <c r="C44" s="23"/>
      <c r="D44" s="23"/>
      <c r="E44" s="23"/>
    </row>
    <row r="45" spans="1:5">
      <c r="A45" s="23" t="s">
        <v>566</v>
      </c>
      <c r="B45" s="23"/>
      <c r="C45" s="23" t="s">
        <v>567</v>
      </c>
      <c r="D45" s="23"/>
      <c r="E45" s="23"/>
    </row>
    <row r="46" spans="1:5">
      <c r="A46" s="23"/>
      <c r="B46" s="23"/>
      <c r="C46" s="23"/>
      <c r="D46" s="23"/>
      <c r="E46" s="23"/>
    </row>
    <row r="47" spans="1:5">
      <c r="A47" s="23"/>
      <c r="B47" s="23"/>
      <c r="C47" s="23"/>
      <c r="D47" s="23"/>
      <c r="E47" s="23"/>
    </row>
    <row r="48" spans="1:5">
      <c r="A48" s="23"/>
      <c r="B48" s="23"/>
      <c r="C48" s="23"/>
      <c r="D48" s="23"/>
      <c r="E48" s="23"/>
    </row>
    <row r="49" spans="1: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A98"/>
  <sheetViews>
    <sheetView showGridLines="0" tabSelected="1" topLeftCell="A85" zoomScale="62" zoomScaleNormal="60" workbookViewId="0">
      <selection activeCell="F87" sqref="F87"/>
    </sheetView>
  </sheetViews>
  <sheetFormatPr defaultColWidth="8.5703125" defaultRowHeight="15"/>
  <cols>
    <col min="1" max="1" width="3.140625" customWidth="1"/>
    <col min="2" max="2" width="36.85546875" style="53" customWidth="1"/>
    <col min="3" max="3" width="31" style="33" bestFit="1" customWidth="1"/>
    <col min="4" max="4" width="40.7109375" style="33" bestFit="1" customWidth="1"/>
    <col min="5" max="5" width="14.85546875" style="51" bestFit="1" customWidth="1"/>
    <col min="6" max="6" width="51.42578125" style="51" customWidth="1"/>
    <col min="7" max="7" width="34" style="54" customWidth="1"/>
    <col min="8" max="8" width="27.7109375" style="51" customWidth="1"/>
    <col min="9" max="9" width="15.140625" style="54" customWidth="1"/>
    <col min="10" max="10" width="23.140625" style="54" customWidth="1"/>
    <col min="11" max="11" width="22.140625" style="53" customWidth="1"/>
    <col min="12" max="12" width="22.5703125" style="53" customWidth="1"/>
    <col min="13" max="13" width="42.85546875" style="53" customWidth="1"/>
    <col min="14" max="14" width="56.5703125" style="54" customWidth="1"/>
    <col min="15" max="15" width="61.85546875" style="51" customWidth="1"/>
    <col min="16" max="16" width="29" style="54" customWidth="1"/>
    <col min="17" max="17" width="28.5703125" style="54" customWidth="1"/>
    <col min="18" max="18" width="95.5703125" style="54" customWidth="1"/>
    <col min="19" max="19" width="128" style="33" customWidth="1"/>
    <col min="20" max="20" width="56" style="33" customWidth="1"/>
    <col min="21" max="21" width="194.7109375" style="33" customWidth="1"/>
    <col min="22" max="22" width="25.42578125" style="52" customWidth="1"/>
    <col min="23" max="23" width="33.42578125" style="52" customWidth="1"/>
    <col min="24" max="24" width="98" style="52" customWidth="1"/>
    <col min="25" max="25" width="68" style="52" customWidth="1"/>
    <col min="26" max="26" width="43.5703125" style="52" hidden="1" customWidth="1"/>
    <col min="27" max="27" width="45.85546875" style="33" customWidth="1"/>
  </cols>
  <sheetData>
    <row r="1" spans="1:27" s="33" customFormat="1">
      <c r="A1" s="27"/>
      <c r="B1" s="53"/>
      <c r="E1" s="51"/>
      <c r="F1" s="51"/>
      <c r="G1" s="54"/>
      <c r="H1" s="51"/>
      <c r="I1" s="54"/>
      <c r="J1" s="54"/>
      <c r="K1" s="53"/>
      <c r="L1" s="53"/>
      <c r="M1" s="53"/>
      <c r="N1" s="54"/>
      <c r="O1" s="51"/>
      <c r="P1" s="54"/>
      <c r="Q1" s="54"/>
      <c r="R1" s="54"/>
      <c r="V1" s="52"/>
      <c r="W1" s="52"/>
      <c r="X1" s="52"/>
      <c r="Y1" s="52"/>
      <c r="Z1" s="52"/>
    </row>
    <row r="2" spans="1:27" s="33" customFormat="1">
      <c r="A2" s="27"/>
      <c r="B2" s="53"/>
      <c r="E2" s="51"/>
      <c r="F2" s="51"/>
      <c r="G2" s="54"/>
      <c r="H2" s="51"/>
      <c r="I2" s="54"/>
      <c r="J2" s="54"/>
      <c r="K2" s="53"/>
      <c r="L2" s="53"/>
      <c r="M2" s="53"/>
      <c r="N2" s="54"/>
      <c r="O2" s="51"/>
      <c r="P2" s="54"/>
      <c r="Q2" s="54"/>
      <c r="R2" s="54"/>
      <c r="V2" s="52"/>
      <c r="W2" s="52"/>
      <c r="X2" s="52"/>
      <c r="Y2" s="52"/>
      <c r="Z2" s="52"/>
    </row>
    <row r="3" spans="1:27" s="33" customFormat="1">
      <c r="A3" s="57"/>
      <c r="B3" s="58"/>
      <c r="C3" s="59"/>
      <c r="D3" s="59"/>
      <c r="E3" s="60"/>
      <c r="F3" s="60"/>
      <c r="G3" s="62"/>
      <c r="H3" s="60"/>
      <c r="I3" s="62"/>
      <c r="J3" s="62"/>
      <c r="K3" s="58"/>
      <c r="L3" s="58"/>
      <c r="M3" s="58"/>
      <c r="N3" s="62"/>
      <c r="O3" s="60"/>
      <c r="P3" s="62"/>
      <c r="Q3" s="62"/>
      <c r="R3" s="62"/>
      <c r="S3" s="59"/>
      <c r="T3" s="59"/>
      <c r="U3" s="59"/>
      <c r="V3" s="61"/>
      <c r="W3" s="61"/>
      <c r="X3" s="61"/>
      <c r="Y3" s="61"/>
      <c r="Z3" s="61"/>
    </row>
    <row r="4" spans="1:27" s="33" customFormat="1">
      <c r="A4" s="27"/>
      <c r="B4" s="53"/>
      <c r="E4" s="51"/>
      <c r="F4" s="51"/>
      <c r="G4" s="54"/>
      <c r="H4" s="51"/>
      <c r="I4" s="54"/>
      <c r="J4" s="54"/>
      <c r="K4" s="53"/>
      <c r="L4" s="53"/>
      <c r="M4" s="53"/>
      <c r="N4" s="54"/>
      <c r="O4" s="51"/>
      <c r="P4" s="54"/>
      <c r="Q4" s="54"/>
      <c r="R4" s="54"/>
      <c r="V4" s="52"/>
      <c r="W4" s="52"/>
      <c r="X4" s="52"/>
      <c r="Y4" s="52"/>
      <c r="Z4" s="52"/>
    </row>
    <row r="5" spans="1:27" s="51" customFormat="1">
      <c r="B5" s="233" t="s">
        <v>664</v>
      </c>
      <c r="C5" s="233"/>
      <c r="D5" s="233"/>
      <c r="E5" s="233"/>
      <c r="F5" s="233"/>
      <c r="G5" s="233"/>
      <c r="H5" s="233"/>
      <c r="I5" s="233"/>
      <c r="J5" s="233"/>
      <c r="K5" s="233"/>
      <c r="L5" s="233"/>
      <c r="M5" s="233"/>
      <c r="N5" s="233"/>
      <c r="O5" s="233"/>
      <c r="P5" s="235" t="s">
        <v>665</v>
      </c>
      <c r="Q5" s="235"/>
      <c r="R5" s="237" t="s">
        <v>666</v>
      </c>
      <c r="S5" s="238"/>
      <c r="T5" s="238"/>
      <c r="U5" s="238"/>
      <c r="V5" s="238"/>
      <c r="W5" s="228" t="s">
        <v>667</v>
      </c>
      <c r="X5" s="229"/>
      <c r="Y5" s="229"/>
      <c r="Z5" s="229"/>
      <c r="AA5" s="230"/>
    </row>
    <row r="6" spans="1:27" s="33" customFormat="1">
      <c r="A6" s="27"/>
      <c r="B6" s="234" t="s">
        <v>668</v>
      </c>
      <c r="C6" s="234"/>
      <c r="D6" s="234"/>
      <c r="E6" s="234"/>
      <c r="F6" s="234"/>
      <c r="G6" s="234"/>
      <c r="H6" s="234"/>
      <c r="I6" s="234"/>
      <c r="J6" s="234"/>
      <c r="K6" s="234"/>
      <c r="L6" s="234"/>
      <c r="M6" s="234"/>
      <c r="N6" s="234"/>
      <c r="O6" s="234"/>
      <c r="P6" s="236" t="s">
        <v>669</v>
      </c>
      <c r="Q6" s="236"/>
      <c r="R6" s="238" t="s">
        <v>670</v>
      </c>
      <c r="S6" s="238"/>
      <c r="T6" s="238"/>
      <c r="U6" s="239"/>
      <c r="V6" s="74" t="s">
        <v>671</v>
      </c>
      <c r="W6" s="231" t="s">
        <v>672</v>
      </c>
      <c r="X6" s="232"/>
      <c r="Y6" s="232"/>
      <c r="Z6" s="232"/>
      <c r="AA6" s="77"/>
    </row>
    <row r="7" spans="1:27" s="53" customFormat="1" ht="20.25">
      <c r="B7" s="55" t="s">
        <v>673</v>
      </c>
      <c r="C7" s="55" t="s">
        <v>674</v>
      </c>
      <c r="D7" s="55" t="s">
        <v>675</v>
      </c>
      <c r="E7" s="55" t="s">
        <v>676</v>
      </c>
      <c r="F7" s="71" t="s">
        <v>677</v>
      </c>
      <c r="G7" s="71" t="s">
        <v>678</v>
      </c>
      <c r="H7" s="55" t="s">
        <v>679</v>
      </c>
      <c r="I7" s="55" t="s">
        <v>680</v>
      </c>
      <c r="J7" s="72" t="s">
        <v>681</v>
      </c>
      <c r="K7" s="55" t="s">
        <v>682</v>
      </c>
      <c r="L7" s="55" t="s">
        <v>683</v>
      </c>
      <c r="M7" s="55" t="s">
        <v>684</v>
      </c>
      <c r="N7" s="55" t="s">
        <v>685</v>
      </c>
      <c r="O7" s="55" t="s">
        <v>686</v>
      </c>
      <c r="P7" s="55" t="s">
        <v>687</v>
      </c>
      <c r="Q7" s="55" t="s">
        <v>688</v>
      </c>
      <c r="R7" s="73" t="s">
        <v>689</v>
      </c>
      <c r="S7" s="73" t="s">
        <v>690</v>
      </c>
      <c r="T7" s="73" t="s">
        <v>691</v>
      </c>
      <c r="U7" s="73" t="s">
        <v>692</v>
      </c>
      <c r="V7" s="73" t="s">
        <v>693</v>
      </c>
      <c r="W7" s="73" t="s">
        <v>694</v>
      </c>
      <c r="X7" s="73" t="s">
        <v>695</v>
      </c>
      <c r="Y7" s="73" t="s">
        <v>696</v>
      </c>
      <c r="Z7" s="83" t="s">
        <v>697</v>
      </c>
      <c r="AA7" s="76" t="s">
        <v>698</v>
      </c>
    </row>
    <row r="8" spans="1:27" s="53" customFormat="1" ht="167.25" hidden="1">
      <c r="B8" s="66" t="s">
        <v>4</v>
      </c>
      <c r="C8" s="66" t="s">
        <v>699</v>
      </c>
      <c r="D8" s="66" t="s">
        <v>5</v>
      </c>
      <c r="E8" s="240">
        <v>2</v>
      </c>
      <c r="F8" s="241" t="s">
        <v>700</v>
      </c>
      <c r="G8" s="242" t="s">
        <v>701</v>
      </c>
      <c r="H8" s="66" t="s">
        <v>702</v>
      </c>
      <c r="I8" s="240">
        <v>13</v>
      </c>
      <c r="J8" s="242" t="s">
        <v>703</v>
      </c>
      <c r="K8" s="240">
        <v>23</v>
      </c>
      <c r="L8" s="240">
        <v>6</v>
      </c>
      <c r="M8" s="243" t="s">
        <v>704</v>
      </c>
      <c r="N8" s="243" t="s">
        <v>705</v>
      </c>
      <c r="O8" s="240"/>
      <c r="P8" s="79"/>
      <c r="Q8" s="79"/>
      <c r="R8" s="67" t="s">
        <v>706</v>
      </c>
      <c r="S8" s="67" t="s">
        <v>707</v>
      </c>
      <c r="T8" s="67" t="s">
        <v>708</v>
      </c>
      <c r="U8" s="176" t="s">
        <v>709</v>
      </c>
      <c r="V8" s="66"/>
      <c r="W8" s="79" t="s">
        <v>710</v>
      </c>
      <c r="X8" s="81" t="s">
        <v>707</v>
      </c>
      <c r="Y8" s="95" t="s">
        <v>711</v>
      </c>
      <c r="Z8" s="84"/>
      <c r="AA8" s="102" t="s">
        <v>712</v>
      </c>
    </row>
    <row r="9" spans="1:27" s="53" customFormat="1" ht="30.75" hidden="1">
      <c r="B9" s="241" t="s">
        <v>10</v>
      </c>
      <c r="C9" s="241" t="s">
        <v>713</v>
      </c>
      <c r="D9" s="241" t="s">
        <v>11</v>
      </c>
      <c r="E9" s="240">
        <v>2</v>
      </c>
      <c r="F9" s="241" t="s">
        <v>700</v>
      </c>
      <c r="G9" s="241" t="s">
        <v>701</v>
      </c>
      <c r="H9" s="66"/>
      <c r="I9" s="240">
        <v>7</v>
      </c>
      <c r="J9" s="241" t="s">
        <v>703</v>
      </c>
      <c r="K9" s="240">
        <v>23</v>
      </c>
      <c r="L9" s="240">
        <v>6</v>
      </c>
      <c r="M9" s="67" t="s">
        <v>714</v>
      </c>
      <c r="N9" s="113" t="s">
        <v>705</v>
      </c>
      <c r="O9" s="78"/>
      <c r="P9" s="91"/>
      <c r="Q9" s="78"/>
      <c r="R9" s="68" t="s">
        <v>715</v>
      </c>
      <c r="S9" s="68" t="s">
        <v>716</v>
      </c>
      <c r="T9" s="68" t="s">
        <v>717</v>
      </c>
      <c r="U9" s="68" t="s">
        <v>718</v>
      </c>
      <c r="V9" s="68"/>
      <c r="W9" s="89" t="s">
        <v>719</v>
      </c>
      <c r="X9" s="88" t="s">
        <v>720</v>
      </c>
      <c r="Y9" s="68" t="s">
        <v>717</v>
      </c>
      <c r="Z9" s="75"/>
      <c r="AA9" s="78" t="s">
        <v>721</v>
      </c>
    </row>
    <row r="10" spans="1:27" s="53" customFormat="1" ht="76.5" hidden="1">
      <c r="B10" s="241" t="s">
        <v>7</v>
      </c>
      <c r="C10" s="241" t="s">
        <v>722</v>
      </c>
      <c r="D10" s="241" t="s">
        <v>8</v>
      </c>
      <c r="E10" s="240">
        <v>2</v>
      </c>
      <c r="F10" s="241" t="s">
        <v>700</v>
      </c>
      <c r="G10" s="242" t="s">
        <v>701</v>
      </c>
      <c r="H10" s="66"/>
      <c r="I10" s="240">
        <v>11</v>
      </c>
      <c r="J10" s="242" t="s">
        <v>703</v>
      </c>
      <c r="K10" s="240">
        <v>23</v>
      </c>
      <c r="L10" s="240">
        <v>6</v>
      </c>
      <c r="M10" s="243" t="s">
        <v>704</v>
      </c>
      <c r="N10" s="243" t="s">
        <v>705</v>
      </c>
      <c r="O10" s="240"/>
      <c r="P10" s="66"/>
      <c r="Q10" s="66"/>
      <c r="R10" s="67" t="s">
        <v>723</v>
      </c>
      <c r="S10" s="67" t="s">
        <v>724</v>
      </c>
      <c r="T10" s="67" t="s">
        <v>725</v>
      </c>
      <c r="U10" s="184" t="s">
        <v>726</v>
      </c>
      <c r="V10" s="66"/>
      <c r="W10" s="79" t="s">
        <v>727</v>
      </c>
      <c r="X10" s="107" t="s">
        <v>724</v>
      </c>
      <c r="Y10" s="98" t="s">
        <v>728</v>
      </c>
      <c r="Z10" s="92"/>
      <c r="AA10" s="102" t="s">
        <v>729</v>
      </c>
    </row>
    <row r="11" spans="1:27" s="53" customFormat="1" ht="99.75" hidden="1" customHeight="1">
      <c r="B11" s="241" t="s">
        <v>13</v>
      </c>
      <c r="C11" s="66" t="s">
        <v>730</v>
      </c>
      <c r="D11" s="67" t="s">
        <v>16</v>
      </c>
      <c r="E11" s="240">
        <v>2</v>
      </c>
      <c r="F11" s="241" t="s">
        <v>731</v>
      </c>
      <c r="G11" s="241" t="s">
        <v>732</v>
      </c>
      <c r="H11" s="66"/>
      <c r="I11" s="240">
        <v>1</v>
      </c>
      <c r="J11" s="242" t="s">
        <v>733</v>
      </c>
      <c r="K11" s="240"/>
      <c r="L11" s="240"/>
      <c r="M11" s="67" t="s">
        <v>734</v>
      </c>
      <c r="N11" s="113" t="s">
        <v>735</v>
      </c>
      <c r="O11" s="240" t="s">
        <v>736</v>
      </c>
      <c r="P11" s="244"/>
      <c r="Q11" s="244"/>
      <c r="R11" s="67" t="s">
        <v>737</v>
      </c>
      <c r="S11" s="67" t="s">
        <v>738</v>
      </c>
      <c r="T11" s="67" t="s">
        <v>739</v>
      </c>
      <c r="U11" s="176" t="s">
        <v>740</v>
      </c>
      <c r="V11" s="66"/>
      <c r="W11" s="107" t="s">
        <v>741</v>
      </c>
      <c r="X11" s="103" t="s">
        <v>742</v>
      </c>
      <c r="Y11" s="98" t="s">
        <v>743</v>
      </c>
      <c r="Z11" s="215"/>
      <c r="AA11" s="102" t="s">
        <v>744</v>
      </c>
    </row>
    <row r="12" spans="1:27" s="53" customFormat="1" ht="99.75" hidden="1" customHeight="1">
      <c r="B12" s="66" t="s">
        <v>4</v>
      </c>
      <c r="C12" s="66" t="s">
        <v>699</v>
      </c>
      <c r="D12" s="66" t="s">
        <v>5</v>
      </c>
      <c r="E12" s="240">
        <v>3</v>
      </c>
      <c r="F12" s="241" t="s">
        <v>745</v>
      </c>
      <c r="G12" s="241" t="s">
        <v>746</v>
      </c>
      <c r="H12" s="66" t="s">
        <v>702</v>
      </c>
      <c r="I12" s="240">
        <v>4</v>
      </c>
      <c r="J12" s="242" t="s">
        <v>733</v>
      </c>
      <c r="K12" s="240">
        <v>35</v>
      </c>
      <c r="L12" s="240"/>
      <c r="M12" s="243" t="s">
        <v>747</v>
      </c>
      <c r="N12" s="243" t="s">
        <v>748</v>
      </c>
      <c r="O12" s="240"/>
      <c r="P12" s="245"/>
      <c r="Q12" s="245"/>
      <c r="R12" s="67" t="s">
        <v>706</v>
      </c>
      <c r="S12" s="67" t="s">
        <v>707</v>
      </c>
      <c r="T12" s="67" t="s">
        <v>749</v>
      </c>
      <c r="U12" s="176" t="s">
        <v>750</v>
      </c>
      <c r="V12" s="66"/>
      <c r="W12" s="79" t="s">
        <v>710</v>
      </c>
      <c r="X12" s="81" t="s">
        <v>707</v>
      </c>
      <c r="Y12" s="188" t="s">
        <v>751</v>
      </c>
      <c r="Z12" s="93"/>
      <c r="AA12" s="102" t="s">
        <v>712</v>
      </c>
    </row>
    <row r="13" spans="1:27" s="53" customFormat="1" ht="99.75" hidden="1" customHeight="1">
      <c r="B13" s="66" t="s">
        <v>4</v>
      </c>
      <c r="C13" s="66" t="s">
        <v>699</v>
      </c>
      <c r="D13" s="66" t="s">
        <v>5</v>
      </c>
      <c r="E13" s="240">
        <v>2</v>
      </c>
      <c r="F13" s="241" t="s">
        <v>752</v>
      </c>
      <c r="G13" s="241" t="s">
        <v>753</v>
      </c>
      <c r="H13" s="80" t="s">
        <v>754</v>
      </c>
      <c r="I13" s="240">
        <v>2</v>
      </c>
      <c r="J13" s="242" t="s">
        <v>733</v>
      </c>
      <c r="K13" s="240">
        <v>35</v>
      </c>
      <c r="L13" s="240"/>
      <c r="M13" s="243" t="s">
        <v>755</v>
      </c>
      <c r="N13" s="243" t="s">
        <v>735</v>
      </c>
      <c r="O13" s="240" t="s">
        <v>736</v>
      </c>
      <c r="P13" s="245"/>
      <c r="Q13" s="245"/>
      <c r="R13" s="67" t="s">
        <v>706</v>
      </c>
      <c r="S13" s="67" t="s">
        <v>707</v>
      </c>
      <c r="T13" s="67" t="s">
        <v>756</v>
      </c>
      <c r="U13" s="176" t="s">
        <v>757</v>
      </c>
      <c r="V13" s="66"/>
      <c r="W13" s="79" t="s">
        <v>710</v>
      </c>
      <c r="X13" s="81" t="s">
        <v>707</v>
      </c>
      <c r="Y13" s="188" t="s">
        <v>758</v>
      </c>
      <c r="Z13" s="93"/>
      <c r="AA13" s="102" t="s">
        <v>712</v>
      </c>
    </row>
    <row r="14" spans="1:27" s="53" customFormat="1" ht="99.75" customHeight="1">
      <c r="B14" s="244" t="s">
        <v>18</v>
      </c>
      <c r="C14" s="244" t="s">
        <v>759</v>
      </c>
      <c r="D14" s="244" t="s">
        <v>19</v>
      </c>
      <c r="E14" s="246">
        <v>0</v>
      </c>
      <c r="F14" s="244" t="s">
        <v>760</v>
      </c>
      <c r="G14" s="244" t="s">
        <v>761</v>
      </c>
      <c r="H14" s="68"/>
      <c r="I14" s="246">
        <v>11</v>
      </c>
      <c r="J14" s="242" t="s">
        <v>762</v>
      </c>
      <c r="K14" s="246">
        <v>11</v>
      </c>
      <c r="L14" s="246"/>
      <c r="M14" s="247" t="s">
        <v>763</v>
      </c>
      <c r="N14" s="247" t="s">
        <v>764</v>
      </c>
      <c r="O14" s="246"/>
      <c r="P14" s="245"/>
      <c r="Q14" s="245"/>
      <c r="R14" s="98" t="s">
        <v>765</v>
      </c>
      <c r="S14" s="98" t="s">
        <v>766</v>
      </c>
      <c r="T14" s="103" t="s">
        <v>767</v>
      </c>
      <c r="U14" s="213" t="s">
        <v>768</v>
      </c>
      <c r="V14" s="68"/>
      <c r="W14" s="103" t="s">
        <v>769</v>
      </c>
      <c r="X14" s="103" t="s">
        <v>766</v>
      </c>
      <c r="Y14" s="103" t="s">
        <v>767</v>
      </c>
      <c r="Z14" s="89"/>
      <c r="AA14" s="102" t="s">
        <v>770</v>
      </c>
    </row>
    <row r="15" spans="1:27" s="53" customFormat="1" ht="99.75" hidden="1" customHeight="1">
      <c r="B15" s="66" t="s">
        <v>4</v>
      </c>
      <c r="C15" s="66" t="s">
        <v>699</v>
      </c>
      <c r="D15" s="66" t="s">
        <v>5</v>
      </c>
      <c r="E15" s="240">
        <v>2</v>
      </c>
      <c r="F15" s="241" t="s">
        <v>771</v>
      </c>
      <c r="G15" s="242" t="s">
        <v>772</v>
      </c>
      <c r="H15" s="66" t="s">
        <v>773</v>
      </c>
      <c r="I15" s="240">
        <v>12</v>
      </c>
      <c r="J15" s="242" t="s">
        <v>733</v>
      </c>
      <c r="K15" s="240">
        <v>4</v>
      </c>
      <c r="L15" s="240"/>
      <c r="M15" s="67" t="s">
        <v>774</v>
      </c>
      <c r="N15" s="67" t="s">
        <v>775</v>
      </c>
      <c r="O15" s="240"/>
      <c r="P15" s="79"/>
      <c r="Q15" s="79"/>
      <c r="R15" s="67" t="s">
        <v>776</v>
      </c>
      <c r="S15" s="67" t="s">
        <v>777</v>
      </c>
      <c r="T15" s="67" t="s">
        <v>778</v>
      </c>
      <c r="U15" s="176" t="s">
        <v>779</v>
      </c>
      <c r="V15" s="66"/>
      <c r="W15" s="79" t="s">
        <v>710</v>
      </c>
      <c r="X15" s="103" t="s">
        <v>780</v>
      </c>
      <c r="Y15" s="103" t="s">
        <v>778</v>
      </c>
      <c r="Z15" s="84"/>
      <c r="AA15" s="102" t="s">
        <v>712</v>
      </c>
    </row>
    <row r="16" spans="1:27" s="53" customFormat="1" ht="99.75" hidden="1" customHeight="1">
      <c r="B16" s="241" t="s">
        <v>10</v>
      </c>
      <c r="C16" s="241" t="s">
        <v>713</v>
      </c>
      <c r="D16" s="241" t="s">
        <v>11</v>
      </c>
      <c r="E16" s="240">
        <v>2</v>
      </c>
      <c r="F16" s="241" t="s">
        <v>771</v>
      </c>
      <c r="G16" s="241" t="s">
        <v>772</v>
      </c>
      <c r="H16" s="66"/>
      <c r="I16" s="240">
        <v>6</v>
      </c>
      <c r="J16" s="241" t="s">
        <v>733</v>
      </c>
      <c r="K16" s="240">
        <v>4</v>
      </c>
      <c r="L16" s="240"/>
      <c r="M16" s="67" t="s">
        <v>781</v>
      </c>
      <c r="N16" s="113" t="s">
        <v>782</v>
      </c>
      <c r="O16" s="78"/>
      <c r="P16" s="84"/>
      <c r="Q16" s="193"/>
      <c r="R16" s="68" t="s">
        <v>783</v>
      </c>
      <c r="S16" s="68" t="s">
        <v>783</v>
      </c>
      <c r="T16" s="68" t="s">
        <v>783</v>
      </c>
      <c r="U16" s="68" t="s">
        <v>784</v>
      </c>
      <c r="V16" s="68"/>
      <c r="W16" s="89" t="s">
        <v>719</v>
      </c>
      <c r="X16" s="88" t="s">
        <v>720</v>
      </c>
      <c r="Y16" s="79" t="s">
        <v>721</v>
      </c>
      <c r="Z16" s="89"/>
      <c r="AA16" s="78" t="s">
        <v>785</v>
      </c>
    </row>
    <row r="17" spans="2:27" s="53" customFormat="1" ht="99.75" hidden="1" customHeight="1">
      <c r="B17" s="241" t="s">
        <v>7</v>
      </c>
      <c r="C17" s="241" t="s">
        <v>722</v>
      </c>
      <c r="D17" s="241" t="s">
        <v>8</v>
      </c>
      <c r="E17" s="240">
        <v>2</v>
      </c>
      <c r="F17" s="241" t="s">
        <v>771</v>
      </c>
      <c r="G17" s="242" t="s">
        <v>772</v>
      </c>
      <c r="H17" s="66"/>
      <c r="I17" s="240">
        <v>10</v>
      </c>
      <c r="J17" s="242" t="s">
        <v>733</v>
      </c>
      <c r="K17" s="240">
        <v>4</v>
      </c>
      <c r="L17" s="240"/>
      <c r="M17" s="67" t="s">
        <v>786</v>
      </c>
      <c r="N17" s="67" t="s">
        <v>782</v>
      </c>
      <c r="O17" s="240"/>
      <c r="P17" s="79"/>
      <c r="Q17" s="79"/>
      <c r="R17" s="67" t="s">
        <v>787</v>
      </c>
      <c r="S17" s="67" t="s">
        <v>788</v>
      </c>
      <c r="T17" s="67" t="s">
        <v>789</v>
      </c>
      <c r="U17" s="176" t="s">
        <v>790</v>
      </c>
      <c r="V17" s="66"/>
      <c r="W17" s="79" t="s">
        <v>727</v>
      </c>
      <c r="X17" s="107" t="s">
        <v>791</v>
      </c>
      <c r="Y17" s="107" t="s">
        <v>789</v>
      </c>
      <c r="Z17" s="84"/>
      <c r="AA17" s="102" t="s">
        <v>729</v>
      </c>
    </row>
    <row r="18" spans="2:27" s="53" customFormat="1" ht="99.75" hidden="1" customHeight="1">
      <c r="B18" s="241" t="s">
        <v>13</v>
      </c>
      <c r="C18" s="66" t="s">
        <v>730</v>
      </c>
      <c r="D18" s="67" t="s">
        <v>16</v>
      </c>
      <c r="E18" s="240">
        <v>2</v>
      </c>
      <c r="F18" s="241" t="s">
        <v>792</v>
      </c>
      <c r="G18" s="241" t="s">
        <v>793</v>
      </c>
      <c r="H18" s="66"/>
      <c r="I18" s="240">
        <v>3</v>
      </c>
      <c r="J18" s="242" t="s">
        <v>733</v>
      </c>
      <c r="K18" s="240">
        <v>4</v>
      </c>
      <c r="L18" s="240"/>
      <c r="M18" s="243" t="s">
        <v>794</v>
      </c>
      <c r="N18" s="243" t="s">
        <v>795</v>
      </c>
      <c r="O18" s="240" t="s">
        <v>736</v>
      </c>
      <c r="P18" s="66"/>
      <c r="Q18" s="66"/>
      <c r="R18" s="67" t="s">
        <v>796</v>
      </c>
      <c r="S18" s="67" t="s">
        <v>797</v>
      </c>
      <c r="T18" s="67" t="s">
        <v>798</v>
      </c>
      <c r="U18" s="176" t="s">
        <v>799</v>
      </c>
      <c r="V18" s="66"/>
      <c r="W18" s="107" t="s">
        <v>741</v>
      </c>
      <c r="X18" s="103" t="s">
        <v>742</v>
      </c>
      <c r="Y18" s="98" t="s">
        <v>800</v>
      </c>
      <c r="Z18" s="103" t="s">
        <v>801</v>
      </c>
      <c r="AA18" s="102" t="s">
        <v>802</v>
      </c>
    </row>
    <row r="19" spans="2:27" s="53" customFormat="1" ht="99.75" hidden="1" customHeight="1">
      <c r="B19" s="66" t="s">
        <v>4</v>
      </c>
      <c r="C19" s="66" t="s">
        <v>699</v>
      </c>
      <c r="D19" s="66" t="s">
        <v>5</v>
      </c>
      <c r="E19" s="240">
        <v>2</v>
      </c>
      <c r="F19" s="241" t="s">
        <v>803</v>
      </c>
      <c r="G19" s="242" t="s">
        <v>804</v>
      </c>
      <c r="H19" s="80" t="s">
        <v>805</v>
      </c>
      <c r="I19" s="240">
        <v>17</v>
      </c>
      <c r="J19" s="80" t="s">
        <v>733</v>
      </c>
      <c r="K19" s="87">
        <v>10</v>
      </c>
      <c r="L19" s="240"/>
      <c r="M19" s="67" t="s">
        <v>806</v>
      </c>
      <c r="N19" s="67" t="s">
        <v>807</v>
      </c>
      <c r="O19" s="240" t="s">
        <v>736</v>
      </c>
      <c r="P19" s="66"/>
      <c r="Q19" s="66"/>
      <c r="R19" s="67" t="s">
        <v>706</v>
      </c>
      <c r="S19" s="67" t="s">
        <v>707</v>
      </c>
      <c r="T19" s="67" t="s">
        <v>808</v>
      </c>
      <c r="U19" s="176" t="s">
        <v>809</v>
      </c>
      <c r="V19" s="66"/>
      <c r="W19" s="196" t="s">
        <v>712</v>
      </c>
      <c r="X19" s="196" t="s">
        <v>712</v>
      </c>
      <c r="Y19" s="196" t="s">
        <v>712</v>
      </c>
      <c r="Z19" s="84"/>
      <c r="AA19" s="102" t="s">
        <v>712</v>
      </c>
    </row>
    <row r="20" spans="2:27" s="53" customFormat="1" ht="99.75" hidden="1" customHeight="1">
      <c r="B20" s="241" t="s">
        <v>13</v>
      </c>
      <c r="C20" s="66" t="s">
        <v>810</v>
      </c>
      <c r="D20" s="66" t="s">
        <v>14</v>
      </c>
      <c r="E20" s="240">
        <v>2</v>
      </c>
      <c r="F20" s="241" t="s">
        <v>811</v>
      </c>
      <c r="G20" s="242" t="s">
        <v>812</v>
      </c>
      <c r="H20" s="66"/>
      <c r="I20" s="240">
        <v>1</v>
      </c>
      <c r="J20" s="242" t="s">
        <v>733</v>
      </c>
      <c r="K20" s="240">
        <v>21</v>
      </c>
      <c r="L20" s="240"/>
      <c r="M20" s="243" t="s">
        <v>813</v>
      </c>
      <c r="N20" s="241" t="s">
        <v>814</v>
      </c>
      <c r="O20" s="240" t="s">
        <v>736</v>
      </c>
      <c r="P20" s="66" t="s">
        <v>815</v>
      </c>
      <c r="Q20" s="91" t="s">
        <v>816</v>
      </c>
      <c r="R20" s="67" t="s">
        <v>817</v>
      </c>
      <c r="S20" s="66" t="s">
        <v>818</v>
      </c>
      <c r="T20" s="66" t="s">
        <v>819</v>
      </c>
      <c r="U20" s="185" t="s">
        <v>820</v>
      </c>
      <c r="V20" s="66"/>
      <c r="W20" s="84" t="s">
        <v>821</v>
      </c>
      <c r="X20" s="84" t="s">
        <v>818</v>
      </c>
      <c r="Y20" s="84" t="s">
        <v>822</v>
      </c>
      <c r="Z20" s="84" t="s">
        <v>823</v>
      </c>
      <c r="AA20" s="78"/>
    </row>
    <row r="21" spans="2:27" s="53" customFormat="1" ht="99.75" hidden="1" customHeight="1">
      <c r="B21" s="241" t="s">
        <v>10</v>
      </c>
      <c r="C21" s="241" t="s">
        <v>713</v>
      </c>
      <c r="D21" s="241" t="s">
        <v>11</v>
      </c>
      <c r="E21" s="240">
        <v>2</v>
      </c>
      <c r="F21" s="241" t="s">
        <v>803</v>
      </c>
      <c r="G21" s="241" t="s">
        <v>804</v>
      </c>
      <c r="H21" s="66" t="s">
        <v>805</v>
      </c>
      <c r="I21" s="240">
        <v>10</v>
      </c>
      <c r="J21" s="241" t="s">
        <v>733</v>
      </c>
      <c r="K21" s="240">
        <v>10</v>
      </c>
      <c r="L21" s="240"/>
      <c r="M21" s="98" t="s">
        <v>806</v>
      </c>
      <c r="N21" s="98" t="s">
        <v>807</v>
      </c>
      <c r="O21" s="78" t="s">
        <v>736</v>
      </c>
      <c r="P21" s="91"/>
      <c r="Q21" s="78"/>
      <c r="R21" s="68" t="s">
        <v>715</v>
      </c>
      <c r="S21" s="68" t="s">
        <v>716</v>
      </c>
      <c r="T21" s="68" t="s">
        <v>824</v>
      </c>
      <c r="U21" s="68" t="s">
        <v>825</v>
      </c>
      <c r="V21" s="68"/>
      <c r="W21" s="89" t="s">
        <v>721</v>
      </c>
      <c r="X21" s="89" t="s">
        <v>721</v>
      </c>
      <c r="Y21" s="75" t="s">
        <v>721</v>
      </c>
      <c r="Z21" s="89" t="s">
        <v>721</v>
      </c>
      <c r="AA21" s="78" t="s">
        <v>721</v>
      </c>
    </row>
    <row r="22" spans="2:27" s="53" customFormat="1" ht="99.75" hidden="1" customHeight="1">
      <c r="B22" s="241" t="s">
        <v>7</v>
      </c>
      <c r="C22" s="241" t="s">
        <v>722</v>
      </c>
      <c r="D22" s="241" t="s">
        <v>8</v>
      </c>
      <c r="E22" s="240">
        <v>2</v>
      </c>
      <c r="F22" s="241" t="s">
        <v>803</v>
      </c>
      <c r="G22" s="242" t="s">
        <v>804</v>
      </c>
      <c r="H22" s="80" t="s">
        <v>805</v>
      </c>
      <c r="I22" s="240">
        <v>15</v>
      </c>
      <c r="J22" s="80" t="s">
        <v>733</v>
      </c>
      <c r="K22" s="87">
        <v>10</v>
      </c>
      <c r="L22" s="240"/>
      <c r="M22" s="67" t="s">
        <v>806</v>
      </c>
      <c r="N22" s="67" t="s">
        <v>807</v>
      </c>
      <c r="O22" s="240"/>
      <c r="P22" s="66"/>
      <c r="Q22" s="66"/>
      <c r="R22" s="67" t="s">
        <v>723</v>
      </c>
      <c r="S22" s="67" t="s">
        <v>724</v>
      </c>
      <c r="T22" s="189" t="s">
        <v>826</v>
      </c>
      <c r="U22" s="184" t="s">
        <v>827</v>
      </c>
      <c r="V22" s="66"/>
      <c r="W22" s="89" t="s">
        <v>783</v>
      </c>
      <c r="X22" s="103" t="s">
        <v>729</v>
      </c>
      <c r="Y22" s="101" t="s">
        <v>729</v>
      </c>
      <c r="Z22" s="84"/>
      <c r="AA22" s="102" t="s">
        <v>729</v>
      </c>
    </row>
    <row r="23" spans="2:27" s="53" customFormat="1" ht="99.75" hidden="1" customHeight="1">
      <c r="B23" s="241" t="s">
        <v>13</v>
      </c>
      <c r="C23" s="66" t="s">
        <v>730</v>
      </c>
      <c r="D23" s="67" t="s">
        <v>16</v>
      </c>
      <c r="E23" s="240">
        <v>2</v>
      </c>
      <c r="F23" s="66" t="s">
        <v>828</v>
      </c>
      <c r="G23" s="80" t="s">
        <v>829</v>
      </c>
      <c r="H23" s="66"/>
      <c r="I23" s="240">
        <v>4</v>
      </c>
      <c r="J23" s="242" t="s">
        <v>733</v>
      </c>
      <c r="K23" s="240"/>
      <c r="L23" s="240"/>
      <c r="M23" s="67" t="s">
        <v>830</v>
      </c>
      <c r="N23" s="67" t="s">
        <v>831</v>
      </c>
      <c r="O23" s="240"/>
      <c r="P23" s="66"/>
      <c r="Q23" s="66"/>
      <c r="R23" s="67" t="s">
        <v>832</v>
      </c>
      <c r="S23" s="67" t="s">
        <v>833</v>
      </c>
      <c r="T23" s="67" t="s">
        <v>834</v>
      </c>
      <c r="U23" s="176" t="s">
        <v>835</v>
      </c>
      <c r="V23" s="66"/>
      <c r="W23" s="107" t="s">
        <v>741</v>
      </c>
      <c r="X23" s="103" t="s">
        <v>836</v>
      </c>
      <c r="Y23" s="202" t="s">
        <v>837</v>
      </c>
      <c r="Z23" s="217" t="s">
        <v>838</v>
      </c>
      <c r="AA23" s="102" t="s">
        <v>839</v>
      </c>
    </row>
    <row r="24" spans="2:27" s="53" customFormat="1" ht="99.75" hidden="1" customHeight="1">
      <c r="B24" s="66" t="s">
        <v>4</v>
      </c>
      <c r="C24" s="66" t="s">
        <v>699</v>
      </c>
      <c r="D24" s="66" t="s">
        <v>5</v>
      </c>
      <c r="E24" s="240">
        <v>2</v>
      </c>
      <c r="F24" s="80" t="s">
        <v>840</v>
      </c>
      <c r="G24" s="80" t="s">
        <v>841</v>
      </c>
      <c r="H24" s="80" t="s">
        <v>842</v>
      </c>
      <c r="I24" s="240">
        <v>18</v>
      </c>
      <c r="J24" s="80" t="s">
        <v>843</v>
      </c>
      <c r="K24" s="87">
        <v>23</v>
      </c>
      <c r="L24" s="87"/>
      <c r="M24" s="67" t="s">
        <v>844</v>
      </c>
      <c r="N24" s="67" t="s">
        <v>845</v>
      </c>
      <c r="O24" s="240"/>
      <c r="P24" s="66"/>
      <c r="Q24" s="66"/>
      <c r="R24" s="67" t="s">
        <v>846</v>
      </c>
      <c r="S24" s="67" t="s">
        <v>846</v>
      </c>
      <c r="T24" s="67" t="s">
        <v>846</v>
      </c>
      <c r="U24" s="176" t="s">
        <v>847</v>
      </c>
      <c r="V24" s="66"/>
      <c r="W24" s="196" t="s">
        <v>712</v>
      </c>
      <c r="X24" s="105" t="s">
        <v>712</v>
      </c>
      <c r="Y24" s="105" t="s">
        <v>712</v>
      </c>
      <c r="Z24" s="84"/>
      <c r="AA24" s="102" t="s">
        <v>712</v>
      </c>
    </row>
    <row r="25" spans="2:27" s="53" customFormat="1" ht="99.75" hidden="1" customHeight="1">
      <c r="B25" s="241" t="s">
        <v>13</v>
      </c>
      <c r="C25" s="66" t="s">
        <v>810</v>
      </c>
      <c r="D25" s="66" t="s">
        <v>14</v>
      </c>
      <c r="E25" s="240">
        <v>2</v>
      </c>
      <c r="F25" s="241" t="s">
        <v>848</v>
      </c>
      <c r="G25" s="242" t="s">
        <v>849</v>
      </c>
      <c r="H25" s="66"/>
      <c r="I25" s="240">
        <v>2</v>
      </c>
      <c r="J25" s="242" t="s">
        <v>733</v>
      </c>
      <c r="K25" s="240">
        <v>35</v>
      </c>
      <c r="L25" s="240"/>
      <c r="M25" s="243" t="s">
        <v>755</v>
      </c>
      <c r="N25" s="241" t="s">
        <v>735</v>
      </c>
      <c r="O25" s="240"/>
      <c r="P25" s="66" t="s">
        <v>815</v>
      </c>
      <c r="Q25" s="91" t="s">
        <v>850</v>
      </c>
      <c r="R25" s="67" t="s">
        <v>817</v>
      </c>
      <c r="S25" s="66" t="s">
        <v>818</v>
      </c>
      <c r="T25" s="66" t="s">
        <v>851</v>
      </c>
      <c r="U25" s="176" t="s">
        <v>852</v>
      </c>
      <c r="V25" s="66"/>
      <c r="W25" s="91" t="s">
        <v>821</v>
      </c>
      <c r="X25" s="91" t="s">
        <v>818</v>
      </c>
      <c r="Y25" s="91" t="s">
        <v>853</v>
      </c>
      <c r="Z25" s="84"/>
      <c r="AA25" s="78"/>
    </row>
    <row r="26" spans="2:27" s="53" customFormat="1" ht="99.75" hidden="1" customHeight="1">
      <c r="B26" s="241" t="s">
        <v>10</v>
      </c>
      <c r="C26" s="241" t="s">
        <v>713</v>
      </c>
      <c r="D26" s="241" t="s">
        <v>11</v>
      </c>
      <c r="E26" s="240">
        <v>2</v>
      </c>
      <c r="F26" s="241" t="s">
        <v>840</v>
      </c>
      <c r="G26" s="241" t="s">
        <v>841</v>
      </c>
      <c r="H26" s="66" t="s">
        <v>842</v>
      </c>
      <c r="I26" s="240">
        <v>11</v>
      </c>
      <c r="J26" s="241" t="s">
        <v>843</v>
      </c>
      <c r="K26" s="240">
        <v>23</v>
      </c>
      <c r="L26" s="240"/>
      <c r="M26" s="98" t="s">
        <v>844</v>
      </c>
      <c r="N26" s="98" t="s">
        <v>845</v>
      </c>
      <c r="O26" s="68"/>
      <c r="P26" s="91"/>
      <c r="Q26" s="78"/>
      <c r="R26" s="68" t="s">
        <v>783</v>
      </c>
      <c r="S26" s="68" t="s">
        <v>783</v>
      </c>
      <c r="T26" s="68" t="s">
        <v>783</v>
      </c>
      <c r="U26" s="68" t="s">
        <v>854</v>
      </c>
      <c r="V26" s="68"/>
      <c r="W26" s="68" t="s">
        <v>721</v>
      </c>
      <c r="X26" s="68" t="s">
        <v>721</v>
      </c>
      <c r="Y26" s="68" t="s">
        <v>721</v>
      </c>
      <c r="Z26" s="89" t="s">
        <v>721</v>
      </c>
      <c r="AA26" s="78" t="s">
        <v>721</v>
      </c>
    </row>
    <row r="27" spans="2:27" s="53" customFormat="1" ht="99.75" hidden="1" customHeight="1">
      <c r="B27" s="241" t="s">
        <v>7</v>
      </c>
      <c r="C27" s="241" t="s">
        <v>722</v>
      </c>
      <c r="D27" s="241" t="s">
        <v>8</v>
      </c>
      <c r="E27" s="240">
        <v>2</v>
      </c>
      <c r="F27" s="80" t="s">
        <v>840</v>
      </c>
      <c r="G27" s="80" t="s">
        <v>841</v>
      </c>
      <c r="H27" s="80" t="s">
        <v>842</v>
      </c>
      <c r="I27" s="240">
        <v>16</v>
      </c>
      <c r="J27" s="80" t="s">
        <v>843</v>
      </c>
      <c r="K27" s="87">
        <v>23</v>
      </c>
      <c r="L27" s="87"/>
      <c r="M27" s="67" t="s">
        <v>844</v>
      </c>
      <c r="N27" s="67" t="s">
        <v>845</v>
      </c>
      <c r="O27" s="240"/>
      <c r="P27" s="66"/>
      <c r="Q27" s="66"/>
      <c r="R27" s="67" t="s">
        <v>729</v>
      </c>
      <c r="S27" s="67" t="s">
        <v>729</v>
      </c>
      <c r="T27" s="67" t="s">
        <v>729</v>
      </c>
      <c r="U27" s="184" t="s">
        <v>855</v>
      </c>
      <c r="V27" s="66"/>
      <c r="W27" s="68" t="s">
        <v>783</v>
      </c>
      <c r="X27" s="103" t="s">
        <v>729</v>
      </c>
      <c r="Y27" s="98" t="s">
        <v>729</v>
      </c>
      <c r="Z27" s="92"/>
      <c r="AA27" s="102" t="s">
        <v>729</v>
      </c>
    </row>
    <row r="28" spans="2:27" s="53" customFormat="1" ht="99.75" hidden="1" customHeight="1">
      <c r="B28" s="241" t="s">
        <v>13</v>
      </c>
      <c r="C28" s="66" t="s">
        <v>730</v>
      </c>
      <c r="D28" s="67" t="s">
        <v>16</v>
      </c>
      <c r="E28" s="240">
        <v>2</v>
      </c>
      <c r="F28" s="66" t="s">
        <v>856</v>
      </c>
      <c r="G28" s="66" t="s">
        <v>857</v>
      </c>
      <c r="H28" s="66"/>
      <c r="I28" s="240">
        <v>5</v>
      </c>
      <c r="J28" s="242" t="s">
        <v>733</v>
      </c>
      <c r="K28" s="240">
        <v>8</v>
      </c>
      <c r="L28" s="240"/>
      <c r="M28" s="67" t="s">
        <v>858</v>
      </c>
      <c r="N28" s="67" t="s">
        <v>859</v>
      </c>
      <c r="O28" s="240"/>
      <c r="P28" s="66"/>
      <c r="Q28" s="66"/>
      <c r="R28" s="67" t="s">
        <v>860</v>
      </c>
      <c r="S28" s="67" t="s">
        <v>861</v>
      </c>
      <c r="T28" s="67" t="s">
        <v>862</v>
      </c>
      <c r="U28" s="176" t="s">
        <v>863</v>
      </c>
      <c r="V28" s="66"/>
      <c r="W28" s="67" t="s">
        <v>741</v>
      </c>
      <c r="X28" s="103" t="s">
        <v>864</v>
      </c>
      <c r="Y28" s="202" t="s">
        <v>865</v>
      </c>
      <c r="Z28" s="86" t="s">
        <v>866</v>
      </c>
      <c r="AA28" s="218" t="s">
        <v>867</v>
      </c>
    </row>
    <row r="29" spans="2:27" s="53" customFormat="1" ht="99.75" hidden="1" customHeight="1">
      <c r="B29" s="241" t="s">
        <v>13</v>
      </c>
      <c r="C29" s="66" t="s">
        <v>810</v>
      </c>
      <c r="D29" s="66" t="s">
        <v>14</v>
      </c>
      <c r="E29" s="240">
        <v>2</v>
      </c>
      <c r="F29" s="241" t="s">
        <v>868</v>
      </c>
      <c r="G29" s="242" t="s">
        <v>869</v>
      </c>
      <c r="H29" s="66"/>
      <c r="I29" s="240">
        <v>3</v>
      </c>
      <c r="J29" s="242" t="s">
        <v>733</v>
      </c>
      <c r="K29" s="240">
        <v>36</v>
      </c>
      <c r="L29" s="240"/>
      <c r="M29" s="243" t="s">
        <v>870</v>
      </c>
      <c r="N29" s="241" t="s">
        <v>871</v>
      </c>
      <c r="O29" s="240"/>
      <c r="P29" s="66" t="s">
        <v>815</v>
      </c>
      <c r="Q29" s="91" t="s">
        <v>872</v>
      </c>
      <c r="R29" s="67" t="s">
        <v>817</v>
      </c>
      <c r="S29" s="66" t="s">
        <v>818</v>
      </c>
      <c r="T29" s="66" t="s">
        <v>873</v>
      </c>
      <c r="U29" s="176" t="s">
        <v>874</v>
      </c>
      <c r="V29" s="66"/>
      <c r="W29" s="91" t="s">
        <v>821</v>
      </c>
      <c r="X29" s="84" t="s">
        <v>818</v>
      </c>
      <c r="Y29" s="92" t="s">
        <v>875</v>
      </c>
      <c r="Z29" s="84"/>
      <c r="AA29" s="78"/>
    </row>
    <row r="30" spans="2:27" s="53" customFormat="1" ht="99.75" hidden="1" customHeight="1">
      <c r="B30" s="241" t="s">
        <v>13</v>
      </c>
      <c r="C30" s="66" t="s">
        <v>810</v>
      </c>
      <c r="D30" s="66" t="s">
        <v>14</v>
      </c>
      <c r="E30" s="240">
        <v>2</v>
      </c>
      <c r="F30" s="241" t="s">
        <v>876</v>
      </c>
      <c r="G30" s="242" t="s">
        <v>877</v>
      </c>
      <c r="H30" s="66"/>
      <c r="I30" s="240">
        <v>4</v>
      </c>
      <c r="J30" s="242" t="s">
        <v>733</v>
      </c>
      <c r="K30" s="240"/>
      <c r="L30" s="240"/>
      <c r="M30" s="243" t="s">
        <v>878</v>
      </c>
      <c r="N30" s="241" t="s">
        <v>879</v>
      </c>
      <c r="O30" s="240"/>
      <c r="P30" s="66" t="s">
        <v>815</v>
      </c>
      <c r="Q30" s="91" t="s">
        <v>880</v>
      </c>
      <c r="R30" s="67" t="s">
        <v>817</v>
      </c>
      <c r="S30" s="68" t="s">
        <v>881</v>
      </c>
      <c r="T30" s="68" t="s">
        <v>882</v>
      </c>
      <c r="U30" s="185" t="s">
        <v>883</v>
      </c>
      <c r="V30" s="66"/>
      <c r="W30" s="91" t="s">
        <v>821</v>
      </c>
      <c r="X30" s="84" t="s">
        <v>881</v>
      </c>
      <c r="Y30" s="92" t="s">
        <v>884</v>
      </c>
      <c r="Z30" s="82" t="s">
        <v>885</v>
      </c>
      <c r="AA30" s="78"/>
    </row>
    <row r="31" spans="2:27" s="53" customFormat="1" ht="99.75" hidden="1" customHeight="1">
      <c r="B31" s="241" t="s">
        <v>13</v>
      </c>
      <c r="C31" s="66" t="s">
        <v>810</v>
      </c>
      <c r="D31" s="66" t="s">
        <v>14</v>
      </c>
      <c r="E31" s="240">
        <v>2</v>
      </c>
      <c r="F31" s="241" t="s">
        <v>886</v>
      </c>
      <c r="G31" s="242" t="s">
        <v>887</v>
      </c>
      <c r="H31" s="66"/>
      <c r="I31" s="240">
        <v>5</v>
      </c>
      <c r="J31" s="242" t="s">
        <v>733</v>
      </c>
      <c r="K31" s="240">
        <v>8</v>
      </c>
      <c r="L31" s="240"/>
      <c r="M31" s="243" t="s">
        <v>888</v>
      </c>
      <c r="N31" s="241" t="s">
        <v>889</v>
      </c>
      <c r="O31" s="240"/>
      <c r="P31" s="66" t="s">
        <v>815</v>
      </c>
      <c r="Q31" s="91" t="s">
        <v>890</v>
      </c>
      <c r="R31" s="67" t="s">
        <v>817</v>
      </c>
      <c r="S31" s="66" t="s">
        <v>818</v>
      </c>
      <c r="T31" s="67" t="s">
        <v>891</v>
      </c>
      <c r="U31" s="176" t="s">
        <v>892</v>
      </c>
      <c r="V31" s="66"/>
      <c r="W31" s="91" t="s">
        <v>821</v>
      </c>
      <c r="X31" s="84" t="s">
        <v>818</v>
      </c>
      <c r="Y31" s="92" t="s">
        <v>893</v>
      </c>
      <c r="Z31" s="82" t="s">
        <v>894</v>
      </c>
      <c r="AA31" s="78"/>
    </row>
    <row r="32" spans="2:27" s="53" customFormat="1" ht="99.75" hidden="1" customHeight="1">
      <c r="B32" s="66" t="s">
        <v>4</v>
      </c>
      <c r="C32" s="66" t="s">
        <v>699</v>
      </c>
      <c r="D32" s="66" t="s">
        <v>5</v>
      </c>
      <c r="E32" s="240">
        <v>2</v>
      </c>
      <c r="F32" s="241" t="s">
        <v>731</v>
      </c>
      <c r="G32" s="241" t="s">
        <v>732</v>
      </c>
      <c r="H32" s="80" t="s">
        <v>754</v>
      </c>
      <c r="I32" s="240">
        <v>3</v>
      </c>
      <c r="J32" s="242" t="s">
        <v>733</v>
      </c>
      <c r="K32" s="240">
        <v>35</v>
      </c>
      <c r="L32" s="240"/>
      <c r="M32" s="67" t="s">
        <v>734</v>
      </c>
      <c r="N32" s="113" t="s">
        <v>735</v>
      </c>
      <c r="O32" s="240" t="s">
        <v>736</v>
      </c>
      <c r="P32" s="244"/>
      <c r="Q32" s="244"/>
      <c r="R32" s="67" t="s">
        <v>706</v>
      </c>
      <c r="S32" s="67" t="s">
        <v>707</v>
      </c>
      <c r="T32" s="67" t="s">
        <v>895</v>
      </c>
      <c r="U32" s="176" t="s">
        <v>896</v>
      </c>
      <c r="V32" s="66"/>
      <c r="W32" s="66" t="s">
        <v>710</v>
      </c>
      <c r="X32" s="94" t="s">
        <v>707</v>
      </c>
      <c r="Y32" s="201" t="s">
        <v>897</v>
      </c>
      <c r="Z32" s="93"/>
      <c r="AA32" s="102" t="s">
        <v>712</v>
      </c>
    </row>
    <row r="33" spans="1:27" s="53" customFormat="1" ht="99.75" hidden="1" customHeight="1">
      <c r="B33" s="241" t="s">
        <v>10</v>
      </c>
      <c r="C33" s="241" t="s">
        <v>713</v>
      </c>
      <c r="D33" s="241" t="s">
        <v>11</v>
      </c>
      <c r="E33" s="240">
        <v>2</v>
      </c>
      <c r="F33" s="241" t="s">
        <v>731</v>
      </c>
      <c r="G33" s="241" t="s">
        <v>732</v>
      </c>
      <c r="H33" s="66" t="s">
        <v>754</v>
      </c>
      <c r="I33" s="240">
        <v>1</v>
      </c>
      <c r="J33" s="241" t="s">
        <v>733</v>
      </c>
      <c r="K33" s="240">
        <v>35</v>
      </c>
      <c r="L33" s="240"/>
      <c r="M33" s="67" t="s">
        <v>734</v>
      </c>
      <c r="N33" s="113" t="s">
        <v>735</v>
      </c>
      <c r="O33" s="112" t="s">
        <v>736</v>
      </c>
      <c r="P33" s="91"/>
      <c r="Q33" s="78"/>
      <c r="R33" s="68" t="s">
        <v>715</v>
      </c>
      <c r="S33" s="68" t="s">
        <v>716</v>
      </c>
      <c r="T33" s="68" t="s">
        <v>898</v>
      </c>
      <c r="U33" s="68" t="s">
        <v>899</v>
      </c>
      <c r="V33" s="68"/>
      <c r="W33" s="68" t="s">
        <v>719</v>
      </c>
      <c r="X33" s="90" t="s">
        <v>720</v>
      </c>
      <c r="Y33" s="109" t="s">
        <v>898</v>
      </c>
      <c r="Z33" s="89"/>
      <c r="AA33" s="78" t="s">
        <v>721</v>
      </c>
    </row>
    <row r="34" spans="1:27" s="53" customFormat="1" ht="99.75" hidden="1" customHeight="1">
      <c r="B34" s="241" t="s">
        <v>7</v>
      </c>
      <c r="C34" s="241" t="s">
        <v>722</v>
      </c>
      <c r="D34" s="241" t="s">
        <v>8</v>
      </c>
      <c r="E34" s="240">
        <v>2</v>
      </c>
      <c r="F34" s="241" t="s">
        <v>731</v>
      </c>
      <c r="G34" s="241" t="s">
        <v>732</v>
      </c>
      <c r="H34" s="80" t="s">
        <v>754</v>
      </c>
      <c r="I34" s="240">
        <v>1</v>
      </c>
      <c r="J34" s="242" t="s">
        <v>733</v>
      </c>
      <c r="K34" s="240">
        <v>35</v>
      </c>
      <c r="L34" s="240"/>
      <c r="M34" s="243" t="s">
        <v>755</v>
      </c>
      <c r="N34" s="243" t="s">
        <v>735</v>
      </c>
      <c r="O34" s="240" t="s">
        <v>736</v>
      </c>
      <c r="P34" s="66"/>
      <c r="Q34" s="66"/>
      <c r="R34" s="67" t="s">
        <v>723</v>
      </c>
      <c r="S34" s="67" t="s">
        <v>724</v>
      </c>
      <c r="T34" s="189" t="s">
        <v>900</v>
      </c>
      <c r="U34" s="184" t="s">
        <v>901</v>
      </c>
      <c r="V34" s="66"/>
      <c r="W34" s="66" t="s">
        <v>727</v>
      </c>
      <c r="X34" s="107" t="s">
        <v>724</v>
      </c>
      <c r="Y34" s="197" t="s">
        <v>902</v>
      </c>
      <c r="Z34" s="84"/>
      <c r="AA34" s="102" t="s">
        <v>729</v>
      </c>
    </row>
    <row r="35" spans="1:27" s="53" customFormat="1" ht="99.75" hidden="1" customHeight="1">
      <c r="B35" s="241" t="s">
        <v>13</v>
      </c>
      <c r="C35" s="66" t="s">
        <v>730</v>
      </c>
      <c r="D35" s="67" t="s">
        <v>16</v>
      </c>
      <c r="E35" s="240">
        <v>2</v>
      </c>
      <c r="F35" s="241" t="s">
        <v>903</v>
      </c>
      <c r="G35" s="241" t="s">
        <v>904</v>
      </c>
      <c r="H35" s="66"/>
      <c r="I35" s="240">
        <v>6</v>
      </c>
      <c r="J35" s="242" t="s">
        <v>733</v>
      </c>
      <c r="K35" s="240"/>
      <c r="L35" s="240"/>
      <c r="M35" s="243" t="s">
        <v>905</v>
      </c>
      <c r="N35" s="243" t="s">
        <v>906</v>
      </c>
      <c r="O35" s="240"/>
      <c r="P35" s="244"/>
      <c r="Q35" s="244"/>
      <c r="R35" s="67" t="s">
        <v>907</v>
      </c>
      <c r="S35" s="67" t="s">
        <v>908</v>
      </c>
      <c r="T35" s="67" t="s">
        <v>909</v>
      </c>
      <c r="U35" s="185" t="s">
        <v>910</v>
      </c>
      <c r="V35" s="66"/>
      <c r="W35" s="67" t="s">
        <v>741</v>
      </c>
      <c r="X35" s="103" t="s">
        <v>911</v>
      </c>
      <c r="Y35" s="202" t="s">
        <v>912</v>
      </c>
      <c r="Z35" s="86" t="s">
        <v>913</v>
      </c>
      <c r="AA35" s="102" t="s">
        <v>839</v>
      </c>
    </row>
    <row r="36" spans="1:27" s="53" customFormat="1" ht="99.75" hidden="1" customHeight="1">
      <c r="B36" s="241" t="s">
        <v>13</v>
      </c>
      <c r="C36" s="66" t="s">
        <v>810</v>
      </c>
      <c r="D36" s="66" t="s">
        <v>14</v>
      </c>
      <c r="E36" s="240">
        <v>2</v>
      </c>
      <c r="F36" s="241" t="s">
        <v>914</v>
      </c>
      <c r="G36" s="242" t="s">
        <v>915</v>
      </c>
      <c r="H36" s="66"/>
      <c r="I36" s="240">
        <v>6</v>
      </c>
      <c r="J36" s="242" t="s">
        <v>733</v>
      </c>
      <c r="K36" s="240">
        <v>8</v>
      </c>
      <c r="L36" s="240"/>
      <c r="M36" s="243" t="s">
        <v>916</v>
      </c>
      <c r="N36" s="241" t="s">
        <v>917</v>
      </c>
      <c r="O36" s="240"/>
      <c r="P36" s="66" t="s">
        <v>815</v>
      </c>
      <c r="Q36" s="91" t="s">
        <v>918</v>
      </c>
      <c r="R36" s="67" t="s">
        <v>919</v>
      </c>
      <c r="S36" s="67" t="s">
        <v>920</v>
      </c>
      <c r="T36" s="67" t="s">
        <v>921</v>
      </c>
      <c r="U36" s="185" t="s">
        <v>922</v>
      </c>
      <c r="V36" s="66"/>
      <c r="W36" s="91" t="s">
        <v>821</v>
      </c>
      <c r="X36" s="84" t="s">
        <v>881</v>
      </c>
      <c r="Y36" s="91" t="s">
        <v>884</v>
      </c>
      <c r="Z36" s="110" t="s">
        <v>923</v>
      </c>
      <c r="AA36" s="78"/>
    </row>
    <row r="37" spans="1:27" s="53" customFormat="1" ht="99.75" hidden="1" customHeight="1">
      <c r="B37" s="241" t="s">
        <v>13</v>
      </c>
      <c r="C37" s="66" t="s">
        <v>810</v>
      </c>
      <c r="D37" s="66" t="s">
        <v>14</v>
      </c>
      <c r="E37" s="240">
        <v>2</v>
      </c>
      <c r="F37" s="241" t="s">
        <v>924</v>
      </c>
      <c r="G37" s="242" t="s">
        <v>925</v>
      </c>
      <c r="H37" s="66"/>
      <c r="I37" s="240">
        <v>7</v>
      </c>
      <c r="J37" s="242" t="s">
        <v>733</v>
      </c>
      <c r="K37" s="240"/>
      <c r="L37" s="240"/>
      <c r="M37" s="243" t="s">
        <v>926</v>
      </c>
      <c r="N37" s="241" t="s">
        <v>927</v>
      </c>
      <c r="O37" s="240"/>
      <c r="P37" s="66" t="s">
        <v>815</v>
      </c>
      <c r="Q37" s="91" t="s">
        <v>928</v>
      </c>
      <c r="R37" s="67" t="s">
        <v>817</v>
      </c>
      <c r="S37" s="66" t="s">
        <v>929</v>
      </c>
      <c r="T37" s="66" t="s">
        <v>882</v>
      </c>
      <c r="U37" s="176" t="s">
        <v>930</v>
      </c>
      <c r="V37" s="66"/>
      <c r="W37" s="91" t="s">
        <v>821</v>
      </c>
      <c r="X37" s="84" t="s">
        <v>881</v>
      </c>
      <c r="Y37" s="91" t="s">
        <v>884</v>
      </c>
      <c r="Z37" s="96" t="s">
        <v>931</v>
      </c>
      <c r="AA37" s="78"/>
    </row>
    <row r="38" spans="1:27" s="53" customFormat="1" ht="99.75" hidden="1" customHeight="1">
      <c r="B38" s="241" t="s">
        <v>13</v>
      </c>
      <c r="C38" s="66" t="s">
        <v>810</v>
      </c>
      <c r="D38" s="66" t="s">
        <v>14</v>
      </c>
      <c r="E38" s="240">
        <v>2</v>
      </c>
      <c r="F38" s="241" t="s">
        <v>932</v>
      </c>
      <c r="G38" s="242" t="s">
        <v>933</v>
      </c>
      <c r="H38" s="66"/>
      <c r="I38" s="240">
        <v>8</v>
      </c>
      <c r="J38" s="242" t="s">
        <v>733</v>
      </c>
      <c r="K38" s="240">
        <v>8</v>
      </c>
      <c r="L38" s="240"/>
      <c r="M38" s="243" t="s">
        <v>934</v>
      </c>
      <c r="N38" s="241" t="s">
        <v>935</v>
      </c>
      <c r="O38" s="240"/>
      <c r="P38" s="66" t="s">
        <v>815</v>
      </c>
      <c r="Q38" s="91" t="s">
        <v>936</v>
      </c>
      <c r="R38" s="67" t="s">
        <v>817</v>
      </c>
      <c r="S38" s="66" t="s">
        <v>818</v>
      </c>
      <c r="T38" s="67" t="s">
        <v>891</v>
      </c>
      <c r="U38" s="182" t="s">
        <v>937</v>
      </c>
      <c r="V38" s="66"/>
      <c r="W38" s="91" t="s">
        <v>821</v>
      </c>
      <c r="X38" s="84" t="s">
        <v>818</v>
      </c>
      <c r="Y38" s="84" t="s">
        <v>893</v>
      </c>
      <c r="Z38" s="96" t="s">
        <v>938</v>
      </c>
      <c r="AA38" s="78"/>
    </row>
    <row r="39" spans="1:27" s="53" customFormat="1" ht="99.75" hidden="1" customHeight="1">
      <c r="B39" s="241" t="s">
        <v>13</v>
      </c>
      <c r="C39" s="66" t="s">
        <v>810</v>
      </c>
      <c r="D39" s="66" t="s">
        <v>14</v>
      </c>
      <c r="E39" s="240">
        <v>2</v>
      </c>
      <c r="F39" s="241" t="s">
        <v>939</v>
      </c>
      <c r="G39" s="242" t="s">
        <v>940</v>
      </c>
      <c r="H39" s="66"/>
      <c r="I39" s="240">
        <v>9</v>
      </c>
      <c r="J39" s="242" t="s">
        <v>733</v>
      </c>
      <c r="K39" s="240">
        <v>8</v>
      </c>
      <c r="L39" s="240"/>
      <c r="M39" s="243" t="s">
        <v>941</v>
      </c>
      <c r="N39" s="241" t="s">
        <v>942</v>
      </c>
      <c r="O39" s="240"/>
      <c r="P39" s="66" t="s">
        <v>815</v>
      </c>
      <c r="Q39" s="91" t="s">
        <v>943</v>
      </c>
      <c r="R39" s="67" t="s">
        <v>919</v>
      </c>
      <c r="S39" s="67" t="s">
        <v>920</v>
      </c>
      <c r="T39" s="67" t="s">
        <v>921</v>
      </c>
      <c r="U39" s="176" t="s">
        <v>944</v>
      </c>
      <c r="V39" s="66"/>
      <c r="W39" s="91" t="s">
        <v>821</v>
      </c>
      <c r="X39" s="84" t="s">
        <v>881</v>
      </c>
      <c r="Y39" s="84" t="s">
        <v>884</v>
      </c>
      <c r="Z39" s="85" t="s">
        <v>945</v>
      </c>
      <c r="AA39" s="78"/>
    </row>
    <row r="40" spans="1:27" s="33" customFormat="1" ht="99.75" hidden="1" customHeight="1">
      <c r="A40" s="27"/>
      <c r="B40" s="241" t="s">
        <v>13</v>
      </c>
      <c r="C40" s="66" t="s">
        <v>730</v>
      </c>
      <c r="D40" s="67" t="s">
        <v>16</v>
      </c>
      <c r="E40" s="240">
        <v>2</v>
      </c>
      <c r="F40" s="66" t="s">
        <v>946</v>
      </c>
      <c r="G40" s="80" t="s">
        <v>947</v>
      </c>
      <c r="H40" s="66"/>
      <c r="I40" s="240">
        <v>7</v>
      </c>
      <c r="J40" s="242" t="s">
        <v>733</v>
      </c>
      <c r="K40" s="248" t="s">
        <v>948</v>
      </c>
      <c r="L40" s="240"/>
      <c r="M40" s="67" t="s">
        <v>949</v>
      </c>
      <c r="N40" s="67" t="s">
        <v>950</v>
      </c>
      <c r="O40" s="240"/>
      <c r="P40" s="66"/>
      <c r="Q40" s="66"/>
      <c r="R40" s="67" t="s">
        <v>951</v>
      </c>
      <c r="S40" s="67" t="s">
        <v>952</v>
      </c>
      <c r="T40" s="67" t="s">
        <v>953</v>
      </c>
      <c r="U40" s="176" t="s">
        <v>954</v>
      </c>
      <c r="V40" s="66"/>
      <c r="W40" s="67" t="s">
        <v>741</v>
      </c>
      <c r="X40" s="103" t="s">
        <v>955</v>
      </c>
      <c r="Y40" s="103" t="s">
        <v>956</v>
      </c>
      <c r="Z40" s="86" t="s">
        <v>957</v>
      </c>
      <c r="AA40" s="102" t="s">
        <v>744</v>
      </c>
    </row>
    <row r="41" spans="1:27" s="33" customFormat="1" ht="99.75" hidden="1" customHeight="1">
      <c r="A41" s="27"/>
      <c r="B41" s="241" t="s">
        <v>13</v>
      </c>
      <c r="C41" s="66" t="s">
        <v>810</v>
      </c>
      <c r="D41" s="66" t="s">
        <v>14</v>
      </c>
      <c r="E41" s="240">
        <v>2</v>
      </c>
      <c r="F41" s="241" t="s">
        <v>958</v>
      </c>
      <c r="G41" s="242" t="s">
        <v>959</v>
      </c>
      <c r="H41" s="66"/>
      <c r="I41" s="240">
        <v>11</v>
      </c>
      <c r="J41" s="242" t="s">
        <v>733</v>
      </c>
      <c r="K41" s="240">
        <v>10</v>
      </c>
      <c r="L41" s="240"/>
      <c r="M41" s="243" t="s">
        <v>960</v>
      </c>
      <c r="N41" s="243" t="s">
        <v>961</v>
      </c>
      <c r="O41" s="240"/>
      <c r="P41" s="66" t="s">
        <v>815</v>
      </c>
      <c r="Q41" s="91" t="s">
        <v>962</v>
      </c>
      <c r="R41" s="186" t="s">
        <v>817</v>
      </c>
      <c r="S41" s="195" t="s">
        <v>818</v>
      </c>
      <c r="T41" s="186" t="s">
        <v>963</v>
      </c>
      <c r="U41" s="220" t="s">
        <v>964</v>
      </c>
      <c r="V41" s="66"/>
      <c r="W41" s="91" t="s">
        <v>821</v>
      </c>
      <c r="X41" s="84" t="s">
        <v>818</v>
      </c>
      <c r="Y41" s="86" t="s">
        <v>965</v>
      </c>
      <c r="Z41" s="84"/>
      <c r="AA41" s="78"/>
    </row>
    <row r="42" spans="1:27" s="33" customFormat="1" ht="99.75" hidden="1" customHeight="1">
      <c r="A42" s="27"/>
      <c r="B42" s="66" t="s">
        <v>4</v>
      </c>
      <c r="C42" s="66" t="s">
        <v>699</v>
      </c>
      <c r="D42" s="66" t="s">
        <v>5</v>
      </c>
      <c r="E42" s="240">
        <v>2</v>
      </c>
      <c r="F42" s="66" t="s">
        <v>966</v>
      </c>
      <c r="G42" s="80" t="s">
        <v>967</v>
      </c>
      <c r="H42" s="66" t="s">
        <v>702</v>
      </c>
      <c r="I42" s="240">
        <v>9</v>
      </c>
      <c r="J42" s="242" t="s">
        <v>733</v>
      </c>
      <c r="K42" s="240">
        <v>34</v>
      </c>
      <c r="L42" s="240"/>
      <c r="M42" s="67" t="s">
        <v>949</v>
      </c>
      <c r="N42" s="67" t="s">
        <v>950</v>
      </c>
      <c r="O42" s="240"/>
      <c r="P42" s="66"/>
      <c r="Q42" s="66"/>
      <c r="R42" s="67" t="s">
        <v>706</v>
      </c>
      <c r="S42" s="67" t="s">
        <v>707</v>
      </c>
      <c r="T42" s="67" t="s">
        <v>968</v>
      </c>
      <c r="U42" s="176" t="s">
        <v>969</v>
      </c>
      <c r="V42" s="66"/>
      <c r="W42" s="66" t="s">
        <v>710</v>
      </c>
      <c r="X42" s="94" t="s">
        <v>707</v>
      </c>
      <c r="Y42" s="98" t="s">
        <v>970</v>
      </c>
      <c r="Z42" s="92"/>
      <c r="AA42" s="102" t="s">
        <v>712</v>
      </c>
    </row>
    <row r="43" spans="1:27" s="33" customFormat="1" ht="99.75" hidden="1" customHeight="1">
      <c r="A43" s="27"/>
      <c r="B43" s="241" t="s">
        <v>7</v>
      </c>
      <c r="C43" s="241" t="s">
        <v>722</v>
      </c>
      <c r="D43" s="241" t="s">
        <v>8</v>
      </c>
      <c r="E43" s="240">
        <v>2</v>
      </c>
      <c r="F43" s="66" t="s">
        <v>966</v>
      </c>
      <c r="G43" s="80" t="s">
        <v>967</v>
      </c>
      <c r="H43" s="66"/>
      <c r="I43" s="240">
        <v>7</v>
      </c>
      <c r="J43" s="242" t="s">
        <v>733</v>
      </c>
      <c r="K43" s="240">
        <v>34</v>
      </c>
      <c r="L43" s="240"/>
      <c r="M43" s="67" t="s">
        <v>949</v>
      </c>
      <c r="N43" s="67" t="s">
        <v>950</v>
      </c>
      <c r="O43" s="240"/>
      <c r="P43" s="66"/>
      <c r="Q43" s="66"/>
      <c r="R43" s="67" t="s">
        <v>723</v>
      </c>
      <c r="S43" s="67" t="s">
        <v>724</v>
      </c>
      <c r="T43" s="189" t="s">
        <v>971</v>
      </c>
      <c r="U43" s="184" t="s">
        <v>972</v>
      </c>
      <c r="V43" s="66"/>
      <c r="W43" s="66" t="s">
        <v>727</v>
      </c>
      <c r="X43" s="107" t="s">
        <v>724</v>
      </c>
      <c r="Y43" s="189" t="s">
        <v>973</v>
      </c>
      <c r="Z43" s="84"/>
      <c r="AA43" s="102" t="s">
        <v>729</v>
      </c>
    </row>
    <row r="44" spans="1:27" s="33" customFormat="1" ht="99.75" hidden="1" customHeight="1">
      <c r="A44" s="27"/>
      <c r="B44" s="241" t="s">
        <v>13</v>
      </c>
      <c r="C44" s="66" t="s">
        <v>810</v>
      </c>
      <c r="D44" s="66" t="s">
        <v>14</v>
      </c>
      <c r="E44" s="240">
        <v>2</v>
      </c>
      <c r="F44" s="241" t="s">
        <v>974</v>
      </c>
      <c r="G44" s="241" t="s">
        <v>975</v>
      </c>
      <c r="H44" s="66"/>
      <c r="I44" s="240">
        <v>12</v>
      </c>
      <c r="J44" s="242" t="s">
        <v>733</v>
      </c>
      <c r="K44" s="240"/>
      <c r="L44" s="240"/>
      <c r="M44" s="243" t="s">
        <v>976</v>
      </c>
      <c r="N44" s="241" t="s">
        <v>977</v>
      </c>
      <c r="O44" s="240"/>
      <c r="P44" s="66" t="s">
        <v>815</v>
      </c>
      <c r="Q44" s="91" t="s">
        <v>978</v>
      </c>
      <c r="R44" s="67" t="s">
        <v>817</v>
      </c>
      <c r="S44" s="66" t="s">
        <v>818</v>
      </c>
      <c r="T44" s="66" t="s">
        <v>979</v>
      </c>
      <c r="U44" s="176" t="s">
        <v>980</v>
      </c>
      <c r="V44" s="66"/>
      <c r="W44" s="91" t="s">
        <v>821</v>
      </c>
      <c r="X44" s="84" t="s">
        <v>818</v>
      </c>
      <c r="Y44" s="91" t="s">
        <v>981</v>
      </c>
      <c r="Z44" s="85" t="s">
        <v>982</v>
      </c>
      <c r="AA44" s="78"/>
    </row>
    <row r="45" spans="1:27" s="33" customFormat="1" ht="99.75" hidden="1" customHeight="1">
      <c r="A45" s="27"/>
      <c r="B45" s="66" t="s">
        <v>4</v>
      </c>
      <c r="C45" s="66" t="s">
        <v>699</v>
      </c>
      <c r="D45" s="66" t="s">
        <v>5</v>
      </c>
      <c r="E45" s="240">
        <v>2</v>
      </c>
      <c r="F45" s="241" t="s">
        <v>983</v>
      </c>
      <c r="G45" s="241" t="s">
        <v>984</v>
      </c>
      <c r="H45" s="66" t="s">
        <v>702</v>
      </c>
      <c r="I45" s="240">
        <v>11</v>
      </c>
      <c r="J45" s="242" t="s">
        <v>733</v>
      </c>
      <c r="K45" s="240"/>
      <c r="L45" s="240"/>
      <c r="M45" s="243" t="s">
        <v>985</v>
      </c>
      <c r="N45" s="243" t="s">
        <v>986</v>
      </c>
      <c r="O45" s="240"/>
      <c r="P45" s="244"/>
      <c r="Q45" s="244"/>
      <c r="R45" s="67" t="s">
        <v>706</v>
      </c>
      <c r="S45" s="67" t="s">
        <v>707</v>
      </c>
      <c r="T45" s="67" t="s">
        <v>987</v>
      </c>
      <c r="U45" s="176" t="s">
        <v>988</v>
      </c>
      <c r="V45" s="66"/>
      <c r="W45" s="66" t="s">
        <v>710</v>
      </c>
      <c r="X45" s="81" t="s">
        <v>707</v>
      </c>
      <c r="Y45" s="68" t="s">
        <v>989</v>
      </c>
      <c r="Z45" s="93"/>
      <c r="AA45" s="102" t="s">
        <v>712</v>
      </c>
    </row>
    <row r="46" spans="1:27" s="33" customFormat="1" ht="99.75" hidden="1" customHeight="1">
      <c r="A46" s="27"/>
      <c r="B46" s="241" t="s">
        <v>7</v>
      </c>
      <c r="C46" s="241" t="s">
        <v>722</v>
      </c>
      <c r="D46" s="241" t="s">
        <v>8</v>
      </c>
      <c r="E46" s="240">
        <v>2</v>
      </c>
      <c r="F46" s="241" t="s">
        <v>983</v>
      </c>
      <c r="G46" s="241" t="s">
        <v>984</v>
      </c>
      <c r="H46" s="66"/>
      <c r="I46" s="240">
        <v>9</v>
      </c>
      <c r="J46" s="242" t="s">
        <v>733</v>
      </c>
      <c r="K46" s="240"/>
      <c r="L46" s="240"/>
      <c r="M46" s="243" t="s">
        <v>985</v>
      </c>
      <c r="N46" s="243" t="s">
        <v>986</v>
      </c>
      <c r="O46" s="240"/>
      <c r="P46" s="244"/>
      <c r="Q46" s="244"/>
      <c r="R46" s="67" t="s">
        <v>723</v>
      </c>
      <c r="S46" s="67" t="s">
        <v>724</v>
      </c>
      <c r="T46" s="67" t="s">
        <v>990</v>
      </c>
      <c r="U46" s="176" t="s">
        <v>991</v>
      </c>
      <c r="V46" s="66"/>
      <c r="W46" s="66" t="s">
        <v>727</v>
      </c>
      <c r="X46" s="107" t="s">
        <v>724</v>
      </c>
      <c r="Y46" s="67" t="s">
        <v>992</v>
      </c>
      <c r="Z46" s="93"/>
      <c r="AA46" s="102" t="s">
        <v>729</v>
      </c>
    </row>
    <row r="47" spans="1:27" s="33" customFormat="1" ht="99.75" hidden="1" customHeight="1">
      <c r="A47" s="27"/>
      <c r="B47" s="241" t="s">
        <v>13</v>
      </c>
      <c r="C47" s="66" t="s">
        <v>730</v>
      </c>
      <c r="D47" s="67" t="s">
        <v>16</v>
      </c>
      <c r="E47" s="240">
        <v>2</v>
      </c>
      <c r="F47" s="66" t="s">
        <v>993</v>
      </c>
      <c r="G47" s="66" t="s">
        <v>994</v>
      </c>
      <c r="H47" s="66"/>
      <c r="I47" s="240">
        <v>8</v>
      </c>
      <c r="J47" s="242" t="s">
        <v>733</v>
      </c>
      <c r="K47" s="240">
        <v>8</v>
      </c>
      <c r="L47" s="240"/>
      <c r="M47" s="67" t="s">
        <v>995</v>
      </c>
      <c r="N47" s="67" t="s">
        <v>996</v>
      </c>
      <c r="O47" s="240"/>
      <c r="P47" s="66"/>
      <c r="Q47" s="66"/>
      <c r="R47" s="67" t="s">
        <v>997</v>
      </c>
      <c r="S47" s="67" t="s">
        <v>998</v>
      </c>
      <c r="T47" s="67" t="s">
        <v>999</v>
      </c>
      <c r="U47" s="185" t="s">
        <v>1000</v>
      </c>
      <c r="V47" s="66"/>
      <c r="W47" s="67" t="s">
        <v>741</v>
      </c>
      <c r="X47" s="103" t="s">
        <v>1001</v>
      </c>
      <c r="Y47" s="98" t="s">
        <v>1002</v>
      </c>
      <c r="Z47" s="99" t="s">
        <v>1003</v>
      </c>
      <c r="AA47" s="102" t="s">
        <v>800</v>
      </c>
    </row>
    <row r="48" spans="1:27" s="33" customFormat="1" ht="99.75" hidden="1" customHeight="1">
      <c r="A48" s="27"/>
      <c r="B48" s="241" t="s">
        <v>10</v>
      </c>
      <c r="C48" s="241" t="s">
        <v>713</v>
      </c>
      <c r="D48" s="241" t="s">
        <v>11</v>
      </c>
      <c r="E48" s="240">
        <v>2</v>
      </c>
      <c r="F48" s="241" t="s">
        <v>1004</v>
      </c>
      <c r="G48" s="241" t="s">
        <v>1005</v>
      </c>
      <c r="H48" s="66"/>
      <c r="I48" s="240">
        <v>5</v>
      </c>
      <c r="J48" s="241" t="s">
        <v>733</v>
      </c>
      <c r="K48" s="240">
        <v>21</v>
      </c>
      <c r="L48" s="240"/>
      <c r="M48" s="67" t="s">
        <v>1006</v>
      </c>
      <c r="N48" s="113" t="s">
        <v>1007</v>
      </c>
      <c r="O48" s="87"/>
      <c r="P48" s="91"/>
      <c r="Q48" s="78"/>
      <c r="R48" s="68" t="s">
        <v>715</v>
      </c>
      <c r="S48" s="68" t="s">
        <v>716</v>
      </c>
      <c r="T48" s="98" t="s">
        <v>1008</v>
      </c>
      <c r="U48" s="98" t="s">
        <v>1009</v>
      </c>
      <c r="V48" s="68"/>
      <c r="W48" s="68" t="s">
        <v>719</v>
      </c>
      <c r="X48" s="88" t="s">
        <v>720</v>
      </c>
      <c r="Y48" s="101" t="s">
        <v>1008</v>
      </c>
      <c r="Z48" s="89"/>
      <c r="AA48" s="78" t="s">
        <v>1010</v>
      </c>
    </row>
    <row r="49" spans="1:27" s="33" customFormat="1" ht="99.75" hidden="1" customHeight="1">
      <c r="A49" s="27"/>
      <c r="B49" s="66" t="s">
        <v>4</v>
      </c>
      <c r="C49" s="66" t="s">
        <v>699</v>
      </c>
      <c r="D49" s="66" t="s">
        <v>5</v>
      </c>
      <c r="E49" s="240">
        <v>2</v>
      </c>
      <c r="F49" s="66" t="s">
        <v>1011</v>
      </c>
      <c r="G49" s="66" t="s">
        <v>994</v>
      </c>
      <c r="H49" s="66" t="s">
        <v>702</v>
      </c>
      <c r="I49" s="240">
        <v>10</v>
      </c>
      <c r="J49" s="242" t="s">
        <v>733</v>
      </c>
      <c r="K49" s="240">
        <v>11</v>
      </c>
      <c r="L49" s="240"/>
      <c r="M49" s="67" t="s">
        <v>995</v>
      </c>
      <c r="N49" s="243" t="s">
        <v>996</v>
      </c>
      <c r="O49" s="240"/>
      <c r="P49" s="244"/>
      <c r="Q49" s="244"/>
      <c r="R49" s="67" t="s">
        <v>706</v>
      </c>
      <c r="S49" s="67" t="s">
        <v>707</v>
      </c>
      <c r="T49" s="67" t="s">
        <v>1012</v>
      </c>
      <c r="U49" s="176" t="s">
        <v>1013</v>
      </c>
      <c r="V49" s="66"/>
      <c r="W49" s="66" t="s">
        <v>710</v>
      </c>
      <c r="X49" s="81" t="s">
        <v>707</v>
      </c>
      <c r="Y49" s="101" t="s">
        <v>1014</v>
      </c>
      <c r="Z49" s="93"/>
      <c r="AA49" s="102" t="s">
        <v>712</v>
      </c>
    </row>
    <row r="50" spans="1:27" s="33" customFormat="1" ht="99.75" hidden="1" customHeight="1">
      <c r="A50" s="27"/>
      <c r="B50" s="241" t="s">
        <v>7</v>
      </c>
      <c r="C50" s="241" t="s">
        <v>722</v>
      </c>
      <c r="D50" s="241" t="s">
        <v>8</v>
      </c>
      <c r="E50" s="240">
        <v>2</v>
      </c>
      <c r="F50" s="66" t="s">
        <v>1011</v>
      </c>
      <c r="G50" s="66" t="s">
        <v>994</v>
      </c>
      <c r="H50" s="66"/>
      <c r="I50" s="240">
        <v>8</v>
      </c>
      <c r="J50" s="242" t="s">
        <v>733</v>
      </c>
      <c r="K50" s="240">
        <v>11</v>
      </c>
      <c r="L50" s="240"/>
      <c r="M50" s="67" t="s">
        <v>995</v>
      </c>
      <c r="N50" s="243" t="s">
        <v>996</v>
      </c>
      <c r="O50" s="240"/>
      <c r="P50" s="244"/>
      <c r="Q50" s="244"/>
      <c r="R50" s="67" t="s">
        <v>1015</v>
      </c>
      <c r="S50" s="67" t="s">
        <v>1016</v>
      </c>
      <c r="T50" s="67" t="s">
        <v>1017</v>
      </c>
      <c r="U50" s="184" t="s">
        <v>1018</v>
      </c>
      <c r="V50" s="66"/>
      <c r="W50" s="97" t="s">
        <v>727</v>
      </c>
      <c r="X50" s="189" t="s">
        <v>724</v>
      </c>
      <c r="Y50" s="101" t="s">
        <v>1019</v>
      </c>
      <c r="Z50" s="92" t="s">
        <v>1020</v>
      </c>
      <c r="AA50" s="102" t="s">
        <v>1021</v>
      </c>
    </row>
    <row r="51" spans="1:27" s="33" customFormat="1" ht="99.75" hidden="1" customHeight="1">
      <c r="A51" s="27"/>
      <c r="B51" s="241" t="s">
        <v>13</v>
      </c>
      <c r="C51" s="66" t="s">
        <v>730</v>
      </c>
      <c r="D51" s="67" t="s">
        <v>16</v>
      </c>
      <c r="E51" s="240">
        <v>2</v>
      </c>
      <c r="F51" s="241" t="s">
        <v>983</v>
      </c>
      <c r="G51" s="241" t="s">
        <v>984</v>
      </c>
      <c r="H51" s="66"/>
      <c r="I51" s="240">
        <v>9</v>
      </c>
      <c r="J51" s="242" t="s">
        <v>733</v>
      </c>
      <c r="K51" s="240"/>
      <c r="L51" s="240"/>
      <c r="M51" s="243" t="s">
        <v>985</v>
      </c>
      <c r="N51" s="243" t="s">
        <v>986</v>
      </c>
      <c r="O51" s="240"/>
      <c r="P51" s="244"/>
      <c r="Q51" s="244"/>
      <c r="R51" s="67" t="s">
        <v>860</v>
      </c>
      <c r="S51" s="67" t="s">
        <v>1022</v>
      </c>
      <c r="T51" s="67" t="s">
        <v>1023</v>
      </c>
      <c r="U51" s="176" t="s">
        <v>1024</v>
      </c>
      <c r="V51" s="66"/>
      <c r="W51" s="189" t="s">
        <v>741</v>
      </c>
      <c r="X51" s="101" t="s">
        <v>1025</v>
      </c>
      <c r="Y51" s="101" t="s">
        <v>1026</v>
      </c>
      <c r="Z51" s="99" t="s">
        <v>1027</v>
      </c>
      <c r="AA51" s="102" t="s">
        <v>1028</v>
      </c>
    </row>
    <row r="52" spans="1:27" s="33" customFormat="1" ht="99.75" hidden="1" customHeight="1">
      <c r="A52" s="27"/>
      <c r="B52" s="241" t="s">
        <v>13</v>
      </c>
      <c r="C52" s="66" t="s">
        <v>810</v>
      </c>
      <c r="D52" s="66" t="s">
        <v>14</v>
      </c>
      <c r="E52" s="240">
        <v>2</v>
      </c>
      <c r="F52" s="241" t="s">
        <v>1029</v>
      </c>
      <c r="G52" s="242" t="s">
        <v>1030</v>
      </c>
      <c r="H52" s="66"/>
      <c r="I52" s="240">
        <v>13</v>
      </c>
      <c r="J52" s="242" t="s">
        <v>733</v>
      </c>
      <c r="K52" s="240">
        <v>10</v>
      </c>
      <c r="L52" s="240"/>
      <c r="M52" s="243" t="s">
        <v>1031</v>
      </c>
      <c r="N52" s="241" t="s">
        <v>1032</v>
      </c>
      <c r="O52" s="240"/>
      <c r="P52" s="66" t="s">
        <v>815</v>
      </c>
      <c r="Q52" s="91" t="s">
        <v>1033</v>
      </c>
      <c r="R52" s="67" t="s">
        <v>817</v>
      </c>
      <c r="S52" s="66" t="s">
        <v>818</v>
      </c>
      <c r="T52" s="66" t="s">
        <v>979</v>
      </c>
      <c r="U52" s="176" t="s">
        <v>1034</v>
      </c>
      <c r="V52" s="66"/>
      <c r="W52" s="91" t="s">
        <v>821</v>
      </c>
      <c r="X52" s="84" t="s">
        <v>818</v>
      </c>
      <c r="Y52" s="92" t="s">
        <v>981</v>
      </c>
      <c r="Z52" s="82"/>
      <c r="AA52" s="78"/>
    </row>
    <row r="53" spans="1:27" s="33" customFormat="1" ht="99.75" hidden="1" customHeight="1">
      <c r="A53" s="27"/>
      <c r="B53" s="241" t="s">
        <v>13</v>
      </c>
      <c r="C53" s="66" t="s">
        <v>730</v>
      </c>
      <c r="D53" s="67" t="s">
        <v>16</v>
      </c>
      <c r="E53" s="240">
        <v>2</v>
      </c>
      <c r="F53" s="241" t="s">
        <v>771</v>
      </c>
      <c r="G53" s="242" t="s">
        <v>772</v>
      </c>
      <c r="H53" s="66"/>
      <c r="I53" s="240">
        <v>10</v>
      </c>
      <c r="J53" s="242" t="s">
        <v>733</v>
      </c>
      <c r="K53" s="240">
        <v>4</v>
      </c>
      <c r="L53" s="240"/>
      <c r="M53" s="67" t="s">
        <v>774</v>
      </c>
      <c r="N53" s="67" t="s">
        <v>775</v>
      </c>
      <c r="O53" s="240"/>
      <c r="P53" s="66"/>
      <c r="Q53" s="66"/>
      <c r="R53" s="67" t="s">
        <v>1035</v>
      </c>
      <c r="S53" s="67" t="s">
        <v>1036</v>
      </c>
      <c r="T53" s="67" t="s">
        <v>1037</v>
      </c>
      <c r="U53" s="176" t="s">
        <v>1038</v>
      </c>
      <c r="V53" s="66"/>
      <c r="W53" s="67" t="s">
        <v>741</v>
      </c>
      <c r="X53" s="98" t="s">
        <v>1039</v>
      </c>
      <c r="Y53" s="98" t="s">
        <v>1040</v>
      </c>
      <c r="Z53" s="99"/>
      <c r="AA53" s="190" t="s">
        <v>744</v>
      </c>
    </row>
    <row r="54" spans="1:27" s="33" customFormat="1" ht="99.75" hidden="1" customHeight="1">
      <c r="A54" s="27"/>
      <c r="B54" s="241" t="s">
        <v>13</v>
      </c>
      <c r="C54" s="66" t="s">
        <v>810</v>
      </c>
      <c r="D54" s="66" t="s">
        <v>14</v>
      </c>
      <c r="E54" s="240">
        <v>2</v>
      </c>
      <c r="F54" s="241" t="s">
        <v>1041</v>
      </c>
      <c r="G54" s="242" t="s">
        <v>1042</v>
      </c>
      <c r="H54" s="66"/>
      <c r="I54" s="240">
        <v>14</v>
      </c>
      <c r="J54" s="242" t="s">
        <v>733</v>
      </c>
      <c r="K54" s="240"/>
      <c r="L54" s="240"/>
      <c r="M54" s="243" t="s">
        <v>1043</v>
      </c>
      <c r="N54" s="241" t="s">
        <v>1044</v>
      </c>
      <c r="O54" s="240"/>
      <c r="P54" s="66" t="s">
        <v>815</v>
      </c>
      <c r="Q54" s="91" t="s">
        <v>1045</v>
      </c>
      <c r="R54" s="67" t="s">
        <v>817</v>
      </c>
      <c r="S54" s="66" t="s">
        <v>1046</v>
      </c>
      <c r="T54" s="66" t="s">
        <v>882</v>
      </c>
      <c r="U54" s="176" t="s">
        <v>1047</v>
      </c>
      <c r="V54" s="66"/>
      <c r="W54" s="91" t="s">
        <v>821</v>
      </c>
      <c r="X54" s="91" t="s">
        <v>881</v>
      </c>
      <c r="Y54" s="91" t="s">
        <v>884</v>
      </c>
      <c r="Z54" s="82" t="s">
        <v>1048</v>
      </c>
      <c r="AA54" s="206"/>
    </row>
    <row r="55" spans="1:27" s="33" customFormat="1" ht="99.75" hidden="1" customHeight="1">
      <c r="A55" s="27"/>
      <c r="B55" s="66" t="s">
        <v>4</v>
      </c>
      <c r="C55" s="66" t="s">
        <v>699</v>
      </c>
      <c r="D55" s="66" t="s">
        <v>5</v>
      </c>
      <c r="E55" s="240">
        <v>2</v>
      </c>
      <c r="F55" s="66" t="s">
        <v>1049</v>
      </c>
      <c r="G55" s="80" t="s">
        <v>1050</v>
      </c>
      <c r="H55" s="66" t="s">
        <v>702</v>
      </c>
      <c r="I55" s="240">
        <v>6</v>
      </c>
      <c r="J55" s="242" t="s">
        <v>733</v>
      </c>
      <c r="K55" s="240">
        <v>34</v>
      </c>
      <c r="L55" s="240"/>
      <c r="M55" s="67" t="s">
        <v>830</v>
      </c>
      <c r="N55" s="67" t="s">
        <v>831</v>
      </c>
      <c r="O55" s="240"/>
      <c r="P55" s="66"/>
      <c r="Q55" s="66"/>
      <c r="R55" s="67" t="s">
        <v>706</v>
      </c>
      <c r="S55" s="67" t="s">
        <v>707</v>
      </c>
      <c r="T55" s="98" t="s">
        <v>1051</v>
      </c>
      <c r="U55" s="176" t="s">
        <v>1052</v>
      </c>
      <c r="V55" s="66"/>
      <c r="W55" s="66" t="s">
        <v>710</v>
      </c>
      <c r="X55" s="94" t="s">
        <v>707</v>
      </c>
      <c r="Y55" s="98" t="s">
        <v>1053</v>
      </c>
      <c r="Z55" s="84"/>
      <c r="AA55" s="102" t="s">
        <v>712</v>
      </c>
    </row>
    <row r="56" spans="1:27" s="33" customFormat="1" ht="99.75" hidden="1" customHeight="1">
      <c r="A56" s="27"/>
      <c r="B56" s="241" t="s">
        <v>7</v>
      </c>
      <c r="C56" s="241" t="s">
        <v>722</v>
      </c>
      <c r="D56" s="241" t="s">
        <v>8</v>
      </c>
      <c r="E56" s="240">
        <v>2</v>
      </c>
      <c r="F56" s="66" t="s">
        <v>1049</v>
      </c>
      <c r="G56" s="80" t="s">
        <v>1050</v>
      </c>
      <c r="H56" s="66"/>
      <c r="I56" s="240">
        <v>4</v>
      </c>
      <c r="J56" s="242" t="s">
        <v>733</v>
      </c>
      <c r="K56" s="240">
        <v>34</v>
      </c>
      <c r="L56" s="240"/>
      <c r="M56" s="67" t="s">
        <v>830</v>
      </c>
      <c r="N56" s="67" t="s">
        <v>831</v>
      </c>
      <c r="O56" s="240"/>
      <c r="P56" s="66"/>
      <c r="Q56" s="66"/>
      <c r="R56" s="67" t="s">
        <v>1054</v>
      </c>
      <c r="S56" s="67" t="s">
        <v>724</v>
      </c>
      <c r="T56" s="67" t="s">
        <v>1055</v>
      </c>
      <c r="U56" s="184" t="s">
        <v>1056</v>
      </c>
      <c r="V56" s="66"/>
      <c r="W56" s="66" t="s">
        <v>727</v>
      </c>
      <c r="X56" s="67" t="s">
        <v>724</v>
      </c>
      <c r="Y56" s="98" t="s">
        <v>1057</v>
      </c>
      <c r="Z56" s="84"/>
      <c r="AA56" s="190" t="s">
        <v>729</v>
      </c>
    </row>
    <row r="57" spans="1:27" s="33" customFormat="1" ht="99.75" hidden="1" customHeight="1">
      <c r="A57" s="27"/>
      <c r="B57" s="241" t="s">
        <v>13</v>
      </c>
      <c r="C57" s="66" t="s">
        <v>810</v>
      </c>
      <c r="D57" s="66" t="s">
        <v>14</v>
      </c>
      <c r="E57" s="240">
        <v>2</v>
      </c>
      <c r="F57" s="241" t="s">
        <v>803</v>
      </c>
      <c r="G57" s="242" t="s">
        <v>804</v>
      </c>
      <c r="H57" s="80"/>
      <c r="I57" s="87">
        <v>15</v>
      </c>
      <c r="J57" s="80" t="s">
        <v>733</v>
      </c>
      <c r="K57" s="87"/>
      <c r="L57" s="240"/>
      <c r="M57" s="67" t="s">
        <v>806</v>
      </c>
      <c r="N57" s="67" t="s">
        <v>807</v>
      </c>
      <c r="O57" s="240"/>
      <c r="P57" s="66"/>
      <c r="Q57" s="66"/>
      <c r="R57" s="67" t="s">
        <v>817</v>
      </c>
      <c r="S57" s="66" t="s">
        <v>818</v>
      </c>
      <c r="T57" s="66" t="s">
        <v>824</v>
      </c>
      <c r="U57" s="176" t="s">
        <v>1058</v>
      </c>
      <c r="V57" s="66"/>
      <c r="W57" s="68" t="s">
        <v>783</v>
      </c>
      <c r="X57" s="68" t="s">
        <v>783</v>
      </c>
      <c r="Y57" s="68" t="s">
        <v>783</v>
      </c>
      <c r="Z57" s="84"/>
      <c r="AA57" s="78"/>
    </row>
    <row r="58" spans="1:27" s="33" customFormat="1" ht="99.75" hidden="1" customHeight="1">
      <c r="A58" s="27"/>
      <c r="B58" s="66" t="s">
        <v>4</v>
      </c>
      <c r="C58" s="66" t="s">
        <v>699</v>
      </c>
      <c r="D58" s="66" t="s">
        <v>5</v>
      </c>
      <c r="E58" s="240">
        <v>2</v>
      </c>
      <c r="F58" s="241" t="s">
        <v>903</v>
      </c>
      <c r="G58" s="241" t="s">
        <v>904</v>
      </c>
      <c r="H58" s="66" t="s">
        <v>702</v>
      </c>
      <c r="I58" s="240">
        <v>8</v>
      </c>
      <c r="J58" s="242" t="s">
        <v>733</v>
      </c>
      <c r="K58" s="240"/>
      <c r="L58" s="240"/>
      <c r="M58" s="243" t="s">
        <v>905</v>
      </c>
      <c r="N58" s="243" t="s">
        <v>906</v>
      </c>
      <c r="O58" s="240"/>
      <c r="P58" s="244"/>
      <c r="Q58" s="244"/>
      <c r="R58" s="67" t="s">
        <v>706</v>
      </c>
      <c r="S58" s="67" t="s">
        <v>707</v>
      </c>
      <c r="T58" s="156" t="s">
        <v>1059</v>
      </c>
      <c r="U58" s="176" t="s">
        <v>1060</v>
      </c>
      <c r="V58" s="66"/>
      <c r="W58" s="66" t="s">
        <v>710</v>
      </c>
      <c r="X58" s="94" t="s">
        <v>707</v>
      </c>
      <c r="Y58" s="101" t="s">
        <v>1061</v>
      </c>
      <c r="Z58" s="93"/>
      <c r="AA58" s="190" t="s">
        <v>712</v>
      </c>
    </row>
    <row r="59" spans="1:27" s="33" customFormat="1" ht="99.75" hidden="1" customHeight="1">
      <c r="A59" s="27"/>
      <c r="B59" s="241" t="s">
        <v>7</v>
      </c>
      <c r="C59" s="241" t="s">
        <v>722</v>
      </c>
      <c r="D59" s="241" t="s">
        <v>8</v>
      </c>
      <c r="E59" s="240">
        <v>2</v>
      </c>
      <c r="F59" s="241" t="s">
        <v>903</v>
      </c>
      <c r="G59" s="241" t="s">
        <v>904</v>
      </c>
      <c r="H59" s="66"/>
      <c r="I59" s="240">
        <v>6</v>
      </c>
      <c r="J59" s="242" t="s">
        <v>733</v>
      </c>
      <c r="K59" s="240"/>
      <c r="L59" s="240"/>
      <c r="M59" s="243" t="s">
        <v>905</v>
      </c>
      <c r="N59" s="243" t="s">
        <v>906</v>
      </c>
      <c r="O59" s="240"/>
      <c r="P59" s="244"/>
      <c r="Q59" s="244"/>
      <c r="R59" s="67" t="s">
        <v>723</v>
      </c>
      <c r="S59" s="67" t="s">
        <v>724</v>
      </c>
      <c r="T59" s="189" t="s">
        <v>1062</v>
      </c>
      <c r="U59" s="184" t="s">
        <v>1063</v>
      </c>
      <c r="V59" s="66"/>
      <c r="W59" s="66" t="s">
        <v>727</v>
      </c>
      <c r="X59" s="67" t="s">
        <v>724</v>
      </c>
      <c r="Y59" s="189" t="s">
        <v>1064</v>
      </c>
      <c r="Z59" s="93"/>
      <c r="AA59" s="190" t="s">
        <v>729</v>
      </c>
    </row>
    <row r="60" spans="1:27" s="33" customFormat="1" ht="99.75" hidden="1" customHeight="1">
      <c r="A60" s="27"/>
      <c r="B60" s="241" t="s">
        <v>13</v>
      </c>
      <c r="C60" s="66" t="s">
        <v>730</v>
      </c>
      <c r="D60" s="67" t="s">
        <v>16</v>
      </c>
      <c r="E60" s="240">
        <v>2</v>
      </c>
      <c r="F60" s="241" t="s">
        <v>700</v>
      </c>
      <c r="G60" s="242" t="s">
        <v>701</v>
      </c>
      <c r="H60" s="66"/>
      <c r="I60" s="240">
        <v>11</v>
      </c>
      <c r="J60" s="242" t="s">
        <v>703</v>
      </c>
      <c r="K60" s="240">
        <v>23</v>
      </c>
      <c r="L60" s="240">
        <v>6</v>
      </c>
      <c r="M60" s="243" t="s">
        <v>704</v>
      </c>
      <c r="N60" s="243" t="s">
        <v>705</v>
      </c>
      <c r="O60" s="240"/>
      <c r="P60" s="66"/>
      <c r="Q60" s="66"/>
      <c r="R60" s="67" t="s">
        <v>737</v>
      </c>
      <c r="S60" s="67" t="s">
        <v>1065</v>
      </c>
      <c r="T60" s="67" t="s">
        <v>1066</v>
      </c>
      <c r="U60" s="176" t="s">
        <v>1067</v>
      </c>
      <c r="V60" s="66"/>
      <c r="W60" s="67" t="s">
        <v>741</v>
      </c>
      <c r="X60" s="98" t="s">
        <v>1068</v>
      </c>
      <c r="Y60" s="98" t="s">
        <v>1069</v>
      </c>
      <c r="Z60" s="86"/>
      <c r="AA60" s="102" t="s">
        <v>744</v>
      </c>
    </row>
    <row r="61" spans="1:27" s="33" customFormat="1" ht="99.75" hidden="1" customHeight="1">
      <c r="A61" s="27"/>
      <c r="B61" s="241" t="s">
        <v>10</v>
      </c>
      <c r="C61" s="241" t="s">
        <v>713</v>
      </c>
      <c r="D61" s="241" t="s">
        <v>11</v>
      </c>
      <c r="E61" s="240">
        <v>2</v>
      </c>
      <c r="F61" s="241" t="s">
        <v>1070</v>
      </c>
      <c r="G61" s="241" t="s">
        <v>1071</v>
      </c>
      <c r="H61" s="66"/>
      <c r="I61" s="240">
        <v>4</v>
      </c>
      <c r="J61" s="241" t="s">
        <v>733</v>
      </c>
      <c r="K61" s="240">
        <v>21</v>
      </c>
      <c r="L61" s="240"/>
      <c r="M61" s="67" t="s">
        <v>1072</v>
      </c>
      <c r="N61" s="113" t="s">
        <v>1073</v>
      </c>
      <c r="O61" s="102"/>
      <c r="P61" s="91"/>
      <c r="Q61" s="78"/>
      <c r="R61" s="68" t="s">
        <v>715</v>
      </c>
      <c r="S61" s="68" t="s">
        <v>716</v>
      </c>
      <c r="T61" s="98" t="s">
        <v>1008</v>
      </c>
      <c r="U61" s="98" t="s">
        <v>1074</v>
      </c>
      <c r="V61" s="68"/>
      <c r="W61" s="68" t="s">
        <v>719</v>
      </c>
      <c r="X61" s="90" t="s">
        <v>720</v>
      </c>
      <c r="Y61" s="98" t="s">
        <v>1008</v>
      </c>
      <c r="Z61" s="89"/>
      <c r="AA61" s="206" t="s">
        <v>1010</v>
      </c>
    </row>
    <row r="62" spans="1:27" s="33" customFormat="1" ht="99.75" hidden="1" customHeight="1">
      <c r="A62" s="27"/>
      <c r="B62" s="163" t="s">
        <v>4</v>
      </c>
      <c r="C62" s="163" t="s">
        <v>699</v>
      </c>
      <c r="D62" s="66" t="s">
        <v>5</v>
      </c>
      <c r="E62" s="164">
        <v>2</v>
      </c>
      <c r="F62" s="163" t="s">
        <v>856</v>
      </c>
      <c r="G62" s="163" t="s">
        <v>857</v>
      </c>
      <c r="H62" s="163" t="s">
        <v>702</v>
      </c>
      <c r="I62" s="164">
        <v>7</v>
      </c>
      <c r="J62" s="165" t="s">
        <v>733</v>
      </c>
      <c r="K62" s="164">
        <v>11</v>
      </c>
      <c r="L62" s="164"/>
      <c r="M62" s="156" t="s">
        <v>858</v>
      </c>
      <c r="N62" s="176" t="s">
        <v>859</v>
      </c>
      <c r="O62" s="164"/>
      <c r="P62" s="194"/>
      <c r="Q62" s="194"/>
      <c r="R62" s="67" t="s">
        <v>706</v>
      </c>
      <c r="S62" s="67" t="s">
        <v>707</v>
      </c>
      <c r="T62" s="67" t="s">
        <v>1075</v>
      </c>
      <c r="U62" s="176" t="s">
        <v>1076</v>
      </c>
      <c r="V62" s="163"/>
      <c r="W62" s="66" t="s">
        <v>710</v>
      </c>
      <c r="X62" s="94" t="s">
        <v>707</v>
      </c>
      <c r="Y62" s="198" t="s">
        <v>1077</v>
      </c>
      <c r="Z62" s="166"/>
      <c r="AA62" s="190" t="s">
        <v>712</v>
      </c>
    </row>
    <row r="63" spans="1:27" s="33" customFormat="1" ht="99.75" hidden="1" customHeight="1">
      <c r="A63" s="27"/>
      <c r="B63" s="241" t="s">
        <v>7</v>
      </c>
      <c r="C63" s="241" t="s">
        <v>722</v>
      </c>
      <c r="D63" s="241" t="s">
        <v>8</v>
      </c>
      <c r="E63" s="240">
        <v>2</v>
      </c>
      <c r="F63" s="66" t="s">
        <v>856</v>
      </c>
      <c r="G63" s="66" t="s">
        <v>857</v>
      </c>
      <c r="H63" s="66"/>
      <c r="I63" s="240">
        <v>5</v>
      </c>
      <c r="J63" s="242" t="s">
        <v>733</v>
      </c>
      <c r="K63" s="240">
        <v>11</v>
      </c>
      <c r="L63" s="240"/>
      <c r="M63" s="67" t="s">
        <v>858</v>
      </c>
      <c r="N63" s="243" t="s">
        <v>859</v>
      </c>
      <c r="O63" s="240"/>
      <c r="P63" s="244"/>
      <c r="Q63" s="244"/>
      <c r="R63" s="67" t="s">
        <v>1078</v>
      </c>
      <c r="S63" s="67" t="s">
        <v>1079</v>
      </c>
      <c r="T63" s="189" t="s">
        <v>1080</v>
      </c>
      <c r="U63" s="184" t="s">
        <v>1081</v>
      </c>
      <c r="V63" s="66"/>
      <c r="W63" s="66" t="s">
        <v>727</v>
      </c>
      <c r="X63" s="67" t="s">
        <v>724</v>
      </c>
      <c r="Y63" s="101" t="s">
        <v>1082</v>
      </c>
      <c r="Z63" s="84" t="s">
        <v>1083</v>
      </c>
      <c r="AA63" s="190" t="s">
        <v>1084</v>
      </c>
    </row>
    <row r="64" spans="1:27" s="33" customFormat="1" ht="99.75" hidden="1" customHeight="1">
      <c r="A64" s="27"/>
      <c r="B64" s="241" t="s">
        <v>13</v>
      </c>
      <c r="C64" s="66" t="s">
        <v>730</v>
      </c>
      <c r="D64" s="67" t="s">
        <v>16</v>
      </c>
      <c r="E64" s="240">
        <v>2</v>
      </c>
      <c r="F64" s="66" t="s">
        <v>1085</v>
      </c>
      <c r="G64" s="66" t="s">
        <v>1086</v>
      </c>
      <c r="H64" s="66"/>
      <c r="I64" s="240">
        <v>12</v>
      </c>
      <c r="J64" s="242" t="s">
        <v>733</v>
      </c>
      <c r="K64" s="240">
        <v>10</v>
      </c>
      <c r="L64" s="240"/>
      <c r="M64" s="67" t="s">
        <v>1087</v>
      </c>
      <c r="N64" s="67" t="s">
        <v>1088</v>
      </c>
      <c r="O64" s="240"/>
      <c r="P64" s="66"/>
      <c r="Q64" s="66"/>
      <c r="R64" s="67" t="s">
        <v>737</v>
      </c>
      <c r="S64" s="67" t="s">
        <v>1065</v>
      </c>
      <c r="T64" s="67" t="s">
        <v>1089</v>
      </c>
      <c r="U64" s="185" t="s">
        <v>1090</v>
      </c>
      <c r="V64" s="66"/>
      <c r="W64" s="67" t="s">
        <v>741</v>
      </c>
      <c r="X64" s="98" t="s">
        <v>1068</v>
      </c>
      <c r="Y64" s="101" t="s">
        <v>1091</v>
      </c>
      <c r="Z64" s="86"/>
      <c r="AA64" s="190" t="s">
        <v>744</v>
      </c>
    </row>
    <row r="65" spans="1:27" s="33" customFormat="1" ht="99.75" hidden="1" customHeight="1">
      <c r="A65" s="27"/>
      <c r="B65" s="66" t="s">
        <v>4</v>
      </c>
      <c r="C65" s="66" t="s">
        <v>699</v>
      </c>
      <c r="D65" s="66" t="s">
        <v>5</v>
      </c>
      <c r="E65" s="240">
        <v>2</v>
      </c>
      <c r="F65" s="241" t="s">
        <v>1092</v>
      </c>
      <c r="G65" s="242" t="s">
        <v>1093</v>
      </c>
      <c r="H65" s="80" t="s">
        <v>1094</v>
      </c>
      <c r="I65" s="240">
        <v>1</v>
      </c>
      <c r="J65" s="242" t="s">
        <v>733</v>
      </c>
      <c r="K65" s="240">
        <v>3</v>
      </c>
      <c r="L65" s="240"/>
      <c r="M65" s="243" t="s">
        <v>1095</v>
      </c>
      <c r="N65" s="243" t="s">
        <v>1096</v>
      </c>
      <c r="O65" s="240" t="s">
        <v>736</v>
      </c>
      <c r="P65" s="66"/>
      <c r="Q65" s="66"/>
      <c r="R65" s="67" t="s">
        <v>706</v>
      </c>
      <c r="S65" s="67" t="s">
        <v>707</v>
      </c>
      <c r="T65" s="67" t="s">
        <v>1097</v>
      </c>
      <c r="U65" s="176" t="s">
        <v>1098</v>
      </c>
      <c r="V65" s="66"/>
      <c r="W65" s="66" t="s">
        <v>710</v>
      </c>
      <c r="X65" s="94" t="s">
        <v>707</v>
      </c>
      <c r="Y65" s="94" t="s">
        <v>1099</v>
      </c>
      <c r="Z65" s="84"/>
      <c r="AA65" s="190" t="s">
        <v>712</v>
      </c>
    </row>
    <row r="66" spans="1:27" s="33" customFormat="1" ht="99.75" hidden="1" customHeight="1">
      <c r="A66" s="27"/>
      <c r="B66" s="66" t="s">
        <v>4</v>
      </c>
      <c r="C66" s="66" t="s">
        <v>699</v>
      </c>
      <c r="D66" s="66" t="s">
        <v>5</v>
      </c>
      <c r="E66" s="240">
        <v>2</v>
      </c>
      <c r="F66" s="241" t="s">
        <v>1100</v>
      </c>
      <c r="G66" s="241" t="s">
        <v>1101</v>
      </c>
      <c r="H66" s="80" t="s">
        <v>1102</v>
      </c>
      <c r="I66" s="240">
        <v>16</v>
      </c>
      <c r="J66" s="80" t="s">
        <v>733</v>
      </c>
      <c r="K66" s="240">
        <v>10</v>
      </c>
      <c r="L66" s="240"/>
      <c r="M66" s="67" t="s">
        <v>1103</v>
      </c>
      <c r="N66" s="243" t="s">
        <v>1104</v>
      </c>
      <c r="O66" s="240"/>
      <c r="P66" s="244"/>
      <c r="Q66" s="244"/>
      <c r="R66" s="67" t="s">
        <v>846</v>
      </c>
      <c r="S66" s="67" t="s">
        <v>846</v>
      </c>
      <c r="T66" s="67" t="s">
        <v>846</v>
      </c>
      <c r="U66" s="176" t="s">
        <v>1105</v>
      </c>
      <c r="V66" s="66"/>
      <c r="W66" s="66" t="s">
        <v>710</v>
      </c>
      <c r="X66" s="105" t="s">
        <v>712</v>
      </c>
      <c r="Y66" s="199" t="s">
        <v>712</v>
      </c>
      <c r="Z66" s="93"/>
      <c r="AA66" s="102" t="s">
        <v>1106</v>
      </c>
    </row>
    <row r="67" spans="1:27" s="33" customFormat="1" ht="99.75" hidden="1" customHeight="1">
      <c r="A67" s="27"/>
      <c r="B67" s="241" t="s">
        <v>10</v>
      </c>
      <c r="C67" s="241" t="s">
        <v>713</v>
      </c>
      <c r="D67" s="241" t="s">
        <v>11</v>
      </c>
      <c r="E67" s="240">
        <v>2</v>
      </c>
      <c r="F67" s="241" t="s">
        <v>1100</v>
      </c>
      <c r="G67" s="241" t="s">
        <v>1101</v>
      </c>
      <c r="H67" s="66"/>
      <c r="I67" s="240">
        <v>9</v>
      </c>
      <c r="J67" s="241" t="s">
        <v>733</v>
      </c>
      <c r="K67" s="240">
        <v>2</v>
      </c>
      <c r="L67" s="240"/>
      <c r="M67" s="67" t="s">
        <v>1103</v>
      </c>
      <c r="N67" s="114" t="s">
        <v>1104</v>
      </c>
      <c r="O67" s="78"/>
      <c r="P67" s="108"/>
      <c r="Q67" s="68"/>
      <c r="R67" s="68" t="s">
        <v>783</v>
      </c>
      <c r="S67" s="68" t="s">
        <v>783</v>
      </c>
      <c r="T67" s="68" t="s">
        <v>783</v>
      </c>
      <c r="U67" s="68" t="s">
        <v>1107</v>
      </c>
      <c r="V67" s="68"/>
      <c r="W67" s="68" t="s">
        <v>719</v>
      </c>
      <c r="X67" s="109" t="s">
        <v>720</v>
      </c>
      <c r="Y67" s="75" t="s">
        <v>721</v>
      </c>
      <c r="Z67" s="89"/>
      <c r="AA67" s="206" t="s">
        <v>1108</v>
      </c>
    </row>
    <row r="68" spans="1:27" s="33" customFormat="1" ht="99.75" hidden="1" customHeight="1">
      <c r="A68" s="27"/>
      <c r="B68" s="241" t="s">
        <v>7</v>
      </c>
      <c r="C68" s="241" t="s">
        <v>722</v>
      </c>
      <c r="D68" s="241" t="s">
        <v>8</v>
      </c>
      <c r="E68" s="240">
        <v>2</v>
      </c>
      <c r="F68" s="241" t="s">
        <v>1100</v>
      </c>
      <c r="G68" s="241" t="s">
        <v>1101</v>
      </c>
      <c r="H68" s="66"/>
      <c r="I68" s="240">
        <v>14</v>
      </c>
      <c r="J68" s="80" t="s">
        <v>733</v>
      </c>
      <c r="K68" s="240">
        <v>2</v>
      </c>
      <c r="L68" s="240"/>
      <c r="M68" s="243" t="s">
        <v>1103</v>
      </c>
      <c r="N68" s="243" t="s">
        <v>1104</v>
      </c>
      <c r="O68" s="240"/>
      <c r="P68" s="244"/>
      <c r="Q68" s="244"/>
      <c r="R68" s="67" t="s">
        <v>729</v>
      </c>
      <c r="S68" s="67" t="s">
        <v>729</v>
      </c>
      <c r="T68" s="189" t="s">
        <v>729</v>
      </c>
      <c r="U68" s="184" t="s">
        <v>1109</v>
      </c>
      <c r="V68" s="66"/>
      <c r="W68" s="66" t="s">
        <v>727</v>
      </c>
      <c r="X68" s="189" t="s">
        <v>724</v>
      </c>
      <c r="Y68" s="101" t="s">
        <v>729</v>
      </c>
      <c r="Z68" s="93"/>
      <c r="AA68" s="190" t="s">
        <v>1110</v>
      </c>
    </row>
    <row r="69" spans="1:27" s="33" customFormat="1" ht="99.75" hidden="1" customHeight="1">
      <c r="A69" s="27"/>
      <c r="B69" s="241" t="s">
        <v>13</v>
      </c>
      <c r="C69" s="66" t="s">
        <v>730</v>
      </c>
      <c r="D69" s="67" t="s">
        <v>16</v>
      </c>
      <c r="E69" s="240">
        <v>2</v>
      </c>
      <c r="F69" s="66" t="s">
        <v>1111</v>
      </c>
      <c r="G69" s="66" t="s">
        <v>1112</v>
      </c>
      <c r="H69" s="66"/>
      <c r="I69" s="240">
        <v>13</v>
      </c>
      <c r="J69" s="242" t="s">
        <v>733</v>
      </c>
      <c r="K69" s="240">
        <v>10</v>
      </c>
      <c r="L69" s="240"/>
      <c r="M69" s="67" t="s">
        <v>1113</v>
      </c>
      <c r="N69" s="67" t="s">
        <v>1114</v>
      </c>
      <c r="O69" s="240"/>
      <c r="P69" s="66"/>
      <c r="Q69" s="66"/>
      <c r="R69" s="67" t="s">
        <v>737</v>
      </c>
      <c r="S69" s="67" t="s">
        <v>1065</v>
      </c>
      <c r="T69" s="67" t="s">
        <v>1115</v>
      </c>
      <c r="U69" s="176" t="s">
        <v>1116</v>
      </c>
      <c r="V69" s="66"/>
      <c r="W69" s="67" t="s">
        <v>741</v>
      </c>
      <c r="X69" s="98" t="s">
        <v>1068</v>
      </c>
      <c r="Y69" s="98" t="s">
        <v>1117</v>
      </c>
      <c r="Z69" s="86"/>
      <c r="AA69" s="102" t="s">
        <v>744</v>
      </c>
    </row>
    <row r="70" spans="1:27" s="33" customFormat="1" ht="99.75" hidden="1" customHeight="1">
      <c r="A70" s="27"/>
      <c r="B70" s="66" t="s">
        <v>4</v>
      </c>
      <c r="C70" s="66" t="s">
        <v>699</v>
      </c>
      <c r="D70" s="66" t="s">
        <v>5</v>
      </c>
      <c r="E70" s="249">
        <v>2</v>
      </c>
      <c r="F70" s="100" t="s">
        <v>1085</v>
      </c>
      <c r="G70" s="100" t="s">
        <v>1086</v>
      </c>
      <c r="H70" s="100" t="s">
        <v>1118</v>
      </c>
      <c r="I70" s="249">
        <v>14</v>
      </c>
      <c r="J70" s="250" t="s">
        <v>733</v>
      </c>
      <c r="K70" s="249">
        <v>10</v>
      </c>
      <c r="L70" s="249"/>
      <c r="M70" s="67" t="s">
        <v>1087</v>
      </c>
      <c r="N70" s="67" t="s">
        <v>1088</v>
      </c>
      <c r="O70" s="240"/>
      <c r="P70" s="79"/>
      <c r="Q70" s="66"/>
      <c r="R70" s="67" t="s">
        <v>706</v>
      </c>
      <c r="S70" s="67" t="s">
        <v>707</v>
      </c>
      <c r="T70" s="152" t="s">
        <v>1119</v>
      </c>
      <c r="U70" s="176" t="s">
        <v>1120</v>
      </c>
      <c r="V70" s="100"/>
      <c r="W70" s="66" t="s">
        <v>710</v>
      </c>
      <c r="X70" s="94" t="s">
        <v>707</v>
      </c>
      <c r="Y70" s="98" t="s">
        <v>1121</v>
      </c>
      <c r="Z70" s="204"/>
      <c r="AA70" s="102" t="s">
        <v>712</v>
      </c>
    </row>
    <row r="71" spans="1:27" s="33" customFormat="1" ht="99.75" hidden="1" customHeight="1">
      <c r="A71" s="27"/>
      <c r="B71" s="241" t="s">
        <v>10</v>
      </c>
      <c r="C71" s="241" t="s">
        <v>713</v>
      </c>
      <c r="D71" s="241" t="s">
        <v>11</v>
      </c>
      <c r="E71" s="240">
        <v>2</v>
      </c>
      <c r="F71" s="241" t="s">
        <v>1085</v>
      </c>
      <c r="G71" s="241" t="s">
        <v>1086</v>
      </c>
      <c r="H71" s="66"/>
      <c r="I71" s="240">
        <v>8</v>
      </c>
      <c r="J71" s="241" t="s">
        <v>733</v>
      </c>
      <c r="K71" s="240">
        <v>10</v>
      </c>
      <c r="L71" s="240"/>
      <c r="M71" s="67" t="s">
        <v>1087</v>
      </c>
      <c r="N71" s="191" t="s">
        <v>1122</v>
      </c>
      <c r="O71" s="193"/>
      <c r="P71" s="84"/>
      <c r="Q71" s="78"/>
      <c r="R71" s="68" t="s">
        <v>715</v>
      </c>
      <c r="S71" s="68" t="s">
        <v>716</v>
      </c>
      <c r="T71" s="68" t="s">
        <v>1123</v>
      </c>
      <c r="U71" s="68" t="s">
        <v>1124</v>
      </c>
      <c r="V71" s="68"/>
      <c r="W71" s="68" t="s">
        <v>719</v>
      </c>
      <c r="X71" s="88" t="s">
        <v>720</v>
      </c>
      <c r="Y71" s="79" t="s">
        <v>1123</v>
      </c>
      <c r="Z71" s="203"/>
      <c r="AA71" s="78" t="s">
        <v>721</v>
      </c>
    </row>
    <row r="72" spans="1:27" s="33" customFormat="1" ht="99.75" hidden="1" customHeight="1">
      <c r="A72" s="27"/>
      <c r="B72" s="241" t="s">
        <v>7</v>
      </c>
      <c r="C72" s="241" t="s">
        <v>722</v>
      </c>
      <c r="D72" s="241" t="s">
        <v>8</v>
      </c>
      <c r="E72" s="240">
        <v>2</v>
      </c>
      <c r="F72" s="66" t="s">
        <v>1085</v>
      </c>
      <c r="G72" s="66" t="s">
        <v>1086</v>
      </c>
      <c r="H72" s="66"/>
      <c r="I72" s="240">
        <v>12</v>
      </c>
      <c r="J72" s="242" t="s">
        <v>733</v>
      </c>
      <c r="K72" s="240">
        <v>10</v>
      </c>
      <c r="L72" s="240"/>
      <c r="M72" s="67" t="s">
        <v>1087</v>
      </c>
      <c r="N72" s="67" t="s">
        <v>1088</v>
      </c>
      <c r="O72" s="240"/>
      <c r="P72" s="66"/>
      <c r="Q72" s="66"/>
      <c r="R72" s="67" t="s">
        <v>723</v>
      </c>
      <c r="S72" s="67" t="s">
        <v>724</v>
      </c>
      <c r="T72" s="67" t="s">
        <v>1125</v>
      </c>
      <c r="U72" s="184" t="s">
        <v>1126</v>
      </c>
      <c r="V72" s="66"/>
      <c r="W72" s="66" t="s">
        <v>727</v>
      </c>
      <c r="X72" s="67" t="s">
        <v>724</v>
      </c>
      <c r="Y72" s="98" t="s">
        <v>1127</v>
      </c>
      <c r="Z72" s="92"/>
      <c r="AA72" s="102" t="s">
        <v>729</v>
      </c>
    </row>
    <row r="73" spans="1:27" s="33" customFormat="1" ht="99.75" hidden="1" customHeight="1">
      <c r="A73" s="27"/>
      <c r="B73" s="241" t="s">
        <v>13</v>
      </c>
      <c r="C73" s="66" t="s">
        <v>730</v>
      </c>
      <c r="D73" s="67" t="s">
        <v>16</v>
      </c>
      <c r="E73" s="240">
        <v>2</v>
      </c>
      <c r="F73" s="241" t="s">
        <v>1100</v>
      </c>
      <c r="G73" s="241" t="s">
        <v>1101</v>
      </c>
      <c r="H73" s="66"/>
      <c r="I73" s="240">
        <v>14</v>
      </c>
      <c r="J73" s="80" t="s">
        <v>733</v>
      </c>
      <c r="K73" s="240">
        <v>4</v>
      </c>
      <c r="L73" s="240"/>
      <c r="M73" s="67" t="s">
        <v>1103</v>
      </c>
      <c r="N73" s="243" t="s">
        <v>1104</v>
      </c>
      <c r="O73" s="240"/>
      <c r="P73" s="251"/>
      <c r="Q73" s="244"/>
      <c r="R73" s="67" t="s">
        <v>798</v>
      </c>
      <c r="S73" s="67" t="s">
        <v>1128</v>
      </c>
      <c r="T73" s="67" t="s">
        <v>1128</v>
      </c>
      <c r="U73" s="176" t="s">
        <v>1129</v>
      </c>
      <c r="V73" s="66"/>
      <c r="W73" s="67" t="s">
        <v>741</v>
      </c>
      <c r="X73" s="98" t="s">
        <v>1068</v>
      </c>
      <c r="Y73" s="105" t="s">
        <v>744</v>
      </c>
      <c r="Z73" s="216"/>
      <c r="AA73" s="102" t="s">
        <v>1130</v>
      </c>
    </row>
    <row r="74" spans="1:27" s="33" customFormat="1" ht="99.75" hidden="1" customHeight="1">
      <c r="A74" s="27"/>
      <c r="B74" s="66" t="s">
        <v>4</v>
      </c>
      <c r="C74" s="66" t="s">
        <v>699</v>
      </c>
      <c r="D74" s="66" t="s">
        <v>5</v>
      </c>
      <c r="E74" s="240">
        <v>2</v>
      </c>
      <c r="F74" s="66" t="s">
        <v>1111</v>
      </c>
      <c r="G74" s="66" t="s">
        <v>1112</v>
      </c>
      <c r="H74" s="66" t="s">
        <v>1118</v>
      </c>
      <c r="I74" s="240">
        <v>15</v>
      </c>
      <c r="J74" s="242" t="s">
        <v>733</v>
      </c>
      <c r="K74" s="240">
        <v>10</v>
      </c>
      <c r="L74" s="240"/>
      <c r="M74" s="67" t="s">
        <v>1113</v>
      </c>
      <c r="N74" s="107" t="s">
        <v>1114</v>
      </c>
      <c r="O74" s="240"/>
      <c r="P74" s="79"/>
      <c r="Q74" s="66"/>
      <c r="R74" s="67" t="s">
        <v>706</v>
      </c>
      <c r="S74" s="67" t="s">
        <v>707</v>
      </c>
      <c r="T74" s="67" t="s">
        <v>1119</v>
      </c>
      <c r="U74" s="176" t="s">
        <v>1120</v>
      </c>
      <c r="V74" s="66"/>
      <c r="W74" s="66" t="s">
        <v>710</v>
      </c>
      <c r="X74" s="81" t="s">
        <v>707</v>
      </c>
      <c r="Y74" s="98" t="s">
        <v>1121</v>
      </c>
      <c r="Z74" s="204"/>
      <c r="AA74" s="102" t="s">
        <v>712</v>
      </c>
    </row>
    <row r="75" spans="1:27" ht="99.75" hidden="1" customHeight="1">
      <c r="B75" s="241" t="s">
        <v>10</v>
      </c>
      <c r="C75" s="241" t="s">
        <v>713</v>
      </c>
      <c r="D75" s="241" t="s">
        <v>11</v>
      </c>
      <c r="E75" s="240">
        <v>2</v>
      </c>
      <c r="F75" s="241" t="s">
        <v>1111</v>
      </c>
      <c r="G75" s="241" t="s">
        <v>1112</v>
      </c>
      <c r="H75" s="66"/>
      <c r="I75" s="240">
        <v>2</v>
      </c>
      <c r="J75" s="241" t="s">
        <v>733</v>
      </c>
      <c r="K75" s="240">
        <v>10</v>
      </c>
      <c r="L75" s="240"/>
      <c r="M75" s="67" t="s">
        <v>1113</v>
      </c>
      <c r="N75" s="191" t="s">
        <v>1114</v>
      </c>
      <c r="O75" s="192" t="s">
        <v>736</v>
      </c>
      <c r="P75" s="84"/>
      <c r="Q75" s="78"/>
      <c r="R75" s="68" t="s">
        <v>715</v>
      </c>
      <c r="S75" s="68" t="s">
        <v>716</v>
      </c>
      <c r="T75" s="68" t="s">
        <v>1131</v>
      </c>
      <c r="U75" s="207" t="s">
        <v>1132</v>
      </c>
      <c r="V75" s="68"/>
      <c r="W75" s="68" t="s">
        <v>719</v>
      </c>
      <c r="X75" s="88" t="s">
        <v>720</v>
      </c>
      <c r="Y75" s="68" t="s">
        <v>1131</v>
      </c>
      <c r="Z75" s="203"/>
      <c r="AA75" s="78" t="s">
        <v>721</v>
      </c>
    </row>
    <row r="76" spans="1:27" ht="99.75" hidden="1" customHeight="1">
      <c r="B76" s="241" t="s">
        <v>7</v>
      </c>
      <c r="C76" s="241" t="s">
        <v>722</v>
      </c>
      <c r="D76" s="241" t="s">
        <v>8</v>
      </c>
      <c r="E76" s="240">
        <v>2</v>
      </c>
      <c r="F76" s="66" t="s">
        <v>1111</v>
      </c>
      <c r="G76" s="66" t="s">
        <v>1112</v>
      </c>
      <c r="H76" s="66"/>
      <c r="I76" s="240">
        <v>13</v>
      </c>
      <c r="J76" s="242" t="s">
        <v>733</v>
      </c>
      <c r="K76" s="240">
        <v>10</v>
      </c>
      <c r="L76" s="240"/>
      <c r="M76" s="67" t="s">
        <v>1113</v>
      </c>
      <c r="N76" s="107" t="s">
        <v>1114</v>
      </c>
      <c r="O76" s="252"/>
      <c r="P76" s="79"/>
      <c r="Q76" s="66"/>
      <c r="R76" s="67" t="s">
        <v>723</v>
      </c>
      <c r="S76" s="67" t="s">
        <v>724</v>
      </c>
      <c r="T76" s="189" t="s">
        <v>1133</v>
      </c>
      <c r="U76" s="184" t="s">
        <v>1134</v>
      </c>
      <c r="V76" s="66"/>
      <c r="W76" s="66" t="s">
        <v>727</v>
      </c>
      <c r="X76" s="67" t="s">
        <v>724</v>
      </c>
      <c r="Y76" s="101" t="s">
        <v>1135</v>
      </c>
      <c r="Z76" s="204"/>
      <c r="AA76" s="102" t="s">
        <v>729</v>
      </c>
    </row>
    <row r="77" spans="1:27" ht="99.75" hidden="1" customHeight="1">
      <c r="B77" s="241" t="s">
        <v>13</v>
      </c>
      <c r="C77" s="66" t="s">
        <v>730</v>
      </c>
      <c r="D77" s="67" t="s">
        <v>16</v>
      </c>
      <c r="E77" s="240">
        <v>2</v>
      </c>
      <c r="F77" s="241" t="s">
        <v>803</v>
      </c>
      <c r="G77" s="242" t="s">
        <v>804</v>
      </c>
      <c r="H77" s="80" t="s">
        <v>805</v>
      </c>
      <c r="I77" s="240">
        <v>15</v>
      </c>
      <c r="J77" s="80" t="s">
        <v>733</v>
      </c>
      <c r="K77" s="87">
        <v>10</v>
      </c>
      <c r="L77" s="240"/>
      <c r="M77" s="67" t="s">
        <v>806</v>
      </c>
      <c r="N77" s="107" t="s">
        <v>807</v>
      </c>
      <c r="O77" s="252"/>
      <c r="P77" s="79"/>
      <c r="Q77" s="66"/>
      <c r="R77" s="67" t="s">
        <v>737</v>
      </c>
      <c r="S77" s="67" t="s">
        <v>738</v>
      </c>
      <c r="T77" s="67" t="s">
        <v>1136</v>
      </c>
      <c r="U77" s="176" t="s">
        <v>1137</v>
      </c>
      <c r="V77" s="66"/>
      <c r="W77" s="67" t="s">
        <v>741</v>
      </c>
      <c r="X77" s="105" t="s">
        <v>744</v>
      </c>
      <c r="Y77" s="199" t="s">
        <v>744</v>
      </c>
      <c r="Z77" s="111"/>
      <c r="AA77" s="102" t="s">
        <v>744</v>
      </c>
    </row>
    <row r="78" spans="1:27" ht="99.75" hidden="1" customHeight="1">
      <c r="B78" s="241" t="s">
        <v>7</v>
      </c>
      <c r="C78" s="241" t="s">
        <v>722</v>
      </c>
      <c r="D78" s="241" t="s">
        <v>8</v>
      </c>
      <c r="E78" s="240">
        <v>2</v>
      </c>
      <c r="F78" s="241" t="s">
        <v>1138</v>
      </c>
      <c r="G78" s="241" t="s">
        <v>1139</v>
      </c>
      <c r="H78" s="66"/>
      <c r="I78" s="240">
        <v>2</v>
      </c>
      <c r="J78" s="242" t="s">
        <v>733</v>
      </c>
      <c r="K78" s="240">
        <v>10</v>
      </c>
      <c r="L78" s="240"/>
      <c r="M78" s="243" t="s">
        <v>1140</v>
      </c>
      <c r="N78" s="253" t="s">
        <v>1141</v>
      </c>
      <c r="O78" s="240" t="s">
        <v>736</v>
      </c>
      <c r="P78" s="245"/>
      <c r="Q78" s="244"/>
      <c r="R78" s="67" t="s">
        <v>723</v>
      </c>
      <c r="S78" s="67" t="s">
        <v>724</v>
      </c>
      <c r="T78" s="67" t="s">
        <v>1142</v>
      </c>
      <c r="U78" s="184" t="s">
        <v>1143</v>
      </c>
      <c r="V78" s="66"/>
      <c r="W78" s="66" t="s">
        <v>727</v>
      </c>
      <c r="X78" s="67" t="s">
        <v>724</v>
      </c>
      <c r="Y78" s="200" t="s">
        <v>1144</v>
      </c>
      <c r="Z78" s="205"/>
      <c r="AA78" s="102" t="s">
        <v>729</v>
      </c>
    </row>
    <row r="79" spans="1:27" ht="99.75" hidden="1" customHeight="1">
      <c r="B79" s="66" t="s">
        <v>4</v>
      </c>
      <c r="C79" s="66" t="s">
        <v>699</v>
      </c>
      <c r="D79" s="66" t="s">
        <v>5</v>
      </c>
      <c r="E79" s="240">
        <v>2</v>
      </c>
      <c r="F79" s="241" t="s">
        <v>792</v>
      </c>
      <c r="G79" s="241" t="s">
        <v>793</v>
      </c>
      <c r="H79" s="66" t="s">
        <v>773</v>
      </c>
      <c r="I79" s="240">
        <v>5</v>
      </c>
      <c r="J79" s="242" t="s">
        <v>733</v>
      </c>
      <c r="K79" s="240">
        <v>4</v>
      </c>
      <c r="L79" s="240"/>
      <c r="M79" s="243" t="s">
        <v>794</v>
      </c>
      <c r="N79" s="243" t="s">
        <v>795</v>
      </c>
      <c r="O79" s="240" t="s">
        <v>736</v>
      </c>
      <c r="P79" s="79"/>
      <c r="Q79" s="66"/>
      <c r="R79" s="67" t="s">
        <v>846</v>
      </c>
      <c r="S79" s="67" t="s">
        <v>846</v>
      </c>
      <c r="T79" s="67" t="s">
        <v>846</v>
      </c>
      <c r="U79" s="176" t="s">
        <v>1145</v>
      </c>
      <c r="V79" s="66"/>
      <c r="W79" s="66" t="s">
        <v>710</v>
      </c>
      <c r="X79" s="94" t="s">
        <v>707</v>
      </c>
      <c r="Y79" s="187" t="s">
        <v>712</v>
      </c>
      <c r="Z79" s="204"/>
      <c r="AA79" s="102" t="s">
        <v>1146</v>
      </c>
    </row>
    <row r="80" spans="1:27" ht="99.75" hidden="1" customHeight="1">
      <c r="B80" s="241" t="s">
        <v>10</v>
      </c>
      <c r="C80" s="241" t="s">
        <v>713</v>
      </c>
      <c r="D80" s="241" t="s">
        <v>11</v>
      </c>
      <c r="E80" s="240">
        <v>2</v>
      </c>
      <c r="F80" s="241" t="s">
        <v>792</v>
      </c>
      <c r="G80" s="241" t="s">
        <v>793</v>
      </c>
      <c r="H80" s="66"/>
      <c r="I80" s="240">
        <v>3</v>
      </c>
      <c r="J80" s="241" t="s">
        <v>733</v>
      </c>
      <c r="K80" s="240">
        <v>4</v>
      </c>
      <c r="L80" s="240"/>
      <c r="M80" s="67" t="s">
        <v>1147</v>
      </c>
      <c r="N80" s="113" t="s">
        <v>795</v>
      </c>
      <c r="O80" s="78"/>
      <c r="P80" s="99"/>
      <c r="Q80" s="78"/>
      <c r="R80" s="68" t="s">
        <v>715</v>
      </c>
      <c r="S80" s="68" t="s">
        <v>716</v>
      </c>
      <c r="T80" s="68" t="s">
        <v>1148</v>
      </c>
      <c r="U80" s="98" t="s">
        <v>1149</v>
      </c>
      <c r="V80" s="68"/>
      <c r="W80" s="68" t="s">
        <v>719</v>
      </c>
      <c r="X80" s="90" t="s">
        <v>720</v>
      </c>
      <c r="Y80" s="68" t="s">
        <v>1150</v>
      </c>
      <c r="Z80" s="203"/>
      <c r="AA80" s="78" t="s">
        <v>721</v>
      </c>
    </row>
    <row r="81" spans="2:27" ht="99.75" hidden="1" customHeight="1">
      <c r="B81" s="241" t="s">
        <v>7</v>
      </c>
      <c r="C81" s="241" t="s">
        <v>722</v>
      </c>
      <c r="D81" s="241" t="s">
        <v>8</v>
      </c>
      <c r="E81" s="240">
        <v>2</v>
      </c>
      <c r="F81" s="241" t="s">
        <v>792</v>
      </c>
      <c r="G81" s="241" t="s">
        <v>793</v>
      </c>
      <c r="H81" s="66"/>
      <c r="I81" s="240">
        <v>3</v>
      </c>
      <c r="J81" s="242" t="s">
        <v>733</v>
      </c>
      <c r="K81" s="240">
        <v>4</v>
      </c>
      <c r="L81" s="240"/>
      <c r="M81" s="243" t="s">
        <v>794</v>
      </c>
      <c r="N81" s="243" t="s">
        <v>795</v>
      </c>
      <c r="O81" s="240"/>
      <c r="P81" s="79"/>
      <c r="Q81" s="66"/>
      <c r="R81" s="67" t="s">
        <v>729</v>
      </c>
      <c r="S81" s="67" t="s">
        <v>729</v>
      </c>
      <c r="T81" s="67" t="s">
        <v>729</v>
      </c>
      <c r="U81" s="176" t="s">
        <v>1151</v>
      </c>
      <c r="V81" s="66"/>
      <c r="W81" s="66" t="s">
        <v>727</v>
      </c>
      <c r="X81" s="67" t="s">
        <v>724</v>
      </c>
      <c r="Y81" s="98" t="s">
        <v>1152</v>
      </c>
      <c r="Z81" s="111"/>
      <c r="AA81" s="102" t="s">
        <v>1153</v>
      </c>
    </row>
    <row r="82" spans="2:27" ht="99.75" hidden="1" customHeight="1">
      <c r="B82" s="241" t="s">
        <v>13</v>
      </c>
      <c r="C82" s="66" t="s">
        <v>730</v>
      </c>
      <c r="D82" s="67" t="s">
        <v>16</v>
      </c>
      <c r="E82" s="249">
        <v>2</v>
      </c>
      <c r="F82" s="254" t="s">
        <v>840</v>
      </c>
      <c r="G82" s="254" t="s">
        <v>841</v>
      </c>
      <c r="H82" s="100" t="s">
        <v>842</v>
      </c>
      <c r="I82" s="249">
        <v>16</v>
      </c>
      <c r="J82" s="254" t="s">
        <v>843</v>
      </c>
      <c r="K82" s="249">
        <v>23</v>
      </c>
      <c r="L82" s="240"/>
      <c r="M82" s="67" t="s">
        <v>844</v>
      </c>
      <c r="N82" s="67" t="s">
        <v>845</v>
      </c>
      <c r="O82" s="68"/>
      <c r="P82" s="84"/>
      <c r="Q82" s="78"/>
      <c r="R82" s="67" t="s">
        <v>1154</v>
      </c>
      <c r="S82" s="67" t="s">
        <v>798</v>
      </c>
      <c r="T82" s="67" t="s">
        <v>798</v>
      </c>
      <c r="U82" s="176" t="s">
        <v>1155</v>
      </c>
      <c r="V82" s="210"/>
      <c r="W82" s="67" t="s">
        <v>741</v>
      </c>
      <c r="X82" s="105" t="s">
        <v>744</v>
      </c>
      <c r="Y82" s="105" t="s">
        <v>744</v>
      </c>
      <c r="Z82" s="104"/>
      <c r="AA82" s="102" t="s">
        <v>744</v>
      </c>
    </row>
    <row r="83" spans="2:27" ht="39.75" hidden="1" customHeight="1">
      <c r="B83" s="254" t="s">
        <v>13</v>
      </c>
      <c r="C83" s="100" t="s">
        <v>810</v>
      </c>
      <c r="D83" s="100" t="s">
        <v>14</v>
      </c>
      <c r="E83" s="249">
        <v>2</v>
      </c>
      <c r="F83" s="106" t="s">
        <v>840</v>
      </c>
      <c r="G83" s="106" t="s">
        <v>841</v>
      </c>
      <c r="H83" s="106"/>
      <c r="I83" s="219">
        <v>16</v>
      </c>
      <c r="J83" s="80" t="s">
        <v>843</v>
      </c>
      <c r="K83" s="219">
        <v>23</v>
      </c>
      <c r="L83" s="219"/>
      <c r="M83" s="152" t="s">
        <v>844</v>
      </c>
      <c r="N83" s="152" t="s">
        <v>845</v>
      </c>
      <c r="O83" s="249"/>
      <c r="P83" s="100"/>
      <c r="Q83" s="100"/>
      <c r="R83" s="152" t="s">
        <v>783</v>
      </c>
      <c r="S83" s="152" t="s">
        <v>783</v>
      </c>
      <c r="T83" s="152" t="s">
        <v>783</v>
      </c>
      <c r="U83" s="184" t="s">
        <v>1156</v>
      </c>
      <c r="V83" s="100"/>
      <c r="W83" s="210" t="s">
        <v>783</v>
      </c>
      <c r="X83" s="210" t="s">
        <v>783</v>
      </c>
      <c r="Y83" s="210" t="s">
        <v>783</v>
      </c>
      <c r="Z83" s="204"/>
      <c r="AA83" s="183"/>
    </row>
    <row r="84" spans="2:27" ht="39.75" customHeight="1">
      <c r="B84" s="255" t="s">
        <v>18</v>
      </c>
      <c r="C84" s="244" t="s">
        <v>759</v>
      </c>
      <c r="D84" s="244" t="s">
        <v>19</v>
      </c>
      <c r="E84" s="256">
        <v>0</v>
      </c>
      <c r="F84" s="255" t="s">
        <v>700</v>
      </c>
      <c r="G84" s="255" t="s">
        <v>701</v>
      </c>
      <c r="H84" s="210"/>
      <c r="I84" s="256">
        <v>14</v>
      </c>
      <c r="J84" s="244" t="s">
        <v>703</v>
      </c>
      <c r="K84" s="256">
        <v>23</v>
      </c>
      <c r="L84" s="256">
        <v>6</v>
      </c>
      <c r="M84" s="257" t="s">
        <v>704</v>
      </c>
      <c r="N84" s="257" t="s">
        <v>705</v>
      </c>
      <c r="O84" s="256"/>
      <c r="P84" s="255"/>
      <c r="Q84" s="255"/>
      <c r="R84" s="211" t="s">
        <v>765</v>
      </c>
      <c r="S84" s="211" t="s">
        <v>766</v>
      </c>
      <c r="T84" s="211" t="s">
        <v>1157</v>
      </c>
      <c r="U84" s="213" t="s">
        <v>1158</v>
      </c>
      <c r="V84" s="210"/>
      <c r="W84" s="103" t="s">
        <v>769</v>
      </c>
      <c r="X84" s="103" t="s">
        <v>766</v>
      </c>
      <c r="Y84" s="211" t="s">
        <v>1157</v>
      </c>
      <c r="Z84" s="203"/>
      <c r="AA84" s="102" t="s">
        <v>770</v>
      </c>
    </row>
    <row r="85" spans="2:27" ht="39.75" customHeight="1">
      <c r="B85" s="255" t="s">
        <v>18</v>
      </c>
      <c r="C85" s="244" t="s">
        <v>759</v>
      </c>
      <c r="D85" s="244" t="s">
        <v>19</v>
      </c>
      <c r="E85" s="256">
        <v>0</v>
      </c>
      <c r="F85" s="255" t="s">
        <v>1159</v>
      </c>
      <c r="G85" s="255" t="s">
        <v>1160</v>
      </c>
      <c r="H85" s="210"/>
      <c r="I85" s="256">
        <v>8</v>
      </c>
      <c r="J85" s="242" t="s">
        <v>733</v>
      </c>
      <c r="K85" s="256">
        <v>4</v>
      </c>
      <c r="L85" s="256"/>
      <c r="M85" s="258" t="s">
        <v>1161</v>
      </c>
      <c r="N85" s="258" t="s">
        <v>1162</v>
      </c>
      <c r="O85" s="246"/>
      <c r="P85" s="255"/>
      <c r="Q85" s="255"/>
      <c r="R85" s="211" t="s">
        <v>765</v>
      </c>
      <c r="S85" s="211" t="s">
        <v>766</v>
      </c>
      <c r="T85" s="211" t="s">
        <v>1163</v>
      </c>
      <c r="U85" s="214" t="s">
        <v>1164</v>
      </c>
      <c r="V85" s="210"/>
      <c r="W85" s="103" t="s">
        <v>769</v>
      </c>
      <c r="X85" s="103" t="s">
        <v>766</v>
      </c>
      <c r="Y85" s="103" t="s">
        <v>1165</v>
      </c>
      <c r="Z85" s="203"/>
      <c r="AA85" s="212" t="s">
        <v>1166</v>
      </c>
    </row>
    <row r="86" spans="2:27" ht="39.75" customHeight="1">
      <c r="B86" s="255" t="s">
        <v>18</v>
      </c>
      <c r="C86" s="244" t="s">
        <v>759</v>
      </c>
      <c r="D86" s="244" t="s">
        <v>19</v>
      </c>
      <c r="E86" s="256">
        <v>0</v>
      </c>
      <c r="F86" s="255" t="s">
        <v>1167</v>
      </c>
      <c r="G86" s="255" t="s">
        <v>1168</v>
      </c>
      <c r="H86" s="210"/>
      <c r="I86" s="256">
        <v>10</v>
      </c>
      <c r="J86" s="250" t="s">
        <v>733</v>
      </c>
      <c r="K86" s="256">
        <v>4</v>
      </c>
      <c r="L86" s="256"/>
      <c r="M86" s="258" t="s">
        <v>1169</v>
      </c>
      <c r="N86" s="258" t="s">
        <v>1170</v>
      </c>
      <c r="O86" s="256"/>
      <c r="P86" s="255"/>
      <c r="Q86" s="255"/>
      <c r="R86" s="211" t="s">
        <v>765</v>
      </c>
      <c r="S86" s="211" t="s">
        <v>766</v>
      </c>
      <c r="T86" s="211" t="s">
        <v>1171</v>
      </c>
      <c r="U86" s="213" t="s">
        <v>1172</v>
      </c>
      <c r="V86" s="210"/>
      <c r="W86" s="103" t="s">
        <v>769</v>
      </c>
      <c r="X86" s="103" t="s">
        <v>766</v>
      </c>
      <c r="Y86" s="211" t="s">
        <v>1171</v>
      </c>
      <c r="Z86" s="203"/>
      <c r="AA86" s="212" t="s">
        <v>770</v>
      </c>
    </row>
    <row r="87" spans="2:27" ht="39.75" customHeight="1">
      <c r="B87" s="255" t="s">
        <v>18</v>
      </c>
      <c r="C87" s="244" t="s">
        <v>759</v>
      </c>
      <c r="D87" s="244" t="s">
        <v>19</v>
      </c>
      <c r="E87" s="256">
        <v>0</v>
      </c>
      <c r="F87" s="255" t="s">
        <v>1173</v>
      </c>
      <c r="G87" s="255" t="s">
        <v>1174</v>
      </c>
      <c r="H87" s="210"/>
      <c r="I87" s="256">
        <v>1</v>
      </c>
      <c r="J87" s="250" t="s">
        <v>733</v>
      </c>
      <c r="K87" s="256">
        <v>14</v>
      </c>
      <c r="L87" s="256"/>
      <c r="M87" s="258" t="s">
        <v>1175</v>
      </c>
      <c r="N87" s="255" t="s">
        <v>1176</v>
      </c>
      <c r="O87" s="256" t="s">
        <v>736</v>
      </c>
      <c r="P87" s="255"/>
      <c r="Q87" s="255"/>
      <c r="R87" s="211" t="s">
        <v>765</v>
      </c>
      <c r="S87" s="211" t="s">
        <v>766</v>
      </c>
      <c r="T87" s="211" t="s">
        <v>1177</v>
      </c>
      <c r="U87" s="213" t="s">
        <v>1178</v>
      </c>
      <c r="V87" s="210"/>
      <c r="W87" s="103" t="s">
        <v>769</v>
      </c>
      <c r="X87" s="103" t="s">
        <v>766</v>
      </c>
      <c r="Y87" s="211" t="s">
        <v>1177</v>
      </c>
      <c r="Z87" s="203"/>
      <c r="AA87" s="212" t="s">
        <v>770</v>
      </c>
    </row>
    <row r="88" spans="2:27" ht="39.75" customHeight="1">
      <c r="B88" s="255" t="s">
        <v>18</v>
      </c>
      <c r="C88" s="244" t="s">
        <v>759</v>
      </c>
      <c r="D88" s="244" t="s">
        <v>19</v>
      </c>
      <c r="E88" s="256">
        <v>0</v>
      </c>
      <c r="F88" s="255" t="s">
        <v>1179</v>
      </c>
      <c r="G88" s="255" t="s">
        <v>1180</v>
      </c>
      <c r="H88" s="210"/>
      <c r="I88" s="256">
        <v>5</v>
      </c>
      <c r="J88" s="244" t="s">
        <v>733</v>
      </c>
      <c r="K88" s="256">
        <v>10</v>
      </c>
      <c r="L88" s="256"/>
      <c r="M88" s="258" t="s">
        <v>1181</v>
      </c>
      <c r="N88" s="258" t="s">
        <v>1182</v>
      </c>
      <c r="O88" s="256"/>
      <c r="P88" s="255"/>
      <c r="Q88" s="255"/>
      <c r="R88" s="211" t="s">
        <v>765</v>
      </c>
      <c r="S88" s="211" t="s">
        <v>766</v>
      </c>
      <c r="T88" s="211" t="s">
        <v>1183</v>
      </c>
      <c r="U88" s="213" t="s">
        <v>1184</v>
      </c>
      <c r="V88" s="210"/>
      <c r="W88" s="103" t="s">
        <v>769</v>
      </c>
      <c r="X88" s="103" t="s">
        <v>766</v>
      </c>
      <c r="Y88" s="211" t="s">
        <v>1183</v>
      </c>
      <c r="Z88" s="203"/>
      <c r="AA88" s="212" t="s">
        <v>770</v>
      </c>
    </row>
    <row r="89" spans="2:27" ht="39.75" customHeight="1">
      <c r="B89" s="255" t="s">
        <v>18</v>
      </c>
      <c r="C89" s="244" t="s">
        <v>759</v>
      </c>
      <c r="D89" s="244" t="s">
        <v>19</v>
      </c>
      <c r="E89" s="256">
        <v>0</v>
      </c>
      <c r="F89" s="255" t="s">
        <v>1185</v>
      </c>
      <c r="G89" s="255" t="s">
        <v>1186</v>
      </c>
      <c r="H89" s="210"/>
      <c r="I89" s="256">
        <v>6</v>
      </c>
      <c r="J89" s="242" t="s">
        <v>733</v>
      </c>
      <c r="K89" s="256">
        <v>4</v>
      </c>
      <c r="L89" s="256"/>
      <c r="M89" s="258" t="s">
        <v>1187</v>
      </c>
      <c r="N89" s="258" t="s">
        <v>1188</v>
      </c>
      <c r="O89" s="256"/>
      <c r="P89" s="255"/>
      <c r="Q89" s="255"/>
      <c r="R89" s="211" t="s">
        <v>765</v>
      </c>
      <c r="S89" s="211" t="s">
        <v>766</v>
      </c>
      <c r="T89" s="211" t="s">
        <v>1189</v>
      </c>
      <c r="U89" s="213" t="s">
        <v>1190</v>
      </c>
      <c r="V89" s="210"/>
      <c r="W89" s="103" t="s">
        <v>769</v>
      </c>
      <c r="X89" s="103" t="s">
        <v>766</v>
      </c>
      <c r="Y89" s="211" t="s">
        <v>1189</v>
      </c>
      <c r="Z89" s="203"/>
      <c r="AA89" s="212" t="s">
        <v>770</v>
      </c>
    </row>
    <row r="90" spans="2:27" ht="39.75" customHeight="1">
      <c r="B90" s="255" t="s">
        <v>18</v>
      </c>
      <c r="C90" s="244" t="s">
        <v>759</v>
      </c>
      <c r="D90" s="244" t="s">
        <v>19</v>
      </c>
      <c r="E90" s="256">
        <v>0</v>
      </c>
      <c r="F90" s="255" t="s">
        <v>1191</v>
      </c>
      <c r="G90" s="244" t="s">
        <v>1192</v>
      </c>
      <c r="H90" s="68"/>
      <c r="I90" s="246">
        <v>12</v>
      </c>
      <c r="J90" s="242" t="s">
        <v>733</v>
      </c>
      <c r="K90" s="256">
        <v>10</v>
      </c>
      <c r="L90" s="246"/>
      <c r="M90" s="247" t="s">
        <v>1193</v>
      </c>
      <c r="N90" s="244" t="s">
        <v>1194</v>
      </c>
      <c r="O90" s="246"/>
      <c r="P90" s="244"/>
      <c r="Q90" s="244"/>
      <c r="R90" s="211" t="s">
        <v>765</v>
      </c>
      <c r="S90" s="211" t="s">
        <v>766</v>
      </c>
      <c r="T90" s="98" t="s">
        <v>1195</v>
      </c>
      <c r="U90" s="185" t="s">
        <v>1196</v>
      </c>
      <c r="V90" s="68"/>
      <c r="W90" s="103" t="s">
        <v>769</v>
      </c>
      <c r="X90" s="103" t="s">
        <v>766</v>
      </c>
      <c r="Y90" s="98" t="s">
        <v>1195</v>
      </c>
      <c r="Z90" s="75"/>
      <c r="AA90" s="102" t="s">
        <v>770</v>
      </c>
    </row>
    <row r="91" spans="2:27" ht="39.75" customHeight="1">
      <c r="B91" s="255" t="s">
        <v>18</v>
      </c>
      <c r="C91" s="244" t="s">
        <v>759</v>
      </c>
      <c r="D91" s="244" t="s">
        <v>19</v>
      </c>
      <c r="E91" s="256">
        <v>0</v>
      </c>
      <c r="F91" s="255" t="s">
        <v>1197</v>
      </c>
      <c r="G91" s="255" t="s">
        <v>1198</v>
      </c>
      <c r="H91" s="210"/>
      <c r="I91" s="256">
        <v>2</v>
      </c>
      <c r="J91" s="242" t="s">
        <v>733</v>
      </c>
      <c r="K91" s="256">
        <v>4</v>
      </c>
      <c r="L91" s="256"/>
      <c r="M91" s="258" t="s">
        <v>1199</v>
      </c>
      <c r="N91" s="255" t="s">
        <v>1200</v>
      </c>
      <c r="O91" s="256" t="s">
        <v>736</v>
      </c>
      <c r="P91" s="255"/>
      <c r="Q91" s="255"/>
      <c r="R91" s="211" t="s">
        <v>765</v>
      </c>
      <c r="S91" s="211" t="s">
        <v>766</v>
      </c>
      <c r="T91" s="211" t="s">
        <v>1201</v>
      </c>
      <c r="U91" s="213" t="s">
        <v>1202</v>
      </c>
      <c r="V91" s="210"/>
      <c r="W91" s="103" t="s">
        <v>769</v>
      </c>
      <c r="X91" s="103" t="s">
        <v>766</v>
      </c>
      <c r="Y91" s="211" t="s">
        <v>1201</v>
      </c>
      <c r="Z91" s="203"/>
      <c r="AA91" s="212" t="s">
        <v>770</v>
      </c>
    </row>
    <row r="92" spans="2:27" ht="39.75" customHeight="1">
      <c r="B92" s="255" t="s">
        <v>18</v>
      </c>
      <c r="C92" s="244" t="s">
        <v>759</v>
      </c>
      <c r="D92" s="244" t="s">
        <v>19</v>
      </c>
      <c r="E92" s="256">
        <v>0</v>
      </c>
      <c r="F92" s="255" t="s">
        <v>1203</v>
      </c>
      <c r="G92" s="255" t="s">
        <v>1204</v>
      </c>
      <c r="H92" s="210"/>
      <c r="I92" s="256">
        <v>9</v>
      </c>
      <c r="J92" s="250" t="s">
        <v>733</v>
      </c>
      <c r="K92" s="256">
        <v>30</v>
      </c>
      <c r="L92" s="256"/>
      <c r="M92" s="258" t="s">
        <v>1205</v>
      </c>
      <c r="N92" s="258" t="s">
        <v>1206</v>
      </c>
      <c r="O92" s="256"/>
      <c r="P92" s="255"/>
      <c r="Q92" s="255"/>
      <c r="R92" s="211" t="s">
        <v>765</v>
      </c>
      <c r="S92" s="211" t="s">
        <v>766</v>
      </c>
      <c r="T92" s="211" t="s">
        <v>1207</v>
      </c>
      <c r="U92" s="213" t="s">
        <v>1208</v>
      </c>
      <c r="V92" s="210"/>
      <c r="W92" s="103" t="s">
        <v>769</v>
      </c>
      <c r="X92" s="103" t="s">
        <v>766</v>
      </c>
      <c r="Y92" s="211" t="s">
        <v>1209</v>
      </c>
      <c r="Z92" s="203"/>
      <c r="AA92" s="212" t="s">
        <v>1210</v>
      </c>
    </row>
    <row r="93" spans="2:27" ht="39.75" customHeight="1">
      <c r="B93" s="255" t="s">
        <v>18</v>
      </c>
      <c r="C93" s="244" t="s">
        <v>759</v>
      </c>
      <c r="D93" s="244" t="s">
        <v>19</v>
      </c>
      <c r="E93" s="256">
        <v>0</v>
      </c>
      <c r="F93" s="255" t="s">
        <v>771</v>
      </c>
      <c r="G93" s="255" t="s">
        <v>772</v>
      </c>
      <c r="H93" s="210"/>
      <c r="I93" s="256">
        <v>13</v>
      </c>
      <c r="J93" s="250" t="s">
        <v>733</v>
      </c>
      <c r="K93" s="256">
        <v>4</v>
      </c>
      <c r="L93" s="256"/>
      <c r="M93" s="152" t="s">
        <v>774</v>
      </c>
      <c r="N93" s="152" t="s">
        <v>775</v>
      </c>
      <c r="O93" s="256"/>
      <c r="P93" s="255"/>
      <c r="Q93" s="255"/>
      <c r="R93" s="211" t="s">
        <v>1211</v>
      </c>
      <c r="S93" s="211" t="s">
        <v>1212</v>
      </c>
      <c r="T93" s="211" t="s">
        <v>1213</v>
      </c>
      <c r="U93" s="213" t="s">
        <v>1214</v>
      </c>
      <c r="V93" s="210"/>
      <c r="W93" s="103" t="s">
        <v>769</v>
      </c>
      <c r="X93" s="103" t="s">
        <v>766</v>
      </c>
      <c r="Y93" s="211" t="s">
        <v>1215</v>
      </c>
      <c r="Z93" s="203"/>
      <c r="AA93" s="212" t="s">
        <v>770</v>
      </c>
    </row>
    <row r="94" spans="2:27" ht="39.75" customHeight="1">
      <c r="B94" s="255" t="s">
        <v>18</v>
      </c>
      <c r="C94" s="244" t="s">
        <v>759</v>
      </c>
      <c r="D94" s="244" t="s">
        <v>19</v>
      </c>
      <c r="E94" s="256">
        <v>0</v>
      </c>
      <c r="F94" s="255" t="s">
        <v>1216</v>
      </c>
      <c r="G94" s="255" t="s">
        <v>804</v>
      </c>
      <c r="H94" s="210"/>
      <c r="I94" s="256">
        <v>15</v>
      </c>
      <c r="J94" s="242" t="s">
        <v>733</v>
      </c>
      <c r="K94" s="256">
        <v>10</v>
      </c>
      <c r="L94" s="256"/>
      <c r="M94" s="152" t="s">
        <v>806</v>
      </c>
      <c r="N94" s="152" t="s">
        <v>807</v>
      </c>
      <c r="O94" s="256" t="s">
        <v>736</v>
      </c>
      <c r="P94" s="255"/>
      <c r="Q94" s="255"/>
      <c r="R94" s="211" t="s">
        <v>765</v>
      </c>
      <c r="S94" s="211" t="s">
        <v>766</v>
      </c>
      <c r="T94" s="211" t="s">
        <v>1217</v>
      </c>
      <c r="U94" s="213" t="s">
        <v>1218</v>
      </c>
      <c r="V94" s="210"/>
      <c r="W94" s="103" t="s">
        <v>770</v>
      </c>
      <c r="X94" s="103" t="s">
        <v>770</v>
      </c>
      <c r="Y94" s="211" t="s">
        <v>770</v>
      </c>
      <c r="Z94" s="104" t="s">
        <v>770</v>
      </c>
      <c r="AA94" s="212" t="s">
        <v>770</v>
      </c>
    </row>
    <row r="95" spans="2:27" ht="39.75" customHeight="1">
      <c r="B95" s="255" t="s">
        <v>18</v>
      </c>
      <c r="C95" s="244" t="s">
        <v>759</v>
      </c>
      <c r="D95" s="244" t="s">
        <v>19</v>
      </c>
      <c r="E95" s="256">
        <v>0</v>
      </c>
      <c r="F95" s="255" t="s">
        <v>840</v>
      </c>
      <c r="G95" s="255" t="s">
        <v>841</v>
      </c>
      <c r="H95" s="210"/>
      <c r="I95" s="256">
        <v>16</v>
      </c>
      <c r="J95" s="244" t="s">
        <v>843</v>
      </c>
      <c r="K95" s="256">
        <v>23</v>
      </c>
      <c r="L95" s="256"/>
      <c r="M95" s="152" t="s">
        <v>844</v>
      </c>
      <c r="N95" s="152" t="s">
        <v>845</v>
      </c>
      <c r="O95" s="256"/>
      <c r="P95" s="255"/>
      <c r="Q95" s="255"/>
      <c r="R95" s="211" t="s">
        <v>765</v>
      </c>
      <c r="S95" s="211" t="s">
        <v>766</v>
      </c>
      <c r="T95" s="211" t="s">
        <v>1163</v>
      </c>
      <c r="U95" s="213" t="s">
        <v>1219</v>
      </c>
      <c r="V95" s="210"/>
      <c r="W95" s="103" t="s">
        <v>770</v>
      </c>
      <c r="X95" s="103" t="s">
        <v>770</v>
      </c>
      <c r="Y95" s="211" t="s">
        <v>770</v>
      </c>
      <c r="Z95" s="104" t="s">
        <v>770</v>
      </c>
      <c r="AA95" s="212" t="s">
        <v>770</v>
      </c>
    </row>
    <row r="96" spans="2:27" ht="39.75" customHeight="1">
      <c r="B96" s="255" t="s">
        <v>18</v>
      </c>
      <c r="C96" s="244" t="s">
        <v>759</v>
      </c>
      <c r="D96" s="244" t="s">
        <v>19</v>
      </c>
      <c r="E96" s="256">
        <v>0</v>
      </c>
      <c r="F96" s="255" t="s">
        <v>1220</v>
      </c>
      <c r="G96" s="255" t="s">
        <v>1221</v>
      </c>
      <c r="H96" s="210"/>
      <c r="I96" s="256">
        <v>4</v>
      </c>
      <c r="J96" s="255" t="s">
        <v>1222</v>
      </c>
      <c r="K96" s="256">
        <v>8</v>
      </c>
      <c r="L96" s="256"/>
      <c r="M96" s="258" t="s">
        <v>1223</v>
      </c>
      <c r="N96" s="255" t="s">
        <v>1224</v>
      </c>
      <c r="O96" s="256"/>
      <c r="P96" s="255"/>
      <c r="Q96" s="255"/>
      <c r="R96" s="211" t="s">
        <v>765</v>
      </c>
      <c r="S96" s="211" t="s">
        <v>766</v>
      </c>
      <c r="T96" s="211" t="s">
        <v>1225</v>
      </c>
      <c r="U96" s="213" t="s">
        <v>1226</v>
      </c>
      <c r="V96" s="210"/>
      <c r="W96" s="103" t="s">
        <v>769</v>
      </c>
      <c r="X96" s="103" t="s">
        <v>766</v>
      </c>
      <c r="Y96" s="211" t="s">
        <v>1225</v>
      </c>
      <c r="Z96" s="203"/>
      <c r="AA96" s="212" t="s">
        <v>1227</v>
      </c>
    </row>
    <row r="97" spans="2:27" ht="39.75" customHeight="1">
      <c r="B97" s="255" t="s">
        <v>18</v>
      </c>
      <c r="C97" s="244" t="s">
        <v>759</v>
      </c>
      <c r="D97" s="244" t="s">
        <v>19</v>
      </c>
      <c r="E97" s="256">
        <v>0</v>
      </c>
      <c r="F97" s="255" t="s">
        <v>1228</v>
      </c>
      <c r="G97" s="255" t="s">
        <v>1229</v>
      </c>
      <c r="H97" s="210"/>
      <c r="I97" s="256">
        <v>7</v>
      </c>
      <c r="J97" s="242" t="s">
        <v>733</v>
      </c>
      <c r="K97" s="256">
        <v>4</v>
      </c>
      <c r="L97" s="256"/>
      <c r="M97" s="258" t="s">
        <v>1230</v>
      </c>
      <c r="N97" s="258" t="s">
        <v>1231</v>
      </c>
      <c r="O97" s="256"/>
      <c r="P97" s="255"/>
      <c r="Q97" s="255"/>
      <c r="R97" s="211" t="s">
        <v>765</v>
      </c>
      <c r="S97" s="211" t="s">
        <v>766</v>
      </c>
      <c r="T97" s="211" t="s">
        <v>1232</v>
      </c>
      <c r="U97" s="213" t="s">
        <v>1233</v>
      </c>
      <c r="V97" s="210"/>
      <c r="W97" s="211" t="s">
        <v>769</v>
      </c>
      <c r="X97" s="211" t="s">
        <v>766</v>
      </c>
      <c r="Y97" s="211" t="s">
        <v>1232</v>
      </c>
      <c r="Z97" s="210"/>
      <c r="AA97" s="212" t="s">
        <v>770</v>
      </c>
    </row>
    <row r="98" spans="2:27" ht="39.75" customHeight="1">
      <c r="B98" s="255" t="s">
        <v>18</v>
      </c>
      <c r="C98" s="244" t="s">
        <v>759</v>
      </c>
      <c r="D98" s="244" t="s">
        <v>19</v>
      </c>
      <c r="E98" s="256">
        <v>0</v>
      </c>
      <c r="F98" s="255" t="s">
        <v>1234</v>
      </c>
      <c r="G98" s="255" t="s">
        <v>1235</v>
      </c>
      <c r="H98" s="210"/>
      <c r="I98" s="256">
        <v>3</v>
      </c>
      <c r="J98" s="250" t="s">
        <v>733</v>
      </c>
      <c r="K98" s="256">
        <v>4</v>
      </c>
      <c r="L98" s="256"/>
      <c r="M98" s="258" t="s">
        <v>1236</v>
      </c>
      <c r="N98" s="258" t="s">
        <v>1237</v>
      </c>
      <c r="O98" s="256"/>
      <c r="P98" s="255"/>
      <c r="Q98" s="255"/>
      <c r="R98" s="211" t="s">
        <v>765</v>
      </c>
      <c r="S98" s="211" t="s">
        <v>766</v>
      </c>
      <c r="T98" s="211" t="s">
        <v>1163</v>
      </c>
      <c r="U98" s="214" t="s">
        <v>1238</v>
      </c>
      <c r="V98" s="210"/>
      <c r="W98" s="211" t="s">
        <v>769</v>
      </c>
      <c r="X98" s="211" t="s">
        <v>766</v>
      </c>
      <c r="Y98" s="211" t="s">
        <v>770</v>
      </c>
      <c r="Z98" s="210"/>
      <c r="AA98" s="212" t="s">
        <v>1239</v>
      </c>
    </row>
  </sheetData>
  <sortState xmlns:xlrd2="http://schemas.microsoft.com/office/spreadsheetml/2017/richdata2" ref="B8:AA123">
    <sortCondition ref="C8:C123"/>
    <sortCondition ref="G8:G123"/>
  </sortState>
  <mergeCells count="8">
    <mergeCell ref="W5:AA5"/>
    <mergeCell ref="W6:Z6"/>
    <mergeCell ref="B5:O5"/>
    <mergeCell ref="B6:O6"/>
    <mergeCell ref="P5:Q5"/>
    <mergeCell ref="P6:Q6"/>
    <mergeCell ref="R5:V5"/>
    <mergeCell ref="R6:U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8"/>
  <sheetViews>
    <sheetView showGridLines="0" workbookViewId="0">
      <selection activeCell="G7" sqref="G7"/>
    </sheetView>
  </sheetViews>
  <sheetFormatPr defaultRowHeight="14.45"/>
  <cols>
    <col min="1" max="1" width="56.5703125" customWidth="1"/>
    <col min="2" max="2" width="16.42578125" customWidth="1"/>
  </cols>
  <sheetData>
    <row r="1" spans="1:2">
      <c r="A1" s="63" t="s">
        <v>1240</v>
      </c>
      <c r="B1" s="63" t="s">
        <v>1241</v>
      </c>
    </row>
    <row r="2" spans="1:2">
      <c r="A2" s="64" t="s">
        <v>1242</v>
      </c>
      <c r="B2" s="64" t="s">
        <v>1243</v>
      </c>
    </row>
    <row r="3" spans="1:2">
      <c r="A3" s="64" t="s">
        <v>1244</v>
      </c>
      <c r="B3" s="64" t="s">
        <v>1245</v>
      </c>
    </row>
    <row r="4" spans="1:2">
      <c r="A4" s="64" t="s">
        <v>1246</v>
      </c>
      <c r="B4" s="65" t="s">
        <v>1247</v>
      </c>
    </row>
    <row r="5" spans="1:2">
      <c r="A5" s="64" t="s">
        <v>1248</v>
      </c>
      <c r="B5" s="64" t="s">
        <v>1249</v>
      </c>
    </row>
    <row r="6" spans="1:2">
      <c r="A6" s="64" t="s">
        <v>1250</v>
      </c>
      <c r="B6" s="64" t="s">
        <v>1251</v>
      </c>
    </row>
    <row r="7" spans="1:2">
      <c r="A7" s="64" t="s">
        <v>1252</v>
      </c>
      <c r="B7" s="64" t="s">
        <v>1253</v>
      </c>
    </row>
    <row r="8" spans="1:2">
      <c r="A8" s="64" t="s">
        <v>1254</v>
      </c>
      <c r="B8" s="64" t="s">
        <v>1255</v>
      </c>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7452E-056B-462E-8C5B-4BE92504AF51}">
  <dimension ref="B1:I580"/>
  <sheetViews>
    <sheetView showGridLines="0" topLeftCell="A19" workbookViewId="0">
      <selection activeCell="B65" sqref="B65"/>
    </sheetView>
  </sheetViews>
  <sheetFormatPr defaultRowHeight="15"/>
  <cols>
    <col min="2" max="2" width="39.28515625" style="177" bestFit="1" customWidth="1"/>
    <col min="3" max="4" width="43.7109375" style="54" customWidth="1"/>
    <col min="5" max="5" width="34" style="54" customWidth="1"/>
    <col min="6" max="6" width="50.42578125" style="54" customWidth="1"/>
    <col min="7" max="7" width="37.28515625" customWidth="1"/>
    <col min="8" max="8" width="125.5703125" style="24" customWidth="1"/>
    <col min="9" max="9" width="32.5703125" customWidth="1"/>
  </cols>
  <sheetData>
    <row r="1" spans="2:9" ht="35.25" customHeight="1"/>
    <row r="2" spans="2:9" ht="39.75" customHeight="1">
      <c r="B2" s="178" t="s">
        <v>1256</v>
      </c>
      <c r="C2" s="178" t="s">
        <v>675</v>
      </c>
      <c r="D2" s="178" t="s">
        <v>1257</v>
      </c>
      <c r="E2" s="178" t="s">
        <v>1258</v>
      </c>
      <c r="F2" s="178" t="s">
        <v>1259</v>
      </c>
      <c r="G2" s="178" t="s">
        <v>1260</v>
      </c>
      <c r="H2" s="179" t="s">
        <v>1261</v>
      </c>
      <c r="I2" s="180" t="s">
        <v>1262</v>
      </c>
    </row>
    <row r="3" spans="2:9" ht="39.75" customHeight="1">
      <c r="B3" s="80" t="s">
        <v>7</v>
      </c>
      <c r="C3" s="80" t="s">
        <v>8</v>
      </c>
      <c r="D3" s="80" t="s">
        <v>1263</v>
      </c>
      <c r="E3" s="80" t="s">
        <v>1264</v>
      </c>
      <c r="F3" s="80" t="s">
        <v>1265</v>
      </c>
      <c r="G3" s="80" t="s">
        <v>1266</v>
      </c>
      <c r="H3" s="181" t="s">
        <v>1267</v>
      </c>
      <c r="I3" s="181" t="s">
        <v>1268</v>
      </c>
    </row>
    <row r="4" spans="2:9" ht="39.75" customHeight="1">
      <c r="B4" s="80" t="s">
        <v>7</v>
      </c>
      <c r="C4" s="80" t="s">
        <v>8</v>
      </c>
      <c r="D4" s="80" t="s">
        <v>1263</v>
      </c>
      <c r="E4" s="80" t="s">
        <v>1269</v>
      </c>
      <c r="F4" s="80" t="s">
        <v>1265</v>
      </c>
      <c r="G4" s="80" t="s">
        <v>1266</v>
      </c>
      <c r="H4" s="181" t="s">
        <v>1270</v>
      </c>
      <c r="I4" s="181" t="s">
        <v>1268</v>
      </c>
    </row>
    <row r="5" spans="2:9" ht="39.75" customHeight="1">
      <c r="B5" s="80" t="s">
        <v>7</v>
      </c>
      <c r="C5" s="80" t="s">
        <v>8</v>
      </c>
      <c r="D5" s="80" t="s">
        <v>1263</v>
      </c>
      <c r="E5" s="80" t="s">
        <v>1271</v>
      </c>
      <c r="F5" s="80" t="s">
        <v>1265</v>
      </c>
      <c r="G5" s="80" t="s">
        <v>1266</v>
      </c>
      <c r="H5" s="181" t="s">
        <v>1272</v>
      </c>
      <c r="I5" s="181" t="s">
        <v>1268</v>
      </c>
    </row>
    <row r="6" spans="2:9" ht="39.75" customHeight="1">
      <c r="B6" s="244" t="s">
        <v>4</v>
      </c>
      <c r="C6" s="244" t="s">
        <v>5</v>
      </c>
      <c r="D6" s="80" t="s">
        <v>1273</v>
      </c>
      <c r="E6" s="80" t="s">
        <v>1274</v>
      </c>
      <c r="F6" s="80" t="s">
        <v>1265</v>
      </c>
      <c r="G6" s="80" t="s">
        <v>1266</v>
      </c>
      <c r="H6" s="181" t="s">
        <v>1275</v>
      </c>
      <c r="I6" s="181" t="s">
        <v>1268</v>
      </c>
    </row>
    <row r="7" spans="2:9" ht="39.75" customHeight="1">
      <c r="B7" s="244" t="s">
        <v>4</v>
      </c>
      <c r="C7" s="244" t="s">
        <v>5</v>
      </c>
      <c r="D7" s="80" t="s">
        <v>1273</v>
      </c>
      <c r="E7" s="80" t="s">
        <v>1276</v>
      </c>
      <c r="F7" s="80" t="s">
        <v>1265</v>
      </c>
      <c r="G7" s="80" t="s">
        <v>1266</v>
      </c>
      <c r="H7" s="181" t="s">
        <v>1277</v>
      </c>
      <c r="I7" s="181" t="s">
        <v>1268</v>
      </c>
    </row>
    <row r="8" spans="2:9" ht="39.75" hidden="1" customHeight="1">
      <c r="B8" s="244" t="s">
        <v>4</v>
      </c>
      <c r="C8" s="244" t="s">
        <v>5</v>
      </c>
      <c r="D8" s="80" t="s">
        <v>1273</v>
      </c>
      <c r="E8" s="80" t="s">
        <v>1276</v>
      </c>
      <c r="F8" s="80" t="s">
        <v>1273</v>
      </c>
      <c r="G8" s="80" t="s">
        <v>1274</v>
      </c>
      <c r="H8" s="181" t="s">
        <v>1278</v>
      </c>
      <c r="I8" s="162" t="s">
        <v>1268</v>
      </c>
    </row>
    <row r="9" spans="2:9" ht="39.75" hidden="1" customHeight="1">
      <c r="B9" s="80" t="s">
        <v>1279</v>
      </c>
      <c r="C9" s="80" t="s">
        <v>16</v>
      </c>
      <c r="D9" s="80" t="s">
        <v>1263</v>
      </c>
      <c r="E9" s="80" t="s">
        <v>1280</v>
      </c>
      <c r="F9" s="80" t="s">
        <v>1263</v>
      </c>
      <c r="G9" s="80" t="s">
        <v>1280</v>
      </c>
      <c r="H9" s="181" t="s">
        <v>1281</v>
      </c>
      <c r="I9" s="181" t="s">
        <v>1282</v>
      </c>
    </row>
    <row r="10" spans="2:9" ht="39.75" hidden="1" customHeight="1">
      <c r="B10" s="80" t="s">
        <v>1279</v>
      </c>
      <c r="C10" s="80" t="s">
        <v>16</v>
      </c>
      <c r="D10" s="80" t="s">
        <v>1263</v>
      </c>
      <c r="E10" s="80" t="s">
        <v>1280</v>
      </c>
      <c r="F10" s="80" t="s">
        <v>1263</v>
      </c>
      <c r="G10" s="80" t="s">
        <v>1283</v>
      </c>
      <c r="H10" s="181" t="s">
        <v>1284</v>
      </c>
      <c r="I10" s="181" t="s">
        <v>1268</v>
      </c>
    </row>
    <row r="11" spans="2:9" ht="39.75" hidden="1" customHeight="1">
      <c r="B11" s="80" t="s">
        <v>1279</v>
      </c>
      <c r="C11" s="80" t="s">
        <v>16</v>
      </c>
      <c r="D11" s="80" t="s">
        <v>1263</v>
      </c>
      <c r="E11" s="80" t="s">
        <v>1280</v>
      </c>
      <c r="F11" s="80" t="s">
        <v>1263</v>
      </c>
      <c r="G11" s="80" t="s">
        <v>1285</v>
      </c>
      <c r="H11" s="181" t="s">
        <v>1286</v>
      </c>
      <c r="I11" s="181" t="s">
        <v>1268</v>
      </c>
    </row>
    <row r="12" spans="2:9" ht="39.75" customHeight="1">
      <c r="B12" s="80" t="s">
        <v>1279</v>
      </c>
      <c r="C12" s="80" t="s">
        <v>16</v>
      </c>
      <c r="D12" s="80" t="s">
        <v>1263</v>
      </c>
      <c r="E12" s="80" t="s">
        <v>1280</v>
      </c>
      <c r="F12" s="80" t="s">
        <v>1265</v>
      </c>
      <c r="G12" s="80" t="s">
        <v>1266</v>
      </c>
      <c r="H12" s="181" t="s">
        <v>1287</v>
      </c>
      <c r="I12" s="181" t="s">
        <v>1268</v>
      </c>
    </row>
    <row r="13" spans="2:9" ht="39.75" customHeight="1">
      <c r="B13" s="80" t="s">
        <v>1279</v>
      </c>
      <c r="C13" s="80" t="s">
        <v>16</v>
      </c>
      <c r="D13" s="80" t="s">
        <v>1263</v>
      </c>
      <c r="E13" s="80" t="s">
        <v>1288</v>
      </c>
      <c r="F13" s="80" t="s">
        <v>1265</v>
      </c>
      <c r="G13" s="80" t="s">
        <v>1266</v>
      </c>
      <c r="H13" s="181" t="s">
        <v>1289</v>
      </c>
      <c r="I13" s="181" t="s">
        <v>1268</v>
      </c>
    </row>
    <row r="14" spans="2:9" ht="39.75" hidden="1" customHeight="1">
      <c r="B14" s="80" t="s">
        <v>1279</v>
      </c>
      <c r="C14" s="80" t="s">
        <v>16</v>
      </c>
      <c r="D14" s="80" t="s">
        <v>1263</v>
      </c>
      <c r="E14" s="80" t="s">
        <v>1290</v>
      </c>
      <c r="F14" s="80" t="s">
        <v>1263</v>
      </c>
      <c r="G14" s="80" t="s">
        <v>1291</v>
      </c>
      <c r="H14" s="181" t="s">
        <v>1292</v>
      </c>
      <c r="I14" s="181" t="s">
        <v>1268</v>
      </c>
    </row>
    <row r="15" spans="2:9" ht="39.75" customHeight="1">
      <c r="B15" s="80" t="s">
        <v>1279</v>
      </c>
      <c r="C15" s="80" t="s">
        <v>16</v>
      </c>
      <c r="D15" s="80" t="s">
        <v>1263</v>
      </c>
      <c r="E15" s="80" t="s">
        <v>1290</v>
      </c>
      <c r="F15" s="80" t="s">
        <v>1265</v>
      </c>
      <c r="G15" s="80" t="s">
        <v>1266</v>
      </c>
      <c r="H15" s="181" t="s">
        <v>1293</v>
      </c>
      <c r="I15" s="181" t="s">
        <v>1268</v>
      </c>
    </row>
    <row r="16" spans="2:9" ht="39.75" hidden="1" customHeight="1">
      <c r="B16" s="80" t="s">
        <v>1279</v>
      </c>
      <c r="C16" s="80" t="s">
        <v>16</v>
      </c>
      <c r="D16" s="80" t="s">
        <v>1294</v>
      </c>
      <c r="E16" s="80" t="s">
        <v>1295</v>
      </c>
      <c r="F16" s="80" t="s">
        <v>1294</v>
      </c>
      <c r="G16" s="80" t="s">
        <v>1296</v>
      </c>
      <c r="H16" s="181" t="s">
        <v>1297</v>
      </c>
      <c r="I16" s="181" t="s">
        <v>1268</v>
      </c>
    </row>
    <row r="17" spans="2:9" ht="39.75" hidden="1" customHeight="1">
      <c r="B17" s="80" t="s">
        <v>1279</v>
      </c>
      <c r="C17" s="80" t="s">
        <v>16</v>
      </c>
      <c r="D17" s="80" t="s">
        <v>1294</v>
      </c>
      <c r="E17" s="80" t="s">
        <v>1295</v>
      </c>
      <c r="F17" s="80" t="s">
        <v>1294</v>
      </c>
      <c r="G17" s="80" t="s">
        <v>1298</v>
      </c>
      <c r="H17" s="181" t="s">
        <v>1299</v>
      </c>
      <c r="I17" s="181" t="s">
        <v>1268</v>
      </c>
    </row>
    <row r="18" spans="2:9" ht="39.75" hidden="1" customHeight="1">
      <c r="B18" s="80" t="s">
        <v>1279</v>
      </c>
      <c r="C18" s="80" t="s">
        <v>16</v>
      </c>
      <c r="D18" s="80" t="s">
        <v>1294</v>
      </c>
      <c r="E18" s="80" t="s">
        <v>1298</v>
      </c>
      <c r="F18" s="80" t="s">
        <v>1294</v>
      </c>
      <c r="G18" s="80" t="s">
        <v>1300</v>
      </c>
      <c r="H18" s="181" t="s">
        <v>1301</v>
      </c>
      <c r="I18" s="181" t="s">
        <v>1268</v>
      </c>
    </row>
    <row r="19" spans="2:9" ht="39.75" customHeight="1">
      <c r="B19" s="80" t="s">
        <v>1279</v>
      </c>
      <c r="C19" s="80" t="s">
        <v>16</v>
      </c>
      <c r="D19" s="80" t="s">
        <v>1294</v>
      </c>
      <c r="E19" s="80" t="s">
        <v>1295</v>
      </c>
      <c r="F19" s="80" t="s">
        <v>1265</v>
      </c>
      <c r="G19" s="80" t="s">
        <v>1266</v>
      </c>
      <c r="H19" s="181" t="s">
        <v>1302</v>
      </c>
      <c r="I19" s="162" t="s">
        <v>1268</v>
      </c>
    </row>
    <row r="20" spans="2:9" ht="39.75" hidden="1" customHeight="1">
      <c r="B20" s="80" t="s">
        <v>1279</v>
      </c>
      <c r="C20" s="80" t="s">
        <v>16</v>
      </c>
      <c r="D20" s="80" t="s">
        <v>1294</v>
      </c>
      <c r="E20" s="80" t="s">
        <v>1303</v>
      </c>
      <c r="F20" s="80" t="s">
        <v>1294</v>
      </c>
      <c r="G20" s="80" t="s">
        <v>1304</v>
      </c>
      <c r="H20" s="181" t="s">
        <v>1305</v>
      </c>
      <c r="I20" s="162" t="s">
        <v>1282</v>
      </c>
    </row>
    <row r="21" spans="2:9" ht="39.75" hidden="1" customHeight="1">
      <c r="B21" s="80" t="s">
        <v>1279</v>
      </c>
      <c r="C21" s="80" t="s">
        <v>16</v>
      </c>
      <c r="D21" s="80" t="s">
        <v>1294</v>
      </c>
      <c r="E21" s="80" t="s">
        <v>1303</v>
      </c>
      <c r="F21" s="80" t="s">
        <v>1294</v>
      </c>
      <c r="G21" s="80" t="s">
        <v>1306</v>
      </c>
      <c r="H21" s="181" t="s">
        <v>1307</v>
      </c>
      <c r="I21" s="162" t="s">
        <v>1268</v>
      </c>
    </row>
    <row r="22" spans="2:9" ht="39.75" hidden="1" customHeight="1">
      <c r="B22" s="80" t="s">
        <v>1279</v>
      </c>
      <c r="C22" s="80" t="s">
        <v>16</v>
      </c>
      <c r="D22" s="80" t="s">
        <v>1294</v>
      </c>
      <c r="E22" s="80" t="s">
        <v>1306</v>
      </c>
      <c r="F22" s="80" t="s">
        <v>1294</v>
      </c>
      <c r="G22" s="80" t="s">
        <v>1308</v>
      </c>
      <c r="H22" s="181" t="s">
        <v>1309</v>
      </c>
      <c r="I22" s="162" t="s">
        <v>1268</v>
      </c>
    </row>
    <row r="23" spans="2:9" ht="39.75" hidden="1" customHeight="1">
      <c r="B23" s="80" t="s">
        <v>1279</v>
      </c>
      <c r="C23" s="80" t="s">
        <v>16</v>
      </c>
      <c r="D23" s="80" t="s">
        <v>1294</v>
      </c>
      <c r="E23" s="80" t="s">
        <v>1306</v>
      </c>
      <c r="F23" s="80" t="s">
        <v>1294</v>
      </c>
      <c r="G23" s="80" t="s">
        <v>1296</v>
      </c>
      <c r="H23" s="181" t="s">
        <v>1310</v>
      </c>
      <c r="I23" s="162" t="s">
        <v>1268</v>
      </c>
    </row>
    <row r="24" spans="2:9" ht="39.75" hidden="1" customHeight="1">
      <c r="B24" s="80" t="s">
        <v>1279</v>
      </c>
      <c r="C24" s="80" t="s">
        <v>16</v>
      </c>
      <c r="D24" s="80" t="s">
        <v>1294</v>
      </c>
      <c r="E24" s="80" t="s">
        <v>1306</v>
      </c>
      <c r="F24" s="80" t="s">
        <v>1294</v>
      </c>
      <c r="G24" s="80" t="s">
        <v>1311</v>
      </c>
      <c r="H24" s="181" t="s">
        <v>1312</v>
      </c>
      <c r="I24" s="162" t="s">
        <v>1268</v>
      </c>
    </row>
    <row r="25" spans="2:9" ht="39.75" hidden="1" customHeight="1">
      <c r="B25" s="80" t="s">
        <v>1279</v>
      </c>
      <c r="C25" s="80" t="s">
        <v>16</v>
      </c>
      <c r="D25" s="80" t="s">
        <v>1294</v>
      </c>
      <c r="E25" s="80" t="s">
        <v>1306</v>
      </c>
      <c r="F25" s="80" t="s">
        <v>1294</v>
      </c>
      <c r="G25" s="80" t="s">
        <v>1313</v>
      </c>
      <c r="H25" s="181" t="s">
        <v>1314</v>
      </c>
      <c r="I25" s="162" t="s">
        <v>1268</v>
      </c>
    </row>
    <row r="26" spans="2:9" ht="39.75" hidden="1" customHeight="1">
      <c r="B26" s="80" t="s">
        <v>1279</v>
      </c>
      <c r="C26" s="80" t="s">
        <v>16</v>
      </c>
      <c r="D26" s="80" t="s">
        <v>1294</v>
      </c>
      <c r="E26" s="80" t="s">
        <v>1311</v>
      </c>
      <c r="F26" s="80" t="s">
        <v>1294</v>
      </c>
      <c r="G26" s="80" t="s">
        <v>1315</v>
      </c>
      <c r="H26" s="181" t="s">
        <v>1301</v>
      </c>
      <c r="I26" s="162" t="s">
        <v>1268</v>
      </c>
    </row>
    <row r="27" spans="2:9" ht="39.75" hidden="1" customHeight="1">
      <c r="B27" s="80" t="s">
        <v>1279</v>
      </c>
      <c r="C27" s="80" t="s">
        <v>16</v>
      </c>
      <c r="D27" s="80" t="s">
        <v>1294</v>
      </c>
      <c r="E27" s="80" t="s">
        <v>1313</v>
      </c>
      <c r="F27" s="80" t="s">
        <v>1294</v>
      </c>
      <c r="G27" s="80" t="s">
        <v>1316</v>
      </c>
      <c r="H27" s="181" t="s">
        <v>1301</v>
      </c>
      <c r="I27" s="162" t="s">
        <v>1268</v>
      </c>
    </row>
    <row r="28" spans="2:9" ht="39.75" customHeight="1">
      <c r="B28" s="80" t="s">
        <v>1279</v>
      </c>
      <c r="C28" s="80" t="s">
        <v>16</v>
      </c>
      <c r="D28" s="80" t="s">
        <v>1294</v>
      </c>
      <c r="E28" s="80" t="s">
        <v>1304</v>
      </c>
      <c r="F28" s="80" t="s">
        <v>1265</v>
      </c>
      <c r="G28" s="80" t="s">
        <v>1266</v>
      </c>
      <c r="H28" s="181" t="s">
        <v>1317</v>
      </c>
      <c r="I28" s="162" t="s">
        <v>1268</v>
      </c>
    </row>
    <row r="29" spans="2:9" ht="39.75" hidden="1" customHeight="1">
      <c r="B29" s="80" t="s">
        <v>1279</v>
      </c>
      <c r="C29" s="80" t="s">
        <v>16</v>
      </c>
      <c r="D29" s="80" t="s">
        <v>1294</v>
      </c>
      <c r="E29" s="80" t="s">
        <v>1318</v>
      </c>
      <c r="F29" s="80" t="s">
        <v>1294</v>
      </c>
      <c r="G29" s="80" t="s">
        <v>1319</v>
      </c>
      <c r="H29" s="181" t="s">
        <v>1320</v>
      </c>
      <c r="I29" s="181" t="s">
        <v>1268</v>
      </c>
    </row>
    <row r="30" spans="2:9" ht="39.75" hidden="1" customHeight="1">
      <c r="B30" s="80" t="s">
        <v>1279</v>
      </c>
      <c r="C30" s="80" t="s">
        <v>16</v>
      </c>
      <c r="D30" s="80" t="s">
        <v>1294</v>
      </c>
      <c r="E30" s="80" t="s">
        <v>1318</v>
      </c>
      <c r="F30" s="80" t="s">
        <v>1294</v>
      </c>
      <c r="G30" s="80" t="s">
        <v>1321</v>
      </c>
      <c r="H30" s="181" t="s">
        <v>1322</v>
      </c>
      <c r="I30" s="181" t="s">
        <v>1268</v>
      </c>
    </row>
    <row r="31" spans="2:9" ht="39.75" hidden="1" customHeight="1">
      <c r="B31" s="80" t="s">
        <v>1279</v>
      </c>
      <c r="C31" s="80" t="s">
        <v>16</v>
      </c>
      <c r="D31" s="80" t="s">
        <v>1294</v>
      </c>
      <c r="E31" s="80" t="s">
        <v>1318</v>
      </c>
      <c r="F31" s="80" t="s">
        <v>1294</v>
      </c>
      <c r="G31" s="80" t="s">
        <v>1315</v>
      </c>
      <c r="H31" s="181" t="s">
        <v>1323</v>
      </c>
      <c r="I31" s="181" t="s">
        <v>1268</v>
      </c>
    </row>
    <row r="32" spans="2:9" ht="39.75" hidden="1" customHeight="1">
      <c r="B32" s="80" t="s">
        <v>1279</v>
      </c>
      <c r="C32" s="80" t="s">
        <v>16</v>
      </c>
      <c r="D32" s="80" t="s">
        <v>1294</v>
      </c>
      <c r="E32" s="80" t="s">
        <v>1318</v>
      </c>
      <c r="F32" s="80" t="s">
        <v>1294</v>
      </c>
      <c r="G32" s="80" t="s">
        <v>1324</v>
      </c>
      <c r="H32" s="181" t="s">
        <v>1325</v>
      </c>
      <c r="I32" s="181" t="s">
        <v>1268</v>
      </c>
    </row>
    <row r="33" spans="2:9" ht="39.75" hidden="1" customHeight="1">
      <c r="B33" s="80" t="s">
        <v>1279</v>
      </c>
      <c r="C33" s="80" t="s">
        <v>16</v>
      </c>
      <c r="D33" s="80" t="s">
        <v>1294</v>
      </c>
      <c r="E33" s="80" t="s">
        <v>1318</v>
      </c>
      <c r="F33" s="80" t="s">
        <v>1294</v>
      </c>
      <c r="G33" s="80" t="s">
        <v>1326</v>
      </c>
      <c r="H33" s="181" t="s">
        <v>1327</v>
      </c>
      <c r="I33" s="181" t="s">
        <v>1268</v>
      </c>
    </row>
    <row r="34" spans="2:9" ht="39.75" hidden="1" customHeight="1">
      <c r="B34" s="80" t="s">
        <v>1279</v>
      </c>
      <c r="C34" s="80" t="s">
        <v>16</v>
      </c>
      <c r="D34" s="80" t="s">
        <v>1294</v>
      </c>
      <c r="E34" s="80" t="s">
        <v>1318</v>
      </c>
      <c r="F34" s="80" t="s">
        <v>1294</v>
      </c>
      <c r="G34" s="80" t="s">
        <v>1328</v>
      </c>
      <c r="H34" s="181" t="s">
        <v>1329</v>
      </c>
      <c r="I34" s="181" t="s">
        <v>1268</v>
      </c>
    </row>
    <row r="35" spans="2:9" ht="39.75" hidden="1" customHeight="1">
      <c r="B35" s="80" t="s">
        <v>1279</v>
      </c>
      <c r="C35" s="80" t="s">
        <v>16</v>
      </c>
      <c r="D35" s="80" t="s">
        <v>1294</v>
      </c>
      <c r="E35" s="80" t="s">
        <v>1318</v>
      </c>
      <c r="F35" s="80" t="s">
        <v>1294</v>
      </c>
      <c r="G35" s="80" t="s">
        <v>1330</v>
      </c>
      <c r="H35" s="181" t="s">
        <v>1331</v>
      </c>
      <c r="I35" s="181" t="s">
        <v>1268</v>
      </c>
    </row>
    <row r="36" spans="2:9" ht="39.75" hidden="1" customHeight="1">
      <c r="B36" s="80" t="s">
        <v>1279</v>
      </c>
      <c r="C36" s="80" t="s">
        <v>16</v>
      </c>
      <c r="D36" s="80" t="s">
        <v>1294</v>
      </c>
      <c r="E36" s="80" t="s">
        <v>1318</v>
      </c>
      <c r="F36" s="80" t="s">
        <v>1294</v>
      </c>
      <c r="G36" s="80" t="s">
        <v>1332</v>
      </c>
      <c r="H36" s="181" t="s">
        <v>1333</v>
      </c>
      <c r="I36" s="181" t="s">
        <v>1268</v>
      </c>
    </row>
    <row r="37" spans="2:9" ht="39.75" hidden="1" customHeight="1">
      <c r="B37" s="80" t="s">
        <v>1279</v>
      </c>
      <c r="C37" s="80" t="s">
        <v>16</v>
      </c>
      <c r="D37" s="80" t="s">
        <v>1294</v>
      </c>
      <c r="E37" s="80" t="s">
        <v>1332</v>
      </c>
      <c r="F37" s="80" t="s">
        <v>1294</v>
      </c>
      <c r="G37" s="80" t="s">
        <v>1334</v>
      </c>
      <c r="H37" s="181" t="s">
        <v>1335</v>
      </c>
      <c r="I37" s="162" t="s">
        <v>1268</v>
      </c>
    </row>
    <row r="38" spans="2:9" ht="39.75" hidden="1" customHeight="1">
      <c r="B38" s="80" t="s">
        <v>1279</v>
      </c>
      <c r="C38" s="80" t="s">
        <v>16</v>
      </c>
      <c r="D38" s="80" t="s">
        <v>1294</v>
      </c>
      <c r="E38" s="80" t="s">
        <v>1318</v>
      </c>
      <c r="F38" s="80" t="s">
        <v>1294</v>
      </c>
      <c r="G38" s="80" t="s">
        <v>1336</v>
      </c>
      <c r="H38" s="181" t="s">
        <v>1337</v>
      </c>
      <c r="I38" s="181" t="s">
        <v>1268</v>
      </c>
    </row>
    <row r="39" spans="2:9" ht="39.75" hidden="1" customHeight="1">
      <c r="B39" s="80" t="s">
        <v>1279</v>
      </c>
      <c r="C39" s="80" t="s">
        <v>16</v>
      </c>
      <c r="D39" s="80" t="s">
        <v>1294</v>
      </c>
      <c r="E39" s="80" t="s">
        <v>1336</v>
      </c>
      <c r="F39" s="80" t="s">
        <v>1294</v>
      </c>
      <c r="G39" s="80" t="s">
        <v>1338</v>
      </c>
      <c r="H39" s="181" t="s">
        <v>1339</v>
      </c>
      <c r="I39" s="162" t="s">
        <v>1268</v>
      </c>
    </row>
    <row r="40" spans="2:9" ht="39.75" hidden="1" customHeight="1">
      <c r="B40" s="80" t="s">
        <v>1279</v>
      </c>
      <c r="C40" s="80" t="s">
        <v>16</v>
      </c>
      <c r="D40" s="80" t="s">
        <v>1294</v>
      </c>
      <c r="E40" s="80" t="s">
        <v>1318</v>
      </c>
      <c r="F40" s="80" t="s">
        <v>1294</v>
      </c>
      <c r="G40" s="80" t="s">
        <v>1340</v>
      </c>
      <c r="H40" s="181" t="s">
        <v>1341</v>
      </c>
      <c r="I40" s="162" t="s">
        <v>1268</v>
      </c>
    </row>
    <row r="41" spans="2:9" ht="39.75" hidden="1" customHeight="1">
      <c r="B41" s="80" t="s">
        <v>1279</v>
      </c>
      <c r="C41" s="80" t="s">
        <v>16</v>
      </c>
      <c r="D41" s="80" t="s">
        <v>1294</v>
      </c>
      <c r="E41" s="80" t="s">
        <v>1340</v>
      </c>
      <c r="F41" s="80" t="s">
        <v>1294</v>
      </c>
      <c r="G41" s="80" t="s">
        <v>1334</v>
      </c>
      <c r="H41" s="181" t="s">
        <v>1342</v>
      </c>
      <c r="I41" s="162" t="s">
        <v>1268</v>
      </c>
    </row>
    <row r="42" spans="2:9" ht="39.75" hidden="1" customHeight="1">
      <c r="B42" s="80" t="s">
        <v>1279</v>
      </c>
      <c r="C42" s="80" t="s">
        <v>16</v>
      </c>
      <c r="D42" s="80" t="s">
        <v>1294</v>
      </c>
      <c r="E42" s="80" t="s">
        <v>1318</v>
      </c>
      <c r="F42" s="80" t="s">
        <v>1294</v>
      </c>
      <c r="G42" s="80" t="s">
        <v>1343</v>
      </c>
      <c r="H42" s="181" t="s">
        <v>1344</v>
      </c>
      <c r="I42" s="162" t="s">
        <v>1268</v>
      </c>
    </row>
    <row r="43" spans="2:9" ht="39.75" hidden="1" customHeight="1">
      <c r="B43" s="80" t="s">
        <v>1279</v>
      </c>
      <c r="C43" s="80" t="s">
        <v>16</v>
      </c>
      <c r="D43" s="80" t="s">
        <v>1294</v>
      </c>
      <c r="E43" s="80" t="s">
        <v>1343</v>
      </c>
      <c r="F43" s="80" t="s">
        <v>1294</v>
      </c>
      <c r="G43" s="80" t="s">
        <v>1338</v>
      </c>
      <c r="H43" s="181" t="s">
        <v>1345</v>
      </c>
      <c r="I43" s="162" t="s">
        <v>1268</v>
      </c>
    </row>
    <row r="44" spans="2:9" ht="39.75" hidden="1" customHeight="1">
      <c r="B44" s="80" t="s">
        <v>1279</v>
      </c>
      <c r="C44" s="80" t="s">
        <v>16</v>
      </c>
      <c r="D44" s="80" t="s">
        <v>1294</v>
      </c>
      <c r="E44" s="80" t="s">
        <v>1318</v>
      </c>
      <c r="F44" s="80" t="s">
        <v>1294</v>
      </c>
      <c r="G44" s="80" t="s">
        <v>1346</v>
      </c>
      <c r="H44" s="181" t="s">
        <v>1347</v>
      </c>
      <c r="I44" s="181" t="s">
        <v>1268</v>
      </c>
    </row>
    <row r="45" spans="2:9" ht="39.75" hidden="1" customHeight="1">
      <c r="B45" s="80" t="s">
        <v>1279</v>
      </c>
      <c r="C45" s="80" t="s">
        <v>16</v>
      </c>
      <c r="D45" s="80" t="s">
        <v>1294</v>
      </c>
      <c r="E45" s="80" t="s">
        <v>1318</v>
      </c>
      <c r="F45" s="80" t="s">
        <v>1294</v>
      </c>
      <c r="G45" s="80" t="s">
        <v>1348</v>
      </c>
      <c r="H45" s="181" t="s">
        <v>1349</v>
      </c>
      <c r="I45" s="181" t="s">
        <v>1268</v>
      </c>
    </row>
    <row r="46" spans="2:9" ht="39.75" customHeight="1">
      <c r="B46" s="80" t="s">
        <v>1279</v>
      </c>
      <c r="C46" s="80" t="s">
        <v>16</v>
      </c>
      <c r="D46" s="80" t="s">
        <v>1294</v>
      </c>
      <c r="E46" s="80" t="s">
        <v>1318</v>
      </c>
      <c r="F46" s="80" t="s">
        <v>1265</v>
      </c>
      <c r="G46" s="80" t="s">
        <v>1266</v>
      </c>
      <c r="H46" s="181" t="s">
        <v>1350</v>
      </c>
      <c r="I46" s="162" t="s">
        <v>1268</v>
      </c>
    </row>
    <row r="47" spans="2:9" ht="39.75" hidden="1" customHeight="1">
      <c r="B47" s="80" t="s">
        <v>1279</v>
      </c>
      <c r="C47" s="80" t="s">
        <v>16</v>
      </c>
      <c r="D47" s="80" t="s">
        <v>1294</v>
      </c>
      <c r="E47" s="80" t="s">
        <v>1351</v>
      </c>
      <c r="F47" s="80" t="s">
        <v>1294</v>
      </c>
      <c r="G47" s="80" t="s">
        <v>1319</v>
      </c>
      <c r="H47" s="181" t="s">
        <v>1352</v>
      </c>
      <c r="I47" s="181" t="s">
        <v>1268</v>
      </c>
    </row>
    <row r="48" spans="2:9" ht="39.75" hidden="1" customHeight="1">
      <c r="B48" s="80" t="s">
        <v>1279</v>
      </c>
      <c r="C48" s="80" t="s">
        <v>16</v>
      </c>
      <c r="D48" s="80" t="s">
        <v>1294</v>
      </c>
      <c r="E48" s="80" t="s">
        <v>1351</v>
      </c>
      <c r="F48" s="80" t="s">
        <v>1294</v>
      </c>
      <c r="G48" s="80" t="s">
        <v>1321</v>
      </c>
      <c r="H48" s="181" t="s">
        <v>1353</v>
      </c>
      <c r="I48" s="181" t="s">
        <v>1268</v>
      </c>
    </row>
    <row r="49" spans="2:9" ht="39.75" hidden="1" customHeight="1">
      <c r="B49" s="80" t="s">
        <v>1279</v>
      </c>
      <c r="C49" s="80" t="s">
        <v>16</v>
      </c>
      <c r="D49" s="80" t="s">
        <v>1294</v>
      </c>
      <c r="E49" s="80" t="s">
        <v>1351</v>
      </c>
      <c r="F49" s="80" t="s">
        <v>1294</v>
      </c>
      <c r="G49" s="80" t="s">
        <v>1315</v>
      </c>
      <c r="H49" s="181" t="s">
        <v>1354</v>
      </c>
      <c r="I49" s="181" t="s">
        <v>1268</v>
      </c>
    </row>
    <row r="50" spans="2:9" ht="39.75" hidden="1" customHeight="1">
      <c r="B50" s="80" t="s">
        <v>1279</v>
      </c>
      <c r="C50" s="80" t="s">
        <v>16</v>
      </c>
      <c r="D50" s="80" t="s">
        <v>1294</v>
      </c>
      <c r="E50" s="80" t="s">
        <v>1351</v>
      </c>
      <c r="F50" s="80" t="s">
        <v>1294</v>
      </c>
      <c r="G50" s="80" t="s">
        <v>1324</v>
      </c>
      <c r="H50" s="181" t="s">
        <v>1355</v>
      </c>
      <c r="I50" s="181" t="s">
        <v>1268</v>
      </c>
    </row>
    <row r="51" spans="2:9" ht="39.75" hidden="1" customHeight="1">
      <c r="B51" s="80" t="s">
        <v>1279</v>
      </c>
      <c r="C51" s="80" t="s">
        <v>16</v>
      </c>
      <c r="D51" s="80" t="s">
        <v>1294</v>
      </c>
      <c r="E51" s="80" t="s">
        <v>1351</v>
      </c>
      <c r="F51" s="80" t="s">
        <v>1294</v>
      </c>
      <c r="G51" s="80" t="s">
        <v>1326</v>
      </c>
      <c r="H51" s="181" t="s">
        <v>1356</v>
      </c>
      <c r="I51" s="181" t="s">
        <v>1268</v>
      </c>
    </row>
    <row r="52" spans="2:9" ht="39.75" hidden="1" customHeight="1">
      <c r="B52" s="80" t="s">
        <v>1279</v>
      </c>
      <c r="C52" s="80" t="s">
        <v>16</v>
      </c>
      <c r="D52" s="80" t="s">
        <v>1294</v>
      </c>
      <c r="E52" s="80" t="s">
        <v>1351</v>
      </c>
      <c r="F52" s="80" t="s">
        <v>1294</v>
      </c>
      <c r="G52" s="80" t="s">
        <v>1328</v>
      </c>
      <c r="H52" s="181" t="s">
        <v>1357</v>
      </c>
      <c r="I52" s="181" t="s">
        <v>1268</v>
      </c>
    </row>
    <row r="53" spans="2:9" ht="39.75" hidden="1" customHeight="1">
      <c r="B53" s="80" t="s">
        <v>1279</v>
      </c>
      <c r="C53" s="80" t="s">
        <v>16</v>
      </c>
      <c r="D53" s="80" t="s">
        <v>1294</v>
      </c>
      <c r="E53" s="80" t="s">
        <v>1351</v>
      </c>
      <c r="F53" s="80" t="s">
        <v>1294</v>
      </c>
      <c r="G53" s="80" t="s">
        <v>1330</v>
      </c>
      <c r="H53" s="181" t="s">
        <v>1358</v>
      </c>
      <c r="I53" s="181" t="s">
        <v>1268</v>
      </c>
    </row>
    <row r="54" spans="2:9" ht="39.75" hidden="1" customHeight="1">
      <c r="B54" s="80" t="s">
        <v>1279</v>
      </c>
      <c r="C54" s="80" t="s">
        <v>16</v>
      </c>
      <c r="D54" s="80" t="s">
        <v>1294</v>
      </c>
      <c r="E54" s="80" t="s">
        <v>1351</v>
      </c>
      <c r="F54" s="80" t="s">
        <v>1294</v>
      </c>
      <c r="G54" s="80" t="s">
        <v>1332</v>
      </c>
      <c r="H54" s="181" t="s">
        <v>1359</v>
      </c>
      <c r="I54" s="181" t="s">
        <v>1268</v>
      </c>
    </row>
    <row r="55" spans="2:9" ht="39.75" hidden="1" customHeight="1">
      <c r="B55" s="80" t="s">
        <v>1279</v>
      </c>
      <c r="C55" s="80" t="s">
        <v>16</v>
      </c>
      <c r="D55" s="80" t="s">
        <v>1294</v>
      </c>
      <c r="E55" s="80" t="s">
        <v>1351</v>
      </c>
      <c r="F55" s="80" t="s">
        <v>1294</v>
      </c>
      <c r="G55" s="80" t="s">
        <v>1336</v>
      </c>
      <c r="H55" s="181" t="s">
        <v>1360</v>
      </c>
      <c r="I55" s="181" t="s">
        <v>1268</v>
      </c>
    </row>
    <row r="56" spans="2:9" ht="39.75" hidden="1" customHeight="1">
      <c r="B56" s="80" t="s">
        <v>1279</v>
      </c>
      <c r="C56" s="80" t="s">
        <v>16</v>
      </c>
      <c r="D56" s="80" t="s">
        <v>1294</v>
      </c>
      <c r="E56" s="80" t="s">
        <v>1351</v>
      </c>
      <c r="F56" s="80" t="s">
        <v>1294</v>
      </c>
      <c r="G56" s="80" t="s">
        <v>1346</v>
      </c>
      <c r="H56" s="181" t="s">
        <v>1361</v>
      </c>
      <c r="I56" s="181" t="s">
        <v>1268</v>
      </c>
    </row>
    <row r="57" spans="2:9" ht="39.75" hidden="1" customHeight="1">
      <c r="B57" s="80" t="s">
        <v>1279</v>
      </c>
      <c r="C57" s="80" t="s">
        <v>16</v>
      </c>
      <c r="D57" s="80" t="s">
        <v>1294</v>
      </c>
      <c r="E57" s="80" t="s">
        <v>1351</v>
      </c>
      <c r="F57" s="80" t="s">
        <v>1294</v>
      </c>
      <c r="G57" s="80" t="s">
        <v>1348</v>
      </c>
      <c r="H57" s="181" t="s">
        <v>1362</v>
      </c>
      <c r="I57" s="181" t="s">
        <v>1268</v>
      </c>
    </row>
    <row r="58" spans="2:9" ht="39.75" customHeight="1">
      <c r="B58" s="80" t="s">
        <v>1279</v>
      </c>
      <c r="C58" s="80" t="s">
        <v>16</v>
      </c>
      <c r="D58" s="80" t="s">
        <v>1294</v>
      </c>
      <c r="E58" s="80" t="s">
        <v>1351</v>
      </c>
      <c r="F58" s="80" t="s">
        <v>1265</v>
      </c>
      <c r="G58" s="80" t="s">
        <v>1266</v>
      </c>
      <c r="H58" s="181" t="s">
        <v>1363</v>
      </c>
      <c r="I58" s="162" t="s">
        <v>1268</v>
      </c>
    </row>
    <row r="59" spans="2:9" ht="39.75" hidden="1" customHeight="1">
      <c r="B59" s="241" t="s">
        <v>13</v>
      </c>
      <c r="C59" s="66" t="s">
        <v>14</v>
      </c>
      <c r="D59" s="80" t="s">
        <v>1263</v>
      </c>
      <c r="E59" s="80" t="s">
        <v>1364</v>
      </c>
      <c r="F59" s="106" t="s">
        <v>1263</v>
      </c>
      <c r="G59" s="106" t="s">
        <v>1365</v>
      </c>
      <c r="H59" s="181" t="s">
        <v>1366</v>
      </c>
      <c r="I59" s="162" t="s">
        <v>1268</v>
      </c>
    </row>
    <row r="60" spans="2:9" ht="39.75" hidden="1" customHeight="1">
      <c r="B60" s="241" t="s">
        <v>13</v>
      </c>
      <c r="C60" s="259" t="s">
        <v>14</v>
      </c>
      <c r="D60" s="80" t="s">
        <v>1263</v>
      </c>
      <c r="E60" s="80" t="s">
        <v>1365</v>
      </c>
      <c r="F60" s="80" t="s">
        <v>1263</v>
      </c>
      <c r="G60" s="80" t="s">
        <v>1367</v>
      </c>
      <c r="H60" s="181" t="s">
        <v>1368</v>
      </c>
      <c r="I60" s="162" t="s">
        <v>1268</v>
      </c>
    </row>
    <row r="61" spans="2:9" ht="39.75" hidden="1" customHeight="1">
      <c r="B61" s="241" t="s">
        <v>13</v>
      </c>
      <c r="C61" s="259" t="s">
        <v>14</v>
      </c>
      <c r="D61" s="80" t="s">
        <v>1263</v>
      </c>
      <c r="E61" s="80" t="s">
        <v>1365</v>
      </c>
      <c r="F61" s="80" t="s">
        <v>1263</v>
      </c>
      <c r="G61" s="80" t="s">
        <v>1369</v>
      </c>
      <c r="H61" s="181" t="s">
        <v>1370</v>
      </c>
      <c r="I61" s="162" t="s">
        <v>1268</v>
      </c>
    </row>
    <row r="62" spans="2:9" ht="39.75" hidden="1" customHeight="1">
      <c r="B62" s="241" t="s">
        <v>13</v>
      </c>
      <c r="C62" s="259" t="s">
        <v>14</v>
      </c>
      <c r="D62" s="80" t="s">
        <v>1263</v>
      </c>
      <c r="E62" s="80" t="s">
        <v>1364</v>
      </c>
      <c r="F62" s="80" t="s">
        <v>1263</v>
      </c>
      <c r="G62" s="80" t="s">
        <v>1371</v>
      </c>
      <c r="H62" s="181" t="s">
        <v>1372</v>
      </c>
      <c r="I62" s="162" t="s">
        <v>1268</v>
      </c>
    </row>
    <row r="63" spans="2:9" ht="39.75" hidden="1" customHeight="1">
      <c r="B63" s="241" t="s">
        <v>13</v>
      </c>
      <c r="C63" s="259" t="s">
        <v>14</v>
      </c>
      <c r="D63" s="80" t="s">
        <v>1263</v>
      </c>
      <c r="E63" s="80" t="s">
        <v>1365</v>
      </c>
      <c r="F63" s="80" t="s">
        <v>1263</v>
      </c>
      <c r="G63" s="80" t="s">
        <v>1373</v>
      </c>
      <c r="H63" s="181" t="s">
        <v>1374</v>
      </c>
      <c r="I63" s="162" t="s">
        <v>1268</v>
      </c>
    </row>
    <row r="64" spans="2:9">
      <c r="B64" s="260" t="s">
        <v>18</v>
      </c>
      <c r="C64" s="244" t="s">
        <v>19</v>
      </c>
      <c r="D64" s="106" t="s">
        <v>1375</v>
      </c>
      <c r="E64" s="106" t="s">
        <v>1376</v>
      </c>
      <c r="F64" s="106" t="s">
        <v>1265</v>
      </c>
      <c r="G64" s="106" t="s">
        <v>1266</v>
      </c>
      <c r="H64" s="162" t="s">
        <v>1377</v>
      </c>
      <c r="I64" s="162" t="s">
        <v>1268</v>
      </c>
    </row>
    <row r="65" spans="2:9">
      <c r="B65" s="260" t="s">
        <v>18</v>
      </c>
      <c r="C65" s="244" t="s">
        <v>19</v>
      </c>
      <c r="D65" s="106" t="s">
        <v>1375</v>
      </c>
      <c r="E65" s="106" t="s">
        <v>1378</v>
      </c>
      <c r="F65" s="106" t="s">
        <v>1265</v>
      </c>
      <c r="G65" s="106" t="s">
        <v>1266</v>
      </c>
      <c r="H65" s="162" t="s">
        <v>1379</v>
      </c>
      <c r="I65" s="162" t="s">
        <v>1268</v>
      </c>
    </row>
    <row r="66" spans="2:9">
      <c r="B66"/>
      <c r="C66"/>
      <c r="D66"/>
      <c r="E66"/>
      <c r="F66"/>
    </row>
    <row r="67" spans="2:9">
      <c r="B67"/>
      <c r="C67"/>
      <c r="D67"/>
      <c r="E67"/>
      <c r="F67"/>
    </row>
    <row r="68" spans="2:9">
      <c r="B68"/>
      <c r="C68"/>
      <c r="D68"/>
      <c r="E68"/>
      <c r="F68"/>
    </row>
    <row r="69" spans="2:9">
      <c r="B69"/>
      <c r="C69"/>
      <c r="D69"/>
      <c r="E69"/>
      <c r="F69"/>
    </row>
    <row r="70" spans="2:9">
      <c r="B70"/>
      <c r="C70"/>
      <c r="D70"/>
      <c r="E70"/>
      <c r="F70"/>
    </row>
    <row r="71" spans="2:9">
      <c r="B71"/>
      <c r="C71"/>
      <c r="D71"/>
      <c r="E71"/>
      <c r="F71"/>
    </row>
    <row r="72" spans="2:9">
      <c r="B72"/>
      <c r="C72"/>
      <c r="D72"/>
      <c r="E72"/>
      <c r="F72"/>
    </row>
    <row r="73" spans="2:9">
      <c r="B73"/>
      <c r="C73"/>
      <c r="D73"/>
      <c r="E73"/>
      <c r="F73"/>
    </row>
    <row r="74" spans="2:9">
      <c r="B74"/>
      <c r="C74"/>
      <c r="D74"/>
      <c r="E74"/>
      <c r="F74"/>
    </row>
    <row r="75" spans="2:9">
      <c r="B75"/>
      <c r="C75"/>
      <c r="D75"/>
      <c r="E75"/>
      <c r="F75"/>
    </row>
    <row r="76" spans="2:9">
      <c r="B76"/>
      <c r="C76"/>
      <c r="D76"/>
      <c r="E76"/>
      <c r="F76"/>
    </row>
    <row r="77" spans="2:9">
      <c r="B77"/>
      <c r="C77"/>
      <c r="D77"/>
      <c r="E77"/>
      <c r="F77"/>
    </row>
    <row r="78" spans="2:9">
      <c r="B78"/>
      <c r="C78"/>
      <c r="D78"/>
      <c r="E78"/>
      <c r="F78"/>
    </row>
    <row r="79" spans="2:9">
      <c r="B79"/>
      <c r="C79"/>
      <c r="D79"/>
      <c r="E79"/>
      <c r="F79"/>
    </row>
    <row r="80" spans="2:9">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row r="579" spans="2:6">
      <c r="B579"/>
      <c r="C579"/>
      <c r="D579"/>
      <c r="E579"/>
      <c r="F579"/>
    </row>
    <row r="580" spans="2:6">
      <c r="B580"/>
      <c r="C580"/>
      <c r="D580"/>
      <c r="E580"/>
      <c r="F580"/>
    </row>
  </sheetData>
  <pageMargins left="0.7" right="0.7" top="0.75" bottom="0.75" header="0.3" footer="0.3"/>
  <drawing r:id="rId1"/>
  <legacyDrawing r:id="rId2"/>
  <tableParts count="1">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AC3B5-F657-469B-B9C7-E5757661AF5D}">
  <dimension ref="B1:H578"/>
  <sheetViews>
    <sheetView showGridLines="0" workbookViewId="0">
      <selection activeCell="D5" sqref="D5"/>
    </sheetView>
  </sheetViews>
  <sheetFormatPr defaultRowHeight="15"/>
  <cols>
    <col min="2" max="2" width="39.28515625" style="177" bestFit="1" customWidth="1"/>
    <col min="3" max="3" width="43.7109375" style="54"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ht="39.75" customHeight="1">
      <c r="B2" s="55" t="s">
        <v>673</v>
      </c>
      <c r="C2" s="55" t="s">
        <v>675</v>
      </c>
      <c r="D2" s="55" t="s">
        <v>1380</v>
      </c>
      <c r="E2" s="55" t="s">
        <v>1381</v>
      </c>
      <c r="F2" s="55" t="s">
        <v>1382</v>
      </c>
      <c r="G2" s="55" t="s">
        <v>1383</v>
      </c>
      <c r="H2" s="55" t="s">
        <v>1384</v>
      </c>
    </row>
    <row r="3" spans="2:8" ht="39.75" customHeight="1">
      <c r="B3" s="80" t="s">
        <v>7</v>
      </c>
      <c r="C3" s="80" t="s">
        <v>8</v>
      </c>
      <c r="D3" s="80" t="s">
        <v>1265</v>
      </c>
      <c r="E3" s="80" t="s">
        <v>1266</v>
      </c>
      <c r="F3" s="181" t="s">
        <v>1385</v>
      </c>
      <c r="G3" s="80" t="s">
        <v>783</v>
      </c>
      <c r="H3" s="80" t="s">
        <v>783</v>
      </c>
    </row>
    <row r="4" spans="2:8" ht="98.25" customHeight="1">
      <c r="B4" s="244" t="s">
        <v>4</v>
      </c>
      <c r="C4" s="244" t="s">
        <v>5</v>
      </c>
      <c r="D4" s="80" t="s">
        <v>1273</v>
      </c>
      <c r="E4" s="80" t="s">
        <v>1274</v>
      </c>
      <c r="F4" s="181" t="s">
        <v>1386</v>
      </c>
      <c r="G4" s="80" t="s">
        <v>783</v>
      </c>
      <c r="H4" s="80" t="s">
        <v>783</v>
      </c>
    </row>
    <row r="5" spans="2:8" ht="39.75" customHeight="1">
      <c r="B5" s="244" t="s">
        <v>4</v>
      </c>
      <c r="C5" s="244" t="s">
        <v>5</v>
      </c>
      <c r="D5" s="80" t="s">
        <v>1273</v>
      </c>
      <c r="E5" s="80" t="s">
        <v>1276</v>
      </c>
      <c r="F5" s="181" t="s">
        <v>1387</v>
      </c>
      <c r="G5" s="80" t="s">
        <v>783</v>
      </c>
      <c r="H5" s="80" t="s">
        <v>783</v>
      </c>
    </row>
    <row r="6" spans="2:8" ht="39.75" customHeight="1">
      <c r="B6" s="244" t="s">
        <v>4</v>
      </c>
      <c r="C6" s="244" t="s">
        <v>5</v>
      </c>
      <c r="D6" s="80" t="s">
        <v>1273</v>
      </c>
      <c r="E6" s="80" t="s">
        <v>1274</v>
      </c>
      <c r="F6" s="181" t="s">
        <v>1388</v>
      </c>
      <c r="G6" s="80" t="s">
        <v>783</v>
      </c>
      <c r="H6" s="80" t="s">
        <v>783</v>
      </c>
    </row>
    <row r="7" spans="2:8" ht="39.75" customHeight="1">
      <c r="B7" s="244" t="s">
        <v>4</v>
      </c>
      <c r="C7" s="244" t="s">
        <v>5</v>
      </c>
      <c r="D7" s="80" t="s">
        <v>1273</v>
      </c>
      <c r="E7" s="80" t="s">
        <v>1276</v>
      </c>
      <c r="F7" s="181" t="s">
        <v>1389</v>
      </c>
      <c r="G7" s="80" t="s">
        <v>783</v>
      </c>
      <c r="H7" s="80" t="s">
        <v>783</v>
      </c>
    </row>
    <row r="8" spans="2:8" ht="148.5" customHeight="1">
      <c r="B8" s="80" t="s">
        <v>1279</v>
      </c>
      <c r="C8" s="80" t="s">
        <v>16</v>
      </c>
      <c r="D8" s="80" t="s">
        <v>1263</v>
      </c>
      <c r="E8" s="80" t="s">
        <v>1390</v>
      </c>
      <c r="F8" s="181" t="s">
        <v>1391</v>
      </c>
      <c r="G8" s="80" t="s">
        <v>783</v>
      </c>
      <c r="H8" s="80" t="s">
        <v>783</v>
      </c>
    </row>
    <row r="9" spans="2:8" ht="148.5" customHeight="1">
      <c r="B9" s="80" t="s">
        <v>1279</v>
      </c>
      <c r="C9" s="80" t="s">
        <v>16</v>
      </c>
      <c r="D9" s="80" t="s">
        <v>1263</v>
      </c>
      <c r="E9" s="80" t="s">
        <v>1392</v>
      </c>
      <c r="F9" s="181" t="s">
        <v>1393</v>
      </c>
      <c r="G9" s="80" t="s">
        <v>783</v>
      </c>
      <c r="H9" s="80" t="s">
        <v>783</v>
      </c>
    </row>
    <row r="10" spans="2:8" ht="148.5" customHeight="1">
      <c r="B10" s="80" t="s">
        <v>1279</v>
      </c>
      <c r="C10" s="80" t="s">
        <v>16</v>
      </c>
      <c r="D10" s="106" t="s">
        <v>1265</v>
      </c>
      <c r="E10" s="80" t="s">
        <v>1266</v>
      </c>
      <c r="F10" s="181" t="s">
        <v>1385</v>
      </c>
      <c r="G10" s="80" t="s">
        <v>783</v>
      </c>
      <c r="H10" s="80" t="s">
        <v>783</v>
      </c>
    </row>
    <row r="11" spans="2:8" ht="153" customHeight="1">
      <c r="B11" s="80" t="s">
        <v>1279</v>
      </c>
      <c r="C11" s="80" t="s">
        <v>16</v>
      </c>
      <c r="D11" s="80" t="s">
        <v>1263</v>
      </c>
      <c r="E11" s="80" t="s">
        <v>1288</v>
      </c>
      <c r="F11" s="181" t="s">
        <v>1394</v>
      </c>
      <c r="G11" s="80" t="s">
        <v>783</v>
      </c>
      <c r="H11" s="80" t="s">
        <v>783</v>
      </c>
    </row>
    <row r="12" spans="2:8" ht="54" customHeight="1">
      <c r="B12" s="80" t="s">
        <v>1279</v>
      </c>
      <c r="C12" s="80" t="s">
        <v>16</v>
      </c>
      <c r="D12" s="80" t="s">
        <v>1263</v>
      </c>
      <c r="E12" s="80" t="s">
        <v>1290</v>
      </c>
      <c r="F12" s="181" t="s">
        <v>1395</v>
      </c>
      <c r="G12" s="80" t="s">
        <v>783</v>
      </c>
      <c r="H12" s="80" t="s">
        <v>783</v>
      </c>
    </row>
    <row r="13" spans="2:8" ht="85.5" customHeight="1">
      <c r="B13" s="80" t="s">
        <v>1279</v>
      </c>
      <c r="C13" s="80" t="s">
        <v>16</v>
      </c>
      <c r="D13" s="106" t="s">
        <v>1294</v>
      </c>
      <c r="E13" s="80" t="s">
        <v>1313</v>
      </c>
      <c r="F13" s="181" t="s">
        <v>1396</v>
      </c>
      <c r="G13" s="80" t="s">
        <v>783</v>
      </c>
      <c r="H13" s="80" t="s">
        <v>783</v>
      </c>
    </row>
    <row r="14" spans="2:8" ht="115.5" customHeight="1">
      <c r="B14" s="80" t="s">
        <v>1279</v>
      </c>
      <c r="C14" s="80" t="s">
        <v>16</v>
      </c>
      <c r="D14" s="80" t="s">
        <v>1294</v>
      </c>
      <c r="E14" s="80" t="s">
        <v>1308</v>
      </c>
      <c r="F14" s="181" t="s">
        <v>1397</v>
      </c>
      <c r="G14" s="80" t="s">
        <v>783</v>
      </c>
      <c r="H14" s="80" t="s">
        <v>783</v>
      </c>
    </row>
    <row r="15" spans="2:8" ht="108.75" customHeight="1">
      <c r="B15" s="80" t="s">
        <v>1279</v>
      </c>
      <c r="C15" s="80" t="s">
        <v>16</v>
      </c>
      <c r="D15" s="106" t="s">
        <v>1294</v>
      </c>
      <c r="E15" s="80" t="s">
        <v>1311</v>
      </c>
      <c r="F15" s="181" t="s">
        <v>1398</v>
      </c>
      <c r="G15" s="80" t="s">
        <v>783</v>
      </c>
      <c r="H15" s="80" t="s">
        <v>783</v>
      </c>
    </row>
    <row r="16" spans="2:8" ht="71.25" customHeight="1">
      <c r="B16" s="80" t="s">
        <v>1279</v>
      </c>
      <c r="C16" s="80" t="s">
        <v>16</v>
      </c>
      <c r="D16" s="80" t="s">
        <v>1294</v>
      </c>
      <c r="E16" s="80" t="s">
        <v>1318</v>
      </c>
      <c r="F16" s="181" t="s">
        <v>1399</v>
      </c>
      <c r="G16" s="80" t="s">
        <v>783</v>
      </c>
      <c r="H16" s="80" t="s">
        <v>783</v>
      </c>
    </row>
    <row r="17" spans="2:8" ht="71.25" customHeight="1">
      <c r="B17" s="80" t="s">
        <v>1279</v>
      </c>
      <c r="C17" s="80" t="s">
        <v>16</v>
      </c>
      <c r="D17" s="80" t="s">
        <v>1294</v>
      </c>
      <c r="E17" s="80" t="s">
        <v>1351</v>
      </c>
      <c r="F17" s="181" t="s">
        <v>1399</v>
      </c>
      <c r="G17" s="80" t="s">
        <v>783</v>
      </c>
      <c r="H17" s="80" t="s">
        <v>783</v>
      </c>
    </row>
    <row r="18" spans="2:8" ht="93.75" customHeight="1">
      <c r="B18" s="80" t="s">
        <v>1279</v>
      </c>
      <c r="C18" s="80" t="s">
        <v>16</v>
      </c>
      <c r="D18" s="80" t="s">
        <v>1294</v>
      </c>
      <c r="E18" s="80" t="s">
        <v>1319</v>
      </c>
      <c r="F18" s="181" t="s">
        <v>1400</v>
      </c>
      <c r="G18" s="80" t="s">
        <v>783</v>
      </c>
      <c r="H18" s="80" t="s">
        <v>783</v>
      </c>
    </row>
    <row r="19" spans="2:8" ht="39.75" customHeight="1">
      <c r="B19" s="80" t="s">
        <v>1279</v>
      </c>
      <c r="C19" s="80" t="s">
        <v>16</v>
      </c>
      <c r="D19" s="80" t="s">
        <v>1294</v>
      </c>
      <c r="E19" s="80" t="s">
        <v>1321</v>
      </c>
      <c r="F19" s="181" t="s">
        <v>1401</v>
      </c>
      <c r="G19" s="80" t="s">
        <v>783</v>
      </c>
      <c r="H19" s="80" t="s">
        <v>783</v>
      </c>
    </row>
    <row r="20" spans="2:8" ht="39.75" customHeight="1">
      <c r="B20" s="80" t="s">
        <v>1279</v>
      </c>
      <c r="C20" s="80" t="s">
        <v>16</v>
      </c>
      <c r="D20" s="80" t="s">
        <v>1294</v>
      </c>
      <c r="E20" s="80" t="s">
        <v>1324</v>
      </c>
      <c r="F20" s="181" t="s">
        <v>1402</v>
      </c>
      <c r="G20" s="80" t="s">
        <v>783</v>
      </c>
      <c r="H20" s="80" t="s">
        <v>783</v>
      </c>
    </row>
    <row r="21" spans="2:8" ht="105.75" customHeight="1">
      <c r="B21" s="80" t="s">
        <v>1279</v>
      </c>
      <c r="C21" s="80" t="s">
        <v>16</v>
      </c>
      <c r="D21" s="80" t="s">
        <v>1294</v>
      </c>
      <c r="E21" s="80" t="s">
        <v>1326</v>
      </c>
      <c r="F21" s="181" t="s">
        <v>1403</v>
      </c>
      <c r="G21" s="80" t="s">
        <v>783</v>
      </c>
      <c r="H21" s="80" t="s">
        <v>783</v>
      </c>
    </row>
    <row r="22" spans="2:8" ht="72.75" customHeight="1">
      <c r="B22" s="80" t="s">
        <v>1279</v>
      </c>
      <c r="C22" s="80" t="s">
        <v>16</v>
      </c>
      <c r="D22" s="80" t="s">
        <v>1294</v>
      </c>
      <c r="E22" s="80" t="s">
        <v>1328</v>
      </c>
      <c r="F22" s="181" t="s">
        <v>1404</v>
      </c>
      <c r="G22" s="80" t="s">
        <v>783</v>
      </c>
      <c r="H22" s="80" t="s">
        <v>783</v>
      </c>
    </row>
    <row r="23" spans="2:8" ht="68.25" customHeight="1">
      <c r="B23" s="80" t="s">
        <v>1279</v>
      </c>
      <c r="C23" s="80" t="s">
        <v>16</v>
      </c>
      <c r="D23" s="80" t="s">
        <v>1294</v>
      </c>
      <c r="E23" s="80" t="s">
        <v>1330</v>
      </c>
      <c r="F23" s="181" t="s">
        <v>1405</v>
      </c>
      <c r="G23" s="80" t="s">
        <v>783</v>
      </c>
      <c r="H23" s="80" t="s">
        <v>783</v>
      </c>
    </row>
    <row r="24" spans="2:8" ht="75.75" customHeight="1">
      <c r="B24" s="80" t="s">
        <v>1279</v>
      </c>
      <c r="C24" s="80" t="s">
        <v>16</v>
      </c>
      <c r="D24" s="80" t="s">
        <v>1294</v>
      </c>
      <c r="E24" s="80" t="s">
        <v>1332</v>
      </c>
      <c r="F24" s="181" t="s">
        <v>1406</v>
      </c>
      <c r="G24" s="80" t="s">
        <v>783</v>
      </c>
      <c r="H24" s="80" t="s">
        <v>783</v>
      </c>
    </row>
    <row r="25" spans="2:8" ht="51" customHeight="1">
      <c r="B25" s="80" t="s">
        <v>1279</v>
      </c>
      <c r="C25" s="80" t="s">
        <v>16</v>
      </c>
      <c r="D25" s="80" t="s">
        <v>1294</v>
      </c>
      <c r="E25" s="80" t="s">
        <v>1340</v>
      </c>
      <c r="F25" s="181" t="s">
        <v>1407</v>
      </c>
      <c r="G25" s="80" t="s">
        <v>783</v>
      </c>
      <c r="H25" s="80" t="s">
        <v>783</v>
      </c>
    </row>
    <row r="26" spans="2:8" ht="72.75" customHeight="1">
      <c r="B26" s="80" t="s">
        <v>1279</v>
      </c>
      <c r="C26" s="80" t="s">
        <v>16</v>
      </c>
      <c r="D26" s="80" t="s">
        <v>1294</v>
      </c>
      <c r="E26" s="80" t="s">
        <v>1336</v>
      </c>
      <c r="F26" s="181" t="s">
        <v>1408</v>
      </c>
      <c r="G26" s="80" t="s">
        <v>783</v>
      </c>
      <c r="H26" s="80" t="s">
        <v>783</v>
      </c>
    </row>
    <row r="27" spans="2:8" ht="81.75" customHeight="1">
      <c r="B27" s="80" t="s">
        <v>1279</v>
      </c>
      <c r="C27" s="80" t="s">
        <v>16</v>
      </c>
      <c r="D27" s="80" t="s">
        <v>1294</v>
      </c>
      <c r="E27" s="80" t="s">
        <v>1343</v>
      </c>
      <c r="F27" s="181" t="s">
        <v>1409</v>
      </c>
      <c r="G27" s="80" t="s">
        <v>783</v>
      </c>
      <c r="H27" s="80" t="s">
        <v>783</v>
      </c>
    </row>
    <row r="28" spans="2:8" ht="81.75" customHeight="1">
      <c r="B28" s="80" t="s">
        <v>1279</v>
      </c>
      <c r="C28" s="80" t="s">
        <v>16</v>
      </c>
      <c r="D28" s="80" t="s">
        <v>1294</v>
      </c>
      <c r="E28" s="80" t="s">
        <v>1346</v>
      </c>
      <c r="F28" s="80" t="s">
        <v>1410</v>
      </c>
      <c r="G28" s="80" t="s">
        <v>783</v>
      </c>
      <c r="H28" s="80" t="s">
        <v>783</v>
      </c>
    </row>
    <row r="29" spans="2:8">
      <c r="B29" s="80" t="s">
        <v>1279</v>
      </c>
      <c r="C29" s="80" t="s">
        <v>16</v>
      </c>
      <c r="D29" s="80" t="s">
        <v>1294</v>
      </c>
      <c r="E29" s="80" t="s">
        <v>1348</v>
      </c>
      <c r="F29" s="181" t="s">
        <v>1411</v>
      </c>
      <c r="G29" s="80" t="s">
        <v>783</v>
      </c>
      <c r="H29" s="80" t="s">
        <v>783</v>
      </c>
    </row>
    <row r="30" spans="2:8">
      <c r="B30" s="106" t="s">
        <v>1279</v>
      </c>
      <c r="C30" s="106" t="s">
        <v>14</v>
      </c>
      <c r="D30" s="106" t="s">
        <v>1263</v>
      </c>
      <c r="E30" s="106" t="s">
        <v>1364</v>
      </c>
      <c r="F30" s="106" t="s">
        <v>1412</v>
      </c>
      <c r="G30" s="106" t="s">
        <v>783</v>
      </c>
      <c r="H30" s="106" t="s">
        <v>783</v>
      </c>
    </row>
    <row r="31" spans="2:8">
      <c r="B31" s="106" t="s">
        <v>1279</v>
      </c>
      <c r="C31" s="106" t="s">
        <v>14</v>
      </c>
      <c r="D31" s="106" t="s">
        <v>1263</v>
      </c>
      <c r="E31" s="106" t="s">
        <v>1365</v>
      </c>
      <c r="F31" s="162" t="s">
        <v>1413</v>
      </c>
      <c r="G31" s="106" t="s">
        <v>783</v>
      </c>
      <c r="H31" s="106" t="s">
        <v>783</v>
      </c>
    </row>
    <row r="32" spans="2:8">
      <c r="B32" s="106" t="s">
        <v>1279</v>
      </c>
      <c r="C32" s="106" t="s">
        <v>14</v>
      </c>
      <c r="D32" s="106" t="s">
        <v>1263</v>
      </c>
      <c r="E32" s="106" t="s">
        <v>1371</v>
      </c>
      <c r="F32" s="106" t="s">
        <v>1414</v>
      </c>
      <c r="G32" s="106" t="s">
        <v>783</v>
      </c>
      <c r="H32" s="106" t="s">
        <v>783</v>
      </c>
    </row>
    <row r="33" spans="2:8">
      <c r="B33" s="106" t="s">
        <v>1279</v>
      </c>
      <c r="C33" s="106" t="s">
        <v>14</v>
      </c>
      <c r="D33" s="106" t="s">
        <v>1263</v>
      </c>
      <c r="E33" s="106" t="s">
        <v>1373</v>
      </c>
      <c r="F33" s="162" t="s">
        <v>1415</v>
      </c>
      <c r="G33" s="106" t="s">
        <v>783</v>
      </c>
      <c r="H33" s="106" t="s">
        <v>783</v>
      </c>
    </row>
    <row r="34" spans="2:8">
      <c r="B34" s="106" t="s">
        <v>1279</v>
      </c>
      <c r="C34" s="106" t="s">
        <v>14</v>
      </c>
      <c r="D34" s="106" t="s">
        <v>1263</v>
      </c>
      <c r="E34" s="106" t="s">
        <v>1369</v>
      </c>
      <c r="F34" s="106" t="s">
        <v>1416</v>
      </c>
      <c r="G34" s="106" t="s">
        <v>783</v>
      </c>
      <c r="H34" s="106" t="s">
        <v>783</v>
      </c>
    </row>
    <row r="35" spans="2:8">
      <c r="B35" s="106" t="s">
        <v>1279</v>
      </c>
      <c r="C35" s="106" t="s">
        <v>14</v>
      </c>
      <c r="D35" s="106" t="s">
        <v>1263</v>
      </c>
      <c r="E35" s="106" t="s">
        <v>1367</v>
      </c>
      <c r="F35" s="106" t="s">
        <v>1417</v>
      </c>
      <c r="G35" s="106" t="s">
        <v>783</v>
      </c>
      <c r="H35" s="106" t="s">
        <v>783</v>
      </c>
    </row>
    <row r="36" spans="2:8">
      <c r="B36"/>
      <c r="C36"/>
    </row>
    <row r="37" spans="2:8">
      <c r="B37"/>
      <c r="C37"/>
    </row>
    <row r="38" spans="2:8">
      <c r="B38"/>
      <c r="C38"/>
    </row>
    <row r="39" spans="2:8" ht="39.75" customHeight="1">
      <c r="B39"/>
      <c r="C39"/>
    </row>
    <row r="40" spans="2:8" ht="39.75" customHeight="1">
      <c r="B40"/>
      <c r="C40"/>
    </row>
    <row r="41" spans="2:8" ht="39.75" customHeight="1">
      <c r="B41"/>
      <c r="C41"/>
    </row>
    <row r="42" spans="2:8" ht="39.75" customHeight="1">
      <c r="B42"/>
      <c r="C42"/>
    </row>
    <row r="43" spans="2:8">
      <c r="B43"/>
      <c r="C43"/>
    </row>
    <row r="44" spans="2:8">
      <c r="B44"/>
      <c r="C44"/>
    </row>
    <row r="45" spans="2:8">
      <c r="B45"/>
      <c r="C45"/>
    </row>
    <row r="46" spans="2:8">
      <c r="B46"/>
      <c r="C46"/>
    </row>
    <row r="47" spans="2:8">
      <c r="B47"/>
      <c r="C47"/>
    </row>
    <row r="48" spans="2:8">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row r="564" spans="2:3">
      <c r="B564"/>
      <c r="C564"/>
    </row>
    <row r="565" spans="2:3">
      <c r="B565"/>
      <c r="C565"/>
    </row>
    <row r="566" spans="2:3">
      <c r="B566"/>
      <c r="C566"/>
    </row>
    <row r="567" spans="2:3">
      <c r="B567"/>
      <c r="C567"/>
    </row>
    <row r="568" spans="2:3">
      <c r="B568"/>
      <c r="C568"/>
    </row>
    <row r="569" spans="2:3">
      <c r="B569"/>
      <c r="C569"/>
    </row>
    <row r="570" spans="2:3">
      <c r="B570"/>
      <c r="C570"/>
    </row>
    <row r="571" spans="2:3">
      <c r="B571"/>
      <c r="C571"/>
    </row>
    <row r="572" spans="2:3">
      <c r="B572"/>
      <c r="C572"/>
    </row>
    <row r="573" spans="2:3">
      <c r="B573"/>
      <c r="C573"/>
    </row>
    <row r="574" spans="2:3">
      <c r="B574"/>
      <c r="C574"/>
    </row>
    <row r="575" spans="2:3">
      <c r="B575"/>
      <c r="C575"/>
    </row>
    <row r="576" spans="2:3">
      <c r="B576"/>
      <c r="C576"/>
    </row>
    <row r="577" spans="2:3">
      <c r="B577"/>
      <c r="C577"/>
    </row>
    <row r="578" spans="2:3">
      <c r="B578"/>
      <c r="C578"/>
    </row>
  </sheetData>
  <pageMargins left="0.7" right="0.7" top="0.75" bottom="0.75" header="0.3" footer="0.3"/>
  <drawing r:id="rId1"/>
  <legacyDrawing r:id="rId2"/>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3BB7F-AC26-46A6-9399-BD1D9D676673}">
  <sheetPr>
    <tabColor theme="9" tint="-0.499984740745262"/>
  </sheetPr>
  <dimension ref="B1:E23"/>
  <sheetViews>
    <sheetView showGridLines="0" workbookViewId="0"/>
  </sheetViews>
  <sheetFormatPr defaultRowHeight="15"/>
  <cols>
    <col min="2" max="2" width="14" style="63" customWidth="1"/>
    <col min="3" max="3" width="35.42578125" customWidth="1"/>
    <col min="4" max="4" width="40.140625" style="24" customWidth="1"/>
    <col min="5" max="5" width="42.7109375" customWidth="1"/>
  </cols>
  <sheetData>
    <row r="1" spans="2:5" ht="45.75" customHeight="1"/>
    <row r="2" spans="2:5" ht="39.75" customHeight="1">
      <c r="B2" s="115" t="s">
        <v>1418</v>
      </c>
      <c r="C2" s="116" t="s">
        <v>1419</v>
      </c>
      <c r="D2" s="116" t="s">
        <v>1420</v>
      </c>
      <c r="E2" s="117" t="s">
        <v>1421</v>
      </c>
    </row>
    <row r="3" spans="2:5" ht="39.75" customHeight="1">
      <c r="B3" s="118">
        <v>1</v>
      </c>
      <c r="C3" s="119" t="s">
        <v>1422</v>
      </c>
      <c r="D3" s="120" t="s">
        <v>1423</v>
      </c>
      <c r="E3" s="121"/>
    </row>
    <row r="4" spans="2:5" ht="39.75" customHeight="1">
      <c r="B4" s="118">
        <v>2</v>
      </c>
      <c r="C4" s="119" t="s">
        <v>1424</v>
      </c>
      <c r="D4" s="120" t="s">
        <v>1425</v>
      </c>
      <c r="E4" s="121"/>
    </row>
    <row r="5" spans="2:5" ht="39.75" customHeight="1">
      <c r="B5" s="118">
        <v>3</v>
      </c>
      <c r="C5" s="119" t="s">
        <v>1426</v>
      </c>
      <c r="D5" s="120" t="s">
        <v>1427</v>
      </c>
      <c r="E5" s="121"/>
    </row>
    <row r="6" spans="2:5" ht="39.75" customHeight="1">
      <c r="B6" s="118">
        <v>4</v>
      </c>
      <c r="C6" s="120" t="s">
        <v>1428</v>
      </c>
      <c r="D6" s="120" t="s">
        <v>1429</v>
      </c>
      <c r="E6" s="121"/>
    </row>
    <row r="7" spans="2:5" ht="39.75" customHeight="1">
      <c r="B7" s="122">
        <v>5</v>
      </c>
      <c r="C7" s="120" t="s">
        <v>1430</v>
      </c>
      <c r="D7" s="120" t="s">
        <v>1429</v>
      </c>
      <c r="E7" s="121"/>
    </row>
    <row r="8" spans="2:5" ht="39.75" customHeight="1">
      <c r="B8" s="122">
        <v>6</v>
      </c>
      <c r="C8" s="120" t="s">
        <v>1431</v>
      </c>
      <c r="D8" s="120" t="s">
        <v>1432</v>
      </c>
      <c r="E8" s="123" t="s">
        <v>1433</v>
      </c>
    </row>
    <row r="9" spans="2:5" ht="39.75" customHeight="1">
      <c r="B9" s="122">
        <v>7</v>
      </c>
      <c r="C9" s="119" t="s">
        <v>1434</v>
      </c>
      <c r="D9" s="120" t="s">
        <v>1435</v>
      </c>
      <c r="E9" s="121" t="s">
        <v>1436</v>
      </c>
    </row>
    <row r="10" spans="2:5" ht="39.75" customHeight="1">
      <c r="B10" s="118">
        <v>8</v>
      </c>
      <c r="C10" s="119" t="s">
        <v>1437</v>
      </c>
      <c r="D10" s="120" t="s">
        <v>1438</v>
      </c>
      <c r="E10" s="121"/>
    </row>
    <row r="11" spans="2:5" ht="39.75" customHeight="1">
      <c r="B11" s="122">
        <v>9</v>
      </c>
      <c r="C11" s="119" t="s">
        <v>1439</v>
      </c>
      <c r="D11" s="120" t="s">
        <v>1440</v>
      </c>
      <c r="E11" s="121"/>
    </row>
    <row r="12" spans="2:5" ht="39.75" customHeight="1">
      <c r="B12" s="118">
        <v>10</v>
      </c>
      <c r="C12" s="120" t="s">
        <v>1441</v>
      </c>
      <c r="D12" s="120" t="s">
        <v>1442</v>
      </c>
      <c r="E12" s="121"/>
    </row>
    <row r="13" spans="2:5" ht="39.75" customHeight="1">
      <c r="B13" s="122">
        <v>11</v>
      </c>
      <c r="C13" s="119" t="s">
        <v>1443</v>
      </c>
      <c r="D13" s="120" t="s">
        <v>1444</v>
      </c>
      <c r="E13" s="121"/>
    </row>
    <row r="14" spans="2:5" ht="39.75" customHeight="1">
      <c r="B14" s="122">
        <v>12</v>
      </c>
      <c r="C14" s="119" t="s">
        <v>1445</v>
      </c>
      <c r="D14" s="120" t="s">
        <v>1446</v>
      </c>
      <c r="E14" s="121"/>
    </row>
    <row r="15" spans="2:5" ht="39.75" customHeight="1">
      <c r="B15" s="122">
        <v>13</v>
      </c>
      <c r="C15" s="119" t="s">
        <v>1447</v>
      </c>
      <c r="D15" s="120" t="s">
        <v>1448</v>
      </c>
      <c r="E15" s="121"/>
    </row>
    <row r="16" spans="2:5" ht="39.75" customHeight="1">
      <c r="B16" s="124">
        <v>14</v>
      </c>
      <c r="C16" s="125" t="s">
        <v>1449</v>
      </c>
      <c r="D16" s="120" t="s">
        <v>1450</v>
      </c>
      <c r="E16" s="121"/>
    </row>
    <row r="17" spans="2:5" ht="39.75" customHeight="1">
      <c r="B17" s="122">
        <v>15</v>
      </c>
      <c r="C17" s="119" t="s">
        <v>1451</v>
      </c>
      <c r="D17" s="120" t="s">
        <v>1452</v>
      </c>
      <c r="E17" s="121"/>
    </row>
    <row r="18" spans="2:5" ht="39.75" customHeight="1">
      <c r="B18" s="122">
        <v>16</v>
      </c>
      <c r="C18" s="119" t="s">
        <v>1453</v>
      </c>
      <c r="D18" s="120" t="s">
        <v>1454</v>
      </c>
      <c r="E18" s="121"/>
    </row>
    <row r="19" spans="2:5" ht="39.75" customHeight="1">
      <c r="B19" s="122">
        <v>17</v>
      </c>
      <c r="C19" s="119" t="s">
        <v>1455</v>
      </c>
      <c r="D19" s="120" t="s">
        <v>1456</v>
      </c>
      <c r="E19" s="121"/>
    </row>
    <row r="20" spans="2:5" ht="39.75" customHeight="1">
      <c r="B20" s="124">
        <v>18</v>
      </c>
      <c r="C20" s="125" t="s">
        <v>1457</v>
      </c>
      <c r="D20" s="126" t="s">
        <v>1458</v>
      </c>
      <c r="E20" s="127"/>
    </row>
    <row r="21" spans="2:5" ht="39.75" customHeight="1">
      <c r="B21" s="124">
        <v>19</v>
      </c>
      <c r="C21" s="125" t="s">
        <v>1459</v>
      </c>
      <c r="D21" s="126" t="s">
        <v>1460</v>
      </c>
      <c r="E21" s="127" t="s">
        <v>1461</v>
      </c>
    </row>
    <row r="22" spans="2:5" ht="39.75" customHeight="1">
      <c r="B22" s="122">
        <v>20</v>
      </c>
      <c r="C22" s="119" t="s">
        <v>1462</v>
      </c>
      <c r="D22" s="120" t="s">
        <v>1463</v>
      </c>
      <c r="E22" s="121" t="s">
        <v>1464</v>
      </c>
    </row>
    <row r="23" spans="2:5" ht="39.75" customHeight="1">
      <c r="B23" s="124">
        <v>21</v>
      </c>
      <c r="C23" s="125" t="s">
        <v>1465</v>
      </c>
      <c r="D23" s="126" t="s">
        <v>1466</v>
      </c>
      <c r="E23" s="127" t="s">
        <v>1467</v>
      </c>
    </row>
  </sheetData>
  <conditionalFormatting sqref="D3:D23">
    <cfRule type="cellIs" dxfId="138" priority="1" operator="equal">
      <formula>"Out Of Scope"</formula>
    </cfRule>
  </conditionalFormatting>
  <pageMargins left="0.7" right="0.7" top="0.75" bottom="0.75" header="0.3" footer="0.3"/>
  <drawing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1F2DE-21DC-4BC7-9B2B-94DD9CA77294}">
  <sheetPr>
    <tabColor rgb="FF00B050"/>
  </sheetPr>
  <dimension ref="B1:Z34"/>
  <sheetViews>
    <sheetView showGridLines="0" workbookViewId="0">
      <selection activeCell="I25" sqref="I25"/>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35.7109375" customWidth="1"/>
  </cols>
  <sheetData>
    <row r="1" spans="2:24" ht="27.75" customHeight="1"/>
    <row r="2" spans="2:24">
      <c r="B2" s="63" t="s">
        <v>1468</v>
      </c>
      <c r="C2" s="63" t="s">
        <v>1469</v>
      </c>
      <c r="D2" s="63" t="s">
        <v>1470</v>
      </c>
      <c r="E2" s="63" t="s">
        <v>1471</v>
      </c>
      <c r="F2" s="63" t="s">
        <v>1472</v>
      </c>
      <c r="G2" s="63" t="s">
        <v>1473</v>
      </c>
      <c r="H2" s="63" t="s">
        <v>1474</v>
      </c>
      <c r="I2" s="63" t="s">
        <v>732</v>
      </c>
      <c r="J2" s="63" t="s">
        <v>1139</v>
      </c>
      <c r="K2" s="63" t="s">
        <v>793</v>
      </c>
      <c r="L2" s="63" t="s">
        <v>1050</v>
      </c>
      <c r="M2" s="63" t="s">
        <v>857</v>
      </c>
      <c r="N2" s="63" t="s">
        <v>904</v>
      </c>
      <c r="O2" s="63" t="s">
        <v>967</v>
      </c>
      <c r="P2" s="63" t="s">
        <v>994</v>
      </c>
      <c r="Q2" s="63" t="s">
        <v>984</v>
      </c>
      <c r="R2" s="63" t="s">
        <v>772</v>
      </c>
      <c r="S2" s="63" t="s">
        <v>701</v>
      </c>
      <c r="T2" s="63" t="s">
        <v>1086</v>
      </c>
      <c r="U2" s="63" t="s">
        <v>1112</v>
      </c>
      <c r="V2" s="63" t="s">
        <v>1101</v>
      </c>
      <c r="W2" s="63" t="s">
        <v>804</v>
      </c>
      <c r="X2" s="63" t="s">
        <v>841</v>
      </c>
    </row>
    <row r="3" spans="2:24">
      <c r="B3" s="128" t="s">
        <v>1422</v>
      </c>
      <c r="C3" s="128">
        <v>1</v>
      </c>
      <c r="D3" s="128" t="s">
        <v>1475</v>
      </c>
      <c r="E3" s="129">
        <v>45552</v>
      </c>
      <c r="F3" s="128">
        <v>1</v>
      </c>
      <c r="G3" s="130">
        <v>1</v>
      </c>
      <c r="H3" s="128">
        <v>241069</v>
      </c>
      <c r="I3" s="128" t="s">
        <v>1476</v>
      </c>
      <c r="J3" s="128" t="s">
        <v>1476</v>
      </c>
      <c r="K3" s="128" t="s">
        <v>1476</v>
      </c>
      <c r="L3" s="128" t="s">
        <v>1476</v>
      </c>
      <c r="M3" s="128" t="s">
        <v>1476</v>
      </c>
      <c r="N3" s="128" t="s">
        <v>1476</v>
      </c>
      <c r="O3" s="128" t="s">
        <v>1476</v>
      </c>
      <c r="P3" s="128" t="s">
        <v>1476</v>
      </c>
      <c r="Q3" s="128" t="s">
        <v>1476</v>
      </c>
      <c r="R3" s="128" t="s">
        <v>1476</v>
      </c>
      <c r="S3" s="128" t="s">
        <v>1476</v>
      </c>
      <c r="T3" s="128" t="s">
        <v>1476</v>
      </c>
      <c r="U3" s="128" t="s">
        <v>1476</v>
      </c>
      <c r="V3" s="128" t="s">
        <v>1476</v>
      </c>
      <c r="W3" s="128" t="s">
        <v>1476</v>
      </c>
      <c r="X3" s="128" t="s">
        <v>1476</v>
      </c>
    </row>
    <row r="4" spans="2:24">
      <c r="B4" s="128" t="s">
        <v>1424</v>
      </c>
      <c r="C4" s="128">
        <v>2</v>
      </c>
      <c r="D4" s="128" t="s">
        <v>1477</v>
      </c>
      <c r="E4" s="129">
        <v>45552</v>
      </c>
      <c r="F4" s="128">
        <v>1</v>
      </c>
      <c r="G4" s="130">
        <v>1</v>
      </c>
      <c r="H4" s="128">
        <v>0</v>
      </c>
      <c r="I4" s="128" t="s">
        <v>1476</v>
      </c>
      <c r="J4" s="128" t="s">
        <v>1476</v>
      </c>
      <c r="K4" s="128" t="s">
        <v>1476</v>
      </c>
      <c r="L4" s="128" t="s">
        <v>1476</v>
      </c>
      <c r="M4" s="128" t="s">
        <v>1476</v>
      </c>
      <c r="N4" s="128" t="s">
        <v>1476</v>
      </c>
      <c r="O4" s="128" t="s">
        <v>1476</v>
      </c>
      <c r="P4" s="128" t="s">
        <v>1476</v>
      </c>
      <c r="Q4" s="128" t="s">
        <v>1476</v>
      </c>
      <c r="R4" s="128" t="s">
        <v>1476</v>
      </c>
      <c r="S4" s="128" t="s">
        <v>1476</v>
      </c>
      <c r="T4" s="128" t="s">
        <v>1476</v>
      </c>
      <c r="U4" s="128" t="s">
        <v>1476</v>
      </c>
      <c r="V4" s="128" t="s">
        <v>1476</v>
      </c>
      <c r="W4" s="128" t="s">
        <v>1476</v>
      </c>
      <c r="X4" s="128" t="s">
        <v>1476</v>
      </c>
    </row>
    <row r="5" spans="2:24">
      <c r="B5" s="128" t="s">
        <v>1426</v>
      </c>
      <c r="C5" s="128">
        <v>3</v>
      </c>
      <c r="D5" s="128" t="s">
        <v>1478</v>
      </c>
      <c r="E5" s="129">
        <v>45552</v>
      </c>
      <c r="F5" s="128">
        <v>1</v>
      </c>
      <c r="G5" s="130">
        <v>1</v>
      </c>
      <c r="H5" s="128">
        <v>0</v>
      </c>
      <c r="I5" s="128">
        <v>0</v>
      </c>
      <c r="J5" s="128">
        <v>0</v>
      </c>
      <c r="K5" s="128" t="s">
        <v>1476</v>
      </c>
      <c r="L5" s="128" t="s">
        <v>1476</v>
      </c>
      <c r="M5" s="128" t="s">
        <v>1476</v>
      </c>
      <c r="N5" s="128" t="s">
        <v>1476</v>
      </c>
      <c r="O5" s="128" t="s">
        <v>1476</v>
      </c>
      <c r="P5" s="128" t="s">
        <v>1476</v>
      </c>
      <c r="Q5" s="128" t="s">
        <v>1476</v>
      </c>
      <c r="R5" s="128" t="s">
        <v>1476</v>
      </c>
      <c r="S5" s="128" t="s">
        <v>1476</v>
      </c>
      <c r="T5" s="128" t="s">
        <v>1476</v>
      </c>
      <c r="U5" s="128" t="s">
        <v>1476</v>
      </c>
      <c r="V5" s="128" t="s">
        <v>1476</v>
      </c>
      <c r="W5" s="128">
        <v>0</v>
      </c>
      <c r="X5" s="128" t="s">
        <v>1476</v>
      </c>
    </row>
    <row r="6" spans="2:24">
      <c r="B6" s="131" t="s">
        <v>1428</v>
      </c>
      <c r="C6" s="128">
        <v>4</v>
      </c>
      <c r="D6" s="128" t="s">
        <v>1479</v>
      </c>
      <c r="E6" s="129">
        <v>45552</v>
      </c>
      <c r="F6" s="128">
        <v>1</v>
      </c>
      <c r="G6" s="130" t="s">
        <v>1476</v>
      </c>
      <c r="H6" s="128" t="s">
        <v>1476</v>
      </c>
      <c r="I6" s="128" t="s">
        <v>1476</v>
      </c>
      <c r="J6" s="128" t="s">
        <v>1476</v>
      </c>
      <c r="K6" s="128" t="s">
        <v>1476</v>
      </c>
      <c r="L6" s="128" t="s">
        <v>1476</v>
      </c>
      <c r="M6" s="128" t="s">
        <v>1476</v>
      </c>
      <c r="N6" s="128" t="s">
        <v>1476</v>
      </c>
      <c r="O6" s="128" t="s">
        <v>1476</v>
      </c>
      <c r="P6" s="128" t="s">
        <v>1476</v>
      </c>
      <c r="Q6" s="128" t="s">
        <v>1476</v>
      </c>
      <c r="R6" s="128" t="s">
        <v>1476</v>
      </c>
      <c r="S6" s="128" t="s">
        <v>1476</v>
      </c>
      <c r="T6" s="128" t="s">
        <v>1476</v>
      </c>
      <c r="U6" s="128" t="s">
        <v>1476</v>
      </c>
      <c r="V6" s="128" t="s">
        <v>1476</v>
      </c>
      <c r="W6" s="128" t="s">
        <v>1476</v>
      </c>
      <c r="X6" s="128" t="s">
        <v>1476</v>
      </c>
    </row>
    <row r="7" spans="2:24">
      <c r="B7" s="128" t="s">
        <v>1430</v>
      </c>
      <c r="C7" s="128">
        <v>5</v>
      </c>
      <c r="D7" s="128" t="s">
        <v>1479</v>
      </c>
      <c r="E7" s="129">
        <v>45552</v>
      </c>
      <c r="F7" s="128">
        <v>1</v>
      </c>
      <c r="G7" s="130" t="s">
        <v>1476</v>
      </c>
      <c r="H7" s="128" t="s">
        <v>1476</v>
      </c>
      <c r="I7" s="128" t="s">
        <v>1476</v>
      </c>
      <c r="J7" s="128" t="s">
        <v>1476</v>
      </c>
      <c r="K7" s="128" t="s">
        <v>1476</v>
      </c>
      <c r="L7" s="128" t="s">
        <v>1476</v>
      </c>
      <c r="M7" s="128" t="s">
        <v>1476</v>
      </c>
      <c r="N7" s="128" t="s">
        <v>1476</v>
      </c>
      <c r="O7" s="128" t="s">
        <v>1476</v>
      </c>
      <c r="P7" s="128" t="s">
        <v>1476</v>
      </c>
      <c r="Q7" s="128" t="s">
        <v>1476</v>
      </c>
      <c r="R7" s="128" t="s">
        <v>1476</v>
      </c>
      <c r="S7" s="128" t="s">
        <v>1476</v>
      </c>
      <c r="T7" s="128" t="s">
        <v>1476</v>
      </c>
      <c r="U7" s="128" t="s">
        <v>1476</v>
      </c>
      <c r="V7" s="128" t="s">
        <v>1476</v>
      </c>
      <c r="W7" s="128" t="s">
        <v>1476</v>
      </c>
      <c r="X7" s="128" t="s">
        <v>1476</v>
      </c>
    </row>
    <row r="8" spans="2:24">
      <c r="B8" s="128" t="s">
        <v>1431</v>
      </c>
      <c r="C8" s="128">
        <v>6</v>
      </c>
      <c r="D8" s="128" t="s">
        <v>1480</v>
      </c>
      <c r="E8" s="129">
        <v>45552</v>
      </c>
      <c r="F8" s="128">
        <v>1</v>
      </c>
      <c r="G8" s="130" cm="1">
        <f t="array" ref="G8">SUMPRODUCT(--(I8:AA8&gt;0))/COUNTA(I8:AA8)</f>
        <v>1</v>
      </c>
      <c r="H8" s="128">
        <v>0</v>
      </c>
      <c r="I8" s="128">
        <v>14</v>
      </c>
      <c r="J8" s="128">
        <v>10</v>
      </c>
      <c r="K8" s="128">
        <v>3</v>
      </c>
      <c r="L8" s="128">
        <v>15</v>
      </c>
      <c r="M8" s="128">
        <v>8</v>
      </c>
      <c r="N8" s="128">
        <v>3</v>
      </c>
      <c r="O8" s="128">
        <v>15</v>
      </c>
      <c r="P8" s="128">
        <v>8</v>
      </c>
      <c r="Q8" s="128">
        <v>1</v>
      </c>
      <c r="R8" s="128">
        <v>20</v>
      </c>
      <c r="S8" s="128">
        <v>8</v>
      </c>
      <c r="T8" s="128">
        <v>10</v>
      </c>
      <c r="U8" s="128">
        <v>10</v>
      </c>
      <c r="V8" s="128">
        <v>2</v>
      </c>
      <c r="W8" s="128">
        <v>10</v>
      </c>
      <c r="X8" s="128">
        <v>23</v>
      </c>
    </row>
    <row r="9" spans="2:24">
      <c r="B9" s="128" t="s">
        <v>1434</v>
      </c>
      <c r="C9" s="128">
        <v>7</v>
      </c>
      <c r="D9" s="128" t="s">
        <v>1481</v>
      </c>
      <c r="E9" s="129">
        <v>45552</v>
      </c>
      <c r="F9" s="128">
        <v>1</v>
      </c>
      <c r="G9" s="130" cm="1">
        <f t="array" aca="1" ref="G9" ca="1">SUMPRODUCT(--(I9:X9 &lt;= I25:X25))/COUNTA(I25:X25)</f>
        <v>0.9375</v>
      </c>
      <c r="H9" s="128">
        <v>0</v>
      </c>
      <c r="I9" s="128">
        <v>15</v>
      </c>
      <c r="J9" s="128">
        <v>10</v>
      </c>
      <c r="K9" s="128">
        <v>3</v>
      </c>
      <c r="L9" s="128">
        <v>31</v>
      </c>
      <c r="M9" s="128">
        <v>11</v>
      </c>
      <c r="N9" s="128">
        <v>70</v>
      </c>
      <c r="O9" s="128">
        <v>31</v>
      </c>
      <c r="P9" s="128">
        <v>11</v>
      </c>
      <c r="Q9" s="128">
        <v>70</v>
      </c>
      <c r="R9" s="128">
        <v>20</v>
      </c>
      <c r="S9" s="128">
        <v>15</v>
      </c>
      <c r="T9" s="128">
        <v>10</v>
      </c>
      <c r="U9" s="128">
        <v>10</v>
      </c>
      <c r="V9" s="128">
        <v>2</v>
      </c>
      <c r="W9" s="128">
        <v>10</v>
      </c>
      <c r="X9" s="128">
        <v>23</v>
      </c>
    </row>
    <row r="10" spans="2:24">
      <c r="B10" s="131" t="s">
        <v>1437</v>
      </c>
      <c r="C10" s="128">
        <v>8</v>
      </c>
      <c r="D10" s="128" t="s">
        <v>1482</v>
      </c>
      <c r="E10" s="129">
        <v>45552</v>
      </c>
      <c r="F10" s="128">
        <v>1</v>
      </c>
      <c r="G10" s="130" t="s">
        <v>1476</v>
      </c>
      <c r="H10" s="128">
        <v>0</v>
      </c>
      <c r="I10" s="128" t="s">
        <v>1483</v>
      </c>
      <c r="J10" s="129">
        <v>45552</v>
      </c>
      <c r="K10" s="128" t="s">
        <v>1222</v>
      </c>
      <c r="L10" s="128" t="s">
        <v>1484</v>
      </c>
      <c r="M10" s="128" t="s">
        <v>1485</v>
      </c>
      <c r="N10" s="128" t="s">
        <v>1486</v>
      </c>
      <c r="O10" s="129" t="s">
        <v>1487</v>
      </c>
      <c r="P10" s="129" t="s">
        <v>1488</v>
      </c>
      <c r="Q10" s="132" t="s">
        <v>1489</v>
      </c>
      <c r="R10" s="128">
        <v>978</v>
      </c>
      <c r="S10" s="129" t="s">
        <v>1490</v>
      </c>
      <c r="T10" s="129">
        <v>45551</v>
      </c>
      <c r="U10" s="129">
        <v>45551</v>
      </c>
      <c r="V10" s="132" t="s">
        <v>1491</v>
      </c>
      <c r="W10" s="132">
        <v>45552</v>
      </c>
      <c r="X10" s="128" t="s">
        <v>1492</v>
      </c>
    </row>
    <row r="11" spans="2:24">
      <c r="B11" s="128" t="s">
        <v>1439</v>
      </c>
      <c r="C11" s="128">
        <v>9</v>
      </c>
      <c r="D11" s="128" t="s">
        <v>1493</v>
      </c>
      <c r="E11" s="129">
        <v>45552</v>
      </c>
      <c r="F11" s="128">
        <v>1</v>
      </c>
      <c r="G11" s="130" t="s">
        <v>1476</v>
      </c>
      <c r="H11" s="128">
        <v>0</v>
      </c>
      <c r="I11" s="128" t="s">
        <v>1483</v>
      </c>
      <c r="J11" s="129">
        <v>45552</v>
      </c>
      <c r="K11" s="128" t="s">
        <v>1222</v>
      </c>
      <c r="L11" s="128" t="s">
        <v>1484</v>
      </c>
      <c r="M11" s="128" t="s">
        <v>1485</v>
      </c>
      <c r="N11" s="128" t="s">
        <v>1486</v>
      </c>
      <c r="O11" s="129" t="s">
        <v>1487</v>
      </c>
      <c r="P11" s="129" t="s">
        <v>1488</v>
      </c>
      <c r="Q11" s="128" t="s">
        <v>1489</v>
      </c>
      <c r="R11" s="128">
        <v>978</v>
      </c>
      <c r="S11" s="129" t="s">
        <v>1490</v>
      </c>
      <c r="T11" s="129">
        <v>45551</v>
      </c>
      <c r="U11" s="129">
        <v>45551</v>
      </c>
      <c r="V11" s="132" t="s">
        <v>1491</v>
      </c>
      <c r="W11" s="132">
        <v>45552</v>
      </c>
      <c r="X11" s="128" t="s">
        <v>1492</v>
      </c>
    </row>
    <row r="12" spans="2:24">
      <c r="B12" s="128" t="s">
        <v>1441</v>
      </c>
      <c r="C12" s="128">
        <v>10</v>
      </c>
      <c r="D12" s="128" t="s">
        <v>1494</v>
      </c>
      <c r="E12" s="129">
        <v>45552</v>
      </c>
      <c r="F12" s="128">
        <v>1</v>
      </c>
      <c r="G12" s="130" t="s">
        <v>1476</v>
      </c>
      <c r="H12" s="128">
        <v>0</v>
      </c>
      <c r="I12" s="128" t="s">
        <v>1495</v>
      </c>
      <c r="J12" s="129">
        <v>45552</v>
      </c>
      <c r="K12" s="128" t="s">
        <v>1496</v>
      </c>
      <c r="L12" s="128" t="s">
        <v>1497</v>
      </c>
      <c r="M12" s="128" t="s">
        <v>1498</v>
      </c>
      <c r="N12" s="128" t="s">
        <v>1499</v>
      </c>
      <c r="O12" s="133" t="s">
        <v>1500</v>
      </c>
      <c r="P12" s="129" t="s">
        <v>1501</v>
      </c>
      <c r="Q12" s="129" t="s">
        <v>1502</v>
      </c>
      <c r="R12" s="128">
        <v>978</v>
      </c>
      <c r="S12" s="129">
        <v>26143171450000</v>
      </c>
      <c r="T12" s="133">
        <v>45552</v>
      </c>
      <c r="U12" s="132">
        <v>45553</v>
      </c>
      <c r="V12" s="132" t="s">
        <v>1491</v>
      </c>
      <c r="W12" s="132">
        <v>45552</v>
      </c>
      <c r="X12" s="132" t="s">
        <v>1492</v>
      </c>
    </row>
    <row r="13" spans="2:24">
      <c r="B13" s="128" t="s">
        <v>1443</v>
      </c>
      <c r="C13" s="128">
        <v>11</v>
      </c>
      <c r="D13" s="128" t="s">
        <v>1503</v>
      </c>
      <c r="E13" s="129">
        <v>45552</v>
      </c>
      <c r="F13" s="128">
        <v>1</v>
      </c>
      <c r="G13" s="130" t="s">
        <v>1476</v>
      </c>
      <c r="H13" s="128">
        <v>0</v>
      </c>
      <c r="I13" s="128" t="s">
        <v>1495</v>
      </c>
      <c r="J13" s="129">
        <v>45552</v>
      </c>
      <c r="K13" s="128" t="s">
        <v>1496</v>
      </c>
      <c r="L13" s="128" t="s">
        <v>1497</v>
      </c>
      <c r="M13" s="128" t="s">
        <v>1498</v>
      </c>
      <c r="N13" s="128" t="s">
        <v>1499</v>
      </c>
      <c r="O13" s="133" t="s">
        <v>1500</v>
      </c>
      <c r="P13" s="129" t="s">
        <v>1501</v>
      </c>
      <c r="Q13" s="129" t="s">
        <v>1502</v>
      </c>
      <c r="R13" s="128">
        <v>978</v>
      </c>
      <c r="S13" s="129">
        <v>26143171450000</v>
      </c>
      <c r="T13" s="133">
        <v>45552</v>
      </c>
      <c r="U13" s="132">
        <v>45553</v>
      </c>
      <c r="V13" s="132" t="s">
        <v>1491</v>
      </c>
      <c r="W13" s="132">
        <v>45552</v>
      </c>
      <c r="X13" s="132" t="s">
        <v>1492</v>
      </c>
    </row>
    <row r="14" spans="2:24">
      <c r="B14" s="128" t="s">
        <v>1445</v>
      </c>
      <c r="C14" s="128">
        <v>12</v>
      </c>
      <c r="D14" s="128" t="s">
        <v>1504</v>
      </c>
      <c r="E14" s="129">
        <v>45552</v>
      </c>
      <c r="F14" s="128">
        <v>1</v>
      </c>
      <c r="G14" s="130">
        <v>0.9375</v>
      </c>
      <c r="H14" s="128">
        <v>0</v>
      </c>
      <c r="I14" s="128">
        <v>0</v>
      </c>
      <c r="J14" s="128">
        <v>0</v>
      </c>
      <c r="K14" s="128">
        <v>0</v>
      </c>
      <c r="L14" s="128">
        <v>0</v>
      </c>
      <c r="M14" s="128">
        <v>0</v>
      </c>
      <c r="N14" s="128">
        <v>0</v>
      </c>
      <c r="O14" s="128">
        <v>0</v>
      </c>
      <c r="P14" s="128">
        <v>0</v>
      </c>
      <c r="Q14" s="128">
        <v>0</v>
      </c>
      <c r="R14" s="128">
        <v>118147</v>
      </c>
      <c r="S14" s="128">
        <v>0</v>
      </c>
      <c r="T14" s="128">
        <v>0</v>
      </c>
      <c r="U14" s="128">
        <v>0</v>
      </c>
      <c r="V14" s="128">
        <v>0</v>
      </c>
      <c r="W14" s="128">
        <v>0</v>
      </c>
      <c r="X14" s="128">
        <v>0</v>
      </c>
    </row>
    <row r="15" spans="2:24">
      <c r="B15" s="128" t="s">
        <v>1447</v>
      </c>
      <c r="C15" s="128">
        <v>13</v>
      </c>
      <c r="D15" s="128" t="s">
        <v>1505</v>
      </c>
      <c r="E15" s="129">
        <v>45552</v>
      </c>
      <c r="F15" s="128">
        <v>1</v>
      </c>
      <c r="G15" s="130">
        <v>1</v>
      </c>
      <c r="H15" s="128">
        <v>0</v>
      </c>
      <c r="I15" s="128" t="s">
        <v>1476</v>
      </c>
      <c r="J15" s="128" t="s">
        <v>1476</v>
      </c>
      <c r="K15" s="128" t="s">
        <v>1476</v>
      </c>
      <c r="L15" s="128" t="s">
        <v>1476</v>
      </c>
      <c r="M15" s="128" t="s">
        <v>1476</v>
      </c>
      <c r="N15" s="128" t="s">
        <v>1476</v>
      </c>
      <c r="O15" s="131" t="s">
        <v>1476</v>
      </c>
      <c r="P15" s="131" t="s">
        <v>1476</v>
      </c>
      <c r="Q15" s="131" t="s">
        <v>1476</v>
      </c>
      <c r="R15" s="128" t="s">
        <v>1476</v>
      </c>
      <c r="S15" s="128" t="s">
        <v>1476</v>
      </c>
      <c r="T15" s="131">
        <v>0</v>
      </c>
      <c r="U15" s="128">
        <v>0</v>
      </c>
      <c r="V15" s="128" t="s">
        <v>1476</v>
      </c>
      <c r="W15" s="128" t="s">
        <v>1476</v>
      </c>
      <c r="X15" s="128" t="s">
        <v>1476</v>
      </c>
    </row>
    <row r="16" spans="2:24">
      <c r="B16" s="128" t="s">
        <v>1449</v>
      </c>
      <c r="C16" s="128">
        <v>14</v>
      </c>
      <c r="D16" s="128" t="s">
        <v>1506</v>
      </c>
      <c r="E16" s="129">
        <v>45552</v>
      </c>
      <c r="F16" s="128">
        <v>1</v>
      </c>
      <c r="G16" s="130">
        <v>1</v>
      </c>
      <c r="H16" s="128">
        <v>0</v>
      </c>
      <c r="I16" s="128" t="s">
        <v>1476</v>
      </c>
      <c r="J16" s="128" t="s">
        <v>1476</v>
      </c>
      <c r="K16" s="128" t="s">
        <v>1476</v>
      </c>
      <c r="L16" s="128" t="s">
        <v>1476</v>
      </c>
      <c r="M16" s="128" t="s">
        <v>1476</v>
      </c>
      <c r="N16" s="128" t="s">
        <v>1476</v>
      </c>
      <c r="O16" s="128" t="s">
        <v>1476</v>
      </c>
      <c r="P16" s="128" t="s">
        <v>1476</v>
      </c>
      <c r="Q16" s="128" t="s">
        <v>1476</v>
      </c>
      <c r="R16" s="128" t="s">
        <v>1476</v>
      </c>
      <c r="S16" s="131" t="s">
        <v>1476</v>
      </c>
      <c r="T16" s="128" t="s">
        <v>1476</v>
      </c>
      <c r="U16" s="128" t="s">
        <v>1476</v>
      </c>
      <c r="V16" s="128" t="s">
        <v>1476</v>
      </c>
      <c r="W16" s="128" t="s">
        <v>1476</v>
      </c>
      <c r="X16" s="128" t="s">
        <v>1476</v>
      </c>
    </row>
    <row r="17" spans="2:26">
      <c r="B17" s="128" t="s">
        <v>1451</v>
      </c>
      <c r="C17" s="128">
        <v>15</v>
      </c>
      <c r="D17" s="128" t="s">
        <v>1507</v>
      </c>
      <c r="E17" s="129">
        <v>45552</v>
      </c>
      <c r="F17" s="128">
        <v>1</v>
      </c>
      <c r="G17" s="130">
        <v>1</v>
      </c>
      <c r="H17" s="128">
        <v>0</v>
      </c>
      <c r="I17" s="128" t="s">
        <v>1476</v>
      </c>
      <c r="J17" s="128" t="s">
        <v>1476</v>
      </c>
      <c r="K17" s="128" t="s">
        <v>1476</v>
      </c>
      <c r="L17" s="128" t="s">
        <v>1476</v>
      </c>
      <c r="M17" s="128" t="s">
        <v>1476</v>
      </c>
      <c r="N17" s="128" t="s">
        <v>1476</v>
      </c>
      <c r="O17" s="128" t="s">
        <v>1476</v>
      </c>
      <c r="P17" s="128" t="s">
        <v>1476</v>
      </c>
      <c r="Q17" s="128" t="s">
        <v>1476</v>
      </c>
      <c r="R17" s="128" t="s">
        <v>1476</v>
      </c>
      <c r="S17" s="131" t="s">
        <v>1476</v>
      </c>
      <c r="T17" s="128" t="s">
        <v>1476</v>
      </c>
      <c r="U17" s="128" t="s">
        <v>1476</v>
      </c>
      <c r="V17" s="128" t="s">
        <v>1476</v>
      </c>
      <c r="W17" s="128" t="s">
        <v>1476</v>
      </c>
      <c r="X17" s="128" t="s">
        <v>1476</v>
      </c>
    </row>
    <row r="18" spans="2:26">
      <c r="B18" s="128" t="s">
        <v>1453</v>
      </c>
      <c r="C18" s="128">
        <v>16</v>
      </c>
      <c r="D18" s="128" t="s">
        <v>1507</v>
      </c>
      <c r="E18" s="129">
        <v>45552</v>
      </c>
      <c r="F18" s="128">
        <v>1</v>
      </c>
      <c r="G18" s="130">
        <v>1</v>
      </c>
      <c r="H18" s="128">
        <v>0</v>
      </c>
      <c r="I18" s="128" t="s">
        <v>1476</v>
      </c>
      <c r="J18" s="128" t="s">
        <v>1476</v>
      </c>
      <c r="K18" s="128" t="s">
        <v>1476</v>
      </c>
      <c r="L18" s="128" t="s">
        <v>1476</v>
      </c>
      <c r="M18" s="128" t="s">
        <v>1476</v>
      </c>
      <c r="N18" s="128" t="s">
        <v>1476</v>
      </c>
      <c r="O18" s="128" t="s">
        <v>1476</v>
      </c>
      <c r="P18" s="128" t="s">
        <v>1476</v>
      </c>
      <c r="Q18" s="128" t="s">
        <v>1476</v>
      </c>
      <c r="R18" s="128" t="s">
        <v>1476</v>
      </c>
      <c r="S18" s="128" t="s">
        <v>1476</v>
      </c>
      <c r="T18" s="128" t="s">
        <v>1476</v>
      </c>
      <c r="U18" s="128" t="s">
        <v>1476</v>
      </c>
      <c r="V18" s="128" t="s">
        <v>1476</v>
      </c>
      <c r="W18" s="128" t="s">
        <v>1476</v>
      </c>
      <c r="X18" s="128" t="s">
        <v>1476</v>
      </c>
    </row>
    <row r="19" spans="2:26">
      <c r="B19" s="128" t="s">
        <v>1459</v>
      </c>
      <c r="C19" s="128">
        <v>19</v>
      </c>
      <c r="D19" s="128" t="s">
        <v>1508</v>
      </c>
      <c r="E19" s="129">
        <v>45552</v>
      </c>
      <c r="F19" s="128">
        <v>1</v>
      </c>
      <c r="G19" s="130" cm="1">
        <f t="array" aca="1" ref="G19" ca="1">SUMPRODUCT(--(ISNUMBER((SEARCH(I24:X24,I19:X19)))))/COUNTA(I19:X19)</f>
        <v>1</v>
      </c>
      <c r="H19" s="128">
        <v>0</v>
      </c>
      <c r="I19" s="128" t="s">
        <v>1509</v>
      </c>
      <c r="J19" s="128" t="s">
        <v>1509</v>
      </c>
      <c r="K19" s="128" t="s">
        <v>1509</v>
      </c>
      <c r="L19" s="128" t="s">
        <v>1509</v>
      </c>
      <c r="M19" s="128" t="s">
        <v>1509</v>
      </c>
      <c r="N19" s="128" t="s">
        <v>1509</v>
      </c>
      <c r="O19" s="128" t="s">
        <v>1509</v>
      </c>
      <c r="P19" s="128" t="s">
        <v>1509</v>
      </c>
      <c r="Q19" s="128" t="s">
        <v>1509</v>
      </c>
      <c r="R19" s="128" t="s">
        <v>1509</v>
      </c>
      <c r="S19" s="128" t="s">
        <v>1510</v>
      </c>
      <c r="T19" s="128" t="s">
        <v>1509</v>
      </c>
      <c r="U19" s="128" t="s">
        <v>1509</v>
      </c>
      <c r="V19" s="128" t="s">
        <v>1509</v>
      </c>
      <c r="W19" s="128" t="s">
        <v>1509</v>
      </c>
      <c r="X19" s="128" t="s">
        <v>1511</v>
      </c>
    </row>
    <row r="20" spans="2:26">
      <c r="B20" s="131" t="s">
        <v>1462</v>
      </c>
      <c r="C20" s="128">
        <v>20</v>
      </c>
      <c r="D20" s="128" t="s">
        <v>1508</v>
      </c>
      <c r="E20" s="129">
        <v>45552</v>
      </c>
      <c r="F20" s="128">
        <v>1</v>
      </c>
      <c r="G20" s="130" cm="1">
        <f t="array" ref="G20">SUM(IF(I2:X2 = I23:X23, 1, 0))/ COUNTA(I2:X2)</f>
        <v>1</v>
      </c>
      <c r="H20" s="128" t="s">
        <v>1476</v>
      </c>
      <c r="I20" s="128" t="s">
        <v>1476</v>
      </c>
      <c r="J20" s="128" t="s">
        <v>1476</v>
      </c>
      <c r="K20" s="128" t="s">
        <v>1476</v>
      </c>
      <c r="L20" s="128" t="s">
        <v>1476</v>
      </c>
      <c r="M20" s="128" t="s">
        <v>1476</v>
      </c>
      <c r="N20" s="128" t="s">
        <v>1476</v>
      </c>
      <c r="O20" s="128" t="s">
        <v>1476</v>
      </c>
      <c r="P20" s="128" t="s">
        <v>1476</v>
      </c>
      <c r="Q20" s="128" t="s">
        <v>1476</v>
      </c>
      <c r="R20" s="128" t="s">
        <v>1476</v>
      </c>
      <c r="S20" s="128" t="s">
        <v>1476</v>
      </c>
      <c r="T20" s="128" t="s">
        <v>1476</v>
      </c>
      <c r="U20" s="128" t="s">
        <v>1476</v>
      </c>
      <c r="V20" s="128" t="s">
        <v>1476</v>
      </c>
      <c r="W20" s="128" t="s">
        <v>1476</v>
      </c>
      <c r="X20" s="128" t="s">
        <v>1476</v>
      </c>
    </row>
    <row r="21" spans="2:26">
      <c r="B21" s="128" t="s">
        <v>1465</v>
      </c>
      <c r="C21" s="128">
        <v>21</v>
      </c>
      <c r="D21" s="128" t="s">
        <v>1508</v>
      </c>
      <c r="E21" s="129">
        <v>45552</v>
      </c>
      <c r="F21" s="128">
        <v>1</v>
      </c>
      <c r="G21" s="130" cm="1">
        <f t="array" aca="1" ref="G21" ca="1">SUM(IF(IF(G3:G20="null",1,G3:G20)=1,1,0))/COUNT(IF(G3:G20="null",1,0))</f>
        <v>0.88888888888888884</v>
      </c>
      <c r="H21" s="128" t="s">
        <v>1476</v>
      </c>
      <c r="I21" s="128" t="s">
        <v>1476</v>
      </c>
      <c r="J21" s="128" t="s">
        <v>1476</v>
      </c>
      <c r="K21" s="128" t="s">
        <v>1476</v>
      </c>
      <c r="L21" s="128" t="s">
        <v>1476</v>
      </c>
      <c r="M21" s="128" t="s">
        <v>1476</v>
      </c>
      <c r="N21" s="128" t="s">
        <v>1476</v>
      </c>
      <c r="O21" s="128" t="s">
        <v>1476</v>
      </c>
      <c r="P21" s="128" t="s">
        <v>1476</v>
      </c>
      <c r="Q21" s="128" t="s">
        <v>1476</v>
      </c>
      <c r="R21" s="128" t="s">
        <v>1476</v>
      </c>
      <c r="S21" s="128" t="s">
        <v>1476</v>
      </c>
      <c r="T21" s="128" t="s">
        <v>1476</v>
      </c>
      <c r="U21" s="128" t="s">
        <v>1476</v>
      </c>
      <c r="V21" s="128" t="s">
        <v>1476</v>
      </c>
      <c r="W21" s="128" t="s">
        <v>1476</v>
      </c>
      <c r="X21" s="128" t="s">
        <v>1476</v>
      </c>
    </row>
    <row r="22" spans="2:26">
      <c r="B22" s="128"/>
      <c r="C22" s="128"/>
      <c r="D22" s="128"/>
      <c r="E22" s="129"/>
      <c r="F22" s="128"/>
      <c r="G22" s="128"/>
      <c r="H22" s="128"/>
      <c r="I22" s="128"/>
      <c r="J22" s="128"/>
      <c r="K22" s="128"/>
      <c r="L22" s="128"/>
      <c r="M22" s="128"/>
      <c r="N22" s="128"/>
      <c r="O22" s="128"/>
      <c r="P22" s="128"/>
      <c r="Q22" s="128"/>
      <c r="R22" s="128"/>
      <c r="S22" s="128"/>
      <c r="T22" s="128"/>
      <c r="U22" s="128"/>
      <c r="V22" s="128"/>
      <c r="W22" s="128"/>
      <c r="X22" s="128"/>
    </row>
    <row r="23" spans="2:26">
      <c r="B23" s="134" t="s">
        <v>1468</v>
      </c>
      <c r="C23" s="135" t="s">
        <v>1469</v>
      </c>
      <c r="D23" s="135" t="s">
        <v>1470</v>
      </c>
      <c r="E23" s="135" t="s">
        <v>1471</v>
      </c>
      <c r="F23" s="135" t="s">
        <v>1472</v>
      </c>
      <c r="G23" s="135" t="s">
        <v>1473</v>
      </c>
      <c r="H23" s="135" t="s">
        <v>1474</v>
      </c>
      <c r="I23" s="135" t="str" cm="1">
        <f t="array" ref="I23:X23">TRANSPOSE(_xlfn.SORTBY(_xlfn._xlws.FILTER(Table2[NOME FÍSICO CAMPO],Table2[NOME FÍSICO TABELA]="transfer_sepatarget"), _xlfn._xlws.FILTER(Table2[ORDEM],Table2[NOME FÍSICO TABELA]= "transfer_sepatarget"), 1))</f>
        <v>internal_reference_id</v>
      </c>
      <c r="J23" s="135" t="str">
        <v>transfer_create_date</v>
      </c>
      <c r="K23" s="135" t="str">
        <v>transfer_direction_code</v>
      </c>
      <c r="L23" s="135" t="str">
        <v>sender_iban</v>
      </c>
      <c r="M23" s="135" t="str">
        <v>sender_swift</v>
      </c>
      <c r="N23" s="135" t="str">
        <v>sender_name</v>
      </c>
      <c r="O23" s="135" t="str">
        <v>receiver_iban</v>
      </c>
      <c r="P23" s="135" t="str">
        <v>receiver_swift</v>
      </c>
      <c r="Q23" s="135" t="str">
        <v>receiver_name</v>
      </c>
      <c r="R23" s="135" t="str">
        <v>currency_code</v>
      </c>
      <c r="S23" s="135" t="str">
        <v>amount</v>
      </c>
      <c r="T23" s="135" t="str">
        <v>transaction_date</v>
      </c>
      <c r="U23" s="135" t="str">
        <v>transaction_execution_date</v>
      </c>
      <c r="V23" s="135" t="str">
        <v>source_code</v>
      </c>
      <c r="W23" s="135" t="str">
        <v>data_date_part</v>
      </c>
      <c r="X23" s="135" t="str">
        <v>data_timestamp_part</v>
      </c>
    </row>
    <row r="24" spans="2:26">
      <c r="B24" s="138" t="s">
        <v>1512</v>
      </c>
      <c r="C24" s="139">
        <v>21</v>
      </c>
      <c r="D24" s="140" t="s">
        <v>1513</v>
      </c>
      <c r="E24" s="141" t="s">
        <v>1514</v>
      </c>
      <c r="F24" s="141" t="s">
        <v>721</v>
      </c>
      <c r="G24" s="141" t="s">
        <v>721</v>
      </c>
      <c r="H24" s="141" t="s">
        <v>721</v>
      </c>
      <c r="I24" s="141" t="str" cm="1">
        <f t="array" aca="1" ref="I24:X25" ca="1">TRANSPOSE(_xlfn.SORTBY(_xlfn._xlws.FILTER(IF(Table2[FORMATO]:Table2[COMP_ CAMPO]&lt;&gt;"",Table2[FORMATO]:Table2[COMP_ CAMPO],9999999),Table2[NOME FÍSICO TABELA]="transfer_sepatarget"), _xlfn._xlws.FILTER(Table2[ORDEM], Table2[NOME FÍSICO TABELA]="transfer_sepatarget"), 1))</f>
        <v>STRING</v>
      </c>
      <c r="J24" s="141" t="str">
        <f ca="1"/>
        <v>STRING</v>
      </c>
      <c r="K24" s="141" t="str">
        <f ca="1"/>
        <v>STRING</v>
      </c>
      <c r="L24" s="141" t="str">
        <f ca="1"/>
        <v>STRING</v>
      </c>
      <c r="M24" s="141" t="str">
        <f ca="1"/>
        <v>STRING</v>
      </c>
      <c r="N24" s="141" t="str">
        <f ca="1"/>
        <v>STRING</v>
      </c>
      <c r="O24" s="141" t="str">
        <f ca="1"/>
        <v>STRING</v>
      </c>
      <c r="P24" s="141" t="str">
        <f ca="1"/>
        <v>STRING</v>
      </c>
      <c r="Q24" s="141" t="str">
        <f ca="1"/>
        <v>STRING</v>
      </c>
      <c r="R24" s="141" t="str">
        <f ca="1"/>
        <v>STRING</v>
      </c>
      <c r="S24" s="141" t="str">
        <f ca="1"/>
        <v>DECIMAL</v>
      </c>
      <c r="T24" s="141" t="str">
        <f ca="1"/>
        <v>STRING</v>
      </c>
      <c r="U24" s="141" t="str">
        <f ca="1"/>
        <v>STRING</v>
      </c>
      <c r="V24" s="141" t="str">
        <f ca="1"/>
        <v>STRING</v>
      </c>
      <c r="W24" s="141" t="str">
        <f ca="1"/>
        <v>STRING</v>
      </c>
      <c r="X24" s="141" t="str">
        <f ca="1"/>
        <v>TIMESTAMP</v>
      </c>
      <c r="Y24" s="128"/>
    </row>
    <row r="25" spans="2:26">
      <c r="B25" s="138" t="s">
        <v>1515</v>
      </c>
      <c r="C25" s="139">
        <v>7</v>
      </c>
      <c r="D25" s="140" t="s">
        <v>1513</v>
      </c>
      <c r="E25" s="141" t="s">
        <v>1514</v>
      </c>
      <c r="F25" s="143" t="s">
        <v>721</v>
      </c>
      <c r="G25" s="143" t="s">
        <v>721</v>
      </c>
      <c r="H25" s="143" t="s">
        <v>721</v>
      </c>
      <c r="I25" s="144">
        <f ca="1"/>
        <v>35</v>
      </c>
      <c r="J25" s="144">
        <f ca="1"/>
        <v>10</v>
      </c>
      <c r="K25" s="144">
        <f ca="1"/>
        <v>4</v>
      </c>
      <c r="L25" s="144">
        <f ca="1"/>
        <v>34</v>
      </c>
      <c r="M25" s="144">
        <f ca="1"/>
        <v>11</v>
      </c>
      <c r="N25" s="144">
        <f ca="1"/>
        <v>9999999</v>
      </c>
      <c r="O25" s="144">
        <f ca="1"/>
        <v>34</v>
      </c>
      <c r="P25" s="144">
        <f ca="1"/>
        <v>11</v>
      </c>
      <c r="Q25" s="144">
        <f ca="1"/>
        <v>9999999</v>
      </c>
      <c r="R25" s="144">
        <f ca="1"/>
        <v>4</v>
      </c>
      <c r="S25" s="144">
        <f ca="1"/>
        <v>23</v>
      </c>
      <c r="T25" s="144">
        <f ca="1"/>
        <v>10</v>
      </c>
      <c r="U25" s="144">
        <f ca="1"/>
        <v>10</v>
      </c>
      <c r="V25" s="144">
        <f ca="1"/>
        <v>2</v>
      </c>
      <c r="W25" s="144">
        <f ca="1"/>
        <v>10</v>
      </c>
      <c r="X25" s="144">
        <f ca="1"/>
        <v>23</v>
      </c>
      <c r="Y25" s="136"/>
      <c r="Z25" s="137"/>
    </row>
    <row r="26" spans="2:26">
      <c r="Y26" s="142"/>
    </row>
    <row r="27" spans="2:26">
      <c r="B27" s="147" t="s">
        <v>1516</v>
      </c>
      <c r="Y27" s="145"/>
      <c r="Z27" s="146"/>
    </row>
    <row r="28" spans="2:26">
      <c r="B28" s="148" t="s">
        <v>1517</v>
      </c>
      <c r="C28" s="148" t="s">
        <v>1518</v>
      </c>
      <c r="D28" s="149" t="s">
        <v>1519</v>
      </c>
      <c r="E28" s="148" t="s">
        <v>1520</v>
      </c>
      <c r="F28" s="148" t="s">
        <v>1521</v>
      </c>
    </row>
    <row r="29" spans="2:26">
      <c r="B29" s="150" t="s">
        <v>1522</v>
      </c>
      <c r="C29" s="151" t="s">
        <v>772</v>
      </c>
      <c r="D29" s="152" t="s">
        <v>1523</v>
      </c>
      <c r="E29" s="131" t="s">
        <v>783</v>
      </c>
      <c r="F29" s="153"/>
    </row>
    <row r="30" spans="2:26">
      <c r="B30" s="154" t="s">
        <v>1524</v>
      </c>
      <c r="C30" s="151" t="s">
        <v>772</v>
      </c>
      <c r="D30" s="156" t="s">
        <v>1525</v>
      </c>
      <c r="E30" s="157" t="s">
        <v>1526</v>
      </c>
      <c r="F30" s="158" t="s">
        <v>1527</v>
      </c>
    </row>
    <row r="31" spans="2:26">
      <c r="B31" s="154"/>
      <c r="C31" s="155"/>
      <c r="D31" s="156"/>
      <c r="E31" s="157"/>
      <c r="F31" s="158"/>
    </row>
    <row r="32" spans="2:26">
      <c r="B32" s="150"/>
      <c r="C32" s="151"/>
      <c r="D32" s="152"/>
      <c r="E32" s="131"/>
      <c r="F32" s="159"/>
    </row>
    <row r="33" spans="2:6">
      <c r="B33" s="150"/>
      <c r="C33" s="151"/>
      <c r="D33" s="152"/>
      <c r="E33" s="157"/>
      <c r="F33" s="159"/>
    </row>
    <row r="34" spans="2:6">
      <c r="B34" s="160"/>
      <c r="C34" s="161"/>
      <c r="D34" s="162"/>
      <c r="E34" s="131"/>
      <c r="F34" s="159"/>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D09B1-C001-4522-BEC4-11DEAD8287A2}">
  <sheetPr>
    <tabColor rgb="FF00B050"/>
  </sheetPr>
  <dimension ref="B1:U29"/>
  <sheetViews>
    <sheetView showGridLines="0" topLeftCell="A27" workbookViewId="0">
      <selection activeCell="G9" sqref="G9"/>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35.7109375" customWidth="1"/>
    <col min="22" max="25" width="9.140625" bestFit="1" customWidth="1"/>
  </cols>
  <sheetData>
    <row r="1" spans="2:19" ht="27.75" customHeight="1"/>
    <row r="2" spans="2:19">
      <c r="B2" s="63" t="s">
        <v>1468</v>
      </c>
      <c r="C2" s="63" t="s">
        <v>1469</v>
      </c>
      <c r="D2" s="63" t="s">
        <v>1470</v>
      </c>
      <c r="E2" s="63" t="s">
        <v>1471</v>
      </c>
      <c r="F2" s="63" t="s">
        <v>1472</v>
      </c>
      <c r="G2" s="63" t="s">
        <v>1473</v>
      </c>
      <c r="H2" s="63" t="s">
        <v>1474</v>
      </c>
      <c r="I2" s="63" t="s">
        <v>732</v>
      </c>
      <c r="J2" s="63" t="s">
        <v>1112</v>
      </c>
      <c r="K2" s="63" t="s">
        <v>793</v>
      </c>
      <c r="L2" s="63" t="s">
        <v>1071</v>
      </c>
      <c r="M2" s="63" t="s">
        <v>1005</v>
      </c>
      <c r="N2" s="63" t="s">
        <v>772</v>
      </c>
      <c r="O2" s="63" t="s">
        <v>701</v>
      </c>
      <c r="P2" s="63" t="s">
        <v>1086</v>
      </c>
      <c r="Q2" s="63" t="s">
        <v>1101</v>
      </c>
      <c r="R2" s="63" t="s">
        <v>804</v>
      </c>
      <c r="S2" s="63" t="s">
        <v>841</v>
      </c>
    </row>
    <row r="3" spans="2:19">
      <c r="B3" s="128" t="s">
        <v>1422</v>
      </c>
      <c r="C3" s="128">
        <v>1</v>
      </c>
      <c r="D3" s="128" t="s">
        <v>1528</v>
      </c>
      <c r="E3" s="129">
        <v>45554</v>
      </c>
      <c r="F3" s="128">
        <v>3</v>
      </c>
      <c r="G3" s="130">
        <v>1</v>
      </c>
      <c r="H3" s="128">
        <v>236072</v>
      </c>
      <c r="I3" s="128" t="s">
        <v>1476</v>
      </c>
      <c r="J3" s="128" t="s">
        <v>1476</v>
      </c>
      <c r="K3" s="128" t="s">
        <v>1476</v>
      </c>
      <c r="L3" s="128" t="s">
        <v>1476</v>
      </c>
      <c r="M3" s="128" t="s">
        <v>1476</v>
      </c>
      <c r="N3" s="128" t="s">
        <v>1476</v>
      </c>
      <c r="O3" s="128" t="s">
        <v>1476</v>
      </c>
      <c r="P3" s="128" t="s">
        <v>1476</v>
      </c>
      <c r="Q3" s="128" t="s">
        <v>1476</v>
      </c>
      <c r="R3" s="128" t="s">
        <v>1476</v>
      </c>
      <c r="S3" s="128" t="s">
        <v>1476</v>
      </c>
    </row>
    <row r="4" spans="2:19">
      <c r="B4" s="128" t="s">
        <v>1424</v>
      </c>
      <c r="C4" s="128">
        <v>2</v>
      </c>
      <c r="D4" s="128" t="s">
        <v>1529</v>
      </c>
      <c r="E4" s="129">
        <v>45554</v>
      </c>
      <c r="F4" s="128">
        <v>3</v>
      </c>
      <c r="G4" s="130">
        <v>1</v>
      </c>
      <c r="H4" s="128">
        <v>0</v>
      </c>
      <c r="I4" s="128" t="s">
        <v>1476</v>
      </c>
      <c r="J4" s="128" t="s">
        <v>1476</v>
      </c>
      <c r="K4" s="128" t="s">
        <v>1476</v>
      </c>
      <c r="L4" s="128" t="s">
        <v>1476</v>
      </c>
      <c r="M4" s="128" t="s">
        <v>1476</v>
      </c>
      <c r="N4" s="128" t="s">
        <v>1476</v>
      </c>
      <c r="O4" s="128" t="s">
        <v>1476</v>
      </c>
      <c r="P4" s="128" t="s">
        <v>1476</v>
      </c>
      <c r="Q4" s="128" t="s">
        <v>1476</v>
      </c>
      <c r="R4" s="128" t="s">
        <v>1476</v>
      </c>
      <c r="S4" s="128" t="s">
        <v>1476</v>
      </c>
    </row>
    <row r="5" spans="2:19">
      <c r="B5" s="128" t="s">
        <v>1426</v>
      </c>
      <c r="C5" s="128">
        <v>3</v>
      </c>
      <c r="D5" s="128" t="s">
        <v>1530</v>
      </c>
      <c r="E5" s="129">
        <v>45554</v>
      </c>
      <c r="F5" s="128">
        <v>3</v>
      </c>
      <c r="G5" s="130">
        <v>1</v>
      </c>
      <c r="H5" s="128">
        <v>0</v>
      </c>
      <c r="I5" s="128">
        <v>0</v>
      </c>
      <c r="J5" s="128" t="s">
        <v>1476</v>
      </c>
      <c r="K5" s="128" t="s">
        <v>1476</v>
      </c>
      <c r="L5" s="128" t="s">
        <v>1476</v>
      </c>
      <c r="M5" s="128" t="s">
        <v>1476</v>
      </c>
      <c r="N5" s="128" t="s">
        <v>1476</v>
      </c>
      <c r="O5" s="128" t="s">
        <v>1476</v>
      </c>
      <c r="P5" s="128" t="s">
        <v>1476</v>
      </c>
      <c r="Q5" s="128" t="s">
        <v>1476</v>
      </c>
      <c r="R5" s="128">
        <v>0</v>
      </c>
      <c r="S5" s="128" t="s">
        <v>1476</v>
      </c>
    </row>
    <row r="6" spans="2:19">
      <c r="B6" s="131" t="s">
        <v>1428</v>
      </c>
      <c r="C6" s="128">
        <v>4</v>
      </c>
      <c r="D6" s="128" t="s">
        <v>1479</v>
      </c>
      <c r="E6" s="129" t="s">
        <v>1476</v>
      </c>
      <c r="F6" s="128">
        <v>3</v>
      </c>
      <c r="G6" s="130" t="s">
        <v>1476</v>
      </c>
      <c r="H6" s="128" t="s">
        <v>1476</v>
      </c>
      <c r="I6" s="128" t="s">
        <v>1476</v>
      </c>
      <c r="J6" s="128" t="s">
        <v>1476</v>
      </c>
      <c r="K6" s="128" t="s">
        <v>1476</v>
      </c>
      <c r="L6" s="128" t="s">
        <v>1476</v>
      </c>
      <c r="M6" s="128" t="s">
        <v>1476</v>
      </c>
      <c r="N6" s="128" t="s">
        <v>1476</v>
      </c>
      <c r="O6" s="128" t="s">
        <v>1476</v>
      </c>
      <c r="P6" s="128" t="s">
        <v>1476</v>
      </c>
      <c r="Q6" s="128" t="s">
        <v>1476</v>
      </c>
      <c r="R6" s="128" t="s">
        <v>1476</v>
      </c>
      <c r="S6" s="128" t="s">
        <v>1476</v>
      </c>
    </row>
    <row r="7" spans="2:19">
      <c r="B7" s="128" t="s">
        <v>1430</v>
      </c>
      <c r="C7" s="128">
        <v>5</v>
      </c>
      <c r="D7" s="128" t="s">
        <v>1479</v>
      </c>
      <c r="E7" s="129" t="s">
        <v>1476</v>
      </c>
      <c r="F7" s="128">
        <v>3</v>
      </c>
      <c r="G7" s="130" t="s">
        <v>1476</v>
      </c>
      <c r="H7" s="128" t="s">
        <v>1476</v>
      </c>
      <c r="I7" s="128" t="s">
        <v>1476</v>
      </c>
      <c r="J7" s="128" t="s">
        <v>1476</v>
      </c>
      <c r="K7" s="128" t="s">
        <v>1476</v>
      </c>
      <c r="L7" s="128" t="s">
        <v>1476</v>
      </c>
      <c r="M7" s="128" t="s">
        <v>1476</v>
      </c>
      <c r="N7" s="128" t="s">
        <v>1476</v>
      </c>
      <c r="O7" s="128" t="s">
        <v>1476</v>
      </c>
      <c r="P7" s="128" t="s">
        <v>1476</v>
      </c>
      <c r="Q7" s="128" t="s">
        <v>1476</v>
      </c>
      <c r="R7" s="128" t="s">
        <v>1476</v>
      </c>
      <c r="S7" s="128" t="s">
        <v>1476</v>
      </c>
    </row>
    <row r="8" spans="2:19">
      <c r="B8" s="128" t="s">
        <v>1431</v>
      </c>
      <c r="C8" s="128">
        <v>6</v>
      </c>
      <c r="D8" s="128" t="s">
        <v>1531</v>
      </c>
      <c r="E8" s="129">
        <v>45554</v>
      </c>
      <c r="F8" s="128">
        <v>3</v>
      </c>
      <c r="G8" s="130" cm="1">
        <f t="array" ref="G8">SUMPRODUCT(--(I8:S8&gt;0))/COUNTA(I8:S8)</f>
        <v>1</v>
      </c>
      <c r="H8" s="128">
        <v>0</v>
      </c>
      <c r="I8" s="128">
        <v>14</v>
      </c>
      <c r="J8" s="128">
        <v>10</v>
      </c>
      <c r="K8" s="128">
        <v>3</v>
      </c>
      <c r="L8" s="128">
        <v>21</v>
      </c>
      <c r="M8" s="128">
        <v>21</v>
      </c>
      <c r="N8" s="128">
        <v>3</v>
      </c>
      <c r="O8" s="128">
        <v>8</v>
      </c>
      <c r="P8" s="128">
        <v>10</v>
      </c>
      <c r="Q8" s="128">
        <v>2</v>
      </c>
      <c r="R8" s="128">
        <v>10</v>
      </c>
      <c r="S8" s="128">
        <v>23</v>
      </c>
    </row>
    <row r="9" spans="2:19">
      <c r="B9" s="128" t="s">
        <v>1434</v>
      </c>
      <c r="C9" s="128">
        <v>7</v>
      </c>
      <c r="D9" s="128" t="s">
        <v>1532</v>
      </c>
      <c r="E9" s="129">
        <v>45554</v>
      </c>
      <c r="F9" s="128">
        <v>3</v>
      </c>
      <c r="G9" s="130" cm="1">
        <f t="array" aca="1" ref="G9" ca="1">SUMPRODUCT(--(I9:S9 &lt;= I25:S25))/COUNTA(I25:S25)</f>
        <v>1</v>
      </c>
      <c r="H9" s="128">
        <v>0</v>
      </c>
      <c r="I9" s="128">
        <v>14</v>
      </c>
      <c r="J9" s="128">
        <v>10</v>
      </c>
      <c r="K9" s="128">
        <v>3</v>
      </c>
      <c r="L9" s="128">
        <v>21</v>
      </c>
      <c r="M9" s="128">
        <v>21</v>
      </c>
      <c r="N9" s="128">
        <v>3</v>
      </c>
      <c r="O9" s="128">
        <v>12</v>
      </c>
      <c r="P9" s="128">
        <v>10</v>
      </c>
      <c r="Q9" s="128">
        <v>2</v>
      </c>
      <c r="R9" s="128">
        <v>10</v>
      </c>
      <c r="S9" s="128">
        <v>23</v>
      </c>
    </row>
    <row r="10" spans="2:19">
      <c r="B10" s="131" t="s">
        <v>1437</v>
      </c>
      <c r="C10" s="128">
        <v>8</v>
      </c>
      <c r="D10" s="128" t="s">
        <v>1533</v>
      </c>
      <c r="E10" s="129">
        <v>45554</v>
      </c>
      <c r="F10" s="128">
        <v>3</v>
      </c>
      <c r="G10" s="130" t="s">
        <v>1476</v>
      </c>
      <c r="H10" s="128">
        <v>0</v>
      </c>
      <c r="I10" s="128">
        <v>1052400000065</v>
      </c>
      <c r="J10" s="129">
        <v>45555</v>
      </c>
      <c r="K10" s="128" t="s">
        <v>1222</v>
      </c>
      <c r="L10" s="128">
        <v>7.0000000001349197E+17</v>
      </c>
      <c r="M10" s="128">
        <v>7.0000000001533504E+17</v>
      </c>
      <c r="N10" s="128">
        <v>978</v>
      </c>
      <c r="O10" s="129" t="s">
        <v>1490</v>
      </c>
      <c r="P10" s="129">
        <v>45553</v>
      </c>
      <c r="Q10" s="132" t="s">
        <v>1534</v>
      </c>
      <c r="R10" s="129">
        <v>45554</v>
      </c>
      <c r="S10" s="129" t="s">
        <v>1535</v>
      </c>
    </row>
    <row r="11" spans="2:19">
      <c r="B11" s="128" t="s">
        <v>1439</v>
      </c>
      <c r="C11" s="128">
        <v>9</v>
      </c>
      <c r="D11" s="128" t="s">
        <v>1536</v>
      </c>
      <c r="E11" s="129">
        <v>45554</v>
      </c>
      <c r="F11" s="128">
        <v>3</v>
      </c>
      <c r="G11" s="130" t="s">
        <v>1476</v>
      </c>
      <c r="H11" s="128">
        <v>0</v>
      </c>
      <c r="I11" s="128">
        <v>1052400000065</v>
      </c>
      <c r="J11" s="129">
        <v>45555</v>
      </c>
      <c r="K11" s="128" t="s">
        <v>1222</v>
      </c>
      <c r="L11" s="128">
        <v>7.0000000001349197E+17</v>
      </c>
      <c r="M11" s="128">
        <v>7.0000000001533504E+17</v>
      </c>
      <c r="N11" s="128">
        <v>978</v>
      </c>
      <c r="O11" s="129" t="s">
        <v>1490</v>
      </c>
      <c r="P11" s="129">
        <v>45553</v>
      </c>
      <c r="Q11" s="128" t="s">
        <v>1534</v>
      </c>
      <c r="R11" s="129">
        <v>45554</v>
      </c>
      <c r="S11" s="129" t="s">
        <v>1535</v>
      </c>
    </row>
    <row r="12" spans="2:19">
      <c r="B12" s="128" t="s">
        <v>1441</v>
      </c>
      <c r="C12" s="128">
        <v>10</v>
      </c>
      <c r="D12" s="128" t="s">
        <v>1537</v>
      </c>
      <c r="E12" s="129">
        <v>45554</v>
      </c>
      <c r="F12" s="128">
        <v>3</v>
      </c>
      <c r="G12" s="130" t="s">
        <v>1476</v>
      </c>
      <c r="H12" s="128">
        <v>0</v>
      </c>
      <c r="I12" s="128" t="s">
        <v>1538</v>
      </c>
      <c r="J12" s="129">
        <v>45555</v>
      </c>
      <c r="K12" s="128" t="s">
        <v>1496</v>
      </c>
      <c r="L12" s="128">
        <v>7.5000002016391895E+20</v>
      </c>
      <c r="M12" s="128">
        <v>5.3405426160078297E+20</v>
      </c>
      <c r="N12" s="132">
        <v>978</v>
      </c>
      <c r="O12" s="133">
        <v>50000000000</v>
      </c>
      <c r="P12" s="129">
        <v>45554</v>
      </c>
      <c r="Q12" s="129" t="s">
        <v>1534</v>
      </c>
      <c r="R12" s="129">
        <v>45554</v>
      </c>
      <c r="S12" s="129" t="s">
        <v>1535</v>
      </c>
    </row>
    <row r="13" spans="2:19">
      <c r="B13" s="128" t="s">
        <v>1443</v>
      </c>
      <c r="C13" s="128">
        <v>11</v>
      </c>
      <c r="D13" s="128" t="s">
        <v>1539</v>
      </c>
      <c r="E13" s="129">
        <v>45554</v>
      </c>
      <c r="F13" s="128">
        <v>3</v>
      </c>
      <c r="G13" s="130" t="s">
        <v>1476</v>
      </c>
      <c r="H13" s="128">
        <v>0</v>
      </c>
      <c r="I13" s="128" t="s">
        <v>1538</v>
      </c>
      <c r="J13" s="129">
        <v>45555</v>
      </c>
      <c r="K13" s="128" t="s">
        <v>1496</v>
      </c>
      <c r="L13" s="128">
        <v>7.5000002016391895E+20</v>
      </c>
      <c r="M13" s="128">
        <v>5.3405426160078297E+20</v>
      </c>
      <c r="N13" s="132">
        <v>978</v>
      </c>
      <c r="O13" s="133">
        <v>50000000000</v>
      </c>
      <c r="P13" s="129">
        <v>45554</v>
      </c>
      <c r="Q13" s="129" t="s">
        <v>1534</v>
      </c>
      <c r="R13" s="129">
        <v>45554</v>
      </c>
      <c r="S13" s="129" t="s">
        <v>1535</v>
      </c>
    </row>
    <row r="14" spans="2:19">
      <c r="B14" s="128" t="s">
        <v>1445</v>
      </c>
      <c r="C14" s="128">
        <v>12</v>
      </c>
      <c r="D14" s="128" t="s">
        <v>1540</v>
      </c>
      <c r="E14" s="129">
        <v>45554</v>
      </c>
      <c r="F14" s="128">
        <v>3</v>
      </c>
      <c r="G14" s="130">
        <v>1</v>
      </c>
      <c r="H14" s="128">
        <v>0</v>
      </c>
      <c r="I14" s="128">
        <v>0</v>
      </c>
      <c r="J14" s="128">
        <v>0</v>
      </c>
      <c r="K14" s="128">
        <v>0</v>
      </c>
      <c r="L14" s="128">
        <v>0</v>
      </c>
      <c r="M14" s="128">
        <v>0</v>
      </c>
      <c r="N14" s="128">
        <v>0</v>
      </c>
      <c r="O14" s="128">
        <v>0</v>
      </c>
      <c r="P14" s="128">
        <v>0</v>
      </c>
      <c r="Q14" s="128">
        <v>0</v>
      </c>
      <c r="R14" s="128">
        <v>0</v>
      </c>
      <c r="S14" s="128">
        <v>0</v>
      </c>
    </row>
    <row r="15" spans="2:19">
      <c r="B15" s="128" t="s">
        <v>1447</v>
      </c>
      <c r="C15" s="128">
        <v>13</v>
      </c>
      <c r="D15" s="128" t="s">
        <v>1541</v>
      </c>
      <c r="E15" s="129">
        <v>45554</v>
      </c>
      <c r="F15" s="128">
        <v>3</v>
      </c>
      <c r="G15" s="130">
        <v>1</v>
      </c>
      <c r="H15" s="128">
        <v>0</v>
      </c>
      <c r="I15" s="128" t="s">
        <v>1476</v>
      </c>
      <c r="J15" s="128">
        <v>0</v>
      </c>
      <c r="K15" s="128" t="s">
        <v>1476</v>
      </c>
      <c r="L15" s="128" t="s">
        <v>1476</v>
      </c>
      <c r="M15" s="128" t="s">
        <v>1476</v>
      </c>
      <c r="N15" s="128" t="s">
        <v>1476</v>
      </c>
      <c r="O15" s="131" t="s">
        <v>1476</v>
      </c>
      <c r="P15" s="131">
        <v>0</v>
      </c>
      <c r="Q15" s="131" t="s">
        <v>1476</v>
      </c>
      <c r="R15" s="128" t="s">
        <v>1476</v>
      </c>
      <c r="S15" s="128" t="s">
        <v>1476</v>
      </c>
    </row>
    <row r="16" spans="2:19">
      <c r="B16" s="128" t="s">
        <v>1449</v>
      </c>
      <c r="C16" s="128">
        <v>14</v>
      </c>
      <c r="D16" s="128" t="s">
        <v>1542</v>
      </c>
      <c r="E16" s="129">
        <v>45554</v>
      </c>
      <c r="F16" s="128">
        <v>3</v>
      </c>
      <c r="G16" s="130">
        <v>1</v>
      </c>
      <c r="H16" s="128">
        <v>0</v>
      </c>
      <c r="I16" s="128" t="s">
        <v>1476</v>
      </c>
      <c r="J16" s="128" t="s">
        <v>1476</v>
      </c>
      <c r="K16" s="128" t="s">
        <v>1476</v>
      </c>
      <c r="L16" s="128" t="s">
        <v>1476</v>
      </c>
      <c r="M16" s="128" t="s">
        <v>1476</v>
      </c>
      <c r="N16" s="128" t="s">
        <v>1476</v>
      </c>
      <c r="O16" s="128" t="s">
        <v>1476</v>
      </c>
      <c r="P16" s="128" t="s">
        <v>1476</v>
      </c>
      <c r="Q16" s="128" t="s">
        <v>1476</v>
      </c>
      <c r="R16" s="128" t="s">
        <v>1476</v>
      </c>
      <c r="S16" s="131" t="s">
        <v>1476</v>
      </c>
    </row>
    <row r="17" spans="2:21">
      <c r="B17" s="128" t="s">
        <v>1451</v>
      </c>
      <c r="C17" s="128">
        <v>15</v>
      </c>
      <c r="D17" s="128" t="s">
        <v>1543</v>
      </c>
      <c r="E17" s="129">
        <v>45554</v>
      </c>
      <c r="F17" s="128">
        <v>3</v>
      </c>
      <c r="G17" s="130">
        <v>1</v>
      </c>
      <c r="H17" s="128">
        <v>0</v>
      </c>
      <c r="I17" s="128" t="s">
        <v>1476</v>
      </c>
      <c r="J17" s="128" t="s">
        <v>1476</v>
      </c>
      <c r="K17" s="128" t="s">
        <v>1476</v>
      </c>
      <c r="L17" s="128" t="s">
        <v>1476</v>
      </c>
      <c r="M17" s="128" t="s">
        <v>1476</v>
      </c>
      <c r="N17" s="128" t="s">
        <v>1476</v>
      </c>
      <c r="O17" s="128" t="s">
        <v>1476</v>
      </c>
      <c r="P17" s="128" t="s">
        <v>1476</v>
      </c>
      <c r="Q17" s="128" t="s">
        <v>1476</v>
      </c>
      <c r="R17" s="128" t="s">
        <v>1476</v>
      </c>
      <c r="S17" s="131" t="s">
        <v>1476</v>
      </c>
    </row>
    <row r="18" spans="2:21">
      <c r="B18" s="128" t="s">
        <v>1453</v>
      </c>
      <c r="C18" s="128">
        <v>16</v>
      </c>
      <c r="D18" s="128" t="s">
        <v>1543</v>
      </c>
      <c r="E18" s="129">
        <v>45554</v>
      </c>
      <c r="F18" s="128">
        <v>3</v>
      </c>
      <c r="G18" s="130">
        <v>1</v>
      </c>
      <c r="H18" s="128">
        <v>0</v>
      </c>
      <c r="I18" s="128" t="s">
        <v>1476</v>
      </c>
      <c r="J18" s="128" t="s">
        <v>1476</v>
      </c>
      <c r="K18" s="128" t="s">
        <v>1476</v>
      </c>
      <c r="L18" s="128" t="s">
        <v>1476</v>
      </c>
      <c r="M18" s="128" t="s">
        <v>1476</v>
      </c>
      <c r="N18" s="128" t="s">
        <v>1476</v>
      </c>
      <c r="O18" s="128" t="s">
        <v>1476</v>
      </c>
      <c r="P18" s="128" t="s">
        <v>1476</v>
      </c>
      <c r="Q18" s="128" t="s">
        <v>1476</v>
      </c>
      <c r="R18" s="128" t="s">
        <v>1476</v>
      </c>
      <c r="S18" s="128" t="s">
        <v>1476</v>
      </c>
    </row>
    <row r="19" spans="2:21">
      <c r="B19" s="128" t="s">
        <v>1459</v>
      </c>
      <c r="C19" s="128">
        <v>19</v>
      </c>
      <c r="D19" s="128" t="s">
        <v>1544</v>
      </c>
      <c r="E19" s="129">
        <v>45554</v>
      </c>
      <c r="F19" s="128">
        <v>3</v>
      </c>
      <c r="G19" s="130" cm="1">
        <f t="array" aca="1" ref="G19" ca="1">SUMPRODUCT(--(ISNUMBER((SEARCH(I24:S24,I19:S19)))))/COUNTA(I19:S19)</f>
        <v>1</v>
      </c>
      <c r="H19" s="128">
        <v>0</v>
      </c>
      <c r="I19" s="128" t="s">
        <v>1509</v>
      </c>
      <c r="J19" s="128" t="s">
        <v>1509</v>
      </c>
      <c r="K19" s="128" t="s">
        <v>1509</v>
      </c>
      <c r="L19" s="128" t="s">
        <v>1509</v>
      </c>
      <c r="M19" s="128" t="s">
        <v>1509</v>
      </c>
      <c r="N19" s="128" t="s">
        <v>1509</v>
      </c>
      <c r="O19" s="128" t="s">
        <v>1510</v>
      </c>
      <c r="P19" s="128" t="s">
        <v>1509</v>
      </c>
      <c r="Q19" s="128" t="s">
        <v>1509</v>
      </c>
      <c r="R19" s="128" t="s">
        <v>1509</v>
      </c>
      <c r="S19" s="128" t="s">
        <v>1511</v>
      </c>
    </row>
    <row r="20" spans="2:21">
      <c r="B20" s="131" t="s">
        <v>1462</v>
      </c>
      <c r="C20" s="128">
        <v>20</v>
      </c>
      <c r="D20" s="128" t="s">
        <v>1508</v>
      </c>
      <c r="E20" s="129">
        <v>45552</v>
      </c>
      <c r="F20" s="128">
        <v>1</v>
      </c>
      <c r="G20" s="130" cm="1">
        <f t="array" ref="G20">SUM(IF(I2:S2 = I23:S23, 1, 0))/ COUNTA(I2:S2)</f>
        <v>1</v>
      </c>
      <c r="H20" s="128" t="s">
        <v>1476</v>
      </c>
      <c r="I20" s="128" t="s">
        <v>1476</v>
      </c>
      <c r="J20" s="128" t="s">
        <v>1476</v>
      </c>
      <c r="K20" s="128" t="s">
        <v>1476</v>
      </c>
      <c r="L20" s="128" t="s">
        <v>1476</v>
      </c>
      <c r="M20" s="128" t="s">
        <v>1476</v>
      </c>
      <c r="N20" s="128" t="s">
        <v>1476</v>
      </c>
      <c r="O20" s="128" t="s">
        <v>1476</v>
      </c>
      <c r="P20" s="128" t="s">
        <v>1476</v>
      </c>
      <c r="Q20" s="128" t="s">
        <v>1476</v>
      </c>
      <c r="R20" s="128" t="s">
        <v>1476</v>
      </c>
      <c r="S20" s="128" t="s">
        <v>1476</v>
      </c>
    </row>
    <row r="21" spans="2:21">
      <c r="B21" s="128" t="s">
        <v>1465</v>
      </c>
      <c r="C21" s="128">
        <v>21</v>
      </c>
      <c r="D21" s="128" t="s">
        <v>1508</v>
      </c>
      <c r="E21" s="129">
        <v>45552</v>
      </c>
      <c r="F21" s="128">
        <v>1</v>
      </c>
      <c r="G21" s="130" cm="1">
        <f t="array" aca="1" ref="G21" ca="1">SUM(IF(IF(G3:G20="null",1,G3:G20)=1,1,0))/COUNT(IF(G3:G20="null",1,0))</f>
        <v>1</v>
      </c>
      <c r="H21" s="128" t="s">
        <v>1476</v>
      </c>
      <c r="I21" s="128" t="s">
        <v>1476</v>
      </c>
      <c r="J21" s="128" t="s">
        <v>1476</v>
      </c>
      <c r="K21" s="128" t="s">
        <v>1476</v>
      </c>
      <c r="L21" s="128" t="s">
        <v>1476</v>
      </c>
      <c r="M21" s="128" t="s">
        <v>1476</v>
      </c>
      <c r="N21" s="128" t="s">
        <v>1476</v>
      </c>
      <c r="O21" s="128" t="s">
        <v>1476</v>
      </c>
      <c r="P21" s="128" t="s">
        <v>1476</v>
      </c>
      <c r="Q21" s="128" t="s">
        <v>1476</v>
      </c>
      <c r="R21" s="128" t="s">
        <v>1476</v>
      </c>
      <c r="S21" s="128" t="s">
        <v>1476</v>
      </c>
    </row>
    <row r="22" spans="2:21">
      <c r="B22" s="128"/>
      <c r="C22" s="128"/>
      <c r="D22" s="128"/>
      <c r="E22" s="129"/>
      <c r="F22" s="128"/>
      <c r="G22" s="128"/>
      <c r="H22" s="128"/>
      <c r="I22" s="128"/>
      <c r="J22" s="128"/>
      <c r="K22" s="128"/>
      <c r="L22" s="128"/>
      <c r="M22" s="128"/>
      <c r="N22" s="128"/>
      <c r="O22" s="128"/>
      <c r="P22" s="128"/>
      <c r="Q22" s="128"/>
      <c r="R22" s="128"/>
      <c r="S22" s="128"/>
    </row>
    <row r="23" spans="2:21">
      <c r="B23" s="134" t="s">
        <v>1468</v>
      </c>
      <c r="C23" s="135" t="s">
        <v>1469</v>
      </c>
      <c r="D23" s="135" t="s">
        <v>1470</v>
      </c>
      <c r="E23" s="135" t="s">
        <v>1471</v>
      </c>
      <c r="F23" s="135" t="s">
        <v>1472</v>
      </c>
      <c r="G23" s="135" t="s">
        <v>1473</v>
      </c>
      <c r="H23" s="135" t="s">
        <v>1474</v>
      </c>
      <c r="I23" s="135" t="str" cm="1">
        <f t="array" ref="I23:S23">TRANSPOSE(_xlfn.SORTBY(_xlfn._xlws.FILTER(Table2[NOME FÍSICO CAMPO],Table2[NOME FÍSICO TABELA]="transfer_other"), _xlfn._xlws.FILTER(Table2[ORDEM],Table2[NOME FÍSICO TABELA]= "transfer_other"), 1))</f>
        <v>internal_reference_id</v>
      </c>
      <c r="J23" s="135" t="str">
        <v>transaction_execution_date</v>
      </c>
      <c r="K23" s="135" t="str">
        <v>transfer_direction_code</v>
      </c>
      <c r="L23" s="135" t="str">
        <v xml:space="preserve">sender_nib </v>
      </c>
      <c r="M23" s="135" t="str">
        <v xml:space="preserve">receiver_nib </v>
      </c>
      <c r="N23" s="135" t="str">
        <v>currency_code</v>
      </c>
      <c r="O23" s="135" t="str">
        <v>amount</v>
      </c>
      <c r="P23" s="135" t="str">
        <v>transaction_date</v>
      </c>
      <c r="Q23" s="135" t="str">
        <v>source_code</v>
      </c>
      <c r="R23" s="135" t="str">
        <v>data_date_part</v>
      </c>
      <c r="S23" s="135" t="str">
        <v>data_timestamp_part</v>
      </c>
    </row>
    <row r="24" spans="2:21">
      <c r="B24" s="138" t="s">
        <v>1512</v>
      </c>
      <c r="C24" s="139">
        <v>21</v>
      </c>
      <c r="D24" s="140" t="s">
        <v>1513</v>
      </c>
      <c r="E24" s="141" t="s">
        <v>1514</v>
      </c>
      <c r="F24" s="141" t="s">
        <v>721</v>
      </c>
      <c r="G24" s="141" t="s">
        <v>721</v>
      </c>
      <c r="H24" s="141" t="s">
        <v>721</v>
      </c>
      <c r="I24" s="141" t="str" cm="1">
        <f t="array" aca="1" ref="I24:S25" ca="1">TRANSPOSE(_xlfn.SORTBY(_xlfn._xlws.FILTER(IF(Table2[FORMATO]:Table2[COMP_ CAMPO]&lt;&gt;"",Table2[FORMATO]:Table2[COMP_ CAMPO],9999999),Table2[NOME FÍSICO TABELA]="transfer_other"), _xlfn._xlws.FILTER(Table2[ORDEM], Table2[NOME FÍSICO TABELA]="transfer_other"), 1))</f>
        <v>STRING</v>
      </c>
      <c r="J24" s="141" t="str">
        <f ca="1"/>
        <v>STRING</v>
      </c>
      <c r="K24" s="141" t="str">
        <f ca="1"/>
        <v>STRING</v>
      </c>
      <c r="L24" s="141" t="str">
        <f ca="1"/>
        <v>STRING</v>
      </c>
      <c r="M24" s="141" t="str">
        <f ca="1"/>
        <v>STRING</v>
      </c>
      <c r="N24" s="141" t="str">
        <f ca="1"/>
        <v>STRING</v>
      </c>
      <c r="O24" s="141" t="str">
        <f ca="1"/>
        <v>DECIMAL</v>
      </c>
      <c r="P24" s="141" t="str">
        <f ca="1"/>
        <v>STRING</v>
      </c>
      <c r="Q24" s="141" t="str">
        <f ca="1"/>
        <v>STRING</v>
      </c>
      <c r="R24" s="141" t="str">
        <f ca="1"/>
        <v>STRING</v>
      </c>
      <c r="S24" s="141" t="str">
        <f ca="1"/>
        <v>TIMESTAMP</v>
      </c>
      <c r="T24" s="128"/>
    </row>
    <row r="25" spans="2:21">
      <c r="B25" s="138" t="s">
        <v>1515</v>
      </c>
      <c r="C25" s="139">
        <v>7</v>
      </c>
      <c r="D25" s="140" t="s">
        <v>1513</v>
      </c>
      <c r="E25" s="141" t="s">
        <v>1514</v>
      </c>
      <c r="F25" s="143" t="s">
        <v>721</v>
      </c>
      <c r="G25" s="143" t="s">
        <v>721</v>
      </c>
      <c r="H25" s="143" t="s">
        <v>721</v>
      </c>
      <c r="I25" s="144">
        <f ca="1"/>
        <v>35</v>
      </c>
      <c r="J25" s="144">
        <f ca="1"/>
        <v>10</v>
      </c>
      <c r="K25" s="144">
        <f ca="1"/>
        <v>4</v>
      </c>
      <c r="L25" s="144">
        <f ca="1"/>
        <v>21</v>
      </c>
      <c r="M25" s="144">
        <f ca="1"/>
        <v>21</v>
      </c>
      <c r="N25" s="144">
        <f ca="1"/>
        <v>4</v>
      </c>
      <c r="O25" s="144">
        <f ca="1"/>
        <v>23</v>
      </c>
      <c r="P25" s="144">
        <f ca="1"/>
        <v>10</v>
      </c>
      <c r="Q25" s="144">
        <f ca="1"/>
        <v>2</v>
      </c>
      <c r="R25" s="144">
        <f ca="1"/>
        <v>10</v>
      </c>
      <c r="S25" s="144">
        <f ca="1"/>
        <v>23</v>
      </c>
      <c r="T25" s="136"/>
      <c r="U25" s="137"/>
    </row>
    <row r="26" spans="2:21">
      <c r="T26" s="142"/>
    </row>
    <row r="27" spans="2:21">
      <c r="B27" s="147" t="s">
        <v>1516</v>
      </c>
      <c r="T27" s="145"/>
      <c r="U27" s="146"/>
    </row>
    <row r="28" spans="2:21">
      <c r="B28" s="148" t="s">
        <v>1517</v>
      </c>
      <c r="C28" s="148" t="s">
        <v>1518</v>
      </c>
      <c r="D28" s="149" t="s">
        <v>1519</v>
      </c>
      <c r="E28" s="148" t="s">
        <v>1520</v>
      </c>
      <c r="F28" s="148" t="s">
        <v>1521</v>
      </c>
    </row>
    <row r="29" spans="2:21">
      <c r="B29" s="150"/>
      <c r="C29" s="151"/>
      <c r="D29" s="152"/>
      <c r="E29" s="131"/>
      <c r="F29" s="153"/>
    </row>
  </sheetData>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8E92C-CCFF-46A4-9438-892B3115B326}">
  <sheetPr>
    <tabColor rgb="FF00B050"/>
  </sheetPr>
  <dimension ref="B1:Z29"/>
  <sheetViews>
    <sheetView showGridLines="0" topLeftCell="C1" workbookViewId="0">
      <selection activeCell="E41" sqref="E41"/>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20.28515625" bestFit="1" customWidth="1"/>
    <col min="10" max="10" width="11.140625" bestFit="1" customWidth="1"/>
    <col min="11" max="11" width="32" bestFit="1" customWidth="1"/>
    <col min="12" max="12" width="34.570312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35.7109375" customWidth="1"/>
    <col min="22" max="22" width="18.7109375" bestFit="1" customWidth="1"/>
    <col min="23" max="23" width="29" bestFit="1" customWidth="1"/>
    <col min="24" max="24" width="14.7109375" bestFit="1" customWidth="1"/>
    <col min="25" max="25" width="17.42578125" bestFit="1" customWidth="1"/>
    <col min="26" max="26" width="26.85546875" bestFit="1" customWidth="1"/>
  </cols>
  <sheetData>
    <row r="1" spans="2:26" ht="27.75" customHeight="1"/>
    <row r="2" spans="2:26">
      <c r="B2" s="63" t="s">
        <v>1468</v>
      </c>
      <c r="C2" s="63" t="s">
        <v>1469</v>
      </c>
      <c r="D2" s="63" t="s">
        <v>1470</v>
      </c>
      <c r="E2" s="63" t="s">
        <v>1471</v>
      </c>
      <c r="F2" s="63" t="s">
        <v>1472</v>
      </c>
      <c r="G2" s="63" t="s">
        <v>1473</v>
      </c>
      <c r="H2" s="63" t="s">
        <v>1474</v>
      </c>
      <c r="I2" s="63" t="s">
        <v>1093</v>
      </c>
      <c r="J2" s="63" t="s">
        <v>753</v>
      </c>
      <c r="K2" s="63" t="s">
        <v>849</v>
      </c>
      <c r="L2" s="63" t="s">
        <v>746</v>
      </c>
      <c r="M2" s="63" t="s">
        <v>793</v>
      </c>
      <c r="N2" s="63" t="s">
        <v>1050</v>
      </c>
      <c r="O2" s="63" t="s">
        <v>857</v>
      </c>
      <c r="P2" s="63" t="s">
        <v>904</v>
      </c>
      <c r="Q2" s="63" t="s">
        <v>967</v>
      </c>
      <c r="R2" s="63" t="s">
        <v>994</v>
      </c>
      <c r="S2" s="63" t="s">
        <v>984</v>
      </c>
      <c r="T2" s="63" t="s">
        <v>772</v>
      </c>
      <c r="U2" s="63" t="s">
        <v>701</v>
      </c>
      <c r="V2" s="63" t="s">
        <v>1086</v>
      </c>
      <c r="W2" s="63" t="s">
        <v>1112</v>
      </c>
      <c r="X2" s="63" t="s">
        <v>1101</v>
      </c>
      <c r="Y2" s="63" t="s">
        <v>804</v>
      </c>
      <c r="Z2" s="63" t="s">
        <v>841</v>
      </c>
    </row>
    <row r="3" spans="2:26">
      <c r="B3" s="128" t="s">
        <v>1422</v>
      </c>
      <c r="C3" s="128">
        <v>1</v>
      </c>
      <c r="D3" s="128" t="s">
        <v>1545</v>
      </c>
      <c r="E3" s="129">
        <v>45552</v>
      </c>
      <c r="F3" s="128">
        <v>1</v>
      </c>
      <c r="G3" s="130">
        <v>1</v>
      </c>
      <c r="H3" s="175" t="s">
        <v>1546</v>
      </c>
      <c r="I3" s="128" t="s">
        <v>1476</v>
      </c>
      <c r="J3" s="128" t="s">
        <v>1476</v>
      </c>
      <c r="K3" s="128" t="s">
        <v>1476</v>
      </c>
      <c r="L3" s="128" t="s">
        <v>1476</v>
      </c>
      <c r="M3" s="128" t="s">
        <v>1476</v>
      </c>
      <c r="N3" s="128" t="s">
        <v>1476</v>
      </c>
      <c r="O3" s="128" t="s">
        <v>1476</v>
      </c>
      <c r="P3" s="128" t="s">
        <v>1476</v>
      </c>
      <c r="Q3" s="128" t="s">
        <v>1476</v>
      </c>
      <c r="R3" s="128" t="s">
        <v>1476</v>
      </c>
      <c r="S3" s="128" t="s">
        <v>1476</v>
      </c>
      <c r="T3" s="128" t="s">
        <v>1476</v>
      </c>
      <c r="U3" s="128" t="s">
        <v>1476</v>
      </c>
      <c r="V3" s="128" t="s">
        <v>1476</v>
      </c>
      <c r="W3" s="128" t="s">
        <v>1476</v>
      </c>
      <c r="X3" s="128" t="s">
        <v>1476</v>
      </c>
      <c r="Y3" s="128" t="s">
        <v>1476</v>
      </c>
      <c r="Z3" s="128" t="s">
        <v>1476</v>
      </c>
    </row>
    <row r="4" spans="2:26">
      <c r="B4" s="128" t="s">
        <v>1424</v>
      </c>
      <c r="C4" s="128">
        <v>2</v>
      </c>
      <c r="D4" s="128" t="s">
        <v>1547</v>
      </c>
      <c r="E4" s="129">
        <v>45552</v>
      </c>
      <c r="F4" s="128">
        <v>1</v>
      </c>
      <c r="G4" s="130" t="s">
        <v>1548</v>
      </c>
      <c r="H4" s="175" t="s">
        <v>1549</v>
      </c>
      <c r="I4" s="128" t="s">
        <v>1476</v>
      </c>
      <c r="J4" s="128" t="s">
        <v>1476</v>
      </c>
      <c r="K4" s="128" t="s">
        <v>1476</v>
      </c>
      <c r="L4" s="128" t="s">
        <v>1476</v>
      </c>
      <c r="M4" s="128" t="s">
        <v>1476</v>
      </c>
      <c r="N4" s="128" t="s">
        <v>1476</v>
      </c>
      <c r="O4" s="128" t="s">
        <v>1476</v>
      </c>
      <c r="P4" s="128" t="s">
        <v>1476</v>
      </c>
      <c r="Q4" s="128" t="s">
        <v>1476</v>
      </c>
      <c r="R4" s="128" t="s">
        <v>1476</v>
      </c>
      <c r="S4" s="128" t="s">
        <v>1476</v>
      </c>
      <c r="T4" s="128" t="s">
        <v>1476</v>
      </c>
      <c r="U4" s="128" t="s">
        <v>1476</v>
      </c>
      <c r="V4" s="128" t="s">
        <v>1476</v>
      </c>
      <c r="W4" s="128" t="s">
        <v>1476</v>
      </c>
      <c r="X4" s="128" t="s">
        <v>1476</v>
      </c>
      <c r="Y4" s="128" t="s">
        <v>1476</v>
      </c>
      <c r="Z4" s="128" t="s">
        <v>1476</v>
      </c>
    </row>
    <row r="5" spans="2:26">
      <c r="B5" s="128" t="s">
        <v>1426</v>
      </c>
      <c r="C5" s="128">
        <v>3</v>
      </c>
      <c r="D5" s="128" t="s">
        <v>1550</v>
      </c>
      <c r="E5" s="129">
        <v>45552</v>
      </c>
      <c r="F5" s="128">
        <v>1</v>
      </c>
      <c r="G5" s="130">
        <v>1</v>
      </c>
      <c r="H5" s="128" t="s">
        <v>1551</v>
      </c>
      <c r="I5" s="128">
        <v>0</v>
      </c>
      <c r="J5" s="128">
        <v>0</v>
      </c>
      <c r="K5" s="128">
        <v>0</v>
      </c>
      <c r="L5" s="128" t="s">
        <v>1476</v>
      </c>
      <c r="M5" s="128">
        <v>0</v>
      </c>
      <c r="N5" s="128" t="s">
        <v>1476</v>
      </c>
      <c r="O5" s="128" t="s">
        <v>1476</v>
      </c>
      <c r="P5" s="128" t="s">
        <v>1476</v>
      </c>
      <c r="Q5" s="128" t="s">
        <v>1476</v>
      </c>
      <c r="R5" s="128" t="s">
        <v>1476</v>
      </c>
      <c r="S5" s="128" t="s">
        <v>1476</v>
      </c>
      <c r="T5" s="128" t="s">
        <v>1476</v>
      </c>
      <c r="U5" s="128" t="s">
        <v>1476</v>
      </c>
      <c r="V5" s="128" t="s">
        <v>1476</v>
      </c>
      <c r="W5" s="128" t="s">
        <v>1476</v>
      </c>
      <c r="X5" s="128" t="s">
        <v>1476</v>
      </c>
      <c r="Y5" s="128">
        <v>0</v>
      </c>
      <c r="Z5" s="128" t="s">
        <v>1476</v>
      </c>
    </row>
    <row r="6" spans="2:26">
      <c r="B6" s="131" t="s">
        <v>1428</v>
      </c>
      <c r="C6" s="128">
        <v>4</v>
      </c>
      <c r="D6" s="128" t="s">
        <v>1479</v>
      </c>
      <c r="E6" s="129" t="s">
        <v>1476</v>
      </c>
      <c r="F6" s="128">
        <v>1</v>
      </c>
      <c r="G6" s="130" t="s">
        <v>1476</v>
      </c>
      <c r="H6" s="128" t="s">
        <v>1476</v>
      </c>
      <c r="I6" s="128" t="s">
        <v>1476</v>
      </c>
      <c r="J6" s="128" t="s">
        <v>1476</v>
      </c>
      <c r="K6" s="128" t="s">
        <v>1476</v>
      </c>
      <c r="L6" s="128" t="s">
        <v>1476</v>
      </c>
      <c r="M6" s="128" t="s">
        <v>1476</v>
      </c>
      <c r="N6" s="128" t="s">
        <v>1476</v>
      </c>
      <c r="O6" s="128" t="s">
        <v>1476</v>
      </c>
      <c r="P6" s="128" t="s">
        <v>1476</v>
      </c>
      <c r="Q6" s="128" t="s">
        <v>1476</v>
      </c>
      <c r="R6" s="128" t="s">
        <v>1476</v>
      </c>
      <c r="S6" s="128" t="s">
        <v>1476</v>
      </c>
      <c r="T6" s="128" t="s">
        <v>1476</v>
      </c>
      <c r="U6" s="128" t="s">
        <v>1476</v>
      </c>
      <c r="V6" s="128" t="s">
        <v>1476</v>
      </c>
      <c r="W6" s="128" t="s">
        <v>1476</v>
      </c>
      <c r="X6" s="128" t="s">
        <v>1476</v>
      </c>
      <c r="Y6" s="128" t="s">
        <v>1476</v>
      </c>
      <c r="Z6" s="128" t="s">
        <v>1476</v>
      </c>
    </row>
    <row r="7" spans="2:26">
      <c r="B7" s="128" t="s">
        <v>1430</v>
      </c>
      <c r="C7" s="128">
        <v>5</v>
      </c>
      <c r="D7" s="128" t="s">
        <v>1479</v>
      </c>
      <c r="E7" s="129" t="s">
        <v>1476</v>
      </c>
      <c r="F7" s="128">
        <v>1</v>
      </c>
      <c r="G7" s="130" t="s">
        <v>1476</v>
      </c>
      <c r="H7" s="128" t="s">
        <v>1476</v>
      </c>
      <c r="I7" s="128" t="s">
        <v>1476</v>
      </c>
      <c r="J7" s="128" t="s">
        <v>1476</v>
      </c>
      <c r="K7" s="128" t="s">
        <v>1476</v>
      </c>
      <c r="L7" s="128" t="s">
        <v>1476</v>
      </c>
      <c r="M7" s="128" t="s">
        <v>1476</v>
      </c>
      <c r="N7" s="128" t="s">
        <v>1476</v>
      </c>
      <c r="O7" s="128" t="s">
        <v>1476</v>
      </c>
      <c r="P7" s="128" t="s">
        <v>1476</v>
      </c>
      <c r="Q7" s="128" t="s">
        <v>1476</v>
      </c>
      <c r="R7" s="128" t="s">
        <v>1476</v>
      </c>
      <c r="S7" s="128" t="s">
        <v>1476</v>
      </c>
      <c r="T7" s="128" t="s">
        <v>1476</v>
      </c>
      <c r="U7" s="128" t="s">
        <v>1476</v>
      </c>
      <c r="V7" s="128" t="s">
        <v>1476</v>
      </c>
      <c r="W7" s="128" t="s">
        <v>1476</v>
      </c>
      <c r="X7" s="128" t="s">
        <v>1476</v>
      </c>
      <c r="Y7" s="128" t="s">
        <v>1476</v>
      </c>
      <c r="Z7" s="128" t="s">
        <v>1476</v>
      </c>
    </row>
    <row r="8" spans="2:26">
      <c r="B8" s="128" t="s">
        <v>1431</v>
      </c>
      <c r="C8" s="128">
        <v>6</v>
      </c>
      <c r="D8" s="128" t="s">
        <v>1552</v>
      </c>
      <c r="E8" s="129">
        <v>45552</v>
      </c>
      <c r="F8" s="128">
        <v>1</v>
      </c>
      <c r="G8" s="130" cm="1">
        <f t="array" ref="G8">SUMPRODUCT(--(I8:Z8&gt;0))/COUNTA(I8:Z8)</f>
        <v>1</v>
      </c>
      <c r="H8" s="128" t="s">
        <v>1551</v>
      </c>
      <c r="I8" s="128">
        <v>3</v>
      </c>
      <c r="J8" s="128">
        <v>8</v>
      </c>
      <c r="K8" s="128">
        <v>8</v>
      </c>
      <c r="L8" s="128">
        <v>1</v>
      </c>
      <c r="M8" s="128">
        <v>3</v>
      </c>
      <c r="N8" s="128">
        <v>16</v>
      </c>
      <c r="O8" s="128">
        <v>8</v>
      </c>
      <c r="P8" s="128">
        <v>3</v>
      </c>
      <c r="Q8" s="128">
        <v>16</v>
      </c>
      <c r="R8" s="128">
        <v>8</v>
      </c>
      <c r="S8" s="128">
        <v>3</v>
      </c>
      <c r="T8" s="128">
        <v>3</v>
      </c>
      <c r="U8" s="128">
        <v>8</v>
      </c>
      <c r="V8" s="128">
        <v>10</v>
      </c>
      <c r="W8" s="128">
        <v>10</v>
      </c>
      <c r="X8" s="128">
        <v>2</v>
      </c>
      <c r="Y8" s="128">
        <v>10</v>
      </c>
      <c r="Z8" s="128">
        <v>23</v>
      </c>
    </row>
    <row r="9" spans="2:26">
      <c r="B9" s="128" t="s">
        <v>1434</v>
      </c>
      <c r="C9" s="128">
        <v>7</v>
      </c>
      <c r="D9" s="128" t="s">
        <v>1553</v>
      </c>
      <c r="E9" s="129">
        <v>45552</v>
      </c>
      <c r="F9" s="128">
        <v>1</v>
      </c>
      <c r="G9" s="130" cm="1">
        <f t="array" aca="1" ref="G9" ca="1">SUMPRODUCT(--(I9:Z9 &lt;= I25:Z25))/COUNTA(I25:Z25)</f>
        <v>1</v>
      </c>
      <c r="H9" s="128" t="s">
        <v>1551</v>
      </c>
      <c r="I9" s="128">
        <v>3</v>
      </c>
      <c r="J9" s="128">
        <v>35</v>
      </c>
      <c r="K9" s="128">
        <v>35</v>
      </c>
      <c r="L9" s="128">
        <v>35</v>
      </c>
      <c r="M9" s="128">
        <v>3</v>
      </c>
      <c r="N9" s="128">
        <v>27</v>
      </c>
      <c r="O9" s="128">
        <v>11</v>
      </c>
      <c r="P9" s="128">
        <v>70</v>
      </c>
      <c r="Q9" s="128">
        <v>27</v>
      </c>
      <c r="R9" s="128">
        <v>11</v>
      </c>
      <c r="S9" s="128">
        <v>70</v>
      </c>
      <c r="T9" s="128">
        <v>3</v>
      </c>
      <c r="U9" s="128">
        <v>14</v>
      </c>
      <c r="V9" s="128">
        <v>10</v>
      </c>
      <c r="W9" s="128">
        <v>10</v>
      </c>
      <c r="X9" s="128">
        <v>2</v>
      </c>
      <c r="Y9" s="128">
        <v>10</v>
      </c>
      <c r="Z9" s="128">
        <v>23</v>
      </c>
    </row>
    <row r="10" spans="2:26">
      <c r="B10" s="131" t="s">
        <v>1437</v>
      </c>
      <c r="C10" s="128">
        <v>8</v>
      </c>
      <c r="D10" s="128" t="s">
        <v>1554</v>
      </c>
      <c r="E10" s="129">
        <v>45552</v>
      </c>
      <c r="F10" s="128">
        <v>1</v>
      </c>
      <c r="G10" s="130" t="s">
        <v>1476</v>
      </c>
      <c r="H10" s="128" t="s">
        <v>1551</v>
      </c>
      <c r="I10" s="128" t="s">
        <v>1555</v>
      </c>
      <c r="J10" s="129" t="s">
        <v>1556</v>
      </c>
      <c r="K10" s="167" t="s">
        <v>1557</v>
      </c>
      <c r="L10" s="128" t="s">
        <v>1558</v>
      </c>
      <c r="M10" s="128" t="s">
        <v>1222</v>
      </c>
      <c r="N10" s="128" t="s">
        <v>1559</v>
      </c>
      <c r="O10" s="129" t="s">
        <v>1560</v>
      </c>
      <c r="P10" s="129" t="s">
        <v>1561</v>
      </c>
      <c r="Q10" s="132" t="s">
        <v>1562</v>
      </c>
      <c r="R10" s="129" t="s">
        <v>1560</v>
      </c>
      <c r="S10" s="129" t="s">
        <v>1563</v>
      </c>
      <c r="T10" s="128" t="s">
        <v>1564</v>
      </c>
      <c r="U10" s="128" t="s">
        <v>1490</v>
      </c>
      <c r="V10" s="129">
        <v>45552</v>
      </c>
      <c r="W10" s="129">
        <v>45552</v>
      </c>
      <c r="X10" s="128" t="s">
        <v>1565</v>
      </c>
      <c r="Y10" s="129">
        <v>45552</v>
      </c>
      <c r="Z10" s="128" t="s">
        <v>1566</v>
      </c>
    </row>
    <row r="11" spans="2:26">
      <c r="B11" s="128" t="s">
        <v>1439</v>
      </c>
      <c r="C11" s="128">
        <v>9</v>
      </c>
      <c r="D11" s="128" t="s">
        <v>1567</v>
      </c>
      <c r="E11" s="129">
        <v>45552</v>
      </c>
      <c r="F11" s="128">
        <v>1</v>
      </c>
      <c r="G11" s="130" t="s">
        <v>1476</v>
      </c>
      <c r="H11" s="128" t="s">
        <v>1551</v>
      </c>
      <c r="I11" s="128" t="s">
        <v>1555</v>
      </c>
      <c r="J11" s="129" t="s">
        <v>1556</v>
      </c>
      <c r="K11" s="167" t="s">
        <v>1557</v>
      </c>
      <c r="L11" s="128" t="s">
        <v>1558</v>
      </c>
      <c r="M11" s="128" t="s">
        <v>1222</v>
      </c>
      <c r="N11" s="128" t="s">
        <v>1559</v>
      </c>
      <c r="O11" s="129" t="s">
        <v>1560</v>
      </c>
      <c r="P11" s="129" t="s">
        <v>1561</v>
      </c>
      <c r="Q11" s="128" t="s">
        <v>1562</v>
      </c>
      <c r="R11" s="129" t="s">
        <v>1560</v>
      </c>
      <c r="S11" s="129" t="s">
        <v>1563</v>
      </c>
      <c r="T11" s="128" t="s">
        <v>1564</v>
      </c>
      <c r="U11" s="128" t="s">
        <v>1490</v>
      </c>
      <c r="V11" s="129">
        <v>45552</v>
      </c>
      <c r="W11" s="129">
        <v>45552</v>
      </c>
      <c r="X11" s="128" t="s">
        <v>1565</v>
      </c>
      <c r="Y11" s="129">
        <v>45552</v>
      </c>
      <c r="Z11" s="128" t="s">
        <v>1568</v>
      </c>
    </row>
    <row r="12" spans="2:26">
      <c r="B12" s="128" t="s">
        <v>1441</v>
      </c>
      <c r="C12" s="128">
        <v>10</v>
      </c>
      <c r="D12" s="128" t="s">
        <v>1569</v>
      </c>
      <c r="E12" s="129">
        <v>45552</v>
      </c>
      <c r="F12" s="128">
        <v>1</v>
      </c>
      <c r="G12" s="130" t="s">
        <v>1476</v>
      </c>
      <c r="H12" s="128" t="s">
        <v>1551</v>
      </c>
      <c r="I12" s="128" t="s">
        <v>1570</v>
      </c>
      <c r="J12" s="129" t="s">
        <v>1571</v>
      </c>
      <c r="K12" s="128" t="s">
        <v>1572</v>
      </c>
      <c r="L12" s="128" t="s">
        <v>1573</v>
      </c>
      <c r="M12" s="128" t="s">
        <v>1496</v>
      </c>
      <c r="N12" s="132" t="s">
        <v>1574</v>
      </c>
      <c r="O12" s="133" t="s">
        <v>1575</v>
      </c>
      <c r="P12" s="129" t="s">
        <v>1576</v>
      </c>
      <c r="Q12" s="129" t="s">
        <v>1577</v>
      </c>
      <c r="R12" s="129" t="s">
        <v>1578</v>
      </c>
      <c r="S12" s="129" t="s">
        <v>1579</v>
      </c>
      <c r="T12" s="128" t="s">
        <v>1564</v>
      </c>
      <c r="U12" s="132">
        <v>2941765790000</v>
      </c>
      <c r="V12" s="129">
        <v>45552</v>
      </c>
      <c r="W12" s="129">
        <v>45552</v>
      </c>
      <c r="X12" s="128" t="s">
        <v>1565</v>
      </c>
      <c r="Y12" s="129">
        <v>45552</v>
      </c>
      <c r="Z12" s="128" t="s">
        <v>1566</v>
      </c>
    </row>
    <row r="13" spans="2:26">
      <c r="B13" s="128" t="s">
        <v>1443</v>
      </c>
      <c r="C13" s="128">
        <v>11</v>
      </c>
      <c r="D13" s="128" t="s">
        <v>1580</v>
      </c>
      <c r="E13" s="129">
        <v>45552</v>
      </c>
      <c r="F13" s="128">
        <v>1</v>
      </c>
      <c r="G13" s="130" t="s">
        <v>1476</v>
      </c>
      <c r="H13" s="128" t="s">
        <v>1551</v>
      </c>
      <c r="I13" s="128" t="s">
        <v>1570</v>
      </c>
      <c r="J13" s="129" t="s">
        <v>1571</v>
      </c>
      <c r="K13" s="128" t="s">
        <v>1572</v>
      </c>
      <c r="L13" s="128" t="s">
        <v>1573</v>
      </c>
      <c r="M13" s="128" t="s">
        <v>1496</v>
      </c>
      <c r="N13" s="132" t="s">
        <v>1574</v>
      </c>
      <c r="O13" s="133" t="s">
        <v>1575</v>
      </c>
      <c r="P13" s="129" t="s">
        <v>1576</v>
      </c>
      <c r="Q13" s="129" t="s">
        <v>1577</v>
      </c>
      <c r="R13" s="129" t="s">
        <v>1578</v>
      </c>
      <c r="S13" s="129" t="s">
        <v>1579</v>
      </c>
      <c r="T13" s="128" t="s">
        <v>1564</v>
      </c>
      <c r="U13" s="132">
        <v>2941765790000</v>
      </c>
      <c r="V13" s="129">
        <v>45552</v>
      </c>
      <c r="W13" s="129">
        <v>45552</v>
      </c>
      <c r="X13" s="128" t="s">
        <v>1565</v>
      </c>
      <c r="Y13" s="129">
        <v>45552</v>
      </c>
      <c r="Z13" s="128" t="s">
        <v>1581</v>
      </c>
    </row>
    <row r="14" spans="2:26">
      <c r="B14" s="128" t="s">
        <v>1445</v>
      </c>
      <c r="C14" s="128">
        <v>12</v>
      </c>
      <c r="D14" s="128" t="s">
        <v>1582</v>
      </c>
      <c r="E14" s="129">
        <v>45552</v>
      </c>
      <c r="F14" s="128">
        <v>1</v>
      </c>
      <c r="G14" s="130">
        <v>1</v>
      </c>
      <c r="H14" s="128" t="s">
        <v>1551</v>
      </c>
      <c r="I14" s="128">
        <v>0</v>
      </c>
      <c r="J14" s="128">
        <v>0</v>
      </c>
      <c r="K14" s="128">
        <v>0</v>
      </c>
      <c r="L14" s="128">
        <v>0</v>
      </c>
      <c r="M14" s="128">
        <v>0</v>
      </c>
      <c r="N14" s="128">
        <v>0</v>
      </c>
      <c r="O14" s="128">
        <v>0</v>
      </c>
      <c r="P14" s="128">
        <v>0</v>
      </c>
      <c r="Q14" s="128">
        <v>0</v>
      </c>
      <c r="R14" s="128">
        <v>0</v>
      </c>
      <c r="S14" s="128">
        <v>0</v>
      </c>
      <c r="T14" s="128">
        <v>0</v>
      </c>
      <c r="U14" s="128">
        <v>0</v>
      </c>
      <c r="V14" s="128">
        <v>0</v>
      </c>
      <c r="W14" s="128">
        <v>0</v>
      </c>
      <c r="X14" s="128">
        <v>0</v>
      </c>
      <c r="Y14" s="128">
        <v>0</v>
      </c>
      <c r="Z14" s="128">
        <v>0</v>
      </c>
    </row>
    <row r="15" spans="2:26">
      <c r="B15" s="128" t="s">
        <v>1447</v>
      </c>
      <c r="C15" s="128">
        <v>13</v>
      </c>
      <c r="D15" s="128" t="s">
        <v>1583</v>
      </c>
      <c r="E15" s="129">
        <v>45552</v>
      </c>
      <c r="F15" s="128">
        <v>1</v>
      </c>
      <c r="G15" s="130">
        <v>1</v>
      </c>
      <c r="H15" s="128" t="s">
        <v>1551</v>
      </c>
      <c r="I15" s="128" t="s">
        <v>1476</v>
      </c>
      <c r="J15" s="128" t="s">
        <v>1476</v>
      </c>
      <c r="K15" s="128" t="s">
        <v>1476</v>
      </c>
      <c r="L15" s="128" t="s">
        <v>1476</v>
      </c>
      <c r="M15" s="128" t="s">
        <v>1476</v>
      </c>
      <c r="N15" s="128" t="s">
        <v>1476</v>
      </c>
      <c r="O15" s="131" t="s">
        <v>1476</v>
      </c>
      <c r="P15" s="131" t="s">
        <v>1476</v>
      </c>
      <c r="Q15" s="131" t="s">
        <v>1476</v>
      </c>
      <c r="R15" s="128" t="s">
        <v>1476</v>
      </c>
      <c r="S15" s="128" t="s">
        <v>1476</v>
      </c>
      <c r="T15" s="128" t="s">
        <v>1476</v>
      </c>
      <c r="U15" s="128" t="s">
        <v>1476</v>
      </c>
      <c r="V15" s="128">
        <v>0</v>
      </c>
      <c r="W15" s="128">
        <v>0</v>
      </c>
      <c r="X15" s="128" t="s">
        <v>1476</v>
      </c>
      <c r="Y15" s="128" t="s">
        <v>1476</v>
      </c>
      <c r="Z15" s="128" t="s">
        <v>1476</v>
      </c>
    </row>
    <row r="16" spans="2:26">
      <c r="B16" s="128" t="s">
        <v>1449</v>
      </c>
      <c r="C16" s="128">
        <v>14</v>
      </c>
      <c r="D16" s="128" t="s">
        <v>1584</v>
      </c>
      <c r="E16" s="129">
        <v>45552</v>
      </c>
      <c r="F16" s="128">
        <v>1</v>
      </c>
      <c r="G16" s="130">
        <v>1</v>
      </c>
      <c r="H16" s="128" t="s">
        <v>1551</v>
      </c>
      <c r="I16" s="128">
        <v>0</v>
      </c>
      <c r="J16" s="128">
        <v>0</v>
      </c>
      <c r="K16" s="128">
        <v>0</v>
      </c>
      <c r="L16" s="128" t="s">
        <v>1476</v>
      </c>
      <c r="M16" s="128">
        <v>0</v>
      </c>
      <c r="N16" s="128" t="s">
        <v>1476</v>
      </c>
      <c r="O16" s="128" t="s">
        <v>1476</v>
      </c>
      <c r="P16" s="128" t="s">
        <v>1476</v>
      </c>
      <c r="Q16" s="128" t="s">
        <v>1476</v>
      </c>
      <c r="R16" s="128" t="s">
        <v>1476</v>
      </c>
      <c r="S16" s="131" t="s">
        <v>1476</v>
      </c>
      <c r="T16" s="128">
        <v>0</v>
      </c>
      <c r="U16" s="128" t="s">
        <v>1476</v>
      </c>
      <c r="V16" s="128" t="s">
        <v>1476</v>
      </c>
      <c r="W16" s="128" t="s">
        <v>1476</v>
      </c>
      <c r="X16" s="128" t="s">
        <v>1476</v>
      </c>
      <c r="Y16" s="128" t="s">
        <v>1476</v>
      </c>
      <c r="Z16" s="128" t="s">
        <v>1476</v>
      </c>
    </row>
    <row r="17" spans="2:26">
      <c r="B17" s="128" t="s">
        <v>1451</v>
      </c>
      <c r="C17" s="128">
        <v>15</v>
      </c>
      <c r="D17" s="128" t="s">
        <v>1585</v>
      </c>
      <c r="E17" s="129">
        <v>45552</v>
      </c>
      <c r="F17" s="128">
        <v>1</v>
      </c>
      <c r="G17" s="130">
        <v>1</v>
      </c>
      <c r="H17" s="128" t="s">
        <v>1551</v>
      </c>
      <c r="I17" s="128" t="s">
        <v>1476</v>
      </c>
      <c r="J17" s="128" t="s">
        <v>1476</v>
      </c>
      <c r="K17" s="128" t="s">
        <v>1476</v>
      </c>
      <c r="L17" s="128" t="s">
        <v>1476</v>
      </c>
      <c r="M17" s="128" t="s">
        <v>1476</v>
      </c>
      <c r="N17" s="128" t="s">
        <v>1476</v>
      </c>
      <c r="O17" s="128" t="s">
        <v>1476</v>
      </c>
      <c r="P17" s="128" t="s">
        <v>1476</v>
      </c>
      <c r="Q17" s="128" t="s">
        <v>1476</v>
      </c>
      <c r="R17" s="128" t="s">
        <v>1476</v>
      </c>
      <c r="S17" s="131" t="s">
        <v>1476</v>
      </c>
      <c r="T17" s="128" t="s">
        <v>1476</v>
      </c>
      <c r="U17" s="128" t="s">
        <v>1476</v>
      </c>
      <c r="V17" s="128" t="s">
        <v>1476</v>
      </c>
      <c r="W17" s="128" t="s">
        <v>1476</v>
      </c>
      <c r="X17" s="128" t="s">
        <v>1476</v>
      </c>
      <c r="Y17" s="128" t="s">
        <v>1476</v>
      </c>
      <c r="Z17" s="128" t="s">
        <v>1476</v>
      </c>
    </row>
    <row r="18" spans="2:26">
      <c r="B18" s="128" t="s">
        <v>1453</v>
      </c>
      <c r="C18" s="128">
        <v>16</v>
      </c>
      <c r="D18" s="128" t="s">
        <v>1585</v>
      </c>
      <c r="E18" s="129">
        <v>45552</v>
      </c>
      <c r="F18" s="128">
        <v>1</v>
      </c>
      <c r="G18" s="130">
        <v>1</v>
      </c>
      <c r="H18" s="128" t="s">
        <v>1551</v>
      </c>
      <c r="I18" s="128" t="s">
        <v>1476</v>
      </c>
      <c r="J18" s="128" t="s">
        <v>1476</v>
      </c>
      <c r="K18" s="128" t="s">
        <v>1476</v>
      </c>
      <c r="L18" s="128" t="s">
        <v>1476</v>
      </c>
      <c r="M18" s="128" t="s">
        <v>1476</v>
      </c>
      <c r="N18" s="128" t="s">
        <v>1476</v>
      </c>
      <c r="O18" s="128" t="s">
        <v>1476</v>
      </c>
      <c r="P18" s="128" t="s">
        <v>1476</v>
      </c>
      <c r="Q18" s="128" t="s">
        <v>1476</v>
      </c>
      <c r="R18" s="128" t="s">
        <v>1476</v>
      </c>
      <c r="S18" s="128" t="s">
        <v>1476</v>
      </c>
      <c r="T18" s="128" t="s">
        <v>1476</v>
      </c>
      <c r="U18" s="128" t="s">
        <v>1476</v>
      </c>
      <c r="V18" s="128" t="s">
        <v>1476</v>
      </c>
      <c r="W18" s="128" t="s">
        <v>1476</v>
      </c>
      <c r="X18" s="128" t="s">
        <v>1476</v>
      </c>
      <c r="Y18" s="128" t="s">
        <v>1476</v>
      </c>
      <c r="Z18" s="128" t="s">
        <v>1476</v>
      </c>
    </row>
    <row r="19" spans="2:26">
      <c r="B19" s="128" t="s">
        <v>1459</v>
      </c>
      <c r="C19" s="128">
        <v>19</v>
      </c>
      <c r="D19" s="128" t="s">
        <v>1586</v>
      </c>
      <c r="E19" s="129">
        <v>45552</v>
      </c>
      <c r="F19" s="128">
        <v>1</v>
      </c>
      <c r="G19" s="130" cm="1">
        <f t="array" aca="1" ref="G19" ca="1">SUMPRODUCT(--(ISNUMBER((SEARCH(I24:Z24,I19:Z19)))))/COUNTA(I19:Z19)</f>
        <v>1</v>
      </c>
      <c r="H19" s="128" t="s">
        <v>1551</v>
      </c>
      <c r="I19" s="128" t="s">
        <v>1509</v>
      </c>
      <c r="J19" s="128" t="s">
        <v>1509</v>
      </c>
      <c r="K19" s="128" t="s">
        <v>1509</v>
      </c>
      <c r="L19" s="128" t="s">
        <v>1509</v>
      </c>
      <c r="M19" s="128" t="s">
        <v>1509</v>
      </c>
      <c r="N19" s="128" t="s">
        <v>1509</v>
      </c>
      <c r="O19" s="128" t="s">
        <v>1509</v>
      </c>
      <c r="P19" s="128" t="s">
        <v>1509</v>
      </c>
      <c r="Q19" s="128" t="s">
        <v>1509</v>
      </c>
      <c r="R19" s="128" t="s">
        <v>1509</v>
      </c>
      <c r="S19" s="128" t="s">
        <v>1509</v>
      </c>
      <c r="T19" s="128" t="s">
        <v>1509</v>
      </c>
      <c r="U19" s="128" t="s">
        <v>1510</v>
      </c>
      <c r="V19" s="128" t="s">
        <v>1509</v>
      </c>
      <c r="W19" s="128" t="s">
        <v>1509</v>
      </c>
      <c r="X19" s="128" t="s">
        <v>1509</v>
      </c>
      <c r="Y19" s="128" t="s">
        <v>1509</v>
      </c>
      <c r="Z19" s="128" t="s">
        <v>1511</v>
      </c>
    </row>
    <row r="20" spans="2:26">
      <c r="B20" s="131" t="s">
        <v>1462</v>
      </c>
      <c r="C20" s="128">
        <v>20</v>
      </c>
      <c r="D20" s="128" t="s">
        <v>1586</v>
      </c>
      <c r="E20" s="129">
        <v>45552</v>
      </c>
      <c r="F20" s="128">
        <v>1</v>
      </c>
      <c r="G20" s="130" cm="1">
        <f t="array" ref="G20">SUM(IF(I2:Z2 = I23:Z23, 1, 0))/ COUNTA(I2:Z2)</f>
        <v>0.94444444444444442</v>
      </c>
      <c r="H20" s="128" t="s">
        <v>1476</v>
      </c>
      <c r="I20" s="128" t="s">
        <v>1476</v>
      </c>
      <c r="J20" s="128" t="s">
        <v>1476</v>
      </c>
      <c r="K20" s="128" t="s">
        <v>1476</v>
      </c>
      <c r="L20" s="128" t="s">
        <v>1476</v>
      </c>
      <c r="M20" s="128" t="s">
        <v>1476</v>
      </c>
      <c r="N20" s="128" t="s">
        <v>1476</v>
      </c>
      <c r="O20" s="128" t="s">
        <v>1476</v>
      </c>
      <c r="P20" s="128" t="s">
        <v>1476</v>
      </c>
      <c r="Q20" s="128" t="s">
        <v>1476</v>
      </c>
      <c r="R20" s="128" t="s">
        <v>1476</v>
      </c>
      <c r="S20" s="128" t="s">
        <v>1476</v>
      </c>
      <c r="T20" s="128"/>
      <c r="U20" s="128"/>
      <c r="V20" s="128"/>
      <c r="W20" s="128"/>
      <c r="X20" s="128"/>
      <c r="Y20" s="128"/>
      <c r="Z20" s="128"/>
    </row>
    <row r="21" spans="2:26">
      <c r="B21" s="128" t="s">
        <v>1465</v>
      </c>
      <c r="C21" s="128">
        <v>21</v>
      </c>
      <c r="D21" s="128" t="s">
        <v>1586</v>
      </c>
      <c r="E21" s="129">
        <v>45552</v>
      </c>
      <c r="F21" s="128">
        <v>1</v>
      </c>
      <c r="G21" s="130" cm="1">
        <f t="array" aca="1" ref="G21" ca="1">SUM(IF(IF(G3:G20="null",1,G3:G20)=1,1,0))/COUNT(IF(G3:G20="null",1,0))</f>
        <v>0.88888888888888884</v>
      </c>
      <c r="H21" s="128" t="s">
        <v>1476</v>
      </c>
      <c r="I21" s="128" t="s">
        <v>1476</v>
      </c>
      <c r="J21" s="128" t="s">
        <v>1476</v>
      </c>
      <c r="K21" s="128" t="s">
        <v>1476</v>
      </c>
      <c r="L21" s="128" t="s">
        <v>1476</v>
      </c>
      <c r="M21" s="128" t="s">
        <v>1476</v>
      </c>
      <c r="N21" s="128" t="s">
        <v>1476</v>
      </c>
      <c r="O21" s="128" t="s">
        <v>1476</v>
      </c>
      <c r="P21" s="128" t="s">
        <v>1476</v>
      </c>
      <c r="Q21" s="128" t="s">
        <v>1476</v>
      </c>
      <c r="R21" s="128" t="s">
        <v>1476</v>
      </c>
      <c r="S21" s="128" t="s">
        <v>1476</v>
      </c>
      <c r="T21" s="128"/>
      <c r="U21" s="128"/>
      <c r="V21" s="128"/>
      <c r="W21" s="128"/>
      <c r="X21" s="128"/>
      <c r="Y21" s="128"/>
      <c r="Z21" s="128"/>
    </row>
    <row r="22" spans="2:26">
      <c r="B22" s="128"/>
      <c r="C22" s="128"/>
      <c r="D22" s="128"/>
      <c r="E22" s="129"/>
      <c r="F22" s="128"/>
      <c r="G22" s="128"/>
      <c r="H22" s="128"/>
      <c r="I22" s="128"/>
      <c r="J22" s="128"/>
      <c r="K22" s="128"/>
      <c r="L22" s="128"/>
      <c r="M22" s="128"/>
      <c r="N22" s="128"/>
      <c r="O22" s="128"/>
      <c r="P22" s="128"/>
      <c r="Q22" s="128"/>
      <c r="R22" s="128"/>
      <c r="S22" s="128"/>
    </row>
    <row r="23" spans="2:26">
      <c r="B23" s="134" t="s">
        <v>1468</v>
      </c>
      <c r="C23" s="135" t="s">
        <v>1469</v>
      </c>
      <c r="D23" s="135" t="s">
        <v>1470</v>
      </c>
      <c r="E23" s="135" t="s">
        <v>1471</v>
      </c>
      <c r="F23" s="135" t="s">
        <v>1472</v>
      </c>
      <c r="G23" s="135" t="s">
        <v>1473</v>
      </c>
      <c r="H23" s="135" t="s">
        <v>1474</v>
      </c>
      <c r="I23" s="135" t="str" cm="1">
        <f t="array" ref="I23:Z23">TRANSPOSE(_xlfn.SORTBY(_xlfn._xlws.FILTER(Table2[NOME FÍSICO CAMPO],Table2[NOME FÍSICO TABELA]="direct_debit"), _xlfn._xlws.FILTER(Table2[ORDEM],Table2[NOME FÍSICO TABELA]= "direct_debit"), 1))</f>
        <v>service_type_code</v>
      </c>
      <c r="J23" s="135" t="str">
        <v>batch_id</v>
      </c>
      <c r="K23" s="135" t="str">
        <v>internal_reference_id</v>
      </c>
      <c r="L23" s="135" t="str">
        <v>authorization_number</v>
      </c>
      <c r="M23" s="135" t="str">
        <v>transfer_direction_code</v>
      </c>
      <c r="N23" s="135" t="str">
        <v>sender_iban</v>
      </c>
      <c r="O23" s="135" t="str">
        <v>sender_swift</v>
      </c>
      <c r="P23" s="135" t="str">
        <v>sender_name</v>
      </c>
      <c r="Q23" s="135" t="str">
        <v>receiver_iban</v>
      </c>
      <c r="R23" s="135" t="str">
        <v>receiver_swift</v>
      </c>
      <c r="S23" s="135" t="str">
        <v>receiver_name</v>
      </c>
      <c r="T23" s="168" t="str">
        <v>currency_code</v>
      </c>
      <c r="U23" s="168" t="str">
        <v>amount</v>
      </c>
      <c r="V23" s="168" t="str">
        <v>transaction_date</v>
      </c>
      <c r="W23" s="168" t="str">
        <v>transaction_execution_date</v>
      </c>
      <c r="X23" s="168" t="str">
        <v>source_code</v>
      </c>
      <c r="Y23" s="168" t="str">
        <v>data_date_part</v>
      </c>
      <c r="Z23" s="172" t="str">
        <v>data_timestamp_part</v>
      </c>
    </row>
    <row r="24" spans="2:26">
      <c r="B24" s="138" t="s">
        <v>1512</v>
      </c>
      <c r="C24" s="139">
        <v>21</v>
      </c>
      <c r="D24" s="140" t="s">
        <v>1513</v>
      </c>
      <c r="E24" s="141" t="s">
        <v>1514</v>
      </c>
      <c r="F24" s="141" t="s">
        <v>721</v>
      </c>
      <c r="G24" s="141" t="s">
        <v>721</v>
      </c>
      <c r="H24" s="141" t="s">
        <v>721</v>
      </c>
      <c r="I24" s="141" t="str" cm="1">
        <f t="array" aca="1" ref="I24:Z25" ca="1">TRANSPOSE(_xlfn.SORTBY(_xlfn._xlws.FILTER(IF(Table2[FORMATO]:Table2[COMP_ CAMPO]&lt;&gt;"",Table2[FORMATO]:Table2[COMP_ CAMPO],9999999),Table2[NOME FÍSICO TABELA]="direct_debit"), _xlfn._xlws.FILTER(Table2[ORDEM], Table2[NOME FÍSICO TABELA]="direct_debit"), 1))</f>
        <v>STRING</v>
      </c>
      <c r="J24" s="141" t="str">
        <f ca="1"/>
        <v>STRING</v>
      </c>
      <c r="K24" s="141" t="str">
        <f ca="1"/>
        <v>STRING</v>
      </c>
      <c r="L24" s="141" t="str">
        <f ca="1"/>
        <v>STRING</v>
      </c>
      <c r="M24" s="141" t="str">
        <f ca="1"/>
        <v>STRING</v>
      </c>
      <c r="N24" s="141" t="str">
        <f ca="1"/>
        <v>STRING</v>
      </c>
      <c r="O24" s="141" t="str">
        <f ca="1"/>
        <v>STRING</v>
      </c>
      <c r="P24" s="141" t="str">
        <f ca="1"/>
        <v>STRING</v>
      </c>
      <c r="Q24" s="141" t="str">
        <f ca="1"/>
        <v>STRING</v>
      </c>
      <c r="R24" s="141" t="str">
        <f ca="1"/>
        <v>STRING</v>
      </c>
      <c r="S24" s="141" t="str">
        <f ca="1"/>
        <v>STRING</v>
      </c>
      <c r="T24" s="171" t="str">
        <f ca="1"/>
        <v>STRING</v>
      </c>
      <c r="U24" s="143" t="str">
        <f ca="1"/>
        <v>DECIMAL</v>
      </c>
      <c r="V24" s="143" t="str">
        <f ca="1"/>
        <v>STRING</v>
      </c>
      <c r="W24" s="143" t="str">
        <f ca="1"/>
        <v>STRING</v>
      </c>
      <c r="X24" s="143" t="str">
        <f ca="1"/>
        <v>STRING</v>
      </c>
      <c r="Y24" s="143" t="str">
        <f ca="1"/>
        <v>STRING</v>
      </c>
      <c r="Z24" s="173" t="str">
        <f ca="1"/>
        <v>TIMESTAMP</v>
      </c>
    </row>
    <row r="25" spans="2:26">
      <c r="B25" s="138" t="s">
        <v>1515</v>
      </c>
      <c r="C25" s="139">
        <v>7</v>
      </c>
      <c r="D25" s="140" t="s">
        <v>1513</v>
      </c>
      <c r="E25" s="141" t="s">
        <v>1514</v>
      </c>
      <c r="F25" s="143" t="s">
        <v>721</v>
      </c>
      <c r="G25" s="143" t="s">
        <v>721</v>
      </c>
      <c r="H25" s="143" t="s">
        <v>721</v>
      </c>
      <c r="I25" s="144">
        <f ca="1"/>
        <v>3</v>
      </c>
      <c r="J25" s="144">
        <f ca="1"/>
        <v>35</v>
      </c>
      <c r="K25" s="144">
        <f ca="1"/>
        <v>35</v>
      </c>
      <c r="L25" s="144">
        <f ca="1"/>
        <v>35</v>
      </c>
      <c r="M25" s="144">
        <f ca="1"/>
        <v>4</v>
      </c>
      <c r="N25" s="144">
        <f ca="1"/>
        <v>34</v>
      </c>
      <c r="O25" s="144">
        <f ca="1"/>
        <v>11</v>
      </c>
      <c r="P25" s="144">
        <f ca="1"/>
        <v>9999999</v>
      </c>
      <c r="Q25" s="144">
        <f ca="1"/>
        <v>34</v>
      </c>
      <c r="R25" s="144">
        <f ca="1"/>
        <v>11</v>
      </c>
      <c r="S25" s="144">
        <f ca="1"/>
        <v>9999999</v>
      </c>
      <c r="T25" s="169">
        <f ca="1"/>
        <v>4</v>
      </c>
      <c r="U25" s="170">
        <f ca="1"/>
        <v>23</v>
      </c>
      <c r="V25" s="141">
        <f ca="1"/>
        <v>10</v>
      </c>
      <c r="W25" s="141">
        <f ca="1"/>
        <v>10</v>
      </c>
      <c r="X25" s="141">
        <f ca="1"/>
        <v>10</v>
      </c>
      <c r="Y25" s="141">
        <f ca="1"/>
        <v>10</v>
      </c>
      <c r="Z25" s="174">
        <f ca="1"/>
        <v>23</v>
      </c>
    </row>
    <row r="26" spans="2:26">
      <c r="T26" s="142"/>
    </row>
    <row r="27" spans="2:26">
      <c r="B27" s="147" t="s">
        <v>1516</v>
      </c>
      <c r="T27" s="145"/>
      <c r="U27" s="146"/>
    </row>
    <row r="28" spans="2:26">
      <c r="B28" s="148" t="s">
        <v>1517</v>
      </c>
      <c r="C28" s="148" t="s">
        <v>1518</v>
      </c>
      <c r="D28" s="149" t="s">
        <v>1519</v>
      </c>
      <c r="E28" s="148" t="s">
        <v>1520</v>
      </c>
      <c r="F28" s="148" t="s">
        <v>1521</v>
      </c>
    </row>
    <row r="29" spans="2:26" ht="45.75">
      <c r="B29" s="150" t="s">
        <v>1587</v>
      </c>
      <c r="C29" s="151" t="s">
        <v>1588</v>
      </c>
      <c r="D29" s="152" t="s">
        <v>1589</v>
      </c>
      <c r="E29" s="131" t="s">
        <v>1590</v>
      </c>
      <c r="F29" s="153" t="s">
        <v>1591</v>
      </c>
    </row>
  </sheetData>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F0EE6-3EE8-4295-A64E-C4C027D3544C}">
  <sheetPr>
    <tabColor rgb="FF00B050"/>
  </sheetPr>
  <dimension ref="B1:Z29"/>
  <sheetViews>
    <sheetView showGridLines="0" topLeftCell="E19" workbookViewId="0">
      <selection activeCell="J50" sqref="J50"/>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25.28515625" bestFit="1" customWidth="1"/>
    <col min="10" max="10" width="25.5703125" customWidth="1"/>
    <col min="11" max="11" width="16.28515625" bestFit="1" customWidth="1"/>
    <col min="12" max="12" width="21.7109375" bestFit="1" customWidth="1"/>
    <col min="13" max="13" width="23.28515625" customWidth="1"/>
    <col min="14" max="14" width="21.85546875" customWidth="1"/>
    <col min="15" max="15" width="38.7109375" bestFit="1" customWidth="1"/>
    <col min="16" max="16" width="30.7109375" bestFit="1" customWidth="1"/>
    <col min="17" max="17" width="38.85546875" bestFit="1" customWidth="1"/>
    <col min="18" max="18" width="19" bestFit="1" customWidth="1"/>
    <col min="19" max="19" width="26.85546875" bestFit="1" customWidth="1"/>
    <col min="20" max="20" width="30.7109375" bestFit="1" customWidth="1"/>
    <col min="21" max="21" width="35.7109375" customWidth="1"/>
    <col min="22" max="22" width="18.7109375" bestFit="1" customWidth="1"/>
    <col min="23" max="23" width="29" bestFit="1" customWidth="1"/>
    <col min="24" max="24" width="26.85546875" bestFit="1" customWidth="1"/>
  </cols>
  <sheetData>
    <row r="1" spans="2:24" ht="27.75" customHeight="1"/>
    <row r="2" spans="2:24">
      <c r="B2" s="63" t="s">
        <v>1468</v>
      </c>
      <c r="C2" s="63" t="s">
        <v>1469</v>
      </c>
      <c r="D2" s="63" t="s">
        <v>1470</v>
      </c>
      <c r="E2" s="63" t="s">
        <v>1471</v>
      </c>
      <c r="F2" s="63" t="s">
        <v>1472</v>
      </c>
      <c r="G2" s="63" t="s">
        <v>1473</v>
      </c>
      <c r="H2" s="63" t="s">
        <v>1474</v>
      </c>
      <c r="I2" s="63" t="s">
        <v>1592</v>
      </c>
      <c r="J2" s="63" t="s">
        <v>1042</v>
      </c>
      <c r="K2" s="63" t="s">
        <v>1593</v>
      </c>
      <c r="L2" s="63" t="s">
        <v>1594</v>
      </c>
      <c r="M2" s="63" t="s">
        <v>1595</v>
      </c>
      <c r="N2" s="63" t="s">
        <v>1596</v>
      </c>
      <c r="O2" s="63" t="s">
        <v>1597</v>
      </c>
      <c r="P2" s="63" t="s">
        <v>1598</v>
      </c>
      <c r="Q2" s="63" t="s">
        <v>1599</v>
      </c>
      <c r="R2" s="63" t="s">
        <v>1600</v>
      </c>
      <c r="S2" s="63" t="s">
        <v>1601</v>
      </c>
      <c r="T2" s="63" t="s">
        <v>1602</v>
      </c>
      <c r="U2" s="63" t="s">
        <v>1603</v>
      </c>
      <c r="V2" s="63" t="s">
        <v>1604</v>
      </c>
      <c r="W2" s="63" t="s">
        <v>804</v>
      </c>
      <c r="X2" s="63" t="s">
        <v>841</v>
      </c>
    </row>
    <row r="3" spans="2:24">
      <c r="B3" s="128" t="s">
        <v>1422</v>
      </c>
      <c r="C3" s="128">
        <v>1</v>
      </c>
      <c r="D3" s="128" t="s">
        <v>1605</v>
      </c>
      <c r="E3" s="129">
        <v>45561</v>
      </c>
      <c r="F3" s="128">
        <v>1</v>
      </c>
      <c r="G3" s="130" t="s">
        <v>1606</v>
      </c>
      <c r="H3" s="175" t="s">
        <v>1607</v>
      </c>
      <c r="I3" s="128" t="s">
        <v>1476</v>
      </c>
      <c r="J3" s="128" t="s">
        <v>1476</v>
      </c>
      <c r="K3" s="128" t="s">
        <v>1476</v>
      </c>
      <c r="L3" s="128" t="s">
        <v>1476</v>
      </c>
      <c r="M3" s="128" t="s">
        <v>1476</v>
      </c>
      <c r="N3" s="128" t="s">
        <v>1476</v>
      </c>
      <c r="O3" s="128" t="s">
        <v>1476</v>
      </c>
      <c r="P3" s="128" t="s">
        <v>1476</v>
      </c>
      <c r="Q3" s="128" t="s">
        <v>1476</v>
      </c>
      <c r="R3" s="128" t="s">
        <v>1476</v>
      </c>
      <c r="S3" s="128" t="s">
        <v>1476</v>
      </c>
      <c r="T3" s="128" t="s">
        <v>1476</v>
      </c>
      <c r="U3" s="128" t="s">
        <v>1476</v>
      </c>
      <c r="V3" s="128" t="s">
        <v>1476</v>
      </c>
      <c r="W3" s="128" t="s">
        <v>1476</v>
      </c>
      <c r="X3" s="128" t="s">
        <v>1476</v>
      </c>
    </row>
    <row r="4" spans="2:24">
      <c r="B4" s="128" t="s">
        <v>1424</v>
      </c>
      <c r="C4" s="128">
        <v>2</v>
      </c>
      <c r="D4" s="128" t="s">
        <v>1608</v>
      </c>
      <c r="E4" s="129">
        <v>45561</v>
      </c>
      <c r="F4" s="128">
        <v>1</v>
      </c>
      <c r="G4" s="130" t="s">
        <v>1606</v>
      </c>
      <c r="H4" s="175" t="s">
        <v>1609</v>
      </c>
      <c r="I4" s="128" t="s">
        <v>1476</v>
      </c>
      <c r="J4" s="128" t="s">
        <v>1476</v>
      </c>
      <c r="K4" s="128" t="s">
        <v>1476</v>
      </c>
      <c r="L4" s="128" t="s">
        <v>1476</v>
      </c>
      <c r="M4" s="128" t="s">
        <v>1476</v>
      </c>
      <c r="N4" s="128" t="s">
        <v>1476</v>
      </c>
      <c r="O4" s="128" t="s">
        <v>1476</v>
      </c>
      <c r="P4" s="128" t="s">
        <v>1476</v>
      </c>
      <c r="Q4" s="128" t="s">
        <v>1476</v>
      </c>
      <c r="R4" s="128" t="s">
        <v>1476</v>
      </c>
      <c r="S4" s="128" t="s">
        <v>1476</v>
      </c>
      <c r="T4" s="128" t="s">
        <v>1476</v>
      </c>
      <c r="U4" s="128" t="s">
        <v>1476</v>
      </c>
      <c r="V4" s="128" t="s">
        <v>1476</v>
      </c>
      <c r="W4" s="128" t="s">
        <v>1476</v>
      </c>
      <c r="X4" s="128" t="s">
        <v>1476</v>
      </c>
    </row>
    <row r="5" spans="2:24">
      <c r="B5" s="128" t="s">
        <v>1426</v>
      </c>
      <c r="C5" s="128">
        <v>3</v>
      </c>
      <c r="D5" s="128" t="s">
        <v>1610</v>
      </c>
      <c r="E5" s="129">
        <v>45561</v>
      </c>
      <c r="F5" s="128">
        <v>1</v>
      </c>
      <c r="G5" s="130" t="s">
        <v>1606</v>
      </c>
      <c r="H5" s="128" t="s">
        <v>1609</v>
      </c>
      <c r="I5" s="128">
        <v>0</v>
      </c>
      <c r="J5" s="128" t="s">
        <v>1476</v>
      </c>
      <c r="K5" s="128" t="s">
        <v>1476</v>
      </c>
      <c r="L5" s="128" t="s">
        <v>1476</v>
      </c>
      <c r="M5" s="128" t="s">
        <v>1476</v>
      </c>
      <c r="N5" s="128" t="s">
        <v>1476</v>
      </c>
      <c r="O5" s="128" t="s">
        <v>1476</v>
      </c>
      <c r="P5" s="128" t="s">
        <v>1476</v>
      </c>
      <c r="Q5" s="128" t="s">
        <v>1476</v>
      </c>
      <c r="R5" s="128" t="s">
        <v>1476</v>
      </c>
      <c r="S5" s="128" t="s">
        <v>1476</v>
      </c>
      <c r="T5" s="128" t="s">
        <v>1476</v>
      </c>
      <c r="U5" s="128" t="s">
        <v>1476</v>
      </c>
      <c r="V5" s="128" t="s">
        <v>1476</v>
      </c>
      <c r="W5" s="128">
        <v>0</v>
      </c>
      <c r="X5" s="128" t="s">
        <v>1476</v>
      </c>
    </row>
    <row r="6" spans="2:24">
      <c r="B6" s="131" t="s">
        <v>1428</v>
      </c>
      <c r="C6" s="128">
        <v>4</v>
      </c>
      <c r="D6" s="128" t="s">
        <v>1479</v>
      </c>
      <c r="E6" s="129" t="s">
        <v>1476</v>
      </c>
      <c r="F6" s="128">
        <v>1</v>
      </c>
      <c r="G6" s="130" t="s">
        <v>1476</v>
      </c>
      <c r="H6" s="128" t="s">
        <v>1476</v>
      </c>
      <c r="I6" s="128" t="s">
        <v>1476</v>
      </c>
      <c r="J6" s="128" t="s">
        <v>1476</v>
      </c>
      <c r="K6" s="128" t="s">
        <v>1476</v>
      </c>
      <c r="L6" s="128" t="s">
        <v>1476</v>
      </c>
      <c r="M6" s="128" t="s">
        <v>1476</v>
      </c>
      <c r="N6" s="128" t="s">
        <v>1476</v>
      </c>
      <c r="O6" s="128" t="s">
        <v>1476</v>
      </c>
      <c r="P6" s="128" t="s">
        <v>1476</v>
      </c>
      <c r="Q6" s="128" t="s">
        <v>1476</v>
      </c>
      <c r="R6" s="128" t="s">
        <v>1476</v>
      </c>
      <c r="S6" s="128" t="s">
        <v>1476</v>
      </c>
      <c r="T6" s="128" t="s">
        <v>1476</v>
      </c>
      <c r="U6" s="128" t="s">
        <v>1476</v>
      </c>
      <c r="V6" s="128" t="s">
        <v>1476</v>
      </c>
      <c r="W6" s="128" t="s">
        <v>1476</v>
      </c>
      <c r="X6" s="128" t="s">
        <v>1476</v>
      </c>
    </row>
    <row r="7" spans="2:24">
      <c r="B7" s="128" t="s">
        <v>1430</v>
      </c>
      <c r="C7" s="128">
        <v>5</v>
      </c>
      <c r="D7" s="128" t="s">
        <v>1479</v>
      </c>
      <c r="E7" s="129" t="s">
        <v>1476</v>
      </c>
      <c r="F7" s="128">
        <v>1</v>
      </c>
      <c r="G7" s="130" t="s">
        <v>1476</v>
      </c>
      <c r="H7" s="128" t="s">
        <v>1476</v>
      </c>
      <c r="I7" s="128" t="s">
        <v>1476</v>
      </c>
      <c r="J7" s="128" t="s">
        <v>1476</v>
      </c>
      <c r="K7" s="128" t="s">
        <v>1476</v>
      </c>
      <c r="L7" s="128" t="s">
        <v>1476</v>
      </c>
      <c r="M7" s="128" t="s">
        <v>1476</v>
      </c>
      <c r="N7" s="128" t="s">
        <v>1476</v>
      </c>
      <c r="O7" s="128" t="s">
        <v>1476</v>
      </c>
      <c r="P7" s="128" t="s">
        <v>1476</v>
      </c>
      <c r="Q7" s="128" t="s">
        <v>1476</v>
      </c>
      <c r="R7" s="128" t="s">
        <v>1476</v>
      </c>
      <c r="S7" s="128" t="s">
        <v>1476</v>
      </c>
      <c r="T7" s="128" t="s">
        <v>1476</v>
      </c>
      <c r="U7" s="128" t="s">
        <v>1476</v>
      </c>
      <c r="V7" s="128" t="s">
        <v>1476</v>
      </c>
      <c r="W7" s="128" t="s">
        <v>1476</v>
      </c>
      <c r="X7" s="128" t="s">
        <v>1476</v>
      </c>
    </row>
    <row r="8" spans="2:24">
      <c r="B8" s="128" t="s">
        <v>1431</v>
      </c>
      <c r="C8" s="128">
        <v>6</v>
      </c>
      <c r="D8" s="128" t="s">
        <v>1611</v>
      </c>
      <c r="E8" s="129">
        <v>45561</v>
      </c>
      <c r="F8" s="128">
        <v>1</v>
      </c>
      <c r="G8" s="130" t="s">
        <v>1476</v>
      </c>
      <c r="H8" s="128" t="s">
        <v>1609</v>
      </c>
      <c r="I8" s="128">
        <v>16</v>
      </c>
      <c r="J8" s="128">
        <v>503</v>
      </c>
      <c r="K8" s="128">
        <v>10</v>
      </c>
      <c r="L8" s="128">
        <v>9</v>
      </c>
      <c r="M8" s="128">
        <v>9</v>
      </c>
      <c r="N8" s="128">
        <v>6</v>
      </c>
      <c r="O8" s="128">
        <v>8</v>
      </c>
      <c r="P8" s="128">
        <v>8</v>
      </c>
      <c r="Q8" s="128">
        <v>36</v>
      </c>
      <c r="R8" s="128">
        <v>8</v>
      </c>
      <c r="S8" s="128">
        <v>8</v>
      </c>
      <c r="T8" s="128">
        <v>5</v>
      </c>
      <c r="U8" s="128">
        <v>2</v>
      </c>
      <c r="V8" s="128">
        <v>5</v>
      </c>
      <c r="W8" s="128">
        <v>10</v>
      </c>
      <c r="X8" s="128">
        <v>23</v>
      </c>
    </row>
    <row r="9" spans="2:24">
      <c r="B9" s="128" t="s">
        <v>1434</v>
      </c>
      <c r="C9" s="128">
        <v>7</v>
      </c>
      <c r="D9" s="128" t="s">
        <v>1612</v>
      </c>
      <c r="E9" s="129">
        <v>45561</v>
      </c>
      <c r="F9" s="128">
        <v>1</v>
      </c>
      <c r="G9" s="130" t="s">
        <v>1476</v>
      </c>
      <c r="H9" s="128" t="s">
        <v>1609</v>
      </c>
      <c r="I9" s="128">
        <v>21</v>
      </c>
      <c r="J9" s="128">
        <v>2231</v>
      </c>
      <c r="K9" s="128">
        <v>10</v>
      </c>
      <c r="L9" s="128">
        <v>16</v>
      </c>
      <c r="M9" s="128">
        <v>16</v>
      </c>
      <c r="N9" s="128">
        <v>16</v>
      </c>
      <c r="O9" s="128">
        <v>8</v>
      </c>
      <c r="P9" s="128">
        <v>11</v>
      </c>
      <c r="Q9" s="128">
        <v>36</v>
      </c>
      <c r="R9" s="128">
        <v>11</v>
      </c>
      <c r="S9" s="128">
        <v>11</v>
      </c>
      <c r="T9" s="128">
        <v>8</v>
      </c>
      <c r="U9" s="128">
        <v>3</v>
      </c>
      <c r="V9" s="128">
        <v>8</v>
      </c>
      <c r="W9" s="128">
        <v>10</v>
      </c>
      <c r="X9" s="128">
        <v>23</v>
      </c>
    </row>
    <row r="10" spans="2:24">
      <c r="B10" s="131" t="s">
        <v>1437</v>
      </c>
      <c r="C10" s="128">
        <v>8</v>
      </c>
      <c r="D10" s="128" t="s">
        <v>1613</v>
      </c>
      <c r="E10" s="129">
        <v>45561</v>
      </c>
      <c r="F10" s="128">
        <v>1</v>
      </c>
      <c r="G10" s="130" t="s">
        <v>1476</v>
      </c>
      <c r="H10" s="128" t="s">
        <v>1609</v>
      </c>
      <c r="I10" s="128" t="s">
        <v>1614</v>
      </c>
      <c r="J10" s="129" t="s">
        <v>1615</v>
      </c>
      <c r="K10" s="167" t="s">
        <v>1616</v>
      </c>
      <c r="L10" s="128" t="s">
        <v>1617</v>
      </c>
      <c r="M10" s="128" t="s">
        <v>1617</v>
      </c>
      <c r="N10" s="128" t="s">
        <v>1618</v>
      </c>
      <c r="O10" s="129" t="s">
        <v>1619</v>
      </c>
      <c r="P10" s="129" t="s">
        <v>1620</v>
      </c>
      <c r="Q10" s="132" t="s">
        <v>1621</v>
      </c>
      <c r="R10" s="129" t="s">
        <v>1488</v>
      </c>
      <c r="S10" s="129" t="s">
        <v>1488</v>
      </c>
      <c r="T10" s="128" t="s">
        <v>1622</v>
      </c>
      <c r="U10" s="128" t="s">
        <v>1623</v>
      </c>
      <c r="V10" s="129" t="s">
        <v>1624</v>
      </c>
      <c r="W10" s="129">
        <v>45561</v>
      </c>
      <c r="X10" s="128" t="s">
        <v>1625</v>
      </c>
    </row>
    <row r="11" spans="2:24">
      <c r="B11" s="128" t="s">
        <v>1439</v>
      </c>
      <c r="C11" s="128">
        <v>9</v>
      </c>
      <c r="D11" s="128" t="s">
        <v>1626</v>
      </c>
      <c r="E11" s="129">
        <v>45561</v>
      </c>
      <c r="F11" s="128">
        <v>1</v>
      </c>
      <c r="G11" s="130" t="s">
        <v>1476</v>
      </c>
      <c r="H11" s="128" t="s">
        <v>1609</v>
      </c>
      <c r="I11" s="128" t="s">
        <v>1614</v>
      </c>
      <c r="J11" s="129" t="s">
        <v>1615</v>
      </c>
      <c r="K11" s="167" t="s">
        <v>1616</v>
      </c>
      <c r="L11" s="128" t="s">
        <v>1617</v>
      </c>
      <c r="M11" s="128" t="s">
        <v>1627</v>
      </c>
      <c r="N11" s="128" t="s">
        <v>1628</v>
      </c>
      <c r="O11" s="129" t="s">
        <v>1629</v>
      </c>
      <c r="P11" s="129" t="s">
        <v>1630</v>
      </c>
      <c r="Q11" s="128" t="s">
        <v>1621</v>
      </c>
      <c r="R11" s="129" t="s">
        <v>1488</v>
      </c>
      <c r="S11" s="129" t="s">
        <v>1488</v>
      </c>
      <c r="T11" s="128" t="s">
        <v>1622</v>
      </c>
      <c r="U11" s="128" t="s">
        <v>1623</v>
      </c>
      <c r="V11" s="129" t="s">
        <v>1624</v>
      </c>
      <c r="W11" s="129">
        <v>45561</v>
      </c>
      <c r="X11" s="128" t="s">
        <v>1631</v>
      </c>
    </row>
    <row r="12" spans="2:24">
      <c r="B12" s="128" t="s">
        <v>1441</v>
      </c>
      <c r="C12" s="128">
        <v>10</v>
      </c>
      <c r="D12" s="128" t="s">
        <v>1632</v>
      </c>
      <c r="E12" s="129">
        <v>45561</v>
      </c>
      <c r="F12" s="128">
        <v>1</v>
      </c>
      <c r="G12" s="130" t="s">
        <v>1476</v>
      </c>
      <c r="H12" s="128" t="s">
        <v>1609</v>
      </c>
      <c r="I12" s="128" t="s">
        <v>1633</v>
      </c>
      <c r="J12" s="129" t="s">
        <v>1634</v>
      </c>
      <c r="K12" s="129">
        <v>45561</v>
      </c>
      <c r="L12" s="128" t="s">
        <v>1635</v>
      </c>
      <c r="M12" s="128" t="s">
        <v>1636</v>
      </c>
      <c r="N12" s="132" t="s">
        <v>1637</v>
      </c>
      <c r="O12" s="133" t="s">
        <v>1638</v>
      </c>
      <c r="P12" s="129" t="s">
        <v>1639</v>
      </c>
      <c r="Q12" s="129" t="s">
        <v>1640</v>
      </c>
      <c r="R12" s="129" t="s">
        <v>1498</v>
      </c>
      <c r="S12" s="129" t="s">
        <v>1641</v>
      </c>
      <c r="T12" s="128" t="s">
        <v>1642</v>
      </c>
      <c r="U12" s="132" t="s">
        <v>1643</v>
      </c>
      <c r="V12" s="129" t="s">
        <v>1644</v>
      </c>
      <c r="W12" s="129">
        <v>45561</v>
      </c>
      <c r="X12" s="128" t="s">
        <v>1625</v>
      </c>
    </row>
    <row r="13" spans="2:24">
      <c r="B13" s="128" t="s">
        <v>1443</v>
      </c>
      <c r="C13" s="128">
        <v>11</v>
      </c>
      <c r="D13" s="128" t="s">
        <v>1645</v>
      </c>
      <c r="E13" s="129">
        <v>45561</v>
      </c>
      <c r="F13" s="128">
        <v>1</v>
      </c>
      <c r="G13" s="130" t="s">
        <v>1476</v>
      </c>
      <c r="H13" s="128" t="s">
        <v>1609</v>
      </c>
      <c r="I13" s="128" t="s">
        <v>1633</v>
      </c>
      <c r="J13" s="129" t="s">
        <v>1634</v>
      </c>
      <c r="K13" s="129">
        <v>45561</v>
      </c>
      <c r="L13" s="128" t="s">
        <v>1635</v>
      </c>
      <c r="M13" s="128" t="s">
        <v>1646</v>
      </c>
      <c r="N13" s="132" t="s">
        <v>1647</v>
      </c>
      <c r="O13" s="133" t="s">
        <v>1648</v>
      </c>
      <c r="P13" s="129" t="s">
        <v>1649</v>
      </c>
      <c r="Q13" s="129" t="s">
        <v>1640</v>
      </c>
      <c r="R13" s="129" t="s">
        <v>1498</v>
      </c>
      <c r="S13" s="129" t="s">
        <v>1641</v>
      </c>
      <c r="T13" s="128" t="s">
        <v>1642</v>
      </c>
      <c r="U13" s="132" t="s">
        <v>1643</v>
      </c>
      <c r="V13" s="129" t="s">
        <v>1644</v>
      </c>
      <c r="W13" s="129">
        <v>45561</v>
      </c>
      <c r="X13" s="128" t="s">
        <v>1650</v>
      </c>
    </row>
    <row r="14" spans="2:24">
      <c r="B14" s="128" t="s">
        <v>1445</v>
      </c>
      <c r="C14" s="128">
        <v>12</v>
      </c>
      <c r="D14" s="128" t="s">
        <v>1651</v>
      </c>
      <c r="E14" s="129">
        <v>45561</v>
      </c>
      <c r="F14" s="128">
        <v>1</v>
      </c>
      <c r="G14" s="130" t="s">
        <v>1652</v>
      </c>
      <c r="H14" s="128" t="s">
        <v>1609</v>
      </c>
      <c r="I14" s="128">
        <v>0</v>
      </c>
      <c r="J14" s="128">
        <v>1224</v>
      </c>
      <c r="K14" s="128">
        <v>0</v>
      </c>
      <c r="L14" s="128">
        <v>0</v>
      </c>
      <c r="M14" s="128">
        <v>1224</v>
      </c>
      <c r="N14" s="128">
        <v>1453</v>
      </c>
      <c r="O14" s="128">
        <v>1505</v>
      </c>
      <c r="P14" s="128">
        <v>1440</v>
      </c>
      <c r="Q14" s="128">
        <v>8</v>
      </c>
      <c r="R14" s="128">
        <v>0</v>
      </c>
      <c r="S14" s="128">
        <v>0</v>
      </c>
      <c r="T14" s="128">
        <v>0</v>
      </c>
      <c r="U14" s="128">
        <v>0</v>
      </c>
      <c r="V14" s="128">
        <v>0</v>
      </c>
      <c r="W14" s="128">
        <v>0</v>
      </c>
      <c r="X14" s="128">
        <v>0</v>
      </c>
    </row>
    <row r="15" spans="2:24">
      <c r="B15" s="128" t="s">
        <v>1447</v>
      </c>
      <c r="C15" s="128">
        <v>13</v>
      </c>
      <c r="D15" s="128" t="s">
        <v>1653</v>
      </c>
      <c r="E15" s="129">
        <v>45561</v>
      </c>
      <c r="F15" s="128">
        <v>1</v>
      </c>
      <c r="G15" s="130" t="s">
        <v>1606</v>
      </c>
      <c r="H15" s="128" t="s">
        <v>1609</v>
      </c>
      <c r="I15" s="128" t="s">
        <v>1476</v>
      </c>
      <c r="J15" s="128" t="s">
        <v>1476</v>
      </c>
      <c r="K15" s="128">
        <v>0</v>
      </c>
      <c r="L15" s="128" t="s">
        <v>1476</v>
      </c>
      <c r="M15" s="128" t="s">
        <v>1476</v>
      </c>
      <c r="N15" s="128" t="s">
        <v>1476</v>
      </c>
      <c r="O15" s="131" t="s">
        <v>1476</v>
      </c>
      <c r="P15" s="131" t="s">
        <v>1476</v>
      </c>
      <c r="Q15" s="131" t="s">
        <v>1476</v>
      </c>
      <c r="R15" s="128" t="s">
        <v>1476</v>
      </c>
      <c r="S15" s="128" t="s">
        <v>1476</v>
      </c>
      <c r="T15" s="128" t="s">
        <v>1476</v>
      </c>
      <c r="U15" s="128" t="s">
        <v>1476</v>
      </c>
      <c r="V15" s="128" t="s">
        <v>1476</v>
      </c>
      <c r="W15" s="128" t="s">
        <v>1476</v>
      </c>
      <c r="X15" s="128" t="s">
        <v>1476</v>
      </c>
    </row>
    <row r="16" spans="2:24">
      <c r="B16" s="128" t="s">
        <v>1449</v>
      </c>
      <c r="C16" s="128">
        <v>14</v>
      </c>
      <c r="D16" s="128" t="s">
        <v>1654</v>
      </c>
      <c r="E16" s="129">
        <v>45561</v>
      </c>
      <c r="F16" s="128">
        <v>1</v>
      </c>
      <c r="G16" s="130" t="s">
        <v>1606</v>
      </c>
      <c r="H16" s="128" t="s">
        <v>1609</v>
      </c>
      <c r="I16" s="128">
        <v>0</v>
      </c>
      <c r="J16" s="128" t="s">
        <v>1476</v>
      </c>
      <c r="K16" s="128" t="s">
        <v>1476</v>
      </c>
      <c r="L16" s="128" t="s">
        <v>1476</v>
      </c>
      <c r="M16" s="128" t="s">
        <v>1476</v>
      </c>
      <c r="N16" s="128" t="s">
        <v>1476</v>
      </c>
      <c r="O16" s="128" t="s">
        <v>1476</v>
      </c>
      <c r="P16" s="128" t="s">
        <v>1476</v>
      </c>
      <c r="Q16" s="128" t="s">
        <v>1476</v>
      </c>
      <c r="R16" s="128" t="s">
        <v>1476</v>
      </c>
      <c r="S16" s="131" t="s">
        <v>1476</v>
      </c>
      <c r="T16" s="128" t="s">
        <v>1476</v>
      </c>
      <c r="U16" s="128" t="s">
        <v>1476</v>
      </c>
      <c r="V16" s="128" t="s">
        <v>1476</v>
      </c>
      <c r="W16" s="128" t="s">
        <v>1476</v>
      </c>
      <c r="X16" s="128" t="s">
        <v>1476</v>
      </c>
    </row>
    <row r="17" spans="2:26">
      <c r="B17" s="128" t="s">
        <v>1451</v>
      </c>
      <c r="C17" s="128">
        <v>15</v>
      </c>
      <c r="D17" s="128" t="s">
        <v>1655</v>
      </c>
      <c r="E17" s="129">
        <v>45561</v>
      </c>
      <c r="F17" s="128">
        <v>1</v>
      </c>
      <c r="G17" s="130" t="s">
        <v>1606</v>
      </c>
      <c r="H17" s="128" t="s">
        <v>1609</v>
      </c>
      <c r="I17" s="128" t="s">
        <v>1476</v>
      </c>
      <c r="J17" s="128" t="s">
        <v>1476</v>
      </c>
      <c r="K17" s="128" t="s">
        <v>1476</v>
      </c>
      <c r="L17" s="128" t="s">
        <v>1476</v>
      </c>
      <c r="M17" s="128" t="s">
        <v>1476</v>
      </c>
      <c r="N17" s="128" t="s">
        <v>1476</v>
      </c>
      <c r="O17" s="128" t="s">
        <v>1476</v>
      </c>
      <c r="P17" s="128" t="s">
        <v>1476</v>
      </c>
      <c r="Q17" s="128" t="s">
        <v>1476</v>
      </c>
      <c r="R17" s="128" t="s">
        <v>1476</v>
      </c>
      <c r="S17" s="131" t="s">
        <v>1476</v>
      </c>
      <c r="T17" s="128" t="s">
        <v>1476</v>
      </c>
      <c r="U17" s="128" t="s">
        <v>1476</v>
      </c>
      <c r="V17" s="128" t="s">
        <v>1476</v>
      </c>
      <c r="W17" s="128" t="s">
        <v>1476</v>
      </c>
      <c r="X17" s="128" t="s">
        <v>1476</v>
      </c>
    </row>
    <row r="18" spans="2:26">
      <c r="B18" s="128" t="s">
        <v>1453</v>
      </c>
      <c r="C18" s="128">
        <v>16</v>
      </c>
      <c r="D18" s="128" t="s">
        <v>1655</v>
      </c>
      <c r="E18" s="129">
        <v>45561</v>
      </c>
      <c r="F18" s="128">
        <v>1</v>
      </c>
      <c r="G18" s="130" t="s">
        <v>1606</v>
      </c>
      <c r="H18" s="128" t="s">
        <v>1609</v>
      </c>
      <c r="I18" s="128" t="s">
        <v>1476</v>
      </c>
      <c r="J18" s="128" t="s">
        <v>1476</v>
      </c>
      <c r="K18" s="128" t="s">
        <v>1476</v>
      </c>
      <c r="L18" s="128" t="s">
        <v>1476</v>
      </c>
      <c r="M18" s="128" t="s">
        <v>1476</v>
      </c>
      <c r="N18" s="128" t="s">
        <v>1476</v>
      </c>
      <c r="O18" s="128" t="s">
        <v>1476</v>
      </c>
      <c r="P18" s="128" t="s">
        <v>1476</v>
      </c>
      <c r="Q18" s="128" t="s">
        <v>1476</v>
      </c>
      <c r="R18" s="128" t="s">
        <v>1476</v>
      </c>
      <c r="S18" s="128" t="s">
        <v>1476</v>
      </c>
      <c r="T18" s="128" t="s">
        <v>1476</v>
      </c>
      <c r="U18" s="128" t="s">
        <v>1476</v>
      </c>
      <c r="V18" s="128" t="s">
        <v>1476</v>
      </c>
      <c r="W18" s="128" t="s">
        <v>1476</v>
      </c>
      <c r="X18" s="128" t="s">
        <v>1476</v>
      </c>
    </row>
    <row r="19" spans="2:26">
      <c r="B19" s="128" t="s">
        <v>1459</v>
      </c>
      <c r="C19" s="128">
        <v>19</v>
      </c>
      <c r="D19" s="128" t="s">
        <v>1656</v>
      </c>
      <c r="E19" s="129">
        <v>45561</v>
      </c>
      <c r="F19" s="128">
        <v>1</v>
      </c>
      <c r="G19" s="130" t="s">
        <v>1609</v>
      </c>
      <c r="H19" s="128" t="s">
        <v>1609</v>
      </c>
      <c r="I19" s="128" t="s">
        <v>1509</v>
      </c>
      <c r="J19" s="128" t="s">
        <v>1509</v>
      </c>
      <c r="K19" s="128" t="s">
        <v>1509</v>
      </c>
      <c r="L19" s="128" t="s">
        <v>1509</v>
      </c>
      <c r="M19" s="128" t="s">
        <v>1509</v>
      </c>
      <c r="N19" s="128" t="s">
        <v>1509</v>
      </c>
      <c r="O19" s="128" t="s">
        <v>1509</v>
      </c>
      <c r="P19" s="128" t="s">
        <v>1509</v>
      </c>
      <c r="Q19" s="128" t="s">
        <v>1509</v>
      </c>
      <c r="R19" s="128" t="s">
        <v>1509</v>
      </c>
      <c r="S19" s="128" t="s">
        <v>1509</v>
      </c>
      <c r="T19" s="128" t="s">
        <v>1509</v>
      </c>
      <c r="U19" s="128" t="s">
        <v>1509</v>
      </c>
      <c r="V19" s="128" t="s">
        <v>1509</v>
      </c>
      <c r="W19" s="128" t="s">
        <v>1509</v>
      </c>
      <c r="X19" s="128" t="s">
        <v>1511</v>
      </c>
    </row>
    <row r="20" spans="2:26">
      <c r="B20" s="131" t="s">
        <v>1462</v>
      </c>
      <c r="C20" s="128">
        <v>20</v>
      </c>
      <c r="D20" s="128" t="s">
        <v>1586</v>
      </c>
      <c r="E20" s="129">
        <v>45561</v>
      </c>
      <c r="F20" s="128">
        <v>1</v>
      </c>
      <c r="G20" s="130" cm="1">
        <f t="array" ref="G20">SUM(IF(I2:X2 = I23:X23, 1, 0))/ COUNTA(I2:X2)</f>
        <v>0</v>
      </c>
      <c r="H20" s="128" t="s">
        <v>1476</v>
      </c>
      <c r="I20" s="128" t="s">
        <v>1476</v>
      </c>
      <c r="J20" s="128" t="s">
        <v>1476</v>
      </c>
      <c r="K20" s="128" t="s">
        <v>1476</v>
      </c>
      <c r="L20" s="128" t="s">
        <v>1476</v>
      </c>
      <c r="M20" s="128" t="s">
        <v>1476</v>
      </c>
      <c r="N20" s="128" t="s">
        <v>1476</v>
      </c>
      <c r="O20" s="128" t="s">
        <v>1476</v>
      </c>
      <c r="P20" s="128" t="s">
        <v>1476</v>
      </c>
      <c r="Q20" s="128" t="s">
        <v>1476</v>
      </c>
      <c r="R20" s="128" t="s">
        <v>1476</v>
      </c>
      <c r="S20" s="128" t="s">
        <v>1476</v>
      </c>
      <c r="T20" s="128"/>
      <c r="U20" s="128"/>
      <c r="V20" s="128"/>
      <c r="W20" s="128"/>
      <c r="X20" s="128"/>
    </row>
    <row r="21" spans="2:26">
      <c r="B21" s="128" t="s">
        <v>1465</v>
      </c>
      <c r="C21" s="128">
        <v>21</v>
      </c>
      <c r="D21" s="128" t="s">
        <v>1586</v>
      </c>
      <c r="E21" s="129">
        <v>45561</v>
      </c>
      <c r="F21" s="128">
        <v>1</v>
      </c>
      <c r="G21" s="130" cm="1">
        <f t="array" ref="G21">SUM(IF(IF(G3:G20="null",1,G3:G20)=1,1,0))/COUNT(IF(G3:G20="null",1,0))</f>
        <v>0.44444444444444442</v>
      </c>
      <c r="H21" s="128" t="s">
        <v>1476</v>
      </c>
      <c r="I21" s="128" t="s">
        <v>1476</v>
      </c>
      <c r="J21" s="128" t="s">
        <v>1476</v>
      </c>
      <c r="K21" s="128" t="s">
        <v>1476</v>
      </c>
      <c r="L21" s="128" t="s">
        <v>1476</v>
      </c>
      <c r="M21" s="128" t="s">
        <v>1476</v>
      </c>
      <c r="N21" s="128" t="s">
        <v>1476</v>
      </c>
      <c r="O21" s="128" t="s">
        <v>1476</v>
      </c>
      <c r="P21" s="128" t="s">
        <v>1476</v>
      </c>
      <c r="Q21" s="128" t="s">
        <v>1476</v>
      </c>
      <c r="R21" s="128" t="s">
        <v>1476</v>
      </c>
      <c r="S21" s="128" t="s">
        <v>1476</v>
      </c>
      <c r="T21" s="128"/>
      <c r="U21" s="128"/>
      <c r="V21" s="128"/>
      <c r="W21" s="128"/>
      <c r="X21" s="128"/>
    </row>
    <row r="22" spans="2:26">
      <c r="B22" s="128"/>
      <c r="C22" s="128"/>
      <c r="D22" s="128"/>
      <c r="E22" s="129"/>
      <c r="F22" s="128"/>
      <c r="G22" s="128"/>
      <c r="H22" s="128"/>
      <c r="I22" s="128"/>
      <c r="J22" s="128"/>
      <c r="K22" s="128"/>
      <c r="L22" s="128"/>
      <c r="M22" s="128"/>
      <c r="N22" s="128"/>
      <c r="O22" s="128"/>
      <c r="P22" s="128"/>
      <c r="Q22" s="128"/>
      <c r="R22" s="128"/>
      <c r="S22" s="128"/>
    </row>
    <row r="23" spans="2:26">
      <c r="B23" s="134" t="s">
        <v>1468</v>
      </c>
      <c r="C23" s="135" t="s">
        <v>1469</v>
      </c>
      <c r="D23" s="135" t="s">
        <v>1470</v>
      </c>
      <c r="E23" s="135" t="s">
        <v>1471</v>
      </c>
      <c r="F23" s="135" t="s">
        <v>1472</v>
      </c>
      <c r="G23" s="135" t="s">
        <v>1473</v>
      </c>
      <c r="H23" s="135" t="s">
        <v>1474</v>
      </c>
      <c r="I23" s="135" t="str" cm="1">
        <f t="array" ref="I23:Z23">TRANSPOSE(_xlfn.SORTBY(_xlfn._xlws.FILTER(Table2[NOME FÍSICO CAMPO],Table2[NOME FÍSICO TABELA]="direct_debit"), _xlfn._xlws.FILTER(Table2[ORDEM],Table2[NOME FÍSICO TABELA]= "direct_debit"), 1))</f>
        <v>service_type_code</v>
      </c>
      <c r="J23" s="135" t="str">
        <v>batch_id</v>
      </c>
      <c r="K23" s="135" t="str">
        <v>internal_reference_id</v>
      </c>
      <c r="L23" s="135" t="str">
        <v>authorization_number</v>
      </c>
      <c r="M23" s="135" t="str">
        <v>transfer_direction_code</v>
      </c>
      <c r="N23" s="135" t="str">
        <v>sender_iban</v>
      </c>
      <c r="O23" s="135" t="str">
        <v>sender_swift</v>
      </c>
      <c r="P23" s="135" t="str">
        <v>sender_name</v>
      </c>
      <c r="Q23" s="135" t="str">
        <v>receiver_iban</v>
      </c>
      <c r="R23" s="135" t="str">
        <v>receiver_swift</v>
      </c>
      <c r="S23" s="135" t="str">
        <v>receiver_name</v>
      </c>
      <c r="T23" s="168" t="str">
        <v>currency_code</v>
      </c>
      <c r="U23" s="168" t="str">
        <v>amount</v>
      </c>
      <c r="V23" s="168" t="str">
        <v>transaction_date</v>
      </c>
      <c r="W23" s="168" t="str">
        <v>transaction_execution_date</v>
      </c>
      <c r="X23" s="168" t="str">
        <v>source_code</v>
      </c>
      <c r="Y23" t="str">
        <v>data_date_part</v>
      </c>
      <c r="Z23" t="str">
        <v>data_timestamp_part</v>
      </c>
    </row>
    <row r="24" spans="2:26">
      <c r="B24" s="138" t="s">
        <v>1512</v>
      </c>
      <c r="C24" s="139">
        <v>21</v>
      </c>
      <c r="D24" s="140" t="s">
        <v>1513</v>
      </c>
      <c r="E24" s="141" t="s">
        <v>1514</v>
      </c>
      <c r="F24" s="141" t="s">
        <v>721</v>
      </c>
      <c r="G24" s="141" t="s">
        <v>721</v>
      </c>
      <c r="H24" s="141" t="s">
        <v>721</v>
      </c>
      <c r="I24" s="141" t="str" cm="1">
        <f t="array" aca="1" ref="I24:Z25" ca="1">TRANSPOSE(_xlfn.SORTBY(_xlfn._xlws.FILTER(IF(Table2[FORMATO]:Table2[COMP_ CAMPO]&lt;&gt;"",Table2[FORMATO]:Table2[COMP_ CAMPO],9999999),Table2[NOME FÍSICO TABELA]="direct_debit"), _xlfn._xlws.FILTER(Table2[ORDEM], Table2[NOME FÍSICO TABELA]="direct_debit"), 1))</f>
        <v>STRING</v>
      </c>
      <c r="J24" s="141" t="str">
        <f ca="1"/>
        <v>STRING</v>
      </c>
      <c r="K24" s="141" t="str">
        <f ca="1"/>
        <v>STRING</v>
      </c>
      <c r="L24" s="141" t="str">
        <f ca="1"/>
        <v>STRING</v>
      </c>
      <c r="M24" s="141" t="str">
        <f ca="1"/>
        <v>STRING</v>
      </c>
      <c r="N24" s="141" t="str">
        <f ca="1"/>
        <v>STRING</v>
      </c>
      <c r="O24" s="141" t="str">
        <f ca="1"/>
        <v>STRING</v>
      </c>
      <c r="P24" s="141" t="str">
        <f ca="1"/>
        <v>STRING</v>
      </c>
      <c r="Q24" s="141" t="str">
        <f ca="1"/>
        <v>STRING</v>
      </c>
      <c r="R24" s="141" t="str">
        <f ca="1"/>
        <v>STRING</v>
      </c>
      <c r="S24" s="141" t="str">
        <f ca="1"/>
        <v>STRING</v>
      </c>
      <c r="T24" s="171" t="str">
        <f ca="1"/>
        <v>STRING</v>
      </c>
      <c r="U24" s="143" t="str">
        <f ca="1"/>
        <v>DECIMAL</v>
      </c>
      <c r="V24" s="143" t="str">
        <f ca="1"/>
        <v>STRING</v>
      </c>
      <c r="W24" s="143" t="str">
        <f ca="1"/>
        <v>STRING</v>
      </c>
      <c r="X24" s="143" t="str">
        <f ca="1"/>
        <v>STRING</v>
      </c>
      <c r="Y24" t="str">
        <f ca="1"/>
        <v>STRING</v>
      </c>
      <c r="Z24" t="str">
        <f ca="1"/>
        <v>TIMESTAMP</v>
      </c>
    </row>
    <row r="25" spans="2:26">
      <c r="B25" s="138" t="s">
        <v>1515</v>
      </c>
      <c r="C25" s="139">
        <v>7</v>
      </c>
      <c r="D25" s="140" t="s">
        <v>1513</v>
      </c>
      <c r="E25" s="141" t="s">
        <v>1514</v>
      </c>
      <c r="F25" s="143" t="s">
        <v>721</v>
      </c>
      <c r="G25" s="143" t="s">
        <v>721</v>
      </c>
      <c r="H25" s="143" t="s">
        <v>721</v>
      </c>
      <c r="I25" s="144">
        <f ca="1"/>
        <v>3</v>
      </c>
      <c r="J25" s="144">
        <f ca="1"/>
        <v>35</v>
      </c>
      <c r="K25" s="144">
        <f ca="1"/>
        <v>35</v>
      </c>
      <c r="L25" s="144">
        <f ca="1"/>
        <v>35</v>
      </c>
      <c r="M25" s="144">
        <f ca="1"/>
        <v>4</v>
      </c>
      <c r="N25" s="144">
        <f ca="1"/>
        <v>34</v>
      </c>
      <c r="O25" s="144">
        <f ca="1"/>
        <v>11</v>
      </c>
      <c r="P25" s="144">
        <f ca="1"/>
        <v>9999999</v>
      </c>
      <c r="Q25" s="144">
        <f ca="1"/>
        <v>34</v>
      </c>
      <c r="R25" s="144">
        <f ca="1"/>
        <v>11</v>
      </c>
      <c r="S25" s="144">
        <f ca="1"/>
        <v>9999999</v>
      </c>
      <c r="T25" s="169">
        <f ca="1"/>
        <v>4</v>
      </c>
      <c r="U25" s="170">
        <f ca="1"/>
        <v>23</v>
      </c>
      <c r="V25" s="141">
        <f ca="1"/>
        <v>10</v>
      </c>
      <c r="W25" s="141">
        <f ca="1"/>
        <v>10</v>
      </c>
      <c r="X25" s="141">
        <f ca="1"/>
        <v>10</v>
      </c>
      <c r="Y25">
        <f ca="1"/>
        <v>10</v>
      </c>
      <c r="Z25">
        <f ca="1"/>
        <v>23</v>
      </c>
    </row>
    <row r="26" spans="2:26">
      <c r="T26" s="142"/>
    </row>
    <row r="27" spans="2:26">
      <c r="B27" s="147" t="s">
        <v>1516</v>
      </c>
      <c r="T27" s="145"/>
      <c r="U27" s="146"/>
    </row>
    <row r="28" spans="2:26">
      <c r="B28" s="148" t="s">
        <v>1517</v>
      </c>
      <c r="C28" s="148" t="s">
        <v>1518</v>
      </c>
      <c r="D28" s="149" t="s">
        <v>1519</v>
      </c>
      <c r="E28" s="148" t="s">
        <v>1520</v>
      </c>
      <c r="F28" s="148" t="s">
        <v>1521</v>
      </c>
    </row>
    <row r="29" spans="2:26">
      <c r="B29" s="150"/>
      <c r="C29" s="151"/>
      <c r="D29" s="152"/>
      <c r="E29" s="131"/>
      <c r="F29" s="153"/>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445FB20-7C55-4B09-AD9A-73CBCACEF28D}"/>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222E066E-E667-444D-B7E8-226754C02B84}"/>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Afonso Mak Gramocha da Costa Silva</cp:lastModifiedBy>
  <cp:revision/>
  <dcterms:created xsi:type="dcterms:W3CDTF">2023-01-24T18:52:31Z</dcterms:created>
  <dcterms:modified xsi:type="dcterms:W3CDTF">2025-02-27T10:44:57Z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2024-09-02T16:14:22Z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857805a1-e3cb-4e57-858b-8861d32bc55d</vt:lpwstr>
  </property>
  <property fmtid="{D5CDD505-2E9C-101B-9397-08002B2CF9AE}" pid="12" name="MSIP_Label_3c41c091-3cbc-4dba-8b59-ce62f19500db_ContentBits">
    <vt:lpwstr>1</vt:lpwstr>
  </property>
</Properties>
</file>