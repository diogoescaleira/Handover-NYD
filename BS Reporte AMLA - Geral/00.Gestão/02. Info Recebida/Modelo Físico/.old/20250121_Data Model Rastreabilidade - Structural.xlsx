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old/"/>
    </mc:Choice>
  </mc:AlternateContent>
  <xr:revisionPtr revIDLastSave="3720" documentId="11_E4BD344D7FC0B1DEB29F9B030BB564F2CCA97505" xr6:coauthVersionLast="47" xr6:coauthVersionMax="47" xr10:uidLastSave="{7DA3E296-A467-40E9-94FB-AA52D96269E1}"/>
  <bookViews>
    <workbookView xWindow="-120" yWindow="-120" windowWidth="29040" windowHeight="1584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Regras de Cruzamento" sheetId="41" r:id="rId9"/>
    <sheet name="branch_address" sheetId="40" r:id="rId10"/>
    <sheet name="Sheet6" sheetId="39" state="hidden" r:id="rId11"/>
  </sheets>
  <externalReferences>
    <externalReference r:id="rId12"/>
    <externalReference r:id="rId13"/>
    <externalReference r:id="rId14"/>
    <externalReference r:id="rId15"/>
    <externalReference r:id="rId16"/>
    <externalReference r:id="rId17"/>
    <externalReference r:id="rId18"/>
    <externalReference r:id="rId19"/>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8" hidden="1">'Regras de Cruzamento'!$B$2:$I$61</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7"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7" hidden="1">'[3]Carteira 21'!#REF!</definedName>
    <definedName name="nm" hidden="1">'[3]Carteira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'[4]Carteira 20'!#REF!</definedName>
    <definedName name="XREF_COLUMN_1" localSheetId="7" hidden="1">'[4]Carteira 20'!#REF!</definedName>
    <definedName name="XREF_COLUMN_1" hidden="1">'[4]Carteira 20'!#REF!</definedName>
    <definedName name="XREF_COLUMN_2" localSheetId="1" hidden="1">'[3]Carteira 21'!#REF!</definedName>
    <definedName name="XREF_COLUMN_2" localSheetId="7" hidden="1">'[3]Carteira 21'!#REF!</definedName>
    <definedName name="XREF_COLUMN_2" hidden="1">'[3]Carteira 21'!#REF!</definedName>
    <definedName name="XREF_COLUMN_3" localSheetId="1" hidden="1">'[3]Carteira 21'!#REF!</definedName>
    <definedName name="XREF_COLUMN_3" localSheetId="7" hidden="1">'[3]Carteira 21'!#REF!</definedName>
    <definedName name="XREF_COLUMN_3" hidden="1">'[3]Carteira 21'!#REF!</definedName>
    <definedName name="XREF_COLUMN_4" localSheetId="1" hidden="1">'[2]Carteira de Títulos'!#REF!</definedName>
    <definedName name="XREF_COLUMN_4" localSheetId="7" hidden="1">'[2]Carteira de Títulos'!#REF!</definedName>
    <definedName name="XREF_COLUMN_4" hidden="1">'[2]Carteira de Títulos'!#REF!</definedName>
    <definedName name="XREF_COLUMN_5" localSheetId="1" hidden="1">'[2]Carteira de Títulos'!#REF!</definedName>
    <definedName name="XREF_COLUMN_5" localSheetId="7" hidden="1">'[2]Carteira de Títulos'!#REF!</definedName>
    <definedName name="XREF_COLUMN_5" hidden="1">'[2]Carteira de Títulos'!#REF!</definedName>
    <definedName name="XREF_COLUMN_7" localSheetId="1" hidden="1">'[3]Carteira 21'!#REF!</definedName>
    <definedName name="XREF_COLUMN_7" localSheetId="7" hidden="1">'[3]Carteira 21'!#REF!</definedName>
    <definedName name="XREF_COLUMN_7" hidden="1">'[3]Carteira 21'!#REF!</definedName>
    <definedName name="XRefColumnsCount" hidden="1">6</definedName>
    <definedName name="XRefCopy1" localSheetId="1" hidden="1">'[3]Carteira 21'!#REF!</definedName>
    <definedName name="XRefCopy1" localSheetId="7" hidden="1">'[3]Carteira 21'!#REF!</definedName>
    <definedName name="XRefCopy1" hidden="1">'[3]Carteira 21'!#REF!</definedName>
    <definedName name="XRefCopy10" localSheetId="1" hidden="1">'[3]Carteira 21'!#REF!</definedName>
    <definedName name="XRefCopy10" localSheetId="7" hidden="1">'[3]Carteira 21'!#REF!</definedName>
    <definedName name="XRefCopy10" hidden="1">'[3]Carteira 21'!#REF!</definedName>
    <definedName name="XRefCopy11" localSheetId="1" hidden="1">'[3]Carteira 21'!#REF!</definedName>
    <definedName name="XRefCopy11" localSheetId="7" hidden="1">'[3]Carteira 21'!#REF!</definedName>
    <definedName name="XRefCopy11" hidden="1">'[3]Carteira 21'!#REF!</definedName>
    <definedName name="XRefCopy11Row" localSheetId="1" hidden="1">#REF!</definedName>
    <definedName name="XRefCopy11Row" localSheetId="7" hidden="1">#REF!</definedName>
    <definedName name="XRefCopy11Row" hidden="1">#REF!</definedName>
    <definedName name="XRefCopy12" localSheetId="1" hidden="1">'[3]Carteira 21'!#REF!</definedName>
    <definedName name="XRefCopy12" localSheetId="7" hidden="1">'[3]Carteira 21'!#REF!</definedName>
    <definedName name="XRefCopy12" hidden="1">'[3]Carteira 21'!#REF!</definedName>
    <definedName name="XRefCopy12Row" localSheetId="1" hidden="1">#REF!</definedName>
    <definedName name="XRefCopy12Row" localSheetId="7" hidden="1">#REF!</definedName>
    <definedName name="XRefCopy12Row" hidden="1">#REF!</definedName>
    <definedName name="XRefCopy13" localSheetId="1" hidden="1">'[3]Carteira 21'!#REF!</definedName>
    <definedName name="XRefCopy13" localSheetId="7" hidden="1">'[3]Carteira 21'!#REF!</definedName>
    <definedName name="XRefCopy13" hidden="1">'[3]Carteira 21'!#REF!</definedName>
    <definedName name="XRefCopy13Row" localSheetId="1" hidden="1">[5]XREF!#REF!</definedName>
    <definedName name="XRefCopy13Row" localSheetId="7" hidden="1">[5]XREF!#REF!</definedName>
    <definedName name="XRefCopy13Row" hidden="1">[5]XREF!#REF!</definedName>
    <definedName name="XRefCopy14" localSheetId="1" hidden="1">'[4]Carteira 20'!#REF!</definedName>
    <definedName name="XRefCopy14" localSheetId="7" hidden="1">'[4]Carteira 20'!#REF!</definedName>
    <definedName name="XRefCopy14" hidden="1">'[4]Carteira 20'!#REF!</definedName>
    <definedName name="XRefCopy14Row" localSheetId="1" hidden="1">#REF!</definedName>
    <definedName name="XRefCopy14Row" localSheetId="7" hidden="1">#REF!</definedName>
    <definedName name="XRefCopy14Row" hidden="1">#REF!</definedName>
    <definedName name="XRefCopy15" localSheetId="1" hidden="1">'[3]Carteira 21'!#REF!</definedName>
    <definedName name="XRefCopy15" localSheetId="7" hidden="1">'[3]Carteira 21'!#REF!</definedName>
    <definedName name="XRefCopy15" hidden="1">'[3]Carteira 21'!#REF!</definedName>
    <definedName name="XRefCopy15Row" localSheetId="1" hidden="1">#REF!</definedName>
    <definedName name="XRefCopy15Row" localSheetId="7" hidden="1">#REF!</definedName>
    <definedName name="XRefCopy15Row" hidden="1">#REF!</definedName>
    <definedName name="XRefCopy17Row" localSheetId="1" hidden="1">[5]XREF!#REF!</definedName>
    <definedName name="XRefCopy17Row" localSheetId="7" hidden="1">[5]XREF!#REF!</definedName>
    <definedName name="XRefCopy17Row" hidden="1">[5]XREF!#REF!</definedName>
    <definedName name="XRefCopy18Row" localSheetId="1" hidden="1">[5]XREF!#REF!</definedName>
    <definedName name="XRefCopy18Row" localSheetId="7" hidden="1">[5]XREF!#REF!</definedName>
    <definedName name="XRefCopy18Row" hidden="1">[5]XREF!#REF!</definedName>
    <definedName name="XRefCopy19Row" localSheetId="1" hidden="1">[5]XREF!#REF!</definedName>
    <definedName name="XRefCopy19Row" localSheetId="7" hidden="1">[5]XREF!#REF!</definedName>
    <definedName name="XRefCopy19Row" hidden="1">[5]XREF!#REF!</definedName>
    <definedName name="XRefCopy1Row" localSheetId="1" hidden="1">#REF!</definedName>
    <definedName name="XRefCopy1Row" localSheetId="7" hidden="1">#REF!</definedName>
    <definedName name="XRefCopy1Row" hidden="1">#REF!</definedName>
    <definedName name="XRefCopy2" localSheetId="1" hidden="1">'[4]Carteira 20'!#REF!</definedName>
    <definedName name="XRefCopy2" localSheetId="7" hidden="1">'[4]Carteira 20'!#REF!</definedName>
    <definedName name="XRefCopy2" hidden="1">'[4]Carteira 20'!#REF!</definedName>
    <definedName name="XRefCopy20Row" localSheetId="1" hidden="1">[2]XREF!#REF!</definedName>
    <definedName name="XRefCopy20Row" localSheetId="7" hidden="1">[2]XREF!#REF!</definedName>
    <definedName name="XRefCopy20Row" hidden="1">[2]XREF!#REF!</definedName>
    <definedName name="XRefCopy24" localSheetId="1" hidden="1">'[2]Carteira de Títulos'!#REF!</definedName>
    <definedName name="XRefCopy24" localSheetId="7" hidden="1">'[2]Carteira de Títulos'!#REF!</definedName>
    <definedName name="XRefCopy24" hidden="1">'[2]Carteira de Títulos'!#REF!</definedName>
    <definedName name="XRefCopy24Row" localSheetId="1" hidden="1">[2]XREF!#REF!</definedName>
    <definedName name="XRefCopy24Row" localSheetId="7" hidden="1">[2]XREF!#REF!</definedName>
    <definedName name="XRefCopy24Row" hidden="1">[2]XREF!#REF!</definedName>
    <definedName name="XRefCopy25" localSheetId="1" hidden="1">'[2]Carteira de Títulos'!#REF!</definedName>
    <definedName name="XRefCopy25" localSheetId="7" hidden="1">'[2]Carteira de Títulos'!#REF!</definedName>
    <definedName name="XRefCopy25" hidden="1">'[2]Carteira de Títulos'!#REF!</definedName>
    <definedName name="XRefCopy25Row" localSheetId="1" hidden="1">[2]XREF!#REF!</definedName>
    <definedName name="XRefCopy25Row" localSheetId="7" hidden="1">[2]XREF!#REF!</definedName>
    <definedName name="XRefCopy25Row" hidden="1">[2]XREF!#REF!</definedName>
    <definedName name="XRefCopy2Row" localSheetId="1" hidden="1">[6]XREF!#REF!</definedName>
    <definedName name="XRefCopy2Row" localSheetId="7" hidden="1">[6]XREF!#REF!</definedName>
    <definedName name="XRefCopy2Row" hidden="1">[6]XREF!#REF!</definedName>
    <definedName name="XRefCopy3" localSheetId="1" hidden="1">'[3]Carteira 21'!#REF!</definedName>
    <definedName name="XRefCopy3" localSheetId="7" hidden="1">'[3]Carteira 21'!#REF!</definedName>
    <definedName name="XRefCopy3" hidden="1">'[3]Carteira 21'!#REF!</definedName>
    <definedName name="XRefCopy3Row" localSheetId="1" hidden="1">#REF!</definedName>
    <definedName name="XRefCopy3Row" localSheetId="7" hidden="1">#REF!</definedName>
    <definedName name="XRefCopy3Row" hidden="1">#REF!</definedName>
    <definedName name="XRefCopy4" localSheetId="1" hidden="1">'[3]Carteira 21'!#REF!</definedName>
    <definedName name="XRefCopy4" localSheetId="7" hidden="1">'[3]Carteira 21'!#REF!</definedName>
    <definedName name="XRefCopy4" hidden="1">'[3]Carteira 21'!#REF!</definedName>
    <definedName name="XRefCopy4Row" localSheetId="1" hidden="1">[7]XREF!#REF!</definedName>
    <definedName name="XRefCopy4Row" localSheetId="7" hidden="1">[7]XREF!#REF!</definedName>
    <definedName name="XRefCopy4Row" hidden="1">[7]XREF!#REF!</definedName>
    <definedName name="XRefCopy6" hidden="1">[8]Eurodep_20!$C$18</definedName>
    <definedName name="XRefCopy7" localSheetId="7" hidden="1">'[4]Carteira 20'!#REF!</definedName>
    <definedName name="XRefCopy7" hidden="1">'[4]Carteira 20'!#REF!</definedName>
    <definedName name="XRefCopy7Row" localSheetId="1" hidden="1">#REF!</definedName>
    <definedName name="XRefCopy7Row" localSheetId="7" hidden="1">#REF!</definedName>
    <definedName name="XRefCopy7Row" hidden="1">#REF!</definedName>
    <definedName name="XRefCopy8" localSheetId="1" hidden="1">'[4]Carteira 20'!#REF!</definedName>
    <definedName name="XRefCopy8" localSheetId="7" hidden="1">'[4]Carteira 20'!#REF!</definedName>
    <definedName name="XRefCopy8" hidden="1">'[4]Carteira 20'!#REF!</definedName>
    <definedName name="XRefCopy8Row" localSheetId="1" hidden="1">#REF!</definedName>
    <definedName name="XRefCopy8Row" localSheetId="7" hidden="1">#REF!</definedName>
    <definedName name="XRefCopy8Row" hidden="1">#REF!</definedName>
    <definedName name="XRefCopy9" localSheetId="1" hidden="1">'[3]Carteira 21'!#REF!</definedName>
    <definedName name="XRefCopy9" localSheetId="7" hidden="1">'[3]Carteira 21'!#REF!</definedName>
    <definedName name="XRefCopy9" hidden="1">'[3]Carteira 21'!#REF!</definedName>
    <definedName name="XRefCopy99" localSheetId="1" hidden="1">'[3]Carteira 21'!#REF!</definedName>
    <definedName name="XRefCopy99" localSheetId="7" hidden="1">'[3]Carteira 21'!#REF!</definedName>
    <definedName name="XRefCopy99" hidden="1">'[3]Carteira 21'!#REF!</definedName>
    <definedName name="XRefCopy9Row" hidden="1">[7]XREF!$8:$8</definedName>
    <definedName name="XRefCopyRangeCount" hidden="1">10</definedName>
    <definedName name="XRefPaste10" localSheetId="7" hidden="1">'[3]Carteira 21'!#REF!</definedName>
    <definedName name="XRefPaste10" hidden="1">'[3]Carteira 21'!#REF!</definedName>
    <definedName name="XRefPaste10Row" localSheetId="1" hidden="1">#REF!</definedName>
    <definedName name="XRefPaste10Row" localSheetId="7" hidden="1">#REF!</definedName>
    <definedName name="XRefPaste10Row" hidden="1">#REF!</definedName>
    <definedName name="XRefPaste11" localSheetId="1" hidden="1">'[4]Carteira 20'!#REF!</definedName>
    <definedName name="XRefPaste11" localSheetId="7" hidden="1">'[4]Carteira 20'!#REF!</definedName>
    <definedName name="XRefPaste11" hidden="1">'[4]Carteira 20'!#REF!</definedName>
    <definedName name="XRefPaste11Row" localSheetId="1" hidden="1">#REF!</definedName>
    <definedName name="XRefPaste11Row" localSheetId="7" hidden="1">#REF!</definedName>
    <definedName name="XRefPaste11Row" hidden="1">#REF!</definedName>
    <definedName name="XRefPaste12" localSheetId="1" hidden="1">'[4]Carteira 20'!#REF!</definedName>
    <definedName name="XRefPaste12" localSheetId="7" hidden="1">'[4]Carteira 20'!#REF!</definedName>
    <definedName name="XRefPaste12" hidden="1">'[4]Carteira 20'!#REF!</definedName>
    <definedName name="XRefPaste12Row" localSheetId="1" hidden="1">#REF!</definedName>
    <definedName name="XRefPaste12Row" localSheetId="7" hidden="1">#REF!</definedName>
    <definedName name="XRefPaste12Row" hidden="1">#REF!</definedName>
    <definedName name="XRefPaste13" localSheetId="1" hidden="1">'[3]Carteira 21'!#REF!</definedName>
    <definedName name="XRefPaste13" localSheetId="7" hidden="1">'[3]Carteira 21'!#REF!</definedName>
    <definedName name="XRefPaste13" hidden="1">'[3]Carteira 21'!#REF!</definedName>
    <definedName name="XRefPaste13Row" localSheetId="1" hidden="1">#REF!</definedName>
    <definedName name="XRefPaste13Row" localSheetId="7" hidden="1">#REF!</definedName>
    <definedName name="XRefPaste13Row" hidden="1">#REF!</definedName>
    <definedName name="XRefPaste1Row" localSheetId="1" hidden="1">[6]XREF!#REF!</definedName>
    <definedName name="XRefPaste1Row" localSheetId="7" hidden="1">[6]XREF!#REF!</definedName>
    <definedName name="XRefPaste1Row" hidden="1">[6]XREF!#REF!</definedName>
    <definedName name="XRefPaste2" localSheetId="1" hidden="1">'[3]Carteira 21'!#REF!</definedName>
    <definedName name="XRefPaste2" localSheetId="7" hidden="1">'[3]Carteira 21'!#REF!</definedName>
    <definedName name="XRefPaste2" hidden="1">'[3]Carteira 21'!#REF!</definedName>
    <definedName name="XRefPaste2Row" localSheetId="1" hidden="1">#REF!</definedName>
    <definedName name="XRefPaste2Row" localSheetId="7" hidden="1">#REF!</definedName>
    <definedName name="XRefPaste2Row" hidden="1">#REF!</definedName>
    <definedName name="XRefPaste3" localSheetId="1" hidden="1">'[3]Carteira 21'!#REF!</definedName>
    <definedName name="XRefPaste3" localSheetId="7" hidden="1">'[3]Carteira 21'!#REF!</definedName>
    <definedName name="XRefPaste3" hidden="1">'[3]Carteira 21'!#REF!</definedName>
    <definedName name="XRefPaste3Row" localSheetId="1" hidden="1">#REF!</definedName>
    <definedName name="XRefPaste3Row" localSheetId="7" hidden="1">#REF!</definedName>
    <definedName name="XRefPaste3Row" hidden="1">#REF!</definedName>
    <definedName name="XRefPaste4" localSheetId="1" hidden="1">'[4]Carteira 20'!#REF!</definedName>
    <definedName name="XRefPaste4" localSheetId="7" hidden="1">'[4]Carteira 20'!#REF!</definedName>
    <definedName name="XRefPaste4" hidden="1">'[4]Carteira 20'!#REF!</definedName>
    <definedName name="XRefPaste4Row" hidden="1">[7]XREF!$3:$3</definedName>
    <definedName name="XRefPaste5Row" localSheetId="1" hidden="1">#REF!</definedName>
    <definedName name="XRefPaste5Row" localSheetId="7" hidden="1">#REF!</definedName>
    <definedName name="XRefPaste5Row" hidden="1">#REF!</definedName>
    <definedName name="XRefPaste6" hidden="1">[8]Eurodep_20!$W$18</definedName>
    <definedName name="XRefPaste6Row" hidden="1">[7]XREF!$6:$6</definedName>
    <definedName name="XRefPaste7Row" hidden="1">[7]XREF!$11:$11</definedName>
    <definedName name="XRefPaste8Row" localSheetId="1" hidden="1">#REF!</definedName>
    <definedName name="XRefPaste8Row" localSheetId="7" hidden="1">#REF!</definedName>
    <definedName name="XRefPaste8Row" hidden="1">#REF!</definedName>
    <definedName name="XRefPaste9" localSheetId="1" hidden="1">'[4]Carteira 20'!#REF!</definedName>
    <definedName name="XRefPaste9" localSheetId="7" hidden="1">'[4]Carteira 20'!#REF!</definedName>
    <definedName name="XRefPaste9" hidden="1">'[4]Carteira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40" l="1" a="1"/>
  <c r="G8" i="40"/>
  <c r="I24" i="40" a="1"/>
  <c r="G9" i="40" s="1" a="1"/>
  <c r="G9" i="40" s="1"/>
  <c r="I23" i="40" a="1"/>
  <c r="I23" i="40" s="1"/>
  <c r="G20" i="40" s="1" a="1"/>
  <c r="G20" i="40" s="1"/>
  <c r="H54" i="28"/>
  <c r="I24" i="40" l="1"/>
  <c r="G19" i="40" s="1" a="1"/>
  <c r="G19" i="40" s="1"/>
  <c r="G21" i="40" s="1" a="1"/>
  <c r="G21" i="40"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<sst xmlns="http://schemas.openxmlformats.org/spreadsheetml/2006/main" count="3586" uniqueCount="1286">
  <si>
    <t>Modelo Comum de Dados - Estruturais</t>
  </si>
  <si>
    <t>SCHEMA</t>
  </si>
  <si>
    <t>TABELA</t>
  </si>
  <si>
    <t>DESCRIÇÃO</t>
  </si>
  <si>
    <t>common_referencedata_core</t>
  </si>
  <si>
    <t>reference_data_table</t>
  </si>
  <si>
    <t>Holds the reference data information of the Common Data Model.</t>
  </si>
  <si>
    <t>reference_data_table_description</t>
  </si>
  <si>
    <t>Holds the functional description of the reference data dimensions recorded in the reference data table.</t>
  </si>
  <si>
    <t>exchange_rate</t>
  </si>
  <si>
    <t>Holds the exchange rate information of the currencies used by Santander.</t>
  </si>
  <si>
    <t>branch_address</t>
  </si>
  <si>
    <t>Holds information about the Santander's branches.</t>
  </si>
  <si>
    <t>reference_data_attribute</t>
  </si>
  <si>
    <t>Holds the information about the attributes of reference data dimensions.</t>
  </si>
  <si>
    <t>organisation</t>
  </si>
  <si>
    <t>Holds the reference data information about the organisations.</t>
  </si>
  <si>
    <t>operations_common_referencedata_core</t>
  </si>
  <si>
    <t>conf_financial_flow_indicator_converter</t>
  </si>
  <si>
    <t>Holds the classification of the applications's transaction type to whether it is a financial flow or not.</t>
  </si>
  <si>
    <t>conf_general_code_converter</t>
  </si>
  <si>
    <t>Holds the convertion of the application's source codes do Common Data Model codes.</t>
  </si>
  <si>
    <t>conf_litigation_product</t>
  </si>
  <si>
    <t>Identifies de product and subproduct of litigation accounts.</t>
  </si>
  <si>
    <t>conf_transaction_type_converter</t>
  </si>
  <si>
    <t>Converts the application's transaction type codes into the Common Data Model's transaction type code.</t>
  </si>
  <si>
    <t>conf_reference_data_table</t>
  </si>
  <si>
    <t>conf_reference_data_table_description</t>
  </si>
  <si>
    <t>conf_reference_data_attribute</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</si>
  <si>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</si>
  <si>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</si>
  <si>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</si>
  <si>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</si>
  <si>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</si>
  <si>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</si>
  <si>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</si>
  <si>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</si>
  <si>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</si>
  <si>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</si>
  <si>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</si>
  <si>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</si>
  <si>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</si>
  <si>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</si>
  <si>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</si>
  <si>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</si>
  <si>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</si>
  <si>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</si>
  <si>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</si>
  <si>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</si>
  <si>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</si>
  <si>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</si>
  <si>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</si>
  <si>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</si>
  <si>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</si>
  <si>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</si>
  <si>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</si>
  <si>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</si>
  <si>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</si>
  <si>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</si>
  <si>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</si>
  <si>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</si>
  <si>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</si>
  <si>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</si>
  <si>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</si>
  <si>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</si>
  <si>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</si>
  <si>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</si>
  <si>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</si>
  <si>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</si>
  <si>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</si>
  <si>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</si>
  <si>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</si>
  <si>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</si>
  <si>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</si>
  <si>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</si>
  <si>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</si>
  <si>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</si>
  <si>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</si>
  <si>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</si>
  <si>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</si>
  <si>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</si>
  <si>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</si>
  <si>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</si>
  <si>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</si>
  <si>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</si>
  <si>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</si>
  <si>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</si>
  <si>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</si>
  <si>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</si>
  <si>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</si>
  <si>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</si>
  <si>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</si>
  <si>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</si>
  <si>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</si>
  <si>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</si>
  <si>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</si>
  <si>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</si>
  <si>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</si>
  <si>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</si>
  <si>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</si>
  <si>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</si>
  <si>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</si>
  <si>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</si>
  <si>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</si>
  <si>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</si>
  <si>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</si>
  <si>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</si>
  <si>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</si>
  <si>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</si>
  <si>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</si>
  <si>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</si>
  <si>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</si>
  <si>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</si>
  <si>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</si>
  <si>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</si>
  <si>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</si>
  <si>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</si>
  <si>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</si>
  <si>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</si>
  <si>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</si>
  <si>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</si>
  <si>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</si>
  <si>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</si>
  <si>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</si>
  <si>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</si>
  <si>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</si>
  <si>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</si>
  <si>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</si>
  <si>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</si>
  <si>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</si>
  <si>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</si>
  <si>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</si>
  <si>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</si>
  <si>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</si>
  <si>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</si>
  <si>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</si>
  <si>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</si>
  <si>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</si>
  <si>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</si>
  <si>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</si>
  <si>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</si>
  <si>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</si>
  <si>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</si>
  <si>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</si>
  <si>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</si>
  <si>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</si>
  <si>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</si>
  <si>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</si>
  <si>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</si>
  <si>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</si>
  <si>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</si>
  <si>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</si>
  <si>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</si>
  <si>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</si>
  <si>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</si>
  <si>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</si>
  <si>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</si>
  <si>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</si>
  <si>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</si>
  <si>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</si>
  <si>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</si>
  <si>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</si>
  <si>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</si>
  <si>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</si>
  <si>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</si>
  <si>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</si>
  <si>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</si>
  <si>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</si>
  <si>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</si>
  <si>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</si>
  <si>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</si>
  <si>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</si>
  <si>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</si>
  <si>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</si>
  <si>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</si>
  <si>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</si>
  <si>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</si>
  <si>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</si>
  <si>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</si>
  <si>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</si>
  <si>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</si>
  <si>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</si>
  <si>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</si>
  <si>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</si>
  <si>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</si>
  <si>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</si>
  <si>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</si>
  <si>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</si>
  <si>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</si>
  <si>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</si>
  <si>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</si>
  <si>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</si>
  <si>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</si>
  <si>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</si>
  <si>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</si>
  <si>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</si>
  <si>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</si>
  <si>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</si>
  <si>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</si>
  <si>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</si>
  <si>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</si>
  <si>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</si>
  <si>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</si>
  <si>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</si>
  <si>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</si>
  <si>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</si>
  <si>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</si>
  <si>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</si>
  <si>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</si>
  <si>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</si>
  <si>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</si>
  <si>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</si>
  <si>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</si>
  <si>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</si>
  <si>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</si>
  <si>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</si>
  <si>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</si>
  <si>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</si>
  <si>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</si>
  <si>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</si>
  <si>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</si>
  <si>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</si>
  <si>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</si>
  <si>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</si>
  <si>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</si>
  <si>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</si>
  <si>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</si>
  <si>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</si>
  <si>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</si>
  <si>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</si>
  <si>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</si>
  <si>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</si>
  <si>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</si>
  <si>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</si>
  <si>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</si>
  <si>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</si>
  <si>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</si>
  <si>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</si>
  <si>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</si>
  <si>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</si>
  <si>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</si>
  <si>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</si>
  <si>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</si>
  <si>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</si>
  <si>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</si>
  <si>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</si>
  <si>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</si>
  <si>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</si>
  <si>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</si>
  <si>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</si>
  <si>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</si>
  <si>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</si>
  <si>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</si>
  <si>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</si>
  <si>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</si>
  <si>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</si>
  <si>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</si>
  <si>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</si>
  <si>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</si>
  <si>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</si>
  <si>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</si>
  <si>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</si>
  <si>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</si>
  <si>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</si>
  <si>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</si>
  <si>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</si>
  <si>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</si>
  <si>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</si>
  <si>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</si>
  <si>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</si>
  <si>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</si>
  <si>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</si>
  <si>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</si>
  <si>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</si>
  <si>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</si>
  <si>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</si>
  <si>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</si>
  <si>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</si>
  <si>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</si>
  <si>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</si>
  <si>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</si>
  <si>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</si>
  <si>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</si>
  <si>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</si>
  <si>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</si>
  <si>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</si>
  <si>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</si>
  <si>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</si>
  <si>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</si>
  <si>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</si>
  <si>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</si>
  <si>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</si>
  <si>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</si>
  <si>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</si>
  <si>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</si>
  <si>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</si>
  <si>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</si>
  <si>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</si>
  <si>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</si>
  <si>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</si>
  <si>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</si>
  <si>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</si>
  <si>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</si>
  <si>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</si>
  <si>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</si>
  <si>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</si>
  <si>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</si>
  <si>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</si>
  <si>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</si>
  <si>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</si>
  <si>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</si>
  <si>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</si>
  <si>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</si>
  <si>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</si>
  <si>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</si>
  <si>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</si>
  <si>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</si>
  <si>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</si>
  <si>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</si>
  <si>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</si>
  <si>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</si>
  <si>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</si>
  <si>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</si>
  <si>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</si>
  <si>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</si>
  <si>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</si>
  <si>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</si>
  <si>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</si>
  <si>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</si>
  <si>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</si>
  <si>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</si>
  <si>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</si>
  <si>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</si>
  <si>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</si>
  <si>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</si>
  <si>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</si>
  <si>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</si>
  <si>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</si>
  <si>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</si>
  <si>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</si>
  <si>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</si>
  <si>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</si>
  <si>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</si>
  <si>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</si>
  <si>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</si>
  <si>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</si>
  <si>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</si>
  <si>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</si>
  <si>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</si>
  <si>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</si>
  <si>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</si>
  <si>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</si>
  <si>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</si>
  <si>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</si>
  <si>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</si>
  <si>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</si>
  <si>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</si>
  <si>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</si>
  <si>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</si>
  <si>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</si>
  <si>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</si>
  <si>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</si>
  <si>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</si>
  <si>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</si>
  <si>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</si>
  <si>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</si>
  <si>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</si>
  <si>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</si>
  <si>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</si>
  <si>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</si>
  <si>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</si>
  <si>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</si>
  <si>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</si>
  <si>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</si>
  <si>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</si>
  <si>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</si>
  <si>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</si>
  <si>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</si>
  <si>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</si>
  <si>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</si>
  <si>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</si>
  <si>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</si>
  <si>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</si>
  <si>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</si>
  <si>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</si>
  <si>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</si>
  <si>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</si>
  <si>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</si>
  <si>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</si>
  <si>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</si>
  <si>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</si>
  <si>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</si>
  <si>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</si>
  <si>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</si>
  <si>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</si>
  <si>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</si>
  <si>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</si>
  <si>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</si>
  <si>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</si>
  <si>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</si>
  <si>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</si>
  <si>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</si>
  <si>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</si>
  <si>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</si>
  <si>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</si>
  <si>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</si>
  <si>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</si>
  <si>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</si>
  <si>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</si>
  <si>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</si>
  <si>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</si>
  <si>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</si>
  <si>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</si>
  <si>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</si>
  <si>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</si>
  <si>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</si>
  <si>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</si>
  <si>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</si>
  <si>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</si>
  <si>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</si>
  <si>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</si>
  <si>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</si>
  <si>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</si>
  <si>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</si>
  <si>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</si>
  <si>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</si>
  <si>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</si>
  <si>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</si>
  <si>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</si>
  <si>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</si>
  <si>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</si>
  <si>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</si>
  <si>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</si>
  <si>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</si>
  <si>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</si>
  <si>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</si>
  <si>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</si>
  <si>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</si>
  <si>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</si>
  <si>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</si>
  <si>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</si>
  <si>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</si>
  <si>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</si>
  <si>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</si>
  <si>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</si>
  <si>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</si>
  <si>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</si>
  <si>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</si>
  <si>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</si>
  <si>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</si>
  <si>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</si>
  <si>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</si>
  <si>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</si>
  <si>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</si>
  <si>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</si>
  <si>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</si>
  <si>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</si>
  <si>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</si>
  <si>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</si>
  <si>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</si>
  <si>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</si>
  <si>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</si>
  <si>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</si>
  <si>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</si>
  <si>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</si>
  <si>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</si>
  <si>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</si>
  <si>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</si>
  <si>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</si>
  <si>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</si>
  <si>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</si>
  <si>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</si>
  <si>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</si>
  <si>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</si>
  <si>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</si>
  <si>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</si>
  <si>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</si>
  <si>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</si>
  <si>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</si>
  <si>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</si>
  <si>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</si>
  <si>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</si>
  <si>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</si>
  <si>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</si>
  <si>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</si>
  <si>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</si>
  <si>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</si>
  <si>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</si>
  <si>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</si>
  <si>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</si>
  <si>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</si>
  <si>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</si>
  <si>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</si>
  <si>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</si>
  <si>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</si>
  <si>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</si>
  <si>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</si>
  <si>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</si>
  <si>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</si>
  <si>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</si>
  <si>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</si>
  <si>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</si>
  <si>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</si>
  <si>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</si>
  <si>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</si>
  <si>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</si>
  <si>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</si>
  <si>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</si>
  <si>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</si>
  <si>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</si>
  <si>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</si>
  <si>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</si>
  <si>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</si>
  <si>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</si>
  <si>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</si>
  <si>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</si>
  <si>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</si>
  <si>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</si>
  <si>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</si>
  <si>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</si>
  <si>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</si>
  <si>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</si>
  <si>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</si>
  <si>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</si>
  <si>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</si>
  <si>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</si>
  <si>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</si>
  <si>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</si>
  <si>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</si>
  <si>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</si>
  <si>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</si>
  <si>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</si>
  <si>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</si>
  <si>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</si>
  <si>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</si>
  <si>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</si>
  <si>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</si>
  <si>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</si>
  <si>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</si>
  <si>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</si>
  <si>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</si>
  <si>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</si>
  <si>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</si>
  <si>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</si>
  <si>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</si>
  <si>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</si>
  <si>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</si>
  <si>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</si>
  <si>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</si>
  <si>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</si>
  <si>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</si>
  <si>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</si>
  <si>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</si>
  <si>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</si>
  <si>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</si>
  <si>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</si>
  <si>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</si>
  <si>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</si>
  <si>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</si>
  <si>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</si>
  <si>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</si>
  <si>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</si>
  <si>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</si>
  <si>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</si>
  <si>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</si>
  <si>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</si>
  <si>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</si>
  <si>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</si>
  <si>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</si>
  <si>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</si>
  <si>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</si>
  <si>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</si>
  <si>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</si>
  <si>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</si>
  <si>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</si>
  <si>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</si>
  <si>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</si>
  <si>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</si>
  <si>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</si>
  <si>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</si>
  <si>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</si>
  <si>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</si>
  <si>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</si>
  <si>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</si>
  <si>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</si>
  <si>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</si>
  <si>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</si>
  <si>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</si>
  <si>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</si>
  <si>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</si>
  <si>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</si>
  <si>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</si>
  <si>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</si>
  <si>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</si>
  <si>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</si>
  <si>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</si>
  <si>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</si>
  <si>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</si>
  <si>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</si>
  <si>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</si>
  <si>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</si>
  <si>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</si>
  <si>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</si>
  <si>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</si>
  <si>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</si>
  <si>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</si>
  <si>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</si>
  <si>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</si>
  <si>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</si>
  <si>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</si>
  <si>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</si>
  <si>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</si>
  <si>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</si>
  <si>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</si>
  <si>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</si>
  <si>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</si>
  <si>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</si>
  <si>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</si>
  <si>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</si>
  <si>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</si>
  <si>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</si>
  <si>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</si>
  <si>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</si>
  <si>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</si>
  <si>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</si>
  <si>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</si>
  <si>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</si>
  <si>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</si>
  <si>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</si>
  <si>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</si>
  <si>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</si>
  <si>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</si>
  <si>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</si>
  <si>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</si>
  <si>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</si>
  <si>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</si>
  <si>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</si>
  <si>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</si>
  <si>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</si>
  <si>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</si>
  <si>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</si>
  <si>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</si>
  <si>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</si>
  <si>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</si>
  <si>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</si>
  <si>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</si>
  <si>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</si>
  <si>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</si>
  <si>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</si>
  <si>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</si>
  <si>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</si>
  <si>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</si>
  <si>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</si>
  <si>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</si>
  <si>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</si>
  <si>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</si>
  <si>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</si>
  <si>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</si>
  <si>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</si>
  <si>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</si>
  <si>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</si>
  <si>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</si>
  <si>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</si>
  <si>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</si>
  <si>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</si>
  <si>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</si>
  <si>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</si>
  <si>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</si>
  <si>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</si>
  <si>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</si>
  <si>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</si>
  <si>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</si>
  <si>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</si>
  <si>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</si>
  <si>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</si>
  <si>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</si>
  <si>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</si>
  <si>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</si>
  <si>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</si>
  <si>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</si>
  <si>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</si>
  <si>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</si>
  <si>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</si>
  <si>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</si>
  <si>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</si>
  <si>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</si>
  <si>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</si>
  <si>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</si>
  <si>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</si>
  <si>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</si>
  <si>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</si>
  <si>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</si>
  <si>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</si>
  <si>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</si>
  <si>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</si>
  <si>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</si>
  <si>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</si>
  <si>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</si>
  <si>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</si>
  <si>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</si>
  <si>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</si>
  <si>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</si>
  <si>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</si>
  <si>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</si>
  <si>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</si>
  <si>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</si>
  <si>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</si>
  <si>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</si>
  <si>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Branch Address</t>
  </si>
  <si>
    <t>Branch ID</t>
  </si>
  <si>
    <t>branch_id</t>
  </si>
  <si>
    <t>Key - ID</t>
  </si>
  <si>
    <t>STRING</t>
  </si>
  <si>
    <t>Unique identifier of the branch.</t>
  </si>
  <si>
    <t>Identificador único da sucursal.</t>
  </si>
  <si>
    <t>X</t>
  </si>
  <si>
    <t>TAT91_TABELAS - CTABELA 091</t>
  </si>
  <si>
    <t>CURATED_INTERNAL_MAINFRAME_ESTRUTURAIS</t>
  </si>
  <si>
    <t>TAT91_TABELAS_NEW</t>
  </si>
  <si>
    <t>TAYD91C0_CELEMTAB</t>
  </si>
  <si>
    <r>
      <rPr>
        <b/>
        <sz val="11"/>
        <color rgb="FF000000"/>
        <rFont val="Calibri"/>
        <family val="2"/>
      </rPr>
      <t>SELECT</t>
    </r>
    <r>
      <rPr>
        <sz val="11"/>
        <color rgb="FF000000"/>
        <rFont val="Calibri"/>
        <family val="2"/>
      </rPr>
      <t xml:space="preserve"> TRIM( TAT91_TABELAS_NEW.TAYD91C0_CELEMTAB )
</t>
    </r>
    <r>
      <rPr>
        <b/>
        <sz val="11"/>
        <color rgb="FF000000"/>
        <rFont val="Calibri"/>
        <family val="2"/>
      </rPr>
      <t>WHERE</t>
    </r>
    <r>
      <rPr>
        <sz val="11"/>
        <color rgb="FF000000"/>
        <rFont val="Calibri"/>
        <family val="2"/>
      </rPr>
      <t xml:space="preserve"> TAT91_TABELAS_NEW.TAYD91C0_CTABELA =  '091'</t>
    </r>
  </si>
  <si>
    <t>TA - Tabelas Gerais</t>
  </si>
  <si>
    <t>TAT91_TABELAS</t>
  </si>
  <si>
    <t>CELEMTAB</t>
  </si>
  <si>
    <t>N\A</t>
  </si>
  <si>
    <t>District Code</t>
  </si>
  <si>
    <t>district_code</t>
  </si>
  <si>
    <t>Ext inf - Addr Gen Inf - Code</t>
  </si>
  <si>
    <t>Identifies the district to which the address belongs to.</t>
  </si>
  <si>
    <t>Identifica o distrito a que pertence o endereço.</t>
  </si>
  <si>
    <t>TAT91_TABELAS - CTABELA J48</t>
  </si>
  <si>
    <t>CURATED_INTERNAL_MAINFRAME_ESTRUTURAIS
CURATED_INTERNAL_MAINFRAME_ESTRUTURAIS</t>
  </si>
  <si>
    <t>TAT91_TABELAS_NEW
CENTRO_PT</t>
  </si>
  <si>
    <t>N\A
E3300_DISTRIPC</t>
  </si>
  <si>
    <r>
      <t>SELECT</t>
    </r>
    <r>
      <rPr>
        <sz val="11"/>
        <color rgb="FF000000"/>
        <rFont val="Calibri"/>
        <family val="2"/>
      </rPr>
      <t xml:space="preserve"> IF( TRIM ( CENTRO_PT.E3300_DISTRIPC ) = '', NULL, CONCAT( CENTRO_PT.E3300_DISTRIPC ,  '0000'))</t>
    </r>
    <r>
      <rPr>
        <b/>
        <sz val="11"/>
        <color rgb="FF000000"/>
        <rFont val="Calibri"/>
        <family val="2"/>
      </rPr>
      <t xml:space="preserve">
WHERE</t>
    </r>
    <r>
      <rPr>
        <sz val="11"/>
        <color rgb="FF000000"/>
        <rFont val="Calibri"/>
        <family val="2"/>
      </rPr>
      <t xml:space="preserve"> TAT91_TABELAS_NEW.TAYD91C0_CTABELA =  '091' AND CENTRO_PT.E3300_IDEMPRE = '0018'</t>
    </r>
  </si>
  <si>
    <t>CENTROS_PT</t>
  </si>
  <si>
    <t>CONCAT( DISTRIPC, "0000" )</t>
  </si>
  <si>
    <t>Municipality Code</t>
  </si>
  <si>
    <t>municipality_code</t>
  </si>
  <si>
    <t>Identifies the municipality to which the address belongs to.</t>
  </si>
  <si>
    <t>Identifica o município a que pertence o endereço.</t>
  </si>
  <si>
    <t>N\A
E3300_CODCON, E3300_DISTRIPC</t>
  </si>
  <si>
    <r>
      <t>SELECT</t>
    </r>
    <r>
      <rPr>
        <sz val="11"/>
        <color rgb="FF000000"/>
        <rFont val="Calibri"/>
        <family val="2"/>
      </rPr>
      <t xml:space="preserve"> IF(TRIM(CONCAT( CENTRO_PT.E3300_DISTRIPC , CENTRO_PT.E3300_CODCON ) )  = '', NULL, CONCAT( CENTRO_PT.E3300_DISTRIPC , CENTRO_PT.E3300_CODCON, '00'))</t>
    </r>
    <r>
      <rPr>
        <b/>
        <sz val="11"/>
        <color rgb="FF000000"/>
        <rFont val="Calibri"/>
        <family val="2"/>
      </rPr>
      <t xml:space="preserve">
WHERE</t>
    </r>
    <r>
      <rPr>
        <sz val="11"/>
        <color rgb="FF000000"/>
        <rFont val="Calibri"/>
        <family val="2"/>
      </rPr>
      <t xml:space="preserve"> TAT91_TABELAS_NEW.TAYD91C0_CTABELA =  '091' AND CENTRO_PT.E3300_IDEMPRE = '0018'</t>
    </r>
  </si>
  <si>
    <t>CONCAT( DISTRIPC, CODCON, "00" )</t>
  </si>
  <si>
    <t>Civil Parish Code</t>
  </si>
  <si>
    <t>civil_parish_code</t>
  </si>
  <si>
    <t>Identifies the lowest local adminstrative location of the local government ("freguesia") to which the address belongs to.</t>
  </si>
  <si>
    <t>Identifica a localização administrativa local mais baixa (freguesia) a que pertence o endereço.</t>
  </si>
  <si>
    <t>N\A
E3300_DISTRIPC, E3300_CODCON, E3300_FREGNA</t>
  </si>
  <si>
    <r>
      <rPr>
        <b/>
        <sz val="11"/>
        <color rgb="FF000000"/>
        <rFont val="Calibri"/>
        <family val="2"/>
      </rPr>
      <t>SELECT</t>
    </r>
    <r>
      <rPr>
        <sz val="11"/>
        <color rgb="FF000000"/>
        <rFont val="Calibri"/>
        <family val="2"/>
      </rPr>
      <t xml:space="preserve"> IF( TRIM( CONCAT( CENTRO_PT.E3300_DISTRIPC, CENTRO_PT.E3300_CODCON, CENTRO_PT.E3300_FREGNA)) = '', NULL, CONCAT( CENTRO_PT.E3300_DISTRIPC, CENTRO_PT.E3300_CODCON, CENTRO_PT.E3300_FREGNA ) )
</t>
    </r>
    <r>
      <rPr>
        <b/>
        <sz val="11"/>
        <color rgb="FF000000"/>
        <rFont val="Calibri"/>
        <family val="2"/>
      </rPr>
      <t>WHERE</t>
    </r>
    <r>
      <rPr>
        <sz val="11"/>
        <color rgb="FF000000"/>
        <rFont val="Calibri"/>
        <family val="2"/>
      </rPr>
      <t xml:space="preserve"> TAT91_TABELAS_NEW.TAYD91C0_CTABELA =  '091' AND CENTRO_PT.E3300_IDEMPRE = '0018'</t>
    </r>
  </si>
  <si>
    <t>CONCAT( DISTRIPC, CODCON, FREGNA )</t>
  </si>
  <si>
    <t>Postal Code</t>
  </si>
  <si>
    <t>postal_code</t>
  </si>
  <si>
    <t>Ext inf - Addr Inf - Value</t>
  </si>
  <si>
    <t>Postal code of the adress.</t>
  </si>
  <si>
    <t>Código postal do endereço.</t>
  </si>
  <si>
    <t/>
  </si>
  <si>
    <t>Postal Code:
COD_POSTAL_PT -&gt; TAT91 - CTABELA 020; CURATED_INTERNAL_MAINFRAME_ESTRUTURAIS.TAT91_TABELAS - TAYD91C0_CTABELA 020</t>
  </si>
  <si>
    <t>N\A
E3300_ZONA, E3300_CODCOMP</t>
  </si>
  <si>
    <r>
      <rPr>
        <b/>
        <sz val="11"/>
        <color rgb="FF000000"/>
        <rFont val="Calibri"/>
        <family val="2"/>
      </rPr>
      <t>SELECT</t>
    </r>
    <r>
      <rPr>
        <sz val="11"/>
        <color rgb="FF000000"/>
        <rFont val="Calibri"/>
        <family val="2"/>
      </rPr>
      <t xml:space="preserve"> IF( TRIM( CONCAT( CENTRO_PT.E3300_ZONA, CENTRO_PT.E3300_CODCOMP)) = '', NULL, CONCAT( CENTRO_PT.E3300_ZONA, '-', CENTRO_PT.E3300_CODCOMP ) )
WHERE TAT91_TABELAS_NEW.TAYD91C0_CTABELA =  '091' AND CENTRO_PT.E3300_IDEMPRE = '0018' </t>
    </r>
  </si>
  <si>
    <t>CONCAT( ZONA, CODCOMP )</t>
  </si>
  <si>
    <t>Street Type Code</t>
  </si>
  <si>
    <t>street_type_code</t>
  </si>
  <si>
    <t>Ext inf - Addr Inf - Code</t>
  </si>
  <si>
    <t>Identifies the type of street of the address, for example, avenue, street, etc.</t>
  </si>
  <si>
    <t>Identifica o tipo de rua do endereço, por exemplo, avenida, rua, etc.</t>
  </si>
  <si>
    <t>Street Type:
TIPO_VIA_PT -&gt;  TAT91 - CTABELA H91; CURATED_INTERNAL_MAINFRAME_ESTRUTURAIS.TAT91_TABELAS - TAYD91C0_CTABELA H91</t>
  </si>
  <si>
    <t>N\A
E3300_TIPVIAAC</t>
  </si>
  <si>
    <r>
      <t>SELECT</t>
    </r>
    <r>
      <rPr>
        <sz val="11"/>
        <color rgb="FF000000"/>
        <rFont val="Calibri"/>
        <family val="2"/>
      </rPr>
      <t xml:space="preserve"> IF( TRIM( CENTRO_PT.E3300_TIPVIAAC ) = '', NULL, CENTRO_PT.E3300_TIPVIAAC )</t>
    </r>
    <r>
      <rPr>
        <b/>
        <sz val="11"/>
        <color rgb="FF000000"/>
        <rFont val="Calibri"/>
        <family val="2"/>
      </rPr>
      <t xml:space="preserve">
WHERE</t>
    </r>
    <r>
      <rPr>
        <sz val="11"/>
        <color rgb="FF000000"/>
        <rFont val="Calibri"/>
        <family val="2"/>
      </rPr>
      <t xml:space="preserve"> TAT91_TABELAS_NEW.TAYD91C0_CTABELA =  '091' AND CENTRO_PT.E3300_IDEMPRE = '0018' </t>
    </r>
  </si>
  <si>
    <t>TIPVIAAC</t>
  </si>
  <si>
    <t>Street Name</t>
  </si>
  <si>
    <t>street_name</t>
  </si>
  <si>
    <t>Address's street name.</t>
  </si>
  <si>
    <t>Nome da rua do endereço.</t>
  </si>
  <si>
    <t>N\A
E3300_DESDIREC</t>
  </si>
  <si>
    <r>
      <t>SELECT</t>
    </r>
    <r>
      <rPr>
        <sz val="11"/>
        <color rgb="FF000000"/>
        <rFont val="Calibri"/>
        <family val="2"/>
      </rPr>
      <t xml:space="preserve"> IF( TRIM( CENTRO_PT.E3300_DESDIREC ) = '', NULL, CENTRO_PT.E3300_DESDIREC )</t>
    </r>
    <r>
      <rPr>
        <b/>
        <sz val="11"/>
        <color rgb="FF000000"/>
        <rFont val="Calibri"/>
        <family val="2"/>
      </rPr>
      <t xml:space="preserve">
WHERE</t>
    </r>
    <r>
      <rPr>
        <sz val="11"/>
        <color rgb="FF000000"/>
        <rFont val="Calibri"/>
        <family val="2"/>
      </rPr>
      <t xml:space="preserve"> TAT91_TABELAS_NEW.TAYD91C0_CTABELA =  '091' AND CENTRO_PT.E3300_IDEMPRE = '0018' </t>
    </r>
  </si>
  <si>
    <t>DESDIREC</t>
  </si>
  <si>
    <t>Building Type Code</t>
  </si>
  <si>
    <t>building_type_code</t>
  </si>
  <si>
    <t>Type of building, for example, if it is a building an estate and so on.</t>
  </si>
  <si>
    <t>Tipo de edifício, por exemplo, se é um edifício, uma propriedade, etc.</t>
  </si>
  <si>
    <t>Building Type:
TIP_EDIFICIO_PT -&gt; TAT91 - CTABELA H90; CURATED_INTERNAL_MAINFRAME_ESTRUTURAIS.TAT91_TABELAS - TAYD91C0_CTABELA H90</t>
  </si>
  <si>
    <t>N\A
E3300_TIPOEQI</t>
  </si>
  <si>
    <r>
      <t>SELECT</t>
    </r>
    <r>
      <rPr>
        <sz val="11"/>
        <color rgb="FF000000"/>
        <rFont val="Calibri"/>
        <family val="2"/>
      </rPr>
      <t xml:space="preserve"> IF( TRIM( CENTRO_PT.E3300_TIPOEQI ) = '', NULL, CENTRO_PT.E3300_TIPOEQI )</t>
    </r>
    <r>
      <rPr>
        <b/>
        <sz val="11"/>
        <color rgb="FF000000"/>
        <rFont val="Calibri"/>
        <family val="2"/>
      </rPr>
      <t xml:space="preserve">
WHERE</t>
    </r>
    <r>
      <rPr>
        <sz val="11"/>
        <color rgb="FF000000"/>
        <rFont val="Calibri"/>
        <family val="2"/>
      </rPr>
      <t xml:space="preserve"> TAT91_TABELAS_NEW.TAYD91C0_CTABELA =  '091' AND CENTRO_PT.E3300_IDEMPRE = '0018' </t>
    </r>
  </si>
  <si>
    <t>TIPOEQI</t>
  </si>
  <si>
    <t>Building Number</t>
  </si>
  <si>
    <t>building_number</t>
  </si>
  <si>
    <t>Address' building number (it also includes homes and other types of houses).</t>
  </si>
  <si>
    <t>Número do edifício da morada (inclui também outros tipos de casas).</t>
  </si>
  <si>
    <t>N\A
E3300_NUMPUERT</t>
  </si>
  <si>
    <r>
      <t>SELECT</t>
    </r>
    <r>
      <rPr>
        <sz val="11"/>
        <color rgb="FF000000"/>
        <rFont val="Calibri"/>
        <family val="2"/>
      </rPr>
      <t xml:space="preserve"> IF( TRIM( CENTRO_PT.E3300_NUMPUERT ) = '', NULL, CENTRO_PT.E3300_NUMPUERT )</t>
    </r>
    <r>
      <rPr>
        <b/>
        <sz val="11"/>
        <color rgb="FF000000"/>
        <rFont val="Calibri"/>
        <family val="2"/>
      </rPr>
      <t xml:space="preserve">
WHERE</t>
    </r>
    <r>
      <rPr>
        <sz val="11"/>
        <color rgb="FF000000"/>
        <rFont val="Calibri"/>
        <family val="2"/>
      </rPr>
      <t xml:space="preserve"> TAT91_TABELAS_NEW.TAYD91C0_CTABELA =  '091' AND CENTRO_PT.E3300_IDEMPRE = '0018' </t>
    </r>
  </si>
  <si>
    <t>NUMPUERT</t>
  </si>
  <si>
    <t>Building Details</t>
  </si>
  <si>
    <t>building_details</t>
  </si>
  <si>
    <t xml:space="preserve">Free text field for details of the building. It can include the number of the house inside of the building and extra details. </t>
  </si>
  <si>
    <t xml:space="preserve">Campo de texto livre para os pormenores do edifício. Pode incluir o número da casa no interior do edifício e pormenores adicionais. </t>
  </si>
  <si>
    <t>N\A
E3300_DOMICN</t>
  </si>
  <si>
    <r>
      <t>SELECT</t>
    </r>
    <r>
      <rPr>
        <sz val="11"/>
        <color rgb="FF000000"/>
        <rFont val="Calibri"/>
        <family val="2"/>
      </rPr>
      <t xml:space="preserve"> IF( TRIM( CENTRO_PT.E3300_DOMICN ) = '', NULL, CENTRO_PT.E3300_DOMICN )</t>
    </r>
    <r>
      <rPr>
        <b/>
        <sz val="11"/>
        <color rgb="FF000000"/>
        <rFont val="Calibri"/>
        <family val="2"/>
      </rPr>
      <t xml:space="preserve">
WHERE</t>
    </r>
    <r>
      <rPr>
        <sz val="11"/>
        <color rgb="FF000000"/>
        <rFont val="Calibri"/>
        <family val="2"/>
      </rPr>
      <t xml:space="preserve"> TAT91_TABELAS_NEW.TAYD91C0_CTABELA =  '091' AND CENTRO_PT.E3300_IDEMPRE = '0018' </t>
    </r>
  </si>
  <si>
    <t>DOMICN</t>
  </si>
  <si>
    <t>Data Date Part</t>
  </si>
  <si>
    <t>data_date_part</t>
  </si>
  <si>
    <t>Key - Date</t>
  </si>
  <si>
    <t>Information reference date.</t>
  </si>
  <si>
    <t>Data de referência da informação.</t>
  </si>
  <si>
    <t>DATA_DATE_PART
N\A</t>
  </si>
  <si>
    <r>
      <t>SELECT</t>
    </r>
    <r>
      <rPr>
        <sz val="11"/>
        <color rgb="FF000000"/>
        <rFont val="Calibri"/>
        <family val="2"/>
      </rPr>
      <t xml:space="preserve"> TAT91_TABELAS_NEW.DATA_DATE_PART</t>
    </r>
    <r>
      <rPr>
        <b/>
        <sz val="11"/>
        <color rgb="FF000000"/>
        <rFont val="Calibri"/>
        <family val="2"/>
      </rPr>
      <t xml:space="preserve">
WHERE</t>
    </r>
    <r>
      <rPr>
        <sz val="11"/>
        <color rgb="FF000000"/>
        <rFont val="Calibri"/>
        <family val="2"/>
      </rPr>
      <t xml:space="preserve"> TAT91_TABELAS_NEW.TAYD91C0_CTABELA =  '091' AND CENTRO_PT.E3300_IDEMPRE = '0018' </t>
    </r>
  </si>
  <si>
    <t>Data Timestamp Part</t>
  </si>
  <si>
    <t>data_timestamp_part</t>
  </si>
  <si>
    <t>Tec - Date</t>
  </si>
  <si>
    <t>TIMESTAMP</t>
  </si>
  <si>
    <t>Record's load timestamp in common layer.</t>
  </si>
  <si>
    <t>Data/hora de carregamento do registo na camada comum.</t>
  </si>
  <si>
    <t>N\A
N\A</t>
  </si>
  <si>
    <r>
      <t>SELECT</t>
    </r>
    <r>
      <rPr>
        <sz val="11"/>
        <color rgb="FF000000"/>
        <rFont val="Calibri"/>
        <family val="2"/>
      </rPr>
      <t xml:space="preserve"> NOW()</t>
    </r>
    <r>
      <rPr>
        <b/>
        <sz val="11"/>
        <color rgb="FF000000"/>
        <rFont val="Calibri"/>
        <family val="2"/>
      </rPr>
      <t xml:space="preserve">
WHERE</t>
    </r>
    <r>
      <rPr>
        <sz val="11"/>
        <color rgb="FF000000"/>
        <rFont val="Calibri"/>
        <family val="2"/>
      </rPr>
      <t xml:space="preserve"> TAT91_TABELAS_NEW.TAYD91C0_CTABELA =  '091' AND CENTRO_PT.E3300_IDEMPRE = '0018' </t>
    </r>
  </si>
  <si>
    <t>Exchange Rate</t>
  </si>
  <si>
    <t>Exchange Rate Date</t>
  </si>
  <si>
    <t>exchange_rate_date</t>
  </si>
  <si>
    <t>Date of the exchange rate.</t>
  </si>
  <si>
    <t>Data da taxa de câmbio.</t>
  </si>
  <si>
    <t>CURATED_INTERNAL_MAINFRAME_CAMBIOS</t>
  </si>
  <si>
    <t>CBT02_CAMBIOS</t>
  </si>
  <si>
    <t>DCAMBIO</t>
  </si>
  <si>
    <r>
      <t>SELECT</t>
    </r>
    <r>
      <rPr>
        <sz val="11"/>
        <color rgb="FF000000"/>
        <rFont val="Calibri"/>
        <family val="2"/>
      </rPr>
      <t xml:space="preserve"> CBT02_CAMBIOS.DCAMBIO</t>
    </r>
  </si>
  <si>
    <t>CB - Cambios</t>
  </si>
  <si>
    <t>Exchange Type Code</t>
  </si>
  <si>
    <t>exchange_type_code</t>
  </si>
  <si>
    <t>Key - Code</t>
  </si>
  <si>
    <t>Identifies if it is a fixing exchange, a buy exchange or an ibos transfer.</t>
  </si>
  <si>
    <t>Identifica se se trata de uma troca de fixação, de uma troca de compra ou de uma transferência ibos.</t>
  </si>
  <si>
    <t>TAT91_TABELAS - CTABELA 836</t>
  </si>
  <si>
    <t>CTBCAMB</t>
  </si>
  <si>
    <r>
      <t>SELECT</t>
    </r>
    <r>
      <rPr>
        <sz val="11"/>
        <color rgb="FF000000"/>
        <rFont val="Calibri"/>
        <family val="2"/>
      </rPr>
      <t xml:space="preserve"> CBT02_CAMBIOS.CTBCAMB</t>
    </r>
  </si>
  <si>
    <t>Origin Currency Code</t>
  </si>
  <si>
    <t>origin_currency_code</t>
  </si>
  <si>
    <t>Indicates the currency of the origin of the trade.</t>
  </si>
  <si>
    <t>Indica a moeda origem da transação.</t>
  </si>
  <si>
    <t>TAT91_TABELAS - CTABELA 206</t>
  </si>
  <si>
    <r>
      <t>SELECT</t>
    </r>
    <r>
      <rPr>
        <sz val="11"/>
        <color rgb="FF000000"/>
        <rFont val="Calibri"/>
        <family val="2"/>
      </rPr>
      <t xml:space="preserve"> CBT02_CAMBIOS.CMOEDA</t>
    </r>
  </si>
  <si>
    <t>Order Number</t>
  </si>
  <si>
    <t>order_number</t>
  </si>
  <si>
    <t>Ext Inf - Value</t>
  </si>
  <si>
    <t>BIGINT</t>
  </si>
  <si>
    <t>Represents the position in the sequencial order of exchange rate. In case of exchange rates '99' represents the atual rate.</t>
  </si>
  <si>
    <t>Representa a posição na ordem sequencial da taxa de câmbio. No caso das taxas de câmbio, “99” representa a taxa atual.</t>
  </si>
  <si>
    <t>ZSEQCAMB</t>
  </si>
  <si>
    <r>
      <t>SELECT</t>
    </r>
    <r>
      <rPr>
        <sz val="11"/>
        <color rgb="FF000000"/>
        <rFont val="Calibri"/>
        <family val="2"/>
      </rPr>
      <t xml:space="preserve"> CBT02_CAMBIOS.ZSEQCAMB</t>
    </r>
  </si>
  <si>
    <t>Origin Currency Country Code</t>
  </si>
  <si>
    <t>origin_currency_country_code</t>
  </si>
  <si>
    <t>Ext Inf - Fin Inf - Value</t>
  </si>
  <si>
    <t>Identifies to which country does the origin currency belongs to.</t>
  </si>
  <si>
    <t>Identifica a que país pertence a moeda de origem.</t>
  </si>
  <si>
    <t>TAT91_TABELAS - CTABELA 015</t>
  </si>
  <si>
    <t>CPAISISO</t>
  </si>
  <si>
    <r>
      <t>SELECT</t>
    </r>
    <r>
      <rPr>
        <sz val="11"/>
        <color rgb="FF000000"/>
        <rFont val="Calibri"/>
        <family val="2"/>
      </rPr>
      <t xml:space="preserve"> IF( TRIM( CBT02_CAMBIOS.CPAISISO ) = '', NULL, CBT02_CAMBIOS.CPAISISO)</t>
    </r>
  </si>
  <si>
    <t>Buy Rate</t>
  </si>
  <si>
    <t>buy_rate</t>
  </si>
  <si>
    <t>DECIMAL</t>
  </si>
  <si>
    <t>Indicates the buy exchange rate between the currencies.</t>
  </si>
  <si>
    <t>Indica a taxa de câmbio de compra entre as moedas.</t>
  </si>
  <si>
    <t>TCMBCR</t>
  </si>
  <si>
    <r>
      <t>SELECT</t>
    </r>
    <r>
      <rPr>
        <sz val="11"/>
        <color rgb="FF000000"/>
        <rFont val="Calibri"/>
        <family val="2"/>
      </rPr>
      <t xml:space="preserve"> CBT02_CAMBIOS.TCMBCR</t>
    </r>
  </si>
  <si>
    <t>Sell Rate</t>
  </si>
  <si>
    <t>sell_rate</t>
  </si>
  <si>
    <t>Indicates the sell exchange rate between the currencies.</t>
  </si>
  <si>
    <t>Indica a taxa de câmbio de venda entre as moedas.</t>
  </si>
  <si>
    <t>TCMBVN</t>
  </si>
  <si>
    <r>
      <t>SELECT</t>
    </r>
    <r>
      <rPr>
        <sz val="11"/>
        <color rgb="FF000000"/>
        <rFont val="Calibri"/>
        <family val="2"/>
      </rPr>
      <t xml:space="preserve"> CBT02_CAMBIOS.TCMBVN</t>
    </r>
  </si>
  <si>
    <t>Average Rate</t>
  </si>
  <si>
    <t>average_rate</t>
  </si>
  <si>
    <t>The average rate between sell and buy exchange rates.</t>
  </si>
  <si>
    <t>Taxa média entre as taxas de câmbio de venda e de compra.</t>
  </si>
  <si>
    <t>TCMBME</t>
  </si>
  <si>
    <r>
      <t>SELECT</t>
    </r>
    <r>
      <rPr>
        <sz val="11"/>
        <color rgb="FF000000"/>
        <rFont val="Calibri"/>
        <family val="2"/>
      </rPr>
      <t xml:space="preserve"> CBT02_CAMBIOS.TCMBME</t>
    </r>
  </si>
  <si>
    <t>USD Cross Rate</t>
  </si>
  <si>
    <t>usd_cross_rate</t>
  </si>
  <si>
    <t>Indicates the USD cross rate for the cross-currency pair, if applicable.</t>
  </si>
  <si>
    <t>Indica a taxa cruzada do USD para o par de moedas cruzadas, se aplicável.</t>
  </si>
  <si>
    <t>CRSUSD</t>
  </si>
  <si>
    <r>
      <t>SELECT</t>
    </r>
    <r>
      <rPr>
        <sz val="11"/>
        <color rgb="FF000000"/>
        <rFont val="Calibri"/>
        <family val="2"/>
      </rPr>
      <t xml:space="preserve"> CBT02_CAMBIOS.CRSUSD</t>
    </r>
  </si>
  <si>
    <t>Bank ID Code</t>
  </si>
  <si>
    <t>bank_id_code</t>
  </si>
  <si>
    <t>Int inf - Value</t>
  </si>
  <si>
    <t>Indicates to which bank id does the reference table dimension belongs to.</t>
  </si>
  <si>
    <t>Indica a que id do banco pertence a dimensão da tabela de referência.</t>
  </si>
  <si>
    <t>CMARCA</t>
  </si>
  <si>
    <r>
      <t>SELECT</t>
    </r>
    <r>
      <rPr>
        <sz val="11"/>
        <color rgb="FF000000"/>
        <rFont val="Calibri"/>
        <family val="2"/>
      </rPr>
      <t xml:space="preserve"> CBT02_CAMBIOS.CMARCA</t>
    </r>
  </si>
  <si>
    <t>DATA_DATE_PART</t>
  </si>
  <si>
    <r>
      <t>SELECT</t>
    </r>
    <r>
      <rPr>
        <sz val="11"/>
        <color rgb="FF000000"/>
        <rFont val="Calibri"/>
        <family val="2"/>
      </rPr>
      <t xml:space="preserve"> CBT02_CAMBIOS.DATA_DATE_PART</t>
    </r>
  </si>
  <si>
    <r>
      <t>SELECT</t>
    </r>
    <r>
      <rPr>
        <sz val="11"/>
        <color rgb="FF000000"/>
        <rFont val="Calibri"/>
        <family val="2"/>
      </rPr>
      <t xml:space="preserve"> NOW()</t>
    </r>
  </si>
  <si>
    <t>Financial Flow Indicator Converter</t>
  </si>
  <si>
    <t>Source Code</t>
  </si>
  <si>
    <t>source_code</t>
  </si>
  <si>
    <t>Identifier of the Santander's application that generated the information. For example, EP for loans, CRT for cards, etc.</t>
  </si>
  <si>
    <t>Código da aplicação fonte, isto é, aplicação técnica que gerou o resgisto.</t>
  </si>
  <si>
    <t>x</t>
  </si>
  <si>
    <t>Source Transaction Type Code</t>
  </si>
  <si>
    <t>source_transaction_type_code</t>
  </si>
  <si>
    <t>Identifies the type of transaction identifier used in the source application. For example, coperac, obb, etc.</t>
  </si>
  <si>
    <t>Identifica o tipo de identificador de transação utilizado na aplicação de origem. Por exemplo, coperac, obb, etc.</t>
  </si>
  <si>
    <t>Source Value</t>
  </si>
  <si>
    <t>source_value</t>
  </si>
  <si>
    <t>The code as it is in the source application.</t>
  </si>
  <si>
    <t>Código como está na aplicação de origem.</t>
  </si>
  <si>
    <t>CDM Value</t>
  </si>
  <si>
    <t>cdm_value</t>
  </si>
  <si>
    <t>The expected value of the transaction type code in the common data model.</t>
  </si>
  <si>
    <t>O valor esperado do código do tipo de transação no modelo comum de dados.</t>
  </si>
  <si>
    <t>General Code Converter</t>
  </si>
  <si>
    <t>Int inf - Code</t>
  </si>
  <si>
    <t>Code Category</t>
  </si>
  <si>
    <t>code_category</t>
  </si>
  <si>
    <t>Identifies the code's category that needs to be converted.</t>
  </si>
  <si>
    <t>Identifica a categoria do código que precisa de ser convertida.</t>
  </si>
  <si>
    <t>The expected value of the code in the common data model.</t>
  </si>
  <si>
    <t>Valor esperado do código no modelo comum de dados.</t>
  </si>
  <si>
    <t>Priority Level</t>
  </si>
  <si>
    <t>priority_level</t>
  </si>
  <si>
    <t>INT</t>
  </si>
  <si>
    <t>The priority level for each output of a given conversion.</t>
  </si>
  <si>
    <t>Nível de prioridade para o valor final de uma determinada conversão.</t>
  </si>
  <si>
    <t>Litigation Product</t>
  </si>
  <si>
    <t>Source Product ID</t>
  </si>
  <si>
    <t>source_product_id</t>
  </si>
  <si>
    <t>Identifies the source product of the litigation passage account that determines to which contract domain the contract belongs to.</t>
  </si>
  <si>
    <t>Identifica o produto de origem da conta de passagem de litígio que determina a que domínio do contrato pertence o contrato.</t>
  </si>
  <si>
    <t>Source Subproduct ID</t>
  </si>
  <si>
    <t>source_subproduct_id</t>
  </si>
  <si>
    <t>Identifies the source subproduct of the litigation passage account that determines to which contract domain the contract belongs to.</t>
  </si>
  <si>
    <t>Identifica o subproduto de origem da conta de passagem de litígio que determina a que domínio do contrato pertence o contrato.</t>
  </si>
  <si>
    <t>Organisation</t>
  </si>
  <si>
    <t>IBAN Organization ID</t>
  </si>
  <si>
    <t>iban_organization_id</t>
  </si>
  <si>
    <t>Identifies the financial organization according to the IBAN's account identifiers.</t>
  </si>
  <si>
    <t>Identifica a organização financeira de acordo com os identificadores de conta do IBAN.</t>
  </si>
  <si>
    <t>CURATED_INTERNAL_MAINFRAME_ESTRANGEIROS</t>
  </si>
  <si>
    <t>EST02_BANCOS</t>
  </si>
  <si>
    <t>NR_BANCO</t>
  </si>
  <si>
    <r>
      <t>SELECT</t>
    </r>
    <r>
      <rPr>
        <sz val="11"/>
        <color rgb="FF000000"/>
        <rFont val="Calibri"/>
        <family val="2"/>
      </rPr>
      <t xml:space="preserve"> EST02_BANCOS.NR_BANCO</t>
    </r>
  </si>
  <si>
    <t>ES - Estrangeiro</t>
  </si>
  <si>
    <t>Name</t>
  </si>
  <si>
    <t>name</t>
  </si>
  <si>
    <t>Organization's name short name.</t>
  </si>
  <si>
    <t>Nome abreviado da organização.</t>
  </si>
  <si>
    <t>NOME_ABREVIADO</t>
  </si>
  <si>
    <r>
      <t>SELECT</t>
    </r>
    <r>
      <rPr>
        <sz val="11"/>
        <color rgb="FF000000"/>
        <rFont val="Calibri"/>
        <family val="2"/>
      </rPr>
      <t xml:space="preserve"> EST02_BANCOS.NOME_ABREVIADO</t>
    </r>
  </si>
  <si>
    <t>Full Name</t>
  </si>
  <si>
    <t>full_name</t>
  </si>
  <si>
    <t>Organization's name full name.</t>
  </si>
  <si>
    <t>Nome completo da organização.</t>
  </si>
  <si>
    <t>NOME_COMPLETO_1</t>
  </si>
  <si>
    <r>
      <t>SELECT</t>
    </r>
    <r>
      <rPr>
        <sz val="11"/>
        <color rgb="FF000000"/>
        <rFont val="Calibri"/>
        <family val="2"/>
      </rPr>
      <t xml:space="preserve"> EST02_BANCOS.NOME_COMPLETO_1</t>
    </r>
  </si>
  <si>
    <t>Country Code</t>
  </si>
  <si>
    <t>country_code</t>
  </si>
  <si>
    <t>Organization's headquarters country.</t>
  </si>
  <si>
    <t>País da sede da organização.</t>
  </si>
  <si>
    <t>CURATED_INTERNAL_MAINFRAME_ESTRANGEIROS
CURATED_INTERNAL_MAINFRAME_ESTRUTURAIS</t>
  </si>
  <si>
    <t>EST02_BANCOS
TAT03_PAISES</t>
  </si>
  <si>
    <t>N\A
CPAIS_S</t>
  </si>
  <si>
    <r>
      <t>SELECT</t>
    </r>
    <r>
      <rPr>
        <sz val="11"/>
        <color rgb="FF000000"/>
        <rFont val="Calibri"/>
        <family val="2"/>
      </rPr>
      <t xml:space="preserve"> IF( TRIM( TAT03_PAISES.CPAIS_S ) = '', NULL, LPAD( TRIM( TAT03_PAISES.CPAIS_S ), 3, '0'))</t>
    </r>
  </si>
  <si>
    <t>ES - Estrangeiro -&gt; TA - Tabelas Gerais</t>
  </si>
  <si>
    <t>EST02_BANCOS -&gt; TAT03_PAISES</t>
  </si>
  <si>
    <t>CPAIS -&gt; CPAIS_S</t>
  </si>
  <si>
    <t>N\A -&gt; N\A</t>
  </si>
  <si>
    <t>Main Swift</t>
  </si>
  <si>
    <t>main_swift</t>
  </si>
  <si>
    <t xml:space="preserve">The main swift address of the organization. </t>
  </si>
  <si>
    <t>Principal endereço swift da organização.</t>
  </si>
  <si>
    <t>CURATED_INTERNAL_MAINFRAME_ESTRANGEIROS
CURATED_INTERNAL_MAINFRAME_ESTRANGEIROS</t>
  </si>
  <si>
    <t>EST02_BANCOS
EST21_SWIFT</t>
  </si>
  <si>
    <t>N\A
ENDERECO_SWIFT</t>
  </si>
  <si>
    <r>
      <t>SELECT</t>
    </r>
    <r>
      <rPr>
        <sz val="11"/>
        <color rgb="FF000000"/>
        <rFont val="Calibri"/>
        <family val="2"/>
      </rPr>
      <t xml:space="preserve"> IF( TRIM( EST21_SWIFT.ENDERECO_SWIFT ) = '', NULL, EST21_SWIFT.ENDERECO_SWIFT )</t>
    </r>
    <r>
      <rPr>
        <b/>
        <sz val="11"/>
        <color rgb="FF000000"/>
        <rFont val="Calibri"/>
        <family val="2"/>
      </rPr>
      <t xml:space="preserve">
WHERE</t>
    </r>
    <r>
      <rPr>
        <sz val="11"/>
        <color rgb="FF000000"/>
        <rFont val="Calibri"/>
        <family val="2"/>
      </rPr>
      <t xml:space="preserve"> EST21_SWIFT.IND_ENDERECO = 9</t>
    </r>
  </si>
  <si>
    <t>EST21_SWIFT</t>
  </si>
  <si>
    <t>ENDERECO_SWIFT</t>
  </si>
  <si>
    <r>
      <t>SELECT</t>
    </r>
    <r>
      <rPr>
        <sz val="11"/>
        <color rgb="FF000000"/>
        <rFont val="Calibri"/>
        <family val="2"/>
      </rPr>
      <t xml:space="preserve"> EST02BANCOS.DATA_DATE_PART</t>
    </r>
  </si>
  <si>
    <t>Reference Data Attribute</t>
  </si>
  <si>
    <t>Data Table Code</t>
  </si>
  <si>
    <t>data_table_code</t>
  </si>
  <si>
    <t>Unique identifier of a specific reference data dimension in the reference data table's description table.</t>
  </si>
  <si>
    <t>Identificador único de uma dimensão de dados de referência específica na tabela de descrição da tabela de dados de referência.</t>
  </si>
  <si>
    <t>CURATED_INTERNAL_MAINFRAME_ESTRUTURAIS
N\A
OPERATIONS_COMMON_REFERENCEDATA_CORE</t>
  </si>
  <si>
    <t>TAT92_PARAMTB
CONF_REFERENCE_DATA_ATTRIBUTE_LIST
CONF_REFERENCE_DATA_ATTRIBUTE_TABLE</t>
  </si>
  <si>
    <t>CTABELA
DATA_TABLE_CODE
DATA_TABLE_CODE</t>
  </si>
  <si>
    <r>
      <rPr>
        <b/>
        <sz val="11"/>
        <color rgb="FF000000"/>
        <rFont val="Calibri"/>
        <family val="2"/>
      </rPr>
      <t>SELECT</t>
    </r>
    <r>
      <rPr>
        <sz val="11"/>
        <color rgb="FF000000"/>
        <rFont val="Calibri"/>
        <family val="2"/>
      </rPr>
      <t xml:space="preserve"> TAT92_PARAMTB.CTABELA
</t>
    </r>
    <r>
      <rPr>
        <b/>
        <sz val="11"/>
        <color rgb="FF000000"/>
        <rFont val="Calibri"/>
        <family val="2"/>
      </rPr>
      <t xml:space="preserve">
SELECT</t>
    </r>
    <r>
      <rPr>
        <sz val="11"/>
        <color rgb="FF000000"/>
        <rFont val="Calibri"/>
        <family val="2"/>
      </rPr>
      <t xml:space="preserve"> CONF_REFERENCE_DATA_ATTRIBUTE_LIST.DATA_TABLE_CODE
SELECT CONF_REFERENCE_DATA_ATTRIBUTE_TABLE.DATA_TABLE_CODE</t>
    </r>
  </si>
  <si>
    <t>TAT92_PARAMTB</t>
  </si>
  <si>
    <t>CTABELA</t>
  </si>
  <si>
    <t>Configuration Type Code</t>
  </si>
  <si>
    <t>configuration_type_code</t>
  </si>
  <si>
    <t>Describes the configuration type code. If it is CE it corresponds to the definition of an element and not of an element's attribute. If it is 01...20 it represents the configuration of an element's attribute.</t>
  </si>
  <si>
    <t>Descreve o código do tipo de configuração. Se for CE, corresponde à definição de um elemento e não de um atributo de um elemento. Se for 01...20, representa a configuração de um atributo de um elemento.</t>
  </si>
  <si>
    <t>CCAMPO
CONFIGURATION_TYPE_CODE</t>
  </si>
  <si>
    <r>
      <t>SELECT</t>
    </r>
    <r>
      <rPr>
        <sz val="11"/>
        <color rgb="FF000000"/>
        <rFont val="Calibri"/>
        <family val="2"/>
      </rPr>
      <t xml:space="preserve"> TAT92_PARAMTB.CCAMPO</t>
    </r>
    <r>
      <rPr>
        <b/>
        <sz val="11"/>
        <color rgb="FF000000"/>
        <rFont val="Calibri"/>
        <family val="2"/>
      </rPr>
      <t xml:space="preserve">
SELECT</t>
    </r>
    <r>
      <rPr>
        <sz val="11"/>
        <color rgb="FF000000"/>
        <rFont val="Calibri"/>
        <family val="2"/>
      </rPr>
      <t xml:space="preserve"> CONF_REFERENCE_DATA_ATTRIBUTE_LIST.CONFIGURATION_TYPE_CODE
SELECT CONF_REFERENCE_DATA_ATTRIBUTE_TABLE.CONFIGURATION_TYPE_CODE</t>
    </r>
  </si>
  <si>
    <t>CCAMPO</t>
  </si>
  <si>
    <t>Element Description</t>
  </si>
  <si>
    <t>element_description</t>
  </si>
  <si>
    <t>Describes the element code.</t>
  </si>
  <si>
    <t>Descreve o código do elemento.</t>
  </si>
  <si>
    <t>GCAMPO
ELEMENT_DESCRIPTION</t>
  </si>
  <si>
    <r>
      <t>SELECT</t>
    </r>
    <r>
      <rPr>
        <sz val="11"/>
        <color rgb="FF000000"/>
        <rFont val="Calibri"/>
        <family val="2"/>
      </rPr>
      <t xml:space="preserve"> TAT92_PARAMTB.GCAMPO</t>
    </r>
    <r>
      <rPr>
        <b/>
        <sz val="11"/>
        <color rgb="FF000000"/>
        <rFont val="Calibri"/>
        <family val="2"/>
      </rPr>
      <t xml:space="preserve">
SELECT</t>
    </r>
    <r>
      <rPr>
        <sz val="11"/>
        <color rgb="FF000000"/>
        <rFont val="Calibri"/>
        <family val="2"/>
      </rPr>
      <t xml:space="preserve"> CONF_REFERENCE_DATA_ATTRIBUTE_LIST.ELEMENT_DESCRIPTION
SELECT CONF_REFERENCE_DATA_ATTRIBUTE_TABLE.ELEMENT_DESCRIPTION</t>
    </r>
  </si>
  <si>
    <t>GCAMPO</t>
  </si>
  <si>
    <t>Mandatory Indicator</t>
  </si>
  <si>
    <t>mandatory_ind</t>
  </si>
  <si>
    <t>Int inf - Ind</t>
  </si>
  <si>
    <t>Indicates if the attribute is mandatory to every element of that reference data table's dimension.</t>
  </si>
  <si>
    <t>Indica se o atributo é obrigatório para todos os elementos da dimensão dessa tabela de dados de referência.</t>
  </si>
  <si>
    <t>IOBRIGA
MANDATORY_IND</t>
  </si>
  <si>
    <r>
      <t>SELECT</t>
    </r>
    <r>
      <rPr>
        <sz val="11"/>
        <color rgb="FF000000"/>
        <rFont val="Calibri"/>
        <family val="2"/>
      </rPr>
      <t xml:space="preserve"> TAT92_PARAMTB.CTABELA</t>
    </r>
    <r>
      <rPr>
        <b/>
        <sz val="11"/>
        <color rgb="FF000000"/>
        <rFont val="Calibri"/>
        <family val="2"/>
      </rPr>
      <t xml:space="preserve">
SELECT</t>
    </r>
    <r>
      <rPr>
        <sz val="11"/>
        <color rgb="FF000000"/>
        <rFont val="Calibri"/>
        <family val="2"/>
      </rPr>
      <t xml:space="preserve"> CONF_REFERENCE_DATA_ATTRIBUTE_LIST.MANDATORY_IND
SELECT CONF_REFERENCE_DATA_ATTRIBUTE_TABLE.MANDATORY_IND</t>
    </r>
  </si>
  <si>
    <t>IOBRIGA</t>
  </si>
  <si>
    <t>Attribute Order Number</t>
  </si>
  <si>
    <t>attribute_order_number</t>
  </si>
  <si>
    <t>Identifies the order number of the attribute within the attribute column that the configuration is associated to.</t>
  </si>
  <si>
    <t>Identifica o número de ordem do atributo na coluna de atributos à qual a configuração está associada.</t>
  </si>
  <si>
    <t>ZORDEM
ATTRIBUTE_ORDER_NUMBER</t>
  </si>
  <si>
    <r>
      <t>SELECT</t>
    </r>
    <r>
      <rPr>
        <sz val="11"/>
        <color rgb="FF000000"/>
        <rFont val="Calibri"/>
        <family val="2"/>
      </rPr>
      <t xml:space="preserve"> TAT92_PARAMTB.ZORDEM</t>
    </r>
    <r>
      <rPr>
        <b/>
        <sz val="11"/>
        <color rgb="FF000000"/>
        <rFont val="Calibri"/>
        <family val="2"/>
      </rPr>
      <t xml:space="preserve">
SELECT</t>
    </r>
    <r>
      <rPr>
        <sz val="11"/>
        <color rgb="FF000000"/>
        <rFont val="Calibri"/>
        <family val="2"/>
      </rPr>
      <t xml:space="preserve"> CONF_REFERENCE_DATA_ATTRIBUTE_LIST.ATTRIBUTE_ORDER_NUMBER
SELECT CONF_REFERENCE_DATA_ATTRIBUTE_TABLE.ATTRIBUTE_ORDER_NUMBER</t>
    </r>
  </si>
  <si>
    <t>ZORDEM</t>
  </si>
  <si>
    <t>Attribute Start Position</t>
  </si>
  <si>
    <t>attribute_start_position</t>
  </si>
  <si>
    <t>Identifies in which position the attribute starts within the attribute column (an attribute column can have more than one attribute configurated).</t>
  </si>
  <si>
    <t>Identifica a posição em que o atributo começa na coluna de atributos (uma coluna de atributos pode ter mais do que um atributo configurado).</t>
  </si>
  <si>
    <t>ZINICIO
ATTRIBUTE_START_POSITION</t>
  </si>
  <si>
    <r>
      <t>SELECT</t>
    </r>
    <r>
      <rPr>
        <sz val="11"/>
        <color rgb="FF000000"/>
        <rFont val="Calibri"/>
        <family val="2"/>
      </rPr>
      <t xml:space="preserve"> TAT92_PARAMTB.ZINICIO</t>
    </r>
    <r>
      <rPr>
        <b/>
        <sz val="11"/>
        <color rgb="FF000000"/>
        <rFont val="Calibri"/>
        <family val="2"/>
      </rPr>
      <t xml:space="preserve">
SELECT</t>
    </r>
    <r>
      <rPr>
        <sz val="11"/>
        <color rgb="FF000000"/>
        <rFont val="Calibri"/>
        <family val="2"/>
      </rPr>
      <t xml:space="preserve"> CONF_REFERENCE_DATA_ATTRIBUTE_LIST.ATTRIBUTE_START_POSITION
SELECT CONF_REFERENCE_DATA_ATTRIBUTE_TABLE.ATTRIBUTE_START_POSITION</t>
    </r>
  </si>
  <si>
    <t>ZINICIO</t>
  </si>
  <si>
    <t>Attribute Lenght</t>
  </si>
  <si>
    <t>attribute_lenght</t>
  </si>
  <si>
    <t>Defines the lenght of the attribute within the attribute column.</t>
  </si>
  <si>
    <t>Define o comprimento do atributo na coluna do atributo.</t>
  </si>
  <si>
    <t>ZCOMP
ATTRIBUTE_LENGTH</t>
  </si>
  <si>
    <r>
      <t>SELECT</t>
    </r>
    <r>
      <rPr>
        <sz val="11"/>
        <color rgb="FF000000"/>
        <rFont val="Calibri"/>
        <family val="2"/>
      </rPr>
      <t xml:space="preserve"> TAT92_PARAMTB.ZCOMP</t>
    </r>
    <r>
      <rPr>
        <b/>
        <sz val="11"/>
        <color rgb="FF000000"/>
        <rFont val="Calibri"/>
        <family val="2"/>
      </rPr>
      <t xml:space="preserve">
SELECT</t>
    </r>
    <r>
      <rPr>
        <sz val="11"/>
        <color rgb="FF000000"/>
        <rFont val="Calibri"/>
        <family val="2"/>
      </rPr>
      <t xml:space="preserve"> CONF_REFERENCE_DATA_ATTRIBUTE_LIST.ATTRIBUTE_LENGTH
SELECT CONF_REFERENCE_DATA_ATTRIBUTE_TABLE.ATTRIBUTE_LENGTH</t>
    </r>
  </si>
  <si>
    <t>ZCOMP</t>
  </si>
  <si>
    <t>DATA_DATE_PART
DATA_DATE_PART</t>
  </si>
  <si>
    <r>
      <t>SELECT</t>
    </r>
    <r>
      <rPr>
        <sz val="11"/>
        <color rgb="FF000000"/>
        <rFont val="Calibri"/>
        <family val="2"/>
      </rPr>
      <t xml:space="preserve"> TAT92_PARAMTB.DATA_DATE_PART</t>
    </r>
    <r>
      <rPr>
        <b/>
        <sz val="11"/>
        <color rgb="FF000000"/>
        <rFont val="Calibri"/>
        <family val="2"/>
      </rPr>
      <t xml:space="preserve">
SELECT</t>
    </r>
    <r>
      <rPr>
        <sz val="11"/>
        <color rgb="FF000000"/>
        <rFont val="Calibri"/>
        <family val="2"/>
      </rPr>
      <t xml:space="preserve"> CONF_REFERENCE_DATA_ATTRIBUTE_LIST.DATA_DATE_PART
SELECT CONF_REFERENCE_DATA_ATTRIBUTE_TABLE.DATA_DATE_PART</t>
    </r>
  </si>
  <si>
    <t>Reference Data Table</t>
  </si>
  <si>
    <t>CURATED_INTERNAL_MAINFRAME_ESTRUTURAIS
OPERATIONS_COMMON_REFERENCEDATA_CORE
CURATED_INTERNAL_MAINFRAME_CLIENTES
CURATED_INTERNAL_MAINFRAME_CLIENTES
CURATED_INTERNAL_COFRESALUGUER
CURATED_INTERNAL_MAINFRAME_CARTOES
CURATED_INTERNAL_MAINFRAME_ESTRUTURAIS
CURATED_INTERNAL_MAINFRAME_ESTRUTURAIS
CURATED_INTERNAL_MAINFRAME_ESTRUTURAIS
CURATED_INTERNAL_MAINFRAME_ESTRUTURAIS
CURATED_INTERNAL_LEASE
CURATED_INTERNAL_LEASE
CURATED_INTERNAL_LEASE
CURATED_INTERNAL_LEASE
CURATED_INTERNAL_LEASE
CURATED_INTERNAL_LEASE</t>
  </si>
  <si>
    <t>TAT91_TABELAS
CONF_REFERENCE_DATA_TABLE
MC_TIPO
MC_SUB_TIPO
VISITTYPE
CRT44_TBTIPFAC
CONCEPTO_CONTRA
CONCEPTO_LIQUID
OB_OPERACION
OB_OPER_BASICA
BANK_CODE
AGENCY_CODE
CONTRACTS_TYPE
EQUIPMENT_CODE
INDEXTYPE_CODE
EXPENSE_TYPE</t>
  </si>
  <si>
    <t>TAYD91C0_CTABELA
DATA_TABLE_CODE
N/A
N/A
N/A
N/A
N/A
N/A
N/A
N/A
N/A
N/A
N/A
N/A
N/A
N/A</t>
  </si>
  <si>
    <r>
      <rPr>
        <b/>
        <sz val="11"/>
        <color rgb="FF000000"/>
        <rFont val="Calibri"/>
        <family val="2"/>
      </rPr>
      <t>SELECT</t>
    </r>
    <r>
      <rPr>
        <sz val="11"/>
        <color rgb="FF000000"/>
        <rFont val="Calibri"/>
        <family val="2"/>
      </rPr>
      <t xml:space="preserve"> TAT91_TABELAS_NEW.TAYD91C0_CTABELA
</t>
    </r>
    <r>
      <rPr>
        <b/>
        <sz val="11"/>
        <color rgb="FF000000"/>
        <rFont val="Calibri"/>
        <family val="2"/>
      </rPr>
      <t>SELECT</t>
    </r>
    <r>
      <rPr>
        <sz val="11"/>
        <color rgb="FF000000"/>
        <rFont val="Calibri"/>
        <family val="2"/>
      </rPr>
      <t xml:space="preserve"> CONCAT ( "010", CONF_REFERENCE_DATA_TABLE.DATA_TABLE_CODE )
</t>
    </r>
    <r>
      <rPr>
        <b/>
        <sz val="11"/>
        <color rgb="FF000000"/>
        <rFont val="Calibri"/>
        <family val="2"/>
      </rPr>
      <t>SELECT "</t>
    </r>
    <r>
      <rPr>
        <sz val="11"/>
        <color rgb="FF000000"/>
        <rFont val="Calibri"/>
        <family val="2"/>
      </rPr>
      <t xml:space="preserve">001001"
</t>
    </r>
    <r>
      <rPr>
        <b/>
        <sz val="11"/>
        <color rgb="FF000000"/>
        <rFont val="Calibri"/>
        <family val="2"/>
      </rPr>
      <t>SELECT</t>
    </r>
    <r>
      <rPr>
        <sz val="11"/>
        <color rgb="FF000000"/>
        <rFont val="Calibri"/>
        <family val="2"/>
      </rPr>
      <t xml:space="preserve"> "001002"
</t>
    </r>
    <r>
      <rPr>
        <b/>
        <sz val="11"/>
        <color rgb="FF000000"/>
        <rFont val="Calibri"/>
        <family val="2"/>
      </rPr>
      <t>SELECT</t>
    </r>
    <r>
      <rPr>
        <sz val="11"/>
        <color rgb="FF000000"/>
        <rFont val="Calibri"/>
        <family val="2"/>
      </rPr>
      <t xml:space="preserve"> "001003"
</t>
    </r>
    <r>
      <rPr>
        <b/>
        <sz val="11"/>
        <color rgb="FF000000"/>
        <rFont val="Calibri"/>
        <family val="2"/>
      </rPr>
      <t>SELECT</t>
    </r>
    <r>
      <rPr>
        <sz val="11"/>
        <color rgb="FF000000"/>
        <rFont val="Calibri"/>
        <family val="2"/>
      </rPr>
      <t xml:space="preserve"> "001004"
</t>
    </r>
    <r>
      <rPr>
        <b/>
        <sz val="11"/>
        <color rgb="FF000000"/>
        <rFont val="Calibri"/>
        <family val="2"/>
      </rPr>
      <t>SELECT</t>
    </r>
    <r>
      <rPr>
        <sz val="11"/>
        <color rgb="FF000000"/>
        <rFont val="Calibri"/>
        <family val="2"/>
      </rPr>
      <t xml:space="preserve"> "001005"
</t>
    </r>
    <r>
      <rPr>
        <b/>
        <sz val="11"/>
        <color rgb="FF000000"/>
        <rFont val="Calibri"/>
        <family val="2"/>
      </rPr>
      <t>SELECT</t>
    </r>
    <r>
      <rPr>
        <sz val="11"/>
        <color rgb="FF000000"/>
        <rFont val="Calibri"/>
        <family val="2"/>
      </rPr>
      <t xml:space="preserve"> "001006"
</t>
    </r>
    <r>
      <rPr>
        <b/>
        <sz val="11"/>
        <color rgb="FF000000"/>
        <rFont val="Calibri"/>
        <family val="2"/>
      </rPr>
      <t>SELECT</t>
    </r>
    <r>
      <rPr>
        <sz val="11"/>
        <color rgb="FF000000"/>
        <rFont val="Calibri"/>
        <family val="2"/>
      </rPr>
      <t xml:space="preserve"> "001007"
</t>
    </r>
    <r>
      <rPr>
        <b/>
        <sz val="11"/>
        <color rgb="FF000000"/>
        <rFont val="Calibri"/>
        <family val="2"/>
      </rPr>
      <t>SELECT</t>
    </r>
    <r>
      <rPr>
        <sz val="11"/>
        <color rgb="FF000000"/>
        <rFont val="Calibri"/>
        <family val="2"/>
      </rPr>
      <t xml:space="preserve"> "001008"
</t>
    </r>
    <r>
      <rPr>
        <b/>
        <sz val="11"/>
        <color rgb="FF000000"/>
        <rFont val="Calibri"/>
        <family val="2"/>
      </rPr>
      <t>SELECT</t>
    </r>
    <r>
      <rPr>
        <sz val="11"/>
        <color rgb="FF000000"/>
        <rFont val="Calibri"/>
        <family val="2"/>
      </rPr>
      <t xml:space="preserve"> "001009"
</t>
    </r>
    <r>
      <rPr>
        <b/>
        <sz val="11"/>
        <color rgb="FF000000"/>
        <rFont val="Calibri"/>
        <family val="2"/>
      </rPr>
      <t>SELECT</t>
    </r>
    <r>
      <rPr>
        <sz val="11"/>
        <color rgb="FF000000"/>
        <rFont val="Calibri"/>
        <family val="2"/>
      </rPr>
      <t xml:space="preserve"> "001010"
SELECT "001011"
SELECT "001012"
</t>
    </r>
    <r>
      <rPr>
        <b/>
        <sz val="11"/>
        <color rgb="FF000000"/>
        <rFont val="Calibri"/>
        <family val="2"/>
      </rPr>
      <t xml:space="preserve">SELECT </t>
    </r>
    <r>
      <rPr>
        <sz val="11"/>
        <color rgb="FF000000"/>
        <rFont val="Calibri"/>
        <family val="2"/>
      </rPr>
      <t xml:space="preserve">"001013"
</t>
    </r>
    <r>
      <rPr>
        <b/>
        <sz val="11"/>
        <color rgb="FF000000"/>
        <rFont val="Calibri"/>
        <family val="2"/>
      </rPr>
      <t>SELECT</t>
    </r>
    <r>
      <rPr>
        <sz val="11"/>
        <color rgb="FF000000"/>
        <rFont val="Calibri"/>
        <family val="2"/>
      </rPr>
      <t xml:space="preserve"> "001014"</t>
    </r>
  </si>
  <si>
    <t>Element Code</t>
  </si>
  <si>
    <t>element_code</t>
  </si>
  <si>
    <t>A code that identifies an element of the reference data dimension.</t>
  </si>
  <si>
    <t>Código que identifica um elemento da dimensão dos dados de referência.</t>
  </si>
  <si>
    <t>TAYD91C0_CELEMTAB
ELEMENT_CODE
O3645_CODTIP
O3646_CODSTIP
ID
INDORI, TIPOFAC, INDESTR
JCON1_TIPMVTO
CLQ_DESCRIPE
O4B_CODOPBAS, O4B_CODOPBEOB
O3B_CODOPBAS
BANK
AGENCY
PRD_LEASE_CODE_1
PRD_LEASE_CODE_2
TAX_TYPE
CODE</t>
  </si>
  <si>
    <r>
      <rPr>
        <b/>
        <sz val="11"/>
        <color rgb="FF000000"/>
        <rFont val="Calibri"/>
        <family val="2"/>
      </rPr>
      <t xml:space="preserve">SELECT TAT91_TABELAS_NEW.TAYD91C0_CELEMTAB
SELECT CONF_REFERENCE_DATA_TABLE.ELEMENT_CODE
SELECT TRIM( MC_TIPO.O3645_CODTIP )
SELECT TRIM( MC_SUB_TIPO.O3646_CODSTIP )
SELECT LPAD( TRIM( VISITTYPE.ID), 3, '0' )
SELECT CONCAT( CRT44_TBTIPFAC.INDORI, CRT44_TBTIPFAC.TIPOFACN, CRT44_TBTIPFAC.INDESTR )
SELECT CONCEPTO_CONTRA.JCON1_TIPMVTO
SELECT </t>
    </r>
    <r>
      <rPr>
        <sz val="11"/>
        <color rgb="FF000000"/>
        <rFont val="Calibri"/>
        <family val="2"/>
      </rPr>
      <t xml:space="preserve">TRIM( CONCEPTO_LIQUID.CLQ_COCONCLI )
</t>
    </r>
    <r>
      <rPr>
        <b/>
        <sz val="11"/>
        <color rgb="FF000000"/>
        <rFont val="Calibri"/>
        <family val="2"/>
      </rPr>
      <t xml:space="preserve">
SELECT CONCAT( TRIM( OB_OPERACION.O4B_CODOPBAS ), TRIM( OB_OPERACION.O4B_CODOPBEOB ) )
SELECT TRIM( OB_OPER_BASICA.O3B_CODOPBAS)
SELECT TRIM( BANK_CODE.BANK)
SELECT TRIM( AGENCY_CODE.AGENCY)
SELECT TRIM( CONTRACTS_TYPE.PRD_LEASE_CODE_1)
SELECT TRIM( EQUIPMENT_CODE.PRD_LEASE_CODE_2)
SELECT TRIM( INDEXTYPE_CODE.TAX_TYPE ) 
SELECT TRIM( EXPENSE_TYPE.CODE )</t>
    </r>
  </si>
  <si>
    <t>TAYD91C0_CEMPMARC
BANK_ID_CODE
N/A
N/A
N/A
N/A
N/A
N/A
N/A
N/A
N/A
BANK
N/A
N/A
N/A
N/A</t>
  </si>
  <si>
    <r>
      <rPr>
        <b/>
        <sz val="11"/>
        <color rgb="FF000000"/>
        <rFont val="Calibri"/>
        <family val="2"/>
      </rPr>
      <t>SELECT</t>
    </r>
    <r>
      <rPr>
        <sz val="11"/>
        <color rgb="FF000000"/>
        <rFont val="Calibri"/>
        <family val="2"/>
      </rPr>
      <t xml:space="preserve"> TAT91_TABELAS_NEW.TAYD91C0_CEMPMARC
</t>
    </r>
    <r>
      <rPr>
        <b/>
        <sz val="11"/>
        <color rgb="FF000000"/>
        <rFont val="Calibri"/>
        <family val="2"/>
      </rPr>
      <t xml:space="preserve">SELECT </t>
    </r>
    <r>
      <rPr>
        <sz val="11"/>
        <color rgb="FF000000"/>
        <rFont val="Calibri"/>
        <family val="2"/>
      </rPr>
      <t>CONF_REFERENCE_DATA_TABLE.BANK_ID_CODE
SELECT "#N/A"
SELECT</t>
    </r>
    <r>
      <rPr>
        <b/>
        <sz val="11"/>
        <color rgb="FF000000"/>
        <rFont val="Calibri"/>
        <family val="2"/>
      </rPr>
      <t xml:space="preserve"> </t>
    </r>
    <r>
      <rPr>
        <sz val="11"/>
        <color rgb="FF000000"/>
        <rFont val="Calibri"/>
        <family val="2"/>
      </rPr>
      <t xml:space="preserve">"#N/A"
SELECT "#N/A"
</t>
    </r>
    <r>
      <rPr>
        <b/>
        <sz val="11"/>
        <color rgb="FF000000"/>
        <rFont val="Calibri"/>
        <family val="2"/>
      </rPr>
      <t>SELECT</t>
    </r>
    <r>
      <rPr>
        <sz val="11"/>
        <color rgb="FF000000"/>
        <rFont val="Calibri"/>
        <family val="2"/>
      </rPr>
      <t xml:space="preserve"> "#N/A"
SELECT "#N/A"
</t>
    </r>
    <r>
      <rPr>
        <b/>
        <sz val="11"/>
        <color rgb="FF000000"/>
        <rFont val="Calibri"/>
        <family val="2"/>
      </rPr>
      <t xml:space="preserve">SELECT </t>
    </r>
    <r>
      <rPr>
        <sz val="11"/>
        <color rgb="FF000000"/>
        <rFont val="Calibri"/>
        <family val="2"/>
      </rPr>
      <t>"#N/A"
SELECT "#N/A"
SELECT "#N/A"
SELECT "#N/A"
SELECT TRIM( AGENCY_CODE.BANK )
SELECT "#N/A"
SELECT "#N/A"
SELECT "#N/A"
SELECT "#N/A"</t>
    </r>
  </si>
  <si>
    <t>CEMPMARC</t>
  </si>
  <si>
    <t>TAYD91C0_GELEMTAB
ELEMENT_DESCRIPTION
O3645_DESTIP
O3646_DESSTIP
TYPE
DESTIPFAC
JCON1_DESTIPO
CLQ_DESCRIPE
O4B_NOMOPE
O3B_NOMOPE
DESCRIPTION
DESCRIPTION
DESCRIPTION
DESCRIPTION
DESCRIPTION
DESCRIPTION</t>
  </si>
  <si>
    <r>
      <rPr>
        <b/>
        <sz val="11"/>
        <color rgb="FF000000"/>
        <rFont val="Calibri"/>
        <family val="2"/>
      </rPr>
      <t>SELECT</t>
    </r>
    <r>
      <rPr>
        <sz val="11"/>
        <color rgb="FF000000"/>
        <rFont val="Calibri"/>
        <family val="2"/>
      </rPr>
      <t xml:space="preserve"> TAT91_TABELAS_NEW.TAYD91C0_GELEMTAB
</t>
    </r>
    <r>
      <rPr>
        <b/>
        <sz val="11"/>
        <color rgb="FF000000"/>
        <rFont val="Calibri"/>
        <family val="2"/>
      </rPr>
      <t xml:space="preserve">SELECT </t>
    </r>
    <r>
      <rPr>
        <sz val="11"/>
        <color rgb="FF000000"/>
        <rFont val="Calibri"/>
        <family val="2"/>
      </rPr>
      <t xml:space="preserve">IF ( TRIM ( CONF_REFERENCE_DATA_TABLE.ELEMENT_DESCRIPTION ) = '', NULL, CONF_REFERENCE_DATA_TABLE.ELEMENT_DESCRIPTION )
</t>
    </r>
    <r>
      <rPr>
        <b/>
        <sz val="11"/>
        <color rgb="FF000000"/>
        <rFont val="Calibri"/>
        <family val="2"/>
      </rPr>
      <t xml:space="preserve">SELECT </t>
    </r>
    <r>
      <rPr>
        <sz val="11"/>
        <color rgb="FF000000"/>
        <rFont val="Calibri"/>
        <family val="2"/>
      </rPr>
      <t xml:space="preserve">( IF ( TRIM (MC_TIPO.O3645_DESTIP) = '', NULL, MC_TIPO.O3645_DESTIP )
</t>
    </r>
    <r>
      <rPr>
        <b/>
        <sz val="11"/>
        <color rgb="FF000000"/>
        <rFont val="Calibri"/>
        <family val="2"/>
      </rPr>
      <t xml:space="preserve">SELECT </t>
    </r>
    <r>
      <rPr>
        <sz val="11"/>
        <color rgb="FF000000"/>
        <rFont val="Calibri"/>
        <family val="2"/>
      </rPr>
      <t xml:space="preserve">( IF ( TRIM (MC_SUB_TIPO.O3646_DESSTIP) = '', NULL, MC_SUB_TIPO.O3646_DESSTIP )
</t>
    </r>
    <r>
      <rPr>
        <b/>
        <sz val="11"/>
        <color rgb="FF000000"/>
        <rFont val="Calibri"/>
        <family val="2"/>
      </rPr>
      <t xml:space="preserve">SELECT </t>
    </r>
    <r>
      <rPr>
        <sz val="11"/>
        <color rgb="FF000000"/>
        <rFont val="Calibri"/>
        <family val="2"/>
      </rPr>
      <t xml:space="preserve">( IF ( TRIM (VISITTYPE.TYPE) = '', NULL, VISITTYPE.TYPE )
</t>
    </r>
    <r>
      <rPr>
        <b/>
        <sz val="11"/>
        <color rgb="FF000000"/>
        <rFont val="Calibri"/>
        <family val="2"/>
      </rPr>
      <t>SELECT</t>
    </r>
    <r>
      <rPr>
        <sz val="11"/>
        <color rgb="FF000000"/>
        <rFont val="Calibri"/>
        <family val="2"/>
      </rPr>
      <t xml:space="preserve"> IF( TRIM( CRT44_TBTIPFAC.DESTIPFAC ) = '', NULL, CRT44_TBTIPFAC.DESTIPFAC )
SELECT IF( TRIM( CONCEPTO_CONTRA.JCON1_DESTIPO ) = '', NULL, CONCEPTO_CONTRA.JCON1_DESTIPO )
SELECT IF( TRIM( CONCEPTO_LIQUID.CLQ_DESCRIPE ) = '', NULL, CONCEPTO_LIQUID.CLQ_DESCRIPE )
SELECT IF( TRIM( OB_OPERACION.O4B_NOMOPE ) = '', NULL, OB_OPERACION.O4B_NOMOPE )
SELECT IF( TRIM( OB_OPER_BASICA.O3B_NOMOPE ) = '', NULL, OB_OPER_BASICA.O3B_NOMOPE )
SELECT IF( TRIM( BANK_CODE.DESCRIPTION ) = '', NULL, BANK_CODE.DESCRIPTION ) 
SELECT IF( TRIM( AGENCY_CODE.DESCRIPTION ) = '', NULL, AGENCY_CODE.DESCRIPTION ) 
SELECT IF( TRIM( CONTRACTS_TYPE.DESCRIPTION ) = '', NULL, CONTRACTS_TYPE.DESCRIPTION ) 
SELECT TRIM( EQUIPMENT_CODE.DESCRIPTION) = '', NULL, EQUIPMENT_CODE.DESCRIPTION )
</t>
    </r>
    <r>
      <rPr>
        <b/>
        <sz val="11"/>
        <color rgb="FF000000"/>
        <rFont val="Calibri"/>
        <family val="2"/>
      </rPr>
      <t xml:space="preserve">SELECT </t>
    </r>
    <r>
      <rPr>
        <sz val="11"/>
        <color rgb="FF000000"/>
        <rFont val="Calibri"/>
        <family val="2"/>
      </rPr>
      <t xml:space="preserve">TRIM( INDEXTYPE_CODE.DESCRIPTION) = '', NULL, INDEXTYPE_CODE.DESCRIPTION )
</t>
    </r>
    <r>
      <rPr>
        <b/>
        <sz val="11"/>
        <color rgb="FF000000"/>
        <rFont val="Calibri"/>
        <family val="2"/>
      </rPr>
      <t xml:space="preserve">SELECT </t>
    </r>
    <r>
      <rPr>
        <sz val="11"/>
        <color rgb="FF000000"/>
        <rFont val="Calibri"/>
        <family val="2"/>
      </rPr>
      <t>TRIM( EXPENSE_TYPE.DESCRIPTION) = '', NULL, EXPENSE_TYPE.DESCRIPTION )</t>
    </r>
  </si>
  <si>
    <t>GELEMTAB</t>
  </si>
  <si>
    <t>Element Short Description</t>
  </si>
  <si>
    <t>element_short_description</t>
  </si>
  <si>
    <t>The actual value of the reference data element, but with a maximum lenght of 30.</t>
  </si>
  <si>
    <t>Valor real do elemento de dados de referência, mas com um comprimento máximo de 30.</t>
  </si>
  <si>
    <t>TAYD91C0_GELEM30
ELEMENT_SHORT_DESCRIPTION
O3645_DESTIP
O3646_DESSTIP
TYPE
DESTIPFAC
JCON1_NOMTIPO
CLQ_DESCABRE
O4B_DESOPE
O3B_DESOPE
DESCRIPTION
DESCRIPTION
DESCRIPTION
DESCRIPTION
DESCRIPTION
DESCRIPTION</t>
  </si>
  <si>
    <r>
      <rPr>
        <b/>
        <sz val="11"/>
        <color rgb="FF000000"/>
        <rFont val="Calibri"/>
        <family val="2"/>
      </rPr>
      <t>SELECT</t>
    </r>
    <r>
      <rPr>
        <sz val="11"/>
        <color rgb="FF000000"/>
        <rFont val="Calibri"/>
        <family val="2"/>
      </rPr>
      <t xml:space="preserve"> TAT91_TABELAS_NEW.TAYD91C0_GELEM30
</t>
    </r>
    <r>
      <rPr>
        <b/>
        <sz val="11"/>
        <color rgb="FF000000"/>
        <rFont val="Calibri"/>
        <family val="2"/>
      </rPr>
      <t xml:space="preserve">SELECT </t>
    </r>
    <r>
      <rPr>
        <sz val="11"/>
        <color rgb="FF000000"/>
        <rFont val="Calibri"/>
        <family val="2"/>
      </rPr>
      <t xml:space="preserve">IF ( TRIM ( CONF_REFERENCE_DATA_TABLE.ELEMENT_SHORT_DESCRIPTION ) = '', NULL, CONF_REFERENCE_DATA_TABLE.ELEMENT_SHORT_DESCRIPTION )
</t>
    </r>
    <r>
      <rPr>
        <b/>
        <sz val="11"/>
        <color rgb="FF000000"/>
        <rFont val="Calibri"/>
        <family val="2"/>
      </rPr>
      <t>SELECT</t>
    </r>
    <r>
      <rPr>
        <sz val="11"/>
        <color rgb="FF000000"/>
        <rFont val="Calibri"/>
        <family val="2"/>
      </rPr>
      <t xml:space="preserve"> ( IF ( TRIM (MC_TIPO.O3645_DESTIP) = '', NULL, MC_TIPO.O3645_DESTIP )
</t>
    </r>
    <r>
      <rPr>
        <b/>
        <sz val="11"/>
        <color rgb="FF000000"/>
        <rFont val="Calibri"/>
        <family val="2"/>
      </rPr>
      <t xml:space="preserve">SELECT </t>
    </r>
    <r>
      <rPr>
        <sz val="11"/>
        <color rgb="FF000000"/>
        <rFont val="Calibri"/>
        <family val="2"/>
      </rPr>
      <t xml:space="preserve">( IF ( TRIM (MC_SUB_TIPO.O3646_DESSTIP) = '', NULL, MC_SUB_TIPO.O3646_DESSTIP )
</t>
    </r>
    <r>
      <rPr>
        <b/>
        <sz val="11"/>
        <color rgb="FF000000"/>
        <rFont val="Calibri"/>
        <family val="2"/>
      </rPr>
      <t xml:space="preserve">SELECT </t>
    </r>
    <r>
      <rPr>
        <sz val="11"/>
        <color rgb="FF000000"/>
        <rFont val="Calibri"/>
        <family val="2"/>
      </rPr>
      <t xml:space="preserve">( IF ( TRIM (VISITTYPE.TYPE) = '', NULL, VISITTYPE.TYPE )
</t>
    </r>
    <r>
      <rPr>
        <b/>
        <sz val="11"/>
        <color rgb="FF000000"/>
        <rFont val="Calibri"/>
        <family val="2"/>
      </rPr>
      <t>SELECT</t>
    </r>
    <r>
      <rPr>
        <sz val="11"/>
        <color rgb="FF000000"/>
        <rFont val="Calibri"/>
        <family val="2"/>
      </rPr>
      <t xml:space="preserve"> IF( TRIM( CRT44_TBTIPFAC.DESTIPFAC ) = '', NULL, CRT44_TBTIPFAC.DESTIPFAC )
</t>
    </r>
    <r>
      <rPr>
        <b/>
        <sz val="11"/>
        <color rgb="FF000000"/>
        <rFont val="Calibri"/>
        <family val="2"/>
      </rPr>
      <t>SELECT</t>
    </r>
    <r>
      <rPr>
        <sz val="11"/>
        <color rgb="FF000000"/>
        <rFont val="Calibri"/>
        <family val="2"/>
      </rPr>
      <t xml:space="preserve"> IF( TRIM( CONCEPTO_CONTRA.JCON1_NOMTIPO ) = '', NULL, CONCEPTO_CONTRA.JCON1_NOMETIPO )
SELECT IF( TRIM( CONCEPTO_LIQUID.CLQ_DESCABRE ) = '', NULL, CONCEPTO_LIQUID.CLQ_DESCABRE )
SELECT IF( TRIM( OB_OPERACION.O4B_DESOPE ) = '', NULL, OB_OPERACION.O4B_DESOPE )
SELECT IF( TRIM( OB_OPER_BASICA.O3B_DESOPE ) = '', NULL, OB_OPER_BASICA.O3B_DESOPE )
SELECT IF( TRIM( BANK_CODE.DESCRIPTION ) = '', NULL, BANK_CODE.DESCRIPTION ) 
SELECT IF( TRIM( AGENCY_CODE.DESCRIPTION ) = '', NULL, AGENCY_CODE.DESCRIPTION ) 
SELECT IF( TRIM( CONTRACTS_TYPE.DESCRIPTION ) = '', NULL, CONTRACTS_TYPE.DESCRIPTION ) 
SELECT TRIM( EQUIPMENT_CODE.DESCRIPTION) = '', NULL, EQUIPMENT_CODE.DESCRIPTION )
</t>
    </r>
    <r>
      <rPr>
        <b/>
        <sz val="11"/>
        <color rgb="FF000000"/>
        <rFont val="Calibri"/>
        <family val="2"/>
      </rPr>
      <t xml:space="preserve">SELECT </t>
    </r>
    <r>
      <rPr>
        <sz val="11"/>
        <color rgb="FF000000"/>
        <rFont val="Calibri"/>
        <family val="2"/>
      </rPr>
      <t>TRIM( INDEXTYPE_CODE.DESCRIPTION) = '', NULL, INDEXTYPE_CODE.DESCRIPTION )
SELECT TRIM( EXPENSE_TYPE.DESCRIPTION) = '', NULL, EXPENSE_TYPE.DESCRIPTION )</t>
    </r>
  </si>
  <si>
    <t>GELEM30</t>
  </si>
  <si>
    <t>Element Attribute 01</t>
  </si>
  <si>
    <t>element_attribute_01</t>
  </si>
  <si>
    <t>Configurable attributes of the element. For example, if a product is reported, or not, to BCE.</t>
  </si>
  <si>
    <t>Atributos configuráveis do elemento. Por exemplo, se um produto é comunicado, ou não, ao BCE.</t>
  </si>
  <si>
    <t>TAYD91C0_NELEMC01
ELEMENT_ATTRIBUTE_01
N/A
O3646_CODTIP
N/A
TIPOFAC
N/A
N/A
N/A
N/A
N/A
N/A
N/A
N/A
N/A
N/A</t>
  </si>
  <si>
    <r>
      <rPr>
        <b/>
        <sz val="11"/>
        <color rgb="FF000000"/>
        <rFont val="Calibri"/>
        <family val="2"/>
      </rPr>
      <t>SELECT</t>
    </r>
    <r>
      <rPr>
        <sz val="11"/>
        <color rgb="FF000000"/>
        <rFont val="Calibri"/>
        <family val="2"/>
      </rPr>
      <t xml:space="preserve"> TAT91_TABELAS_NEW.TAYD91C0_NELEMC01
</t>
    </r>
    <r>
      <rPr>
        <b/>
        <sz val="11"/>
        <color rgb="FF000000"/>
        <rFont val="Calibri"/>
        <family val="2"/>
      </rPr>
      <t xml:space="preserve">SELECT </t>
    </r>
    <r>
      <rPr>
        <sz val="11"/>
        <color rgb="FF000000"/>
        <rFont val="Calibri"/>
        <family val="2"/>
      </rPr>
      <t xml:space="preserve">CONF_REFERENCE_DATA_TABLE.ELEMENT_ATTRIBUTE_01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MC_SUB_TIPO.O3646_CODSTIP
</t>
    </r>
    <r>
      <rPr>
        <b/>
        <sz val="11"/>
        <color rgb="FF000000"/>
        <rFont val="Calibri"/>
        <family val="2"/>
      </rPr>
      <t xml:space="preserve">SELECT </t>
    </r>
    <r>
      <rPr>
        <sz val="11"/>
        <color rgb="FF000000"/>
        <rFont val="Calibri"/>
        <family val="2"/>
      </rPr>
      <t xml:space="preserve">""
</t>
    </r>
    <r>
      <rPr>
        <b/>
        <sz val="11"/>
        <color rgb="FF000000"/>
        <rFont val="Calibri"/>
        <family val="2"/>
      </rPr>
      <t>SELECT</t>
    </r>
    <r>
      <rPr>
        <sz val="11"/>
        <color rgb="FF000000"/>
        <rFont val="Calibri"/>
        <family val="2"/>
      </rPr>
      <t xml:space="preserve"> LPAD( CRT44_TBTIPFAC.TIPOFAC, 2, '0')
SELECT ""
SELECT ""
SELECT ""
SELECT ""
SELECT ""
SELECT ""
SELECT ""
SELECT ""
SELECT ""
SELECT ""</t>
    </r>
  </si>
  <si>
    <t>NELEMC01</t>
  </si>
  <si>
    <t>Element Attribute 02</t>
  </si>
  <si>
    <t>element_attribute_02</t>
  </si>
  <si>
    <t>TAYD91C0_NELEMC02
ELEMENT_ATTRIBUTE_02
N/A
N/A
N/A
SIGNO
N/A
N/A
N/A
N/A
N/A
N/A
N/A
N/A
N/A
N/A</t>
  </si>
  <si>
    <r>
      <rPr>
        <b/>
        <sz val="11"/>
        <color rgb="FF000000"/>
        <rFont val="Calibri"/>
        <family val="2"/>
      </rPr>
      <t>SELECT</t>
    </r>
    <r>
      <rPr>
        <sz val="11"/>
        <color rgb="FF000000"/>
        <rFont val="Calibri"/>
        <family val="2"/>
      </rPr>
      <t xml:space="preserve"> TAT91_TABELAS_NEW.TAYD91C0_NELEMC02
</t>
    </r>
    <r>
      <rPr>
        <b/>
        <sz val="11"/>
        <color rgb="FF000000"/>
        <rFont val="Calibri"/>
        <family val="2"/>
      </rPr>
      <t xml:space="preserve">SELECT </t>
    </r>
    <r>
      <rPr>
        <sz val="11"/>
        <color rgb="FF000000"/>
        <rFont val="Calibri"/>
        <family val="2"/>
      </rPr>
      <t xml:space="preserve">CONF_REFERENCE_DATA_TABLE.ELEMENT_ATTRIBUTE_02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t>
    </r>
    <r>
      <rPr>
        <b/>
        <sz val="11"/>
        <color rgb="FF000000"/>
        <rFont val="Calibri"/>
        <family val="2"/>
      </rPr>
      <t>SELECT</t>
    </r>
    <r>
      <rPr>
        <sz val="11"/>
        <color rgb="FF000000"/>
        <rFont val="Calibri"/>
        <family val="2"/>
      </rPr>
      <t xml:space="preserve"> CRT44_TBTIPFAC.SIGNO
</t>
    </r>
    <r>
      <rPr>
        <b/>
        <sz val="11"/>
        <color rgb="FF000000"/>
        <rFont val="Calibri"/>
        <family val="2"/>
      </rPr>
      <t xml:space="preserve">SELECT </t>
    </r>
    <r>
      <rPr>
        <sz val="11"/>
        <color rgb="FF000000"/>
        <rFont val="Calibri"/>
        <family val="2"/>
      </rPr>
      <t xml:space="preserve">""
</t>
    </r>
    <r>
      <rPr>
        <b/>
        <sz val="11"/>
        <color rgb="FF000000"/>
        <rFont val="Calibri"/>
        <family val="2"/>
      </rPr>
      <t>SELECT</t>
    </r>
    <r>
      <rPr>
        <sz val="11"/>
        <color rgb="FF000000"/>
        <rFont val="Calibri"/>
        <family val="2"/>
      </rPr>
      <t xml:space="preserve"> ""
SELECT ""
SELECT ""
SELECT ""
</t>
    </r>
    <r>
      <rPr>
        <b/>
        <sz val="11"/>
        <color rgb="FF000000"/>
        <rFont val="Calibri"/>
        <family val="2"/>
      </rPr>
      <t xml:space="preserve">
SELECT ""
SELECT ""
</t>
    </r>
    <r>
      <rPr>
        <sz val="11"/>
        <color rgb="FF000000"/>
        <rFont val="Calibri"/>
        <family val="2"/>
      </rPr>
      <t xml:space="preserve">
SELECT ""
SELECT ""
</t>
    </r>
    <r>
      <rPr>
        <b/>
        <sz val="11"/>
        <color rgb="FF000000"/>
        <rFont val="Calibri"/>
        <family val="2"/>
      </rPr>
      <t xml:space="preserve">SELECT </t>
    </r>
    <r>
      <rPr>
        <sz val="11"/>
        <color rgb="FF000000"/>
        <rFont val="Calibri"/>
        <family val="2"/>
      </rPr>
      <t>""</t>
    </r>
  </si>
  <si>
    <t>NELEMC02</t>
  </si>
  <si>
    <t>Element Attribute 03</t>
  </si>
  <si>
    <t>element_attribute_03</t>
  </si>
  <si>
    <t>TAYD91C0_NELEMC03
ELEMENT_ATTRIBUTE_03
N/A
N/A
N/A
N/A
N/A
N/A
N/A
N/A
N/A
N/A
N/A
N/A
N/A
N/A</t>
  </si>
  <si>
    <r>
      <rPr>
        <b/>
        <sz val="11"/>
        <color rgb="FF000000"/>
        <rFont val="Calibri"/>
        <family val="2"/>
      </rPr>
      <t>SELECT</t>
    </r>
    <r>
      <rPr>
        <sz val="11"/>
        <color rgb="FF000000"/>
        <rFont val="Calibri"/>
        <family val="2"/>
      </rPr>
      <t xml:space="preserve"> TAT91_TABELAS_NEW.TAYD91C0_NELEMC03
</t>
    </r>
    <r>
      <rPr>
        <b/>
        <sz val="11"/>
        <color rgb="FF000000"/>
        <rFont val="Calibri"/>
        <family val="2"/>
      </rPr>
      <t xml:space="preserve">SELECT </t>
    </r>
    <r>
      <rPr>
        <sz val="11"/>
        <color rgb="FF000000"/>
        <rFont val="Calibri"/>
        <family val="2"/>
      </rPr>
      <t xml:space="preserve">CONF_REFERENCE_DATA_TABLE.ELEMENT_ATTRIBUTE_03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SELECT ""
SELECT ""
SELECT ""
SELECT ""
SELECT ""
SELECT ""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t>
    </r>
  </si>
  <si>
    <t>NELEMC03</t>
  </si>
  <si>
    <t>Element Attribute 04</t>
  </si>
  <si>
    <t>element_attribute_04</t>
  </si>
  <si>
    <t>TAYD91C0_NELEMC04
ELEMENT_ATTRIBUTE_04
N/A
N/A
N/A
N/A
N/A
N/A
N/A
N/A
N/A
N/A
N/A
N/A
N/A
N/A</t>
  </si>
  <si>
    <r>
      <rPr>
        <b/>
        <sz val="11"/>
        <color rgb="FF000000"/>
        <rFont val="Calibri"/>
        <family val="2"/>
      </rPr>
      <t>SELECT</t>
    </r>
    <r>
      <rPr>
        <sz val="11"/>
        <color rgb="FF000000"/>
        <rFont val="Calibri"/>
        <family val="2"/>
      </rPr>
      <t xml:space="preserve"> TAT91_TABELAS_NEW.TAYD91C0_NELEMC04
</t>
    </r>
    <r>
      <rPr>
        <b/>
        <sz val="11"/>
        <color rgb="FF000000"/>
        <rFont val="Calibri"/>
        <family val="2"/>
      </rPr>
      <t>SELECT</t>
    </r>
    <r>
      <rPr>
        <sz val="11"/>
        <color rgb="FF000000"/>
        <rFont val="Calibri"/>
        <family val="2"/>
      </rPr>
      <t xml:space="preserve"> CONF_REFERENCE_DATA_TABLE.ELEMENT_ATTRIBUTE_04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SELECT ""
SELECT ""
SELECT ""
SELECT ""
SELECT ""
SELECT ""
</t>
    </r>
    <r>
      <rPr>
        <b/>
        <sz val="11"/>
        <color rgb="FF000000"/>
        <rFont val="Calibri"/>
        <family val="2"/>
      </rPr>
      <t>SELECT</t>
    </r>
    <r>
      <rPr>
        <sz val="11"/>
        <color rgb="FF000000"/>
        <rFont val="Calibri"/>
        <family val="2"/>
      </rPr>
      <t xml:space="preserve"> ""
</t>
    </r>
    <r>
      <rPr>
        <b/>
        <sz val="11"/>
        <color rgb="FF000000"/>
        <rFont val="Calibri"/>
        <family val="2"/>
      </rPr>
      <t>SELECT</t>
    </r>
    <r>
      <rPr>
        <sz val="11"/>
        <color rgb="FF000000"/>
        <rFont val="Calibri"/>
        <family val="2"/>
      </rPr>
      <t xml:space="preserve"> ""</t>
    </r>
  </si>
  <si>
    <t>NELEMC04</t>
  </si>
  <si>
    <t>Element Attribute 05</t>
  </si>
  <si>
    <t>element_attribute_05</t>
  </si>
  <si>
    <t>TAYD91C0_NELEMC05
ELEMENT_ATTRIBUTE_05
N/A
N/A
N/A
N/A
N/A
N/A
N/A
N/A
N/A
N/A
N/A
N/A
N/A
N/A</t>
  </si>
  <si>
    <r>
      <rPr>
        <b/>
        <sz val="11"/>
        <color rgb="FF000000"/>
        <rFont val="Calibri"/>
        <family val="2"/>
      </rPr>
      <t>SELECT</t>
    </r>
    <r>
      <rPr>
        <sz val="11"/>
        <color rgb="FF000000"/>
        <rFont val="Calibri"/>
        <family val="2"/>
      </rPr>
      <t xml:space="preserve"> TAT91_TABELAS_NEW.TAYD91C0_NELEMC05
</t>
    </r>
    <r>
      <rPr>
        <b/>
        <sz val="11"/>
        <color rgb="FF000000"/>
        <rFont val="Calibri"/>
        <family val="2"/>
      </rPr>
      <t>SELECT</t>
    </r>
    <r>
      <rPr>
        <sz val="11"/>
        <color rgb="FF000000"/>
        <rFont val="Calibri"/>
        <family val="2"/>
      </rPr>
      <t xml:space="preserve"> CONF_REFERENCE_DATA_TABLE.ELEMENT_ATTRIBUTE_05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SELECT ""
SELECT ""
SELECT ""
SELECT ""
SELECT ""
SELECT ""
SELECT ""
SELECT ""
SELECT ""
</t>
    </r>
    <r>
      <rPr>
        <b/>
        <sz val="11"/>
        <color rgb="FF000000"/>
        <rFont val="Calibri"/>
        <family val="2"/>
      </rPr>
      <t>SELECT</t>
    </r>
    <r>
      <rPr>
        <sz val="11"/>
        <color rgb="FF000000"/>
        <rFont val="Calibri"/>
        <family val="2"/>
      </rPr>
      <t xml:space="preserve"> ""
</t>
    </r>
    <r>
      <rPr>
        <b/>
        <sz val="11"/>
        <color rgb="FF000000"/>
        <rFont val="Calibri"/>
        <family val="2"/>
      </rPr>
      <t>SELECT</t>
    </r>
    <r>
      <rPr>
        <sz val="11"/>
        <color rgb="FF000000"/>
        <rFont val="Calibri"/>
        <family val="2"/>
      </rPr>
      <t xml:space="preserve"> ""</t>
    </r>
  </si>
  <si>
    <t>NELEMC05</t>
  </si>
  <si>
    <t>Element Attribute 06</t>
  </si>
  <si>
    <t>element_attribute_06</t>
  </si>
  <si>
    <t>TAYD91C0_NELEMC06
ELEMENT_ATTRIBUTE_06
N/A
N/A
N/A
N/A
N/A
N/A
N/A
N/A
N/A
N/A
N/A
N/A
N/A
N/A</t>
  </si>
  <si>
    <r>
      <rPr>
        <b/>
        <sz val="11"/>
        <color rgb="FF000000"/>
        <rFont val="Calibri"/>
        <family val="2"/>
      </rPr>
      <t>SELECT</t>
    </r>
    <r>
      <rPr>
        <sz val="11"/>
        <color rgb="FF000000"/>
        <rFont val="Calibri"/>
        <family val="2"/>
      </rPr>
      <t xml:space="preserve"> TAT91_TABELAS_NEW.TAYD91C0_NELEMC06
</t>
    </r>
    <r>
      <rPr>
        <b/>
        <sz val="11"/>
        <color rgb="FF000000"/>
        <rFont val="Calibri"/>
        <family val="2"/>
      </rPr>
      <t xml:space="preserve">SELECT </t>
    </r>
    <r>
      <rPr>
        <sz val="11"/>
        <color rgb="FF000000"/>
        <rFont val="Calibri"/>
        <family val="2"/>
      </rPr>
      <t xml:space="preserve">CONF_REFERENCE_DATA_TABLE.ELEMENT_ATTRIBUTE_06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SELECT ""
SELECT ""
SELECT ""
SELECT ""
SELECT ""
SELECT ""
SELECT ""
SELECT ""
SELECT ""
</t>
    </r>
    <r>
      <rPr>
        <b/>
        <sz val="11"/>
        <color rgb="FF000000"/>
        <rFont val="Calibri"/>
        <family val="2"/>
      </rPr>
      <t xml:space="preserve">SELECT </t>
    </r>
    <r>
      <rPr>
        <sz val="11"/>
        <color rgb="FF000000"/>
        <rFont val="Calibri"/>
        <family val="2"/>
      </rPr>
      <t xml:space="preserve">""
</t>
    </r>
    <r>
      <rPr>
        <b/>
        <sz val="11"/>
        <color rgb="FF000000"/>
        <rFont val="Calibri"/>
        <family val="2"/>
      </rPr>
      <t>SELECT</t>
    </r>
    <r>
      <rPr>
        <sz val="11"/>
        <color rgb="FF000000"/>
        <rFont val="Calibri"/>
        <family val="2"/>
      </rPr>
      <t xml:space="preserve"> ""</t>
    </r>
  </si>
  <si>
    <t>NELEMC06</t>
  </si>
  <si>
    <t>Element Attribute 07</t>
  </si>
  <si>
    <t>element_attribute_07</t>
  </si>
  <si>
    <t>TAYD91C0_NELEMC07
ELEMENT_ATTRIBUTE_07
N/A
N/A
N/A
N/A
N/A
N/A
N/A
N/A
N/A
N/A
N/A
N/A
N/A
N/A</t>
  </si>
  <si>
    <r>
      <rPr>
        <b/>
        <sz val="11"/>
        <color rgb="FF000000"/>
        <rFont val="Calibri"/>
        <family val="2"/>
      </rPr>
      <t>SELECT</t>
    </r>
    <r>
      <rPr>
        <sz val="11"/>
        <color rgb="FF000000"/>
        <rFont val="Calibri"/>
        <family val="2"/>
      </rPr>
      <t xml:space="preserve"> TAT91_TABELAS_NEW.TAYD91C0_NELEMC07
</t>
    </r>
    <r>
      <rPr>
        <b/>
        <sz val="11"/>
        <color rgb="FF000000"/>
        <rFont val="Calibri"/>
        <family val="2"/>
      </rPr>
      <t xml:space="preserve">SELECT </t>
    </r>
    <r>
      <rPr>
        <sz val="11"/>
        <color rgb="FF000000"/>
        <rFont val="Calibri"/>
        <family val="2"/>
      </rPr>
      <t xml:space="preserve">CONF_REFERENCE_DATA_TABLE.ELEMENT_ATTRIBUTE_07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SELECT ""
SELECT ""
SELECT ""
SELECT ""
SELECT ""
SELECT ""
SELECT ""
SELECT ""
SELECT ""
</t>
    </r>
    <r>
      <rPr>
        <b/>
        <sz val="11"/>
        <color rgb="FF000000"/>
        <rFont val="Calibri"/>
        <family val="2"/>
      </rPr>
      <t>SELECT</t>
    </r>
    <r>
      <rPr>
        <sz val="11"/>
        <color rgb="FF000000"/>
        <rFont val="Calibri"/>
        <family val="2"/>
      </rPr>
      <t xml:space="preserve"> ""
SELECT ""</t>
    </r>
  </si>
  <si>
    <t>NELEMC07</t>
  </si>
  <si>
    <t>Element Attribute 08</t>
  </si>
  <si>
    <t>element_attribute_08</t>
  </si>
  <si>
    <t>TAYD91C0_NELEMC08
ELEMENT_ATTRIBUTE_08
N/A
N/A
N/A
N/A
N/A
N/A
N/A
N/A
N/A
N/A
N/A
N/A
N/A
N/A</t>
  </si>
  <si>
    <r>
      <rPr>
        <b/>
        <sz val="11"/>
        <color rgb="FF000000"/>
        <rFont val="Calibri"/>
        <family val="2"/>
      </rPr>
      <t>SELECT</t>
    </r>
    <r>
      <rPr>
        <sz val="11"/>
        <color rgb="FF000000"/>
        <rFont val="Calibri"/>
        <family val="2"/>
      </rPr>
      <t xml:space="preserve"> TAT91_TABELAS_NEW.TAYD91C0_NELEMC08
</t>
    </r>
    <r>
      <rPr>
        <b/>
        <sz val="11"/>
        <color rgb="FF000000"/>
        <rFont val="Calibri"/>
        <family val="2"/>
      </rPr>
      <t xml:space="preserve">SELECT </t>
    </r>
    <r>
      <rPr>
        <sz val="11"/>
        <color rgb="FF000000"/>
        <rFont val="Calibri"/>
        <family val="2"/>
      </rPr>
      <t xml:space="preserve">CONF_REFERENCE_DATA_TABLE.ELEMENT_ATTRIBUTE_08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SELECT ""
SELECT ""
SELECT ""
SELECT ""
SELECT ""
SELECT ""
SELECT ""
SELECT ""
SELECT ""
SELECT ""
</t>
    </r>
    <r>
      <rPr>
        <b/>
        <sz val="11"/>
        <color rgb="FF000000"/>
        <rFont val="Calibri"/>
        <family val="2"/>
      </rPr>
      <t xml:space="preserve">SELECT </t>
    </r>
    <r>
      <rPr>
        <sz val="11"/>
        <color rgb="FF000000"/>
        <rFont val="Calibri"/>
        <family val="2"/>
      </rPr>
      <t>""</t>
    </r>
  </si>
  <si>
    <t>NELEMC08</t>
  </si>
  <si>
    <t>Element Attribute 09</t>
  </si>
  <si>
    <t>element_attribute_09</t>
  </si>
  <si>
    <t>TAYD91C0_NELEMC09
ELEMENT_ATTRIBUTE_09
N/A
N/A
N/A
N/A
N/A
N/A
N/A
N/A
N/A
N/A
N/A
N/A
N/A
N/A</t>
  </si>
  <si>
    <r>
      <rPr>
        <b/>
        <sz val="11"/>
        <color rgb="FF000000"/>
        <rFont val="Calibri"/>
        <family val="2"/>
      </rPr>
      <t>SELECT</t>
    </r>
    <r>
      <rPr>
        <sz val="11"/>
        <color rgb="FF000000"/>
        <rFont val="Calibri"/>
        <family val="2"/>
      </rPr>
      <t xml:space="preserve"> TAT91_TABELAS_NEW.TAYD91C0_NELEMC09
</t>
    </r>
    <r>
      <rPr>
        <b/>
        <sz val="11"/>
        <color rgb="FF000000"/>
        <rFont val="Calibri"/>
        <family val="2"/>
      </rPr>
      <t>SELECT</t>
    </r>
    <r>
      <rPr>
        <sz val="11"/>
        <color rgb="FF000000"/>
        <rFont val="Calibri"/>
        <family val="2"/>
      </rPr>
      <t xml:space="preserve"> CONF_REFERENCE_DATA_TABLE.ELEMENT_ATTRIBUTE_09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SELECT ""
SELECT ""
SELECT ""
SELECT ""
SELECT ""
SELECT ""
SELECT ""
SELECT ""
SELECT ""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t>
    </r>
  </si>
  <si>
    <t>NELEMC09</t>
  </si>
  <si>
    <t>Element Attribute 10</t>
  </si>
  <si>
    <t>element_attribute_10</t>
  </si>
  <si>
    <t>TAYD91C0_NELEMC10
ELEMENT_ATTRIBUTE_10
N/A
N/A
N/A
N/A
N/A
N/A
N/A
N/A
N/A
N/A
N/A
N/A
N/A
N/A</t>
  </si>
  <si>
    <r>
      <rPr>
        <b/>
        <sz val="11"/>
        <color rgb="FF000000"/>
        <rFont val="Calibri"/>
        <family val="2"/>
      </rPr>
      <t>SELECT</t>
    </r>
    <r>
      <rPr>
        <sz val="11"/>
        <color rgb="FF000000"/>
        <rFont val="Calibri"/>
        <family val="2"/>
      </rPr>
      <t xml:space="preserve"> TAT91_TABELAS_NEW.TAYD91C0_NELEMC10
</t>
    </r>
    <r>
      <rPr>
        <b/>
        <sz val="11"/>
        <color rgb="FF000000"/>
        <rFont val="Calibri"/>
        <family val="2"/>
      </rPr>
      <t xml:space="preserve">SELECT </t>
    </r>
    <r>
      <rPr>
        <sz val="11"/>
        <color rgb="FF000000"/>
        <rFont val="Calibri"/>
        <family val="2"/>
      </rPr>
      <t xml:space="preserve">CONF_REFERENCE_DATA_TABLE.ELEMENT_ATTRIBUTE_10
</t>
    </r>
    <r>
      <rPr>
        <b/>
        <sz val="11"/>
        <color rgb="FF000000"/>
        <rFont val="Calibri"/>
        <family val="2"/>
      </rPr>
      <t>SELECT</t>
    </r>
    <r>
      <rPr>
        <sz val="11"/>
        <color rgb="FF000000"/>
        <rFont val="Calibri"/>
        <family val="2"/>
      </rPr>
      <t xml:space="preserve"> ""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SELECT ""
SELECT ""
SELECT ""
SELECT ""
SELECT ""
SELECT ""
SELECT ""
SELECT ""
SELECT ""
</t>
    </r>
    <r>
      <rPr>
        <b/>
        <sz val="11"/>
        <color rgb="FF000000"/>
        <rFont val="Calibri"/>
        <family val="2"/>
      </rPr>
      <t xml:space="preserve">SELECT </t>
    </r>
    <r>
      <rPr>
        <sz val="11"/>
        <color rgb="FF000000"/>
        <rFont val="Calibri"/>
        <family val="2"/>
      </rPr>
      <t xml:space="preserve">""
</t>
    </r>
    <r>
      <rPr>
        <b/>
        <sz val="11"/>
        <color rgb="FF000000"/>
        <rFont val="Calibri"/>
        <family val="2"/>
      </rPr>
      <t>SELECT</t>
    </r>
    <r>
      <rPr>
        <sz val="11"/>
        <color rgb="FF000000"/>
        <rFont val="Calibri"/>
        <family val="2"/>
      </rPr>
      <t xml:space="preserve"> ""</t>
    </r>
  </si>
  <si>
    <t>NELEMC10</t>
  </si>
  <si>
    <t>Element Attribute 11</t>
  </si>
  <si>
    <t>element_attribute_11</t>
  </si>
  <si>
    <t>TAYD91C0_NELEMC11
ELEMENT_ATTRIBUTE_11
N/A
N/A
N/A
N/A
N/A
N/A
N/A
N/A
N/A
N/A
N/A
N/A
N/A
N/A</t>
  </si>
  <si>
    <r>
      <rPr>
        <b/>
        <sz val="11"/>
        <color rgb="FF000000"/>
        <rFont val="Calibri"/>
        <family val="2"/>
      </rPr>
      <t>SELECT</t>
    </r>
    <r>
      <rPr>
        <sz val="11"/>
        <color rgb="FF000000"/>
        <rFont val="Calibri"/>
        <family val="2"/>
      </rPr>
      <t xml:space="preserve"> TAT91_TABELAS_NEW.TAYD91C0_NELEMC11
</t>
    </r>
    <r>
      <rPr>
        <b/>
        <sz val="11"/>
        <color rgb="FF000000"/>
        <rFont val="Calibri"/>
        <family val="2"/>
      </rPr>
      <t xml:space="preserve">SELECT </t>
    </r>
    <r>
      <rPr>
        <sz val="11"/>
        <color rgb="FF000000"/>
        <rFont val="Calibri"/>
        <family val="2"/>
      </rPr>
      <t xml:space="preserve">CONF_REFERENCE_DATA_TABLE.ELEMENT_ATTRIBUTE_11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SELECT ""
SELECT ""
SELECT ""
SELECT ""
SELECT ""
SELECT ""
SELECT ""
SELECT ""
SELECT ""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t>
    </r>
  </si>
  <si>
    <t>NELEMC11</t>
  </si>
  <si>
    <t>Element Attribute 12</t>
  </si>
  <si>
    <t>element_attribute_12</t>
  </si>
  <si>
    <t>TAYD91C0_NELEMC12
ELEMENT_ATTRIBUTE_12
N/A
N/A
N/A
N/A
N/A
N/A
N/A
N/A
N/A
N/A
N/A
N/A
N/A
N/A</t>
  </si>
  <si>
    <r>
      <rPr>
        <b/>
        <sz val="11"/>
        <color rgb="FF000000"/>
        <rFont val="Calibri"/>
        <family val="2"/>
      </rPr>
      <t>SELECT</t>
    </r>
    <r>
      <rPr>
        <sz val="11"/>
        <color rgb="FF000000"/>
        <rFont val="Calibri"/>
        <family val="2"/>
      </rPr>
      <t xml:space="preserve"> TAT91_TABELAS_NEW.TAYD91C0_NELEMC12
</t>
    </r>
    <r>
      <rPr>
        <b/>
        <sz val="11"/>
        <color rgb="FF000000"/>
        <rFont val="Calibri"/>
        <family val="2"/>
      </rPr>
      <t>SELECT</t>
    </r>
    <r>
      <rPr>
        <sz val="11"/>
        <color rgb="FF000000"/>
        <rFont val="Calibri"/>
        <family val="2"/>
      </rPr>
      <t xml:space="preserve"> CONF_REFERENCE_DATA_TABLE.ELEMENT_ATTRIBUTE_12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SELECT ""
SELECT ""
SELECT ""
SELECT ""
SELECT ""
SELECT ""
SELECT ""
SELECT ""
SELECT ""
SELECT ""
</t>
    </r>
    <r>
      <rPr>
        <b/>
        <sz val="11"/>
        <color rgb="FF000000"/>
        <rFont val="Calibri"/>
        <family val="2"/>
      </rPr>
      <t xml:space="preserve">SELECT </t>
    </r>
    <r>
      <rPr>
        <sz val="11"/>
        <color rgb="FF000000"/>
        <rFont val="Calibri"/>
        <family val="2"/>
      </rPr>
      <t>""</t>
    </r>
  </si>
  <si>
    <t>NELEMC12</t>
  </si>
  <si>
    <t>Element Attribute 13</t>
  </si>
  <si>
    <t>element_attribute_13</t>
  </si>
  <si>
    <t>TAYD91C0_NELEMC13
ELEMENT_ATTRIBUTE_13
N/A
N/A
N/A
N/A
N/A
N/A
N/A
N/A
N/A
N/A
N/A
N/A
N/A
N/A</t>
  </si>
  <si>
    <r>
      <rPr>
        <b/>
        <sz val="11"/>
        <color rgb="FF000000"/>
        <rFont val="Calibri"/>
        <family val="2"/>
      </rPr>
      <t>SELECT</t>
    </r>
    <r>
      <rPr>
        <sz val="11"/>
        <color rgb="FF000000"/>
        <rFont val="Calibri"/>
        <family val="2"/>
      </rPr>
      <t xml:space="preserve"> TAT91_TABELAS_NEW.TAYD91C0_NELEMC13
</t>
    </r>
    <r>
      <rPr>
        <b/>
        <sz val="11"/>
        <color rgb="FF000000"/>
        <rFont val="Calibri"/>
        <family val="2"/>
      </rPr>
      <t xml:space="preserve">SELECT </t>
    </r>
    <r>
      <rPr>
        <sz val="11"/>
        <color rgb="FF000000"/>
        <rFont val="Calibri"/>
        <family val="2"/>
      </rPr>
      <t xml:space="preserve">CONF_REFERENCE_DATA_TABLE.ELEMENT_ATTRIBUTE_13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SELECT ""
SELECT ""
SELECT ""
SELECT ""
SELECT ""
SELECT ""
SELECT ""
SELECT ""
SELECT ""
SELECT ""
</t>
    </r>
    <r>
      <rPr>
        <b/>
        <sz val="11"/>
        <color rgb="FF000000"/>
        <rFont val="Calibri"/>
        <family val="2"/>
      </rPr>
      <t>SELECT</t>
    </r>
    <r>
      <rPr>
        <sz val="11"/>
        <color rgb="FF000000"/>
        <rFont val="Calibri"/>
        <family val="2"/>
      </rPr>
      <t xml:space="preserve"> ""</t>
    </r>
  </si>
  <si>
    <t>NELEMC13</t>
  </si>
  <si>
    <t>Element Attribute 14</t>
  </si>
  <si>
    <t>element_attribute_14</t>
  </si>
  <si>
    <t>TAYD91C0_NELEMC14
ELEMENT_ATTRIBUTE_14
N/A
N/A
N/A
N/A
N/A
N/A
N/A
N/A
N/A
N/A
N/A
N/A
N/A
N/A</t>
  </si>
  <si>
    <r>
      <rPr>
        <b/>
        <sz val="11"/>
        <color rgb="FF000000"/>
        <rFont val="Calibri"/>
        <family val="2"/>
      </rPr>
      <t>SELECT</t>
    </r>
    <r>
      <rPr>
        <sz val="11"/>
        <color rgb="FF000000"/>
        <rFont val="Calibri"/>
        <family val="2"/>
      </rPr>
      <t xml:space="preserve"> TAT91_TABELAS_NEW.TAYD91C0_NELEMC14
</t>
    </r>
    <r>
      <rPr>
        <b/>
        <sz val="11"/>
        <color rgb="FF000000"/>
        <rFont val="Calibri"/>
        <family val="2"/>
      </rPr>
      <t xml:space="preserve">SELECT </t>
    </r>
    <r>
      <rPr>
        <sz val="11"/>
        <color rgb="FF000000"/>
        <rFont val="Calibri"/>
        <family val="2"/>
      </rPr>
      <t xml:space="preserve">CONF_REFERENCE_DATA_TABLE.ELEMENT_ATTRIBUTE_14
</t>
    </r>
    <r>
      <rPr>
        <b/>
        <sz val="11"/>
        <color rgb="FF000000"/>
        <rFont val="Calibri"/>
        <family val="2"/>
      </rPr>
      <t>SELECT</t>
    </r>
    <r>
      <rPr>
        <sz val="11"/>
        <color rgb="FF000000"/>
        <rFont val="Calibri"/>
        <family val="2"/>
      </rPr>
      <t xml:space="preserve"> ""
</t>
    </r>
    <r>
      <rPr>
        <b/>
        <sz val="11"/>
        <color rgb="FF000000"/>
        <rFont val="Calibri"/>
        <family val="2"/>
      </rPr>
      <t>SELECT</t>
    </r>
    <r>
      <rPr>
        <sz val="11"/>
        <color rgb="FF000000"/>
        <rFont val="Calibri"/>
        <family val="2"/>
      </rPr>
      <t xml:space="preserve"> ""
</t>
    </r>
    <r>
      <rPr>
        <b/>
        <sz val="11"/>
        <color rgb="FF000000"/>
        <rFont val="Calibri"/>
        <family val="2"/>
      </rPr>
      <t xml:space="preserve">SELECT </t>
    </r>
    <r>
      <rPr>
        <sz val="11"/>
        <color rgb="FF000000"/>
        <rFont val="Calibri"/>
        <family val="2"/>
      </rPr>
      <t xml:space="preserve">""
SELECT ""
SELECT ""
SELECT ""
SELECT ""
SELECT ""
SELECT ""
SELECT ""
SELECT ""
SELECT ""
SELECT ""
</t>
    </r>
    <r>
      <rPr>
        <b/>
        <sz val="11"/>
        <color rgb="FF000000"/>
        <rFont val="Calibri"/>
        <family val="2"/>
      </rPr>
      <t xml:space="preserve">SELECT </t>
    </r>
    <r>
      <rPr>
        <sz val="11"/>
        <color rgb="FF000000"/>
        <rFont val="Calibri"/>
        <family val="2"/>
      </rPr>
      <t>""</t>
    </r>
  </si>
  <si>
    <t>NELEMC14</t>
  </si>
  <si>
    <t>Element Attribute 15</t>
  </si>
  <si>
    <t>element_attribute_15</t>
  </si>
  <si>
    <t>TAYD91C0_NELEMC15
ELEMENT_ATTRIBUTE_15
N/A
N/A
N/A
N/A
N/A
N/A
N/A
N/A
N/A
N/A
N/A
N/A
N/A
N/A</t>
  </si>
  <si>
    <t>SELECT TAT91_TABELAS_NEW.TAYD91C0_NELEMC15
SELECT CONF_REFERENCE_DATA_TABLE.ELEMENT_ATTRIBUTE_14
SELECT ""
SELECT ""
SELECT ""
SELECT ""
SELECT ""
SELECT ""
SELECT ""
SELECT ""
SELECT ""
SELECT ""
SELECT ""
SELECT ""
SELECT ""
SELECT ""</t>
  </si>
  <si>
    <t>NELEMC15</t>
  </si>
  <si>
    <t>Element Attribute 16</t>
  </si>
  <si>
    <t>element_attribute_16</t>
  </si>
  <si>
    <t>TAYD91C0_NELEMC16
ELEMENT_ATTRIBUTE_16
N/A
N/A
N/A
N/A
N/A
N/A
N/A
N/A
N/A
N/A
N/A
N/A
N/A
N/A</t>
  </si>
  <si>
    <r>
      <rPr>
        <b/>
        <sz val="11"/>
        <color rgb="FF000000"/>
        <rFont val="Calibri"/>
        <family val="2"/>
      </rPr>
      <t>SELECT</t>
    </r>
    <r>
      <rPr>
        <sz val="11"/>
        <color rgb="FF000000"/>
        <rFont val="Calibri"/>
        <family val="2"/>
      </rPr>
      <t xml:space="preserve"> TAT91_TABELAS_NEW.TAYD91C0_NELEMC16
</t>
    </r>
    <r>
      <rPr>
        <b/>
        <sz val="11"/>
        <color rgb="FF000000"/>
        <rFont val="Calibri"/>
        <family val="2"/>
      </rPr>
      <t xml:space="preserve">SELECT </t>
    </r>
    <r>
      <rPr>
        <sz val="11"/>
        <color rgb="FF000000"/>
        <rFont val="Calibri"/>
        <family val="2"/>
      </rPr>
      <t xml:space="preserve">CONF_REFERENCE_DATA_TABLE.ELEMENT_ATTRIBUTE_16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SELECT ""
SELECT ""
SELECT ""
SELECT ""
SELECT ""
SELECT ""
SELECT ""
SELECT ""
SELECT ""
SELECT ""
</t>
    </r>
    <r>
      <rPr>
        <b/>
        <sz val="11"/>
        <color rgb="FF000000"/>
        <rFont val="Calibri"/>
        <family val="2"/>
      </rPr>
      <t xml:space="preserve">SELECT </t>
    </r>
    <r>
      <rPr>
        <sz val="11"/>
        <color rgb="FF000000"/>
        <rFont val="Calibri"/>
        <family val="2"/>
      </rPr>
      <t>""</t>
    </r>
  </si>
  <si>
    <t>NELEMC16</t>
  </si>
  <si>
    <t>Element Attribute 17</t>
  </si>
  <si>
    <t>element_attribute_17</t>
  </si>
  <si>
    <t>TAYD91C0_NELEMC17
ELEMENT_ATTRIBUTE_17
N/A
N/A
N/A
N/A
N/A
N/A
N/A
N/A
N/A
N/A
N/A
N/A
N/A
N/A</t>
  </si>
  <si>
    <r>
      <rPr>
        <b/>
        <sz val="11"/>
        <color rgb="FF000000"/>
        <rFont val="Calibri"/>
        <family val="2"/>
      </rPr>
      <t>SELECT</t>
    </r>
    <r>
      <rPr>
        <sz val="11"/>
        <color rgb="FF000000"/>
        <rFont val="Calibri"/>
        <family val="2"/>
      </rPr>
      <t xml:space="preserve"> TAT91_TABELAS_NEW.TAYD91C0_NELEMC17
</t>
    </r>
    <r>
      <rPr>
        <b/>
        <sz val="11"/>
        <color rgb="FF000000"/>
        <rFont val="Calibri"/>
        <family val="2"/>
      </rPr>
      <t xml:space="preserve">SELECT </t>
    </r>
    <r>
      <rPr>
        <sz val="11"/>
        <color rgb="FF000000"/>
        <rFont val="Calibri"/>
        <family val="2"/>
      </rPr>
      <t xml:space="preserve">CONF_REFERENCE_DATA_TABLE.ELEMENT_ATTRIBUTE_17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SELECT ""
SELECT ""
SELECT ""
SELECT ""
SELECT ""
SELECT ""
SELECT ""
SELECT ""
SELECT ""
SELECT ""
</t>
    </r>
    <r>
      <rPr>
        <b/>
        <sz val="11"/>
        <color rgb="FF000000"/>
        <rFont val="Calibri"/>
        <family val="2"/>
      </rPr>
      <t xml:space="preserve">SELECT </t>
    </r>
    <r>
      <rPr>
        <sz val="11"/>
        <color rgb="FF000000"/>
        <rFont val="Calibri"/>
        <family val="2"/>
      </rPr>
      <t>""</t>
    </r>
  </si>
  <si>
    <t>NELEMC17</t>
  </si>
  <si>
    <t>Element Attribute 18</t>
  </si>
  <si>
    <t>element_attribute_18</t>
  </si>
  <si>
    <t>TAYD91C0_NELEMC18
ELEMENT_ATTRIBUTE_18
N/A
N/A
N/A
N/A
N/A
N/A
N/A
N/A
N/A
N/A
N/A
N/A
N/A
N/A</t>
  </si>
  <si>
    <r>
      <rPr>
        <b/>
        <sz val="11"/>
        <color rgb="FF000000"/>
        <rFont val="Calibri"/>
        <family val="2"/>
      </rPr>
      <t>SELECT</t>
    </r>
    <r>
      <rPr>
        <sz val="11"/>
        <color rgb="FF000000"/>
        <rFont val="Calibri"/>
        <family val="2"/>
      </rPr>
      <t xml:space="preserve"> TAT91_TABELAS_NEW.TAYD91C0_NELEMC18
</t>
    </r>
    <r>
      <rPr>
        <b/>
        <sz val="11"/>
        <color rgb="FF000000"/>
        <rFont val="Calibri"/>
        <family val="2"/>
      </rPr>
      <t xml:space="preserve">SELECT </t>
    </r>
    <r>
      <rPr>
        <sz val="11"/>
        <color rgb="FF000000"/>
        <rFont val="Calibri"/>
        <family val="2"/>
      </rPr>
      <t xml:space="preserve">CONF_REFERENCE_DATA_TABLE.ELEMENT_ATTRIBUTE_18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SELECT ""
SELECT ""
SELECT ""
SELECT ""
SELECT ""
SELECT ""
SELECT ""
SELECT ""
SELECT ""
SELECT ""
</t>
    </r>
    <r>
      <rPr>
        <b/>
        <sz val="11"/>
        <color rgb="FF000000"/>
        <rFont val="Calibri"/>
        <family val="2"/>
      </rPr>
      <t xml:space="preserve">SELECT </t>
    </r>
    <r>
      <rPr>
        <sz val="11"/>
        <color rgb="FF000000"/>
        <rFont val="Calibri"/>
        <family val="2"/>
      </rPr>
      <t>""</t>
    </r>
  </si>
  <si>
    <t>NELEMC18</t>
  </si>
  <si>
    <t>Element Attribute 19</t>
  </si>
  <si>
    <t>element_attribute_19</t>
  </si>
  <si>
    <t>TAYD91C0_NELEMC19
ELEMENT_ATTRIBUTE_19
N/A
N/A
N/A
N/A
N/A
N/A
N/A
N/A
N/A
N/A
N/A
N/A
N/A
N/A</t>
  </si>
  <si>
    <r>
      <rPr>
        <b/>
        <sz val="11"/>
        <color rgb="FF000000"/>
        <rFont val="Calibri"/>
        <family val="2"/>
      </rPr>
      <t>SELECT</t>
    </r>
    <r>
      <rPr>
        <sz val="11"/>
        <color rgb="FF000000"/>
        <rFont val="Calibri"/>
        <family val="2"/>
      </rPr>
      <t xml:space="preserve"> TAT91_TABELAS_NEW.TAYD91C0_NELEMC19
</t>
    </r>
    <r>
      <rPr>
        <b/>
        <sz val="11"/>
        <color rgb="FF000000"/>
        <rFont val="Calibri"/>
        <family val="2"/>
      </rPr>
      <t xml:space="preserve">SELECT </t>
    </r>
    <r>
      <rPr>
        <sz val="11"/>
        <color rgb="FF000000"/>
        <rFont val="Calibri"/>
        <family val="2"/>
      </rPr>
      <t xml:space="preserve">CONF_REFERENCE_DATA_TABLE.ELEMENT_ATTRIBUTE_19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SELECT ""
SELECT ""
SELECT ""
SELECT ""
SELECT ""
SELECT ""
SELECT ""
SELECT ""
SELECT ""
SELECT ""
</t>
    </r>
    <r>
      <rPr>
        <b/>
        <sz val="11"/>
        <color rgb="FF000000"/>
        <rFont val="Calibri"/>
        <family val="2"/>
      </rPr>
      <t>SELECT</t>
    </r>
    <r>
      <rPr>
        <sz val="11"/>
        <color rgb="FF000000"/>
        <rFont val="Calibri"/>
        <family val="2"/>
      </rPr>
      <t xml:space="preserve"> ""</t>
    </r>
  </si>
  <si>
    <t>NELEMC19</t>
  </si>
  <si>
    <t>Element Attribute 20</t>
  </si>
  <si>
    <t>element_attribute_20</t>
  </si>
  <si>
    <t>TAYD91C0_NELEMC20
ELEMENT_ATTRIBUTE_20
N/A
N/A
N/A
N/A
N/A
N/A
N/A
N/A
N/A
N/A
N/A
N/A
N/A
N/A</t>
  </si>
  <si>
    <r>
      <rPr>
        <b/>
        <sz val="11"/>
        <color rgb="FF000000"/>
        <rFont val="Calibri"/>
        <family val="2"/>
      </rPr>
      <t>SELECT</t>
    </r>
    <r>
      <rPr>
        <sz val="11"/>
        <color rgb="FF000000"/>
        <rFont val="Calibri"/>
        <family val="2"/>
      </rPr>
      <t xml:space="preserve"> TAT91_TABELAS_NEW.TAYD91C0_NELEMC20
</t>
    </r>
    <r>
      <rPr>
        <b/>
        <sz val="11"/>
        <color rgb="FF000000"/>
        <rFont val="Calibri"/>
        <family val="2"/>
      </rPr>
      <t xml:space="preserve">SELECT </t>
    </r>
    <r>
      <rPr>
        <sz val="11"/>
        <color rgb="FF000000"/>
        <rFont val="Calibri"/>
        <family val="2"/>
      </rPr>
      <t xml:space="preserve">CONF_REFERENCE_DATA_TABLE.ELEMENT_ATTRIBUTE_20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t>
    </r>
    <r>
      <rPr>
        <b/>
        <sz val="11"/>
        <color rgb="FF000000"/>
        <rFont val="Calibri"/>
        <family val="2"/>
      </rPr>
      <t>SELECT</t>
    </r>
    <r>
      <rPr>
        <sz val="11"/>
        <color rgb="FF000000"/>
        <rFont val="Calibri"/>
        <family val="2"/>
      </rPr>
      <t xml:space="preserve"> ""
SELECT ""
SELECT ""
SELECT ""
SELECT ""
SELECT ""
SELECT ""
SELECT ""
SELECT ""
SELECT ""
</t>
    </r>
    <r>
      <rPr>
        <b/>
        <sz val="11"/>
        <color rgb="FF000000"/>
        <rFont val="Calibri"/>
        <family val="2"/>
      </rPr>
      <t xml:space="preserve">SELECT </t>
    </r>
    <r>
      <rPr>
        <sz val="11"/>
        <color rgb="FF000000"/>
        <rFont val="Calibri"/>
        <family val="2"/>
      </rPr>
      <t>""</t>
    </r>
  </si>
  <si>
    <t>NELEMC20</t>
  </si>
  <si>
    <t>DATA_DATE_PART
N/A
DATA_DATE_PART
DATA_DATE_PART
DATA_DATE_PART
DATA_DATE_PART
DATA_DATE_PART
DATA_DATE_PART
DATA_DATE_PART
DATA_DATE_PART
DATA_DATE_PART
DATA_DATE_PART
DATA_DATE_PART
DATA_DATE_PART
DATA_DATE_PART
DATA_DATE_PART</t>
  </si>
  <si>
    <r>
      <rPr>
        <b/>
        <sz val="11"/>
        <color rgb="FF000000"/>
        <rFont val="Calibri"/>
        <family val="2"/>
      </rPr>
      <t>SELECT</t>
    </r>
    <r>
      <rPr>
        <sz val="11"/>
        <color rgb="FF000000"/>
        <rFont val="Calibri"/>
        <family val="2"/>
      </rPr>
      <t xml:space="preserve"> TAT91_TABELAS_NEW.DATA_DATE_PART
</t>
    </r>
    <r>
      <rPr>
        <b/>
        <sz val="11"/>
        <color rgb="FF000000"/>
        <rFont val="Calibri"/>
        <family val="2"/>
      </rPr>
      <t>SELECT</t>
    </r>
    <r>
      <rPr>
        <sz val="11"/>
        <color rgb="FF000000"/>
        <rFont val="Calibri"/>
        <family val="2"/>
      </rPr>
      <t xml:space="preserve"> LAST_DATA_DATE_PART
</t>
    </r>
    <r>
      <rPr>
        <b/>
        <sz val="11"/>
        <color rgb="FF000000"/>
        <rFont val="Calibri"/>
        <family val="2"/>
      </rPr>
      <t>SELECT</t>
    </r>
    <r>
      <rPr>
        <sz val="11"/>
        <color rgb="FF000000"/>
        <rFont val="Calibri"/>
        <family val="2"/>
      </rPr>
      <t xml:space="preserve"> DATA_DATE_PART
</t>
    </r>
    <r>
      <rPr>
        <b/>
        <sz val="11"/>
        <color rgb="FF000000"/>
        <rFont val="Calibri"/>
        <family val="2"/>
      </rPr>
      <t>SELECT</t>
    </r>
    <r>
      <rPr>
        <sz val="11"/>
        <color rgb="FF000000"/>
        <rFont val="Calibri"/>
        <family val="2"/>
      </rPr>
      <t xml:space="preserve"> DATA_DATE_PART
</t>
    </r>
    <r>
      <rPr>
        <b/>
        <sz val="11"/>
        <color rgb="FF000000"/>
        <rFont val="Calibri"/>
        <family val="2"/>
      </rPr>
      <t xml:space="preserve">SELECT </t>
    </r>
    <r>
      <rPr>
        <sz val="11"/>
        <color rgb="FF000000"/>
        <rFont val="Calibri"/>
        <family val="2"/>
      </rPr>
      <t xml:space="preserve">DATA_DATE_PART
</t>
    </r>
    <r>
      <rPr>
        <b/>
        <sz val="11"/>
        <color rgb="FF000000"/>
        <rFont val="Calibri"/>
        <family val="2"/>
      </rPr>
      <t>SELECT</t>
    </r>
    <r>
      <rPr>
        <sz val="11"/>
        <color rgb="FF000000"/>
        <rFont val="Calibri"/>
        <family val="2"/>
      </rPr>
      <t xml:space="preserve"> DATA_DATE_PART
</t>
    </r>
    <r>
      <rPr>
        <b/>
        <sz val="11"/>
        <color rgb="FF000000"/>
        <rFont val="Calibri"/>
        <family val="2"/>
      </rPr>
      <t xml:space="preserve">SELECT DATA_DATE_PART
</t>
    </r>
    <r>
      <rPr>
        <sz val="11"/>
        <color rgb="FF000000"/>
        <rFont val="Calibri"/>
        <family val="2"/>
      </rPr>
      <t>SELECT</t>
    </r>
    <r>
      <rPr>
        <b/>
        <sz val="11"/>
        <color rgb="FF000000"/>
        <rFont val="Calibri"/>
        <family val="2"/>
      </rPr>
      <t xml:space="preserve"> DATA_DATE_PART
SELECT DATA_DATE_PART
SELECT DATA_DATE_PART
</t>
    </r>
    <r>
      <rPr>
        <sz val="11"/>
        <color rgb="FF000000"/>
        <rFont val="Calibri"/>
        <family val="2"/>
      </rPr>
      <t xml:space="preserve">SELECT </t>
    </r>
    <r>
      <rPr>
        <b/>
        <sz val="11"/>
        <color rgb="FF000000"/>
        <rFont val="Calibri"/>
        <family val="2"/>
      </rPr>
      <t xml:space="preserve">DATA_DATE_PART
</t>
    </r>
    <r>
      <rPr>
        <sz val="11"/>
        <color rgb="FF000000"/>
        <rFont val="Calibri"/>
        <family val="2"/>
      </rPr>
      <t>SELECT</t>
    </r>
    <r>
      <rPr>
        <b/>
        <sz val="11"/>
        <color rgb="FF000000"/>
        <rFont val="Calibri"/>
        <family val="2"/>
      </rPr>
      <t xml:space="preserve"> </t>
    </r>
    <r>
      <rPr>
        <sz val="11"/>
        <color rgb="FF000000"/>
        <rFont val="Calibri"/>
        <family val="2"/>
      </rPr>
      <t xml:space="preserve">DATA_DATE_PART
</t>
    </r>
    <r>
      <rPr>
        <b/>
        <sz val="11"/>
        <color rgb="FF000000"/>
        <rFont val="Calibri"/>
        <family val="2"/>
      </rPr>
      <t xml:space="preserve">
SELECT DATA_DATE_PART
SELECT DATA_DATE_PART
SELECT DATA_DATE_PART
SELECT DATA_DATE_PART</t>
    </r>
  </si>
  <si>
    <t>N/A
N/A
N/A
N/A
N/A
N/A
N/A
N/A
N/A
N/A
N/A
N/A
N/A
N/A
N/A
N/A</t>
  </si>
  <si>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 xml:space="preserve">NOW()
SELECT NOW()
SELECT NOW()
</t>
    </r>
    <r>
      <rPr>
        <b/>
        <sz val="11"/>
        <color rgb="FF000000"/>
        <rFont val="Calibri"/>
        <family val="2"/>
      </rPr>
      <t>SELECT</t>
    </r>
    <r>
      <rPr>
        <sz val="11"/>
        <color rgb="FF000000"/>
        <rFont val="Calibri"/>
        <family val="2"/>
      </rPr>
      <t xml:space="preserve"> NOW()
SELECT NOW()
SELECT NOW()
SELECT NOW()
SELECT NOW()
</t>
    </r>
    <r>
      <rPr>
        <b/>
        <sz val="11"/>
        <color rgb="FF000000"/>
        <rFont val="Calibri"/>
        <family val="2"/>
      </rPr>
      <t xml:space="preserve">SELECT </t>
    </r>
    <r>
      <rPr>
        <sz val="11"/>
        <color rgb="FF000000"/>
        <rFont val="Calibri"/>
        <family val="2"/>
      </rPr>
      <t>NOW()</t>
    </r>
  </si>
  <si>
    <t>Reference Data Table Description</t>
  </si>
  <si>
    <t>CURATED_INTERNAL_MAINFRAME_ESTRUTURAIS
OPERATIONS_COMMON_REFERENCE_DATA_CORE
N\A</t>
  </si>
  <si>
    <t>TAT90_INDEXTB
CONF_REFERENCE_DATA_TABLE_DESCRIPTION
REFERENCE_DATA_TABLE_DESCRIPTION_LIST</t>
  </si>
  <si>
    <r>
      <t>SELECT</t>
    </r>
    <r>
      <rPr>
        <sz val="11"/>
        <color rgb="FF000000"/>
        <rFont val="Calibri"/>
        <family val="2"/>
      </rPr>
      <t xml:space="preserve"> CONCAT('000', TAT90_INDEXTB.CTABELA)</t>
    </r>
    <r>
      <rPr>
        <b/>
        <sz val="11"/>
        <color rgb="FF000000"/>
        <rFont val="Calibri"/>
        <family val="2"/>
      </rPr>
      <t xml:space="preserve">
SELECT</t>
    </r>
    <r>
      <rPr>
        <sz val="11"/>
        <color rgb="FF000000"/>
        <rFont val="Calibri"/>
        <family val="2"/>
      </rPr>
      <t xml:space="preserve"> CONF_REFERENCE_DATA_TABLE_DESCRIPTION.TABLE_DESCRIPTION</t>
    </r>
    <r>
      <rPr>
        <b/>
        <sz val="11"/>
        <color rgb="FF000000"/>
        <rFont val="Calibri"/>
        <family val="2"/>
      </rPr>
      <t xml:space="preserve">
SELECT</t>
    </r>
    <r>
      <rPr>
        <sz val="11"/>
        <color rgb="FF000000"/>
        <rFont val="Calibri"/>
        <family val="2"/>
      </rPr>
      <t xml:space="preserve"> REFERENCE_DATA_TABLE_DESCRIPTION_LIST.TABLE_DESCRIPTION</t>
    </r>
  </si>
  <si>
    <t>TAT90_INDEXTB</t>
  </si>
  <si>
    <t>Table Description</t>
  </si>
  <si>
    <t>table_description</t>
  </si>
  <si>
    <t>The actual description of the reference data dimension.</t>
  </si>
  <si>
    <t>Descrição efectiva da dimensão dos dados de referência.</t>
  </si>
  <si>
    <t>GTABELA
TABLE_DESCRIPTION
TABLE_DESCRIPTION</t>
  </si>
  <si>
    <r>
      <t>SELECT</t>
    </r>
    <r>
      <rPr>
        <sz val="11"/>
        <color rgb="FF000000"/>
        <rFont val="Calibri"/>
        <family val="2"/>
      </rPr>
      <t xml:space="preserve"> IF(TRIM( TAT90_INDEXTB.GTABELA ) = '', NULL, TAT90_INDEXTB.GTABELA)</t>
    </r>
    <r>
      <rPr>
        <b/>
        <sz val="11"/>
        <color rgb="FF000000"/>
        <rFont val="Calibri"/>
        <family val="2"/>
      </rPr>
      <t xml:space="preserve">
SELECT</t>
    </r>
    <r>
      <rPr>
        <sz val="11"/>
        <color rgb="FF000000"/>
        <rFont val="Calibri"/>
        <family val="2"/>
      </rPr>
      <t xml:space="preserve"> CONF_REFERENCE_DATA_TABLE_DESCRIPTION.SOURCE_CODE</t>
    </r>
    <r>
      <rPr>
        <b/>
        <sz val="11"/>
        <color rgb="FF000000"/>
        <rFont val="Calibri"/>
        <family val="2"/>
      </rPr>
      <t xml:space="preserve">
SELECT</t>
    </r>
    <r>
      <rPr>
        <sz val="11"/>
        <color rgb="FF000000"/>
        <rFont val="Calibri"/>
        <family val="2"/>
      </rPr>
      <t xml:space="preserve"> REFERENCE_DATA_TABLE_DESCRIPTION_LIST.SOURCE_CODE</t>
    </r>
  </si>
  <si>
    <t>GTABELA</t>
  </si>
  <si>
    <t>CAPLIC
SOURCE_CODE
SOURCE_CODE</t>
  </si>
  <si>
    <r>
      <t>SELECT</t>
    </r>
    <r>
      <rPr>
        <sz val="11"/>
        <color rgb="FF000000"/>
        <rFont val="Calibri"/>
        <family val="2"/>
      </rPr>
      <t xml:space="preserve"> IF(TRIM( TAT90_INDEXTB.CAPLIC) = '', NULL, TAT90_INDEXTB.CAPLIC)</t>
    </r>
    <r>
      <rPr>
        <b/>
        <sz val="11"/>
        <color rgb="FF000000"/>
        <rFont val="Calibri"/>
        <family val="2"/>
      </rPr>
      <t xml:space="preserve">
SELECT</t>
    </r>
    <r>
      <rPr>
        <sz val="11"/>
        <color rgb="FF000000"/>
        <rFont val="Calibri"/>
        <family val="2"/>
      </rPr>
      <t xml:space="preserve"> CONF_REFERENCE_DATA_TABLE_DESCRIPTION.DATA_DATE_PART</t>
    </r>
    <r>
      <rPr>
        <b/>
        <sz val="11"/>
        <color rgb="FF000000"/>
        <rFont val="Calibri"/>
        <family val="2"/>
      </rPr>
      <t xml:space="preserve">
SELECT</t>
    </r>
    <r>
      <rPr>
        <sz val="11"/>
        <color rgb="FF000000"/>
        <rFont val="Calibri"/>
        <family val="2"/>
      </rPr>
      <t xml:space="preserve"> REFERENCE_DATA_TABLE_DESCRIPTION_LIST.DATA_DATE_PART</t>
    </r>
  </si>
  <si>
    <r>
      <t>SELECT</t>
    </r>
    <r>
      <rPr>
        <sz val="11"/>
        <color rgb="FF000000"/>
        <rFont val="Calibri"/>
        <family val="2"/>
      </rPr>
      <t xml:space="preserve"> TAT90_INDEXTB.DATA_DATE_PART</t>
    </r>
  </si>
  <si>
    <t>Transaction Type</t>
  </si>
  <si>
    <t>Valor esperado do código do tipo de transação no modelo comum de dados.</t>
  </si>
  <si>
    <t>Reference Data Attribute (CONF)</t>
  </si>
  <si>
    <t>Reference Data Table (CONF)</t>
  </si>
  <si>
    <t>Reference Data Table Description (CONF)</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</si>
  <si>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</si>
  <si>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</si>
  <si>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</si>
  <si>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</si>
  <si>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</si>
  <si>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</si>
  <si>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</si>
  <si>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curated_internal_mainframe_estruturais</t>
  </si>
  <si>
    <t>tat91_tabelas_new</t>
  </si>
  <si>
    <t>centro_pt</t>
  </si>
  <si>
    <t xml:space="preserve">trim( tat91_tabelas_new.tayd91c0_celemtab ) = centro_pt.e3300_idcent </t>
  </si>
  <si>
    <t>left</t>
  </si>
  <si>
    <t>curated_internal_mainframe_estrangeiro</t>
  </si>
  <si>
    <t>est02_bancos</t>
  </si>
  <si>
    <t>tat03_paises</t>
  </si>
  <si>
    <t>substring( est_bancos.nr_banco, 1, 2 ) = tat03_paises.cpais_p</t>
  </si>
  <si>
    <t>est21_swift</t>
  </si>
  <si>
    <t>est_swift.nr_banco = est_bank.nr_banco</t>
  </si>
  <si>
    <t>case_test</t>
  </si>
  <si>
    <t>test_id</t>
  </si>
  <si>
    <t>test_timestamp</t>
  </si>
  <si>
    <t>query_driver_data_date_part</t>
  </si>
  <si>
    <t>test_number</t>
  </si>
  <si>
    <t>score</t>
  </si>
  <si>
    <t>general_result</t>
  </si>
  <si>
    <t>Count</t>
  </si>
  <si>
    <t>2024-09-17T09:38:37.264+00:00</t>
  </si>
  <si>
    <t>4306.00</t>
  </si>
  <si>
    <t>null</t>
  </si>
  <si>
    <t>Duplicates</t>
  </si>
  <si>
    <t>2024-09-17T09:38:45.644+00:00</t>
  </si>
  <si>
    <t>0.00</t>
  </si>
  <si>
    <t>Null PK</t>
  </si>
  <si>
    <t>2024-09-17T09:38:55.776+00:00</t>
  </si>
  <si>
    <t>3.00</t>
  </si>
  <si>
    <t>Manual Check</t>
  </si>
  <si>
    <t>-</t>
  </si>
  <si>
    <t>Manual Check Source</t>
  </si>
  <si>
    <t>Length Min</t>
  </si>
  <si>
    <t>2024-09-17T09:39:17.997+00:00</t>
  </si>
  <si>
    <t>None</t>
  </si>
  <si>
    <t>Length Max</t>
  </si>
  <si>
    <t>2024-09-17T09:39:21.949+00:00</t>
  </si>
  <si>
    <t>Min</t>
  </si>
  <si>
    <t>2024-09-17T09:39:30.159+00:00</t>
  </si>
  <si>
    <t>1000-053</t>
  </si>
  <si>
    <t>AL</t>
  </si>
  <si>
    <t>-3E</t>
  </si>
  <si>
    <t>2024-09-11 17:59:40.282</t>
  </si>
  <si>
    <t>Min Source</t>
  </si>
  <si>
    <t>2024-09-17T09:39:34.005+00:00</t>
  </si>
  <si>
    <t>Max</t>
  </si>
  <si>
    <t>2024-09-17T09:40:11.408+00:00</t>
  </si>
  <si>
    <t>SWF</t>
  </si>
  <si>
    <t>9980-010</t>
  </si>
  <si>
    <t>da</t>
  </si>
  <si>
    <t>Ângelo Freitas Henriques</t>
  </si>
  <si>
    <t>Lt4</t>
  </si>
  <si>
    <t>Urbaniz. Miraparque</t>
  </si>
  <si>
    <t>Max Source</t>
  </si>
  <si>
    <t>2024-09-17T09:40:16.954+00:00</t>
  </si>
  <si>
    <t>Null Count</t>
  </si>
  <si>
    <t>2024-09-17T09:40:24.823+00:00</t>
  </si>
  <si>
    <t>Data Format</t>
  </si>
  <si>
    <t>Empty Space Count</t>
  </si>
  <si>
    <t>2024-09-17T09:40:31.850+00:00</t>
  </si>
  <si>
    <t>Universe Comparison MCD - Source</t>
  </si>
  <si>
    <t>2024-09-17T09:40:38.388+00:00</t>
  </si>
  <si>
    <t>Universe Comparison Source - MCD</t>
  </si>
  <si>
    <t>Data Types Check</t>
  </si>
  <si>
    <t>2024-09-17T09:40:40.634+00:00</t>
  </si>
  <si>
    <t>string</t>
  </si>
  <si>
    <t>timestamp</t>
  </si>
  <si>
    <t>Column Order</t>
  </si>
  <si>
    <t>Total</t>
  </si>
  <si>
    <t>Data Model Data Types</t>
  </si>
  <si>
    <t>now()</t>
  </si>
  <si>
    <t>today()</t>
  </si>
  <si>
    <t>Data Model Lenghts</t>
  </si>
  <si>
    <t>Test Summary</t>
  </si>
  <si>
    <t>Test ID</t>
  </si>
  <si>
    <t>Field</t>
  </si>
  <si>
    <t>Justification</t>
  </si>
  <si>
    <t>Number of Occurences</t>
  </si>
  <si>
    <t>Justification State</t>
  </si>
  <si>
    <t>Test 3</t>
  </si>
  <si>
    <t>1 - Nulls resultantes de não encontrar correspondencia no left join entre tat91 e centro_pt</t>
  </si>
  <si>
    <t>Total: 3
1 - 3</t>
  </si>
  <si>
    <t>dristinct_code</t>
  </si>
  <si>
    <t>Total: 27
1 - 27</t>
  </si>
  <si>
    <t>Word</t>
  </si>
  <si>
    <t>Abbreviation</t>
  </si>
  <si>
    <t>Second</t>
  </si>
  <si>
    <t>scnd</t>
  </si>
  <si>
    <t>Settlement</t>
  </si>
  <si>
    <t>settl</t>
  </si>
  <si>
    <t>Underlying</t>
  </si>
  <si>
    <t>under</t>
  </si>
  <si>
    <t>Notional</t>
  </si>
  <si>
    <t>notio</t>
  </si>
  <si>
    <t>Instrument</t>
  </si>
  <si>
    <t>inst</t>
  </si>
  <si>
    <t>Currency</t>
  </si>
  <si>
    <t>curr</t>
  </si>
  <si>
    <t>Periodicity</t>
  </si>
  <si>
    <t>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</si>
</sst>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font>
    <font>
      <b/>
      <sz val="8"/>
      <name val="Arial"/>
      <family val="2"/>
    </font>
    <font>
      <b/>
      <sz val="11"/>
      <color theme="0"/>
      <name val="Calibri"/>
      <family val="2"/>
      <scheme val="minor"/>
    </font>
    <font>
      <sz val="11"/>
      <color rgb="FF000000"/>
      <name val="Calibri"/>
      <family val="2"/>
      <scheme val="minor"/>
    </font>
    <font>
      <sz val="11"/>
      <color rgb="FF000000"/>
      <name val="Calibri"/>
      <family val="2"/>
    </font>
    <font>
      <b/>
      <sz val="11"/>
      <color rgb="FF000000"/>
      <name val="Calibri"/>
      <family val="2"/>
    </font>
    <font>
      <b/>
      <sz val="11"/>
      <color rgb="FF000000"/>
      <name val="Calibri"/>
      <family val="2"/>
    </font>
    <font>
      <sz val="11"/>
      <color rgb="FF000000"/>
      <name val="Calibri"/>
      <family val="2"/>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s>
  <borders count="32">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969696"/>
      </left>
      <right style="thin">
        <color rgb="FF969696"/>
      </right>
      <top style="thin">
        <color rgb="FF969696"/>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style="thin">
        <color theme="6"/>
      </right>
      <top style="thin">
        <color indexed="64"/>
      </top>
      <bottom/>
      <diagonal/>
    </border>
    <border>
      <left style="thin">
        <color indexed="64"/>
      </left>
      <right style="thin">
        <color rgb="FF000000"/>
      </right>
      <top style="thin">
        <color rgb="FF000000"/>
      </top>
      <bottom style="thin">
        <color rgb="FF000000"/>
      </bottom>
      <diagonal/>
    </border>
    <border>
      <left style="thin">
        <color rgb="FF969696"/>
      </left>
      <right style="thin">
        <color rgb="FF969696"/>
      </right>
      <top style="thin">
        <color rgb="FF969696"/>
      </top>
      <bottom style="thin">
        <color rgb="FF969696"/>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195">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6" fillId="0" borderId="2" xfId="0" applyFont="1" applyBorder="1" applyAlignment="1" applyProtection="1">
      <alignment wrapText="1"/>
      <protection locked="0"/>
    </xf>
    <xf numFmtId="0" fontId="26" fillId="7" borderId="2" xfId="0" applyFont="1" applyFill="1" applyBorder="1" applyProtection="1">
      <protection locked="0"/>
    </xf>
    <xf numFmtId="0" fontId="26" fillId="7" borderId="2" xfId="0" applyFont="1" applyFill="1" applyBorder="1" applyAlignment="1" applyProtection="1">
      <alignment wrapText="1"/>
      <protection locked="0"/>
    </xf>
    <xf numFmtId="0" fontId="26" fillId="0" borderId="2" xfId="0" applyFont="1" applyBorder="1" applyProtection="1">
      <protection locked="0"/>
    </xf>
    <xf numFmtId="0" fontId="26"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7" fillId="0" borderId="0" xfId="0" applyFont="1"/>
    <xf numFmtId="0" fontId="26" fillId="0" borderId="3" xfId="0" applyFont="1" applyBorder="1" applyAlignment="1" applyProtection="1">
      <alignment wrapText="1"/>
      <protection locked="0"/>
    </xf>
    <xf numFmtId="0" fontId="26"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8"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5" fillId="5" borderId="7" xfId="0" applyFont="1" applyFill="1" applyBorder="1" applyAlignment="1">
      <alignment horizontal="center" vertical="center" wrapText="1"/>
    </xf>
    <xf numFmtId="0" fontId="29"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0" fillId="0" borderId="0" xfId="0" applyAlignment="1">
      <alignment horizontal="center" vertical="center"/>
    </xf>
    <xf numFmtId="0" fontId="30" fillId="0" borderId="0" xfId="0" applyFont="1" applyAlignment="1">
      <alignment vertical="center"/>
    </xf>
    <xf numFmtId="0" fontId="0" fillId="0" borderId="0" xfId="0" applyAlignment="1">
      <alignment vertical="center"/>
    </xf>
    <xf numFmtId="0" fontId="0" fillId="0" borderId="8" xfId="0" applyBorder="1" applyAlignment="1">
      <alignment vertical="center"/>
    </xf>
    <xf numFmtId="0" fontId="0" fillId="0" borderId="8" xfId="0" applyBorder="1" applyAlignment="1">
      <alignment horizontal="center" vertical="center"/>
    </xf>
    <xf numFmtId="0" fontId="0" fillId="0" borderId="8" xfId="0" applyBorder="1" applyAlignment="1">
      <alignment vertical="center" wrapText="1"/>
    </xf>
    <xf numFmtId="0" fontId="0" fillId="0" borderId="8" xfId="0" applyBorder="1" applyAlignment="1">
      <alignment horizontal="left" vertical="center"/>
    </xf>
    <xf numFmtId="0" fontId="0" fillId="0" borderId="8" xfId="0" applyBorder="1" applyAlignment="1" applyProtection="1">
      <alignment vertical="center"/>
      <protection locked="0"/>
    </xf>
    <xf numFmtId="0" fontId="23" fillId="0" borderId="8" xfId="0" applyFont="1" applyBorder="1" applyAlignment="1">
      <alignment horizontal="left" vertical="center" indent="1"/>
    </xf>
    <xf numFmtId="0" fontId="21" fillId="4" borderId="9" xfId="0" applyFont="1" applyFill="1" applyBorder="1" applyAlignment="1">
      <alignment horizontal="center" vertical="center"/>
    </xf>
    <xf numFmtId="0" fontId="17" fillId="4" borderId="9" xfId="0" applyFont="1" applyFill="1" applyBorder="1" applyAlignment="1">
      <alignment horizontal="center" vertical="center"/>
    </xf>
    <xf numFmtId="0" fontId="25" fillId="5" borderId="7" xfId="0" applyFont="1" applyFill="1" applyBorder="1" applyAlignment="1">
      <alignment horizontal="center" vertical="center"/>
    </xf>
    <xf numFmtId="0" fontId="25" fillId="5" borderId="7" xfId="0" applyFont="1" applyFill="1" applyBorder="1" applyAlignment="1">
      <alignment horizontal="left" vertical="center" wrapText="1"/>
    </xf>
    <xf numFmtId="0" fontId="25" fillId="5" borderId="14" xfId="0" applyFont="1" applyFill="1" applyBorder="1" applyAlignment="1">
      <alignment horizontal="center" vertical="center" wrapText="1"/>
    </xf>
    <xf numFmtId="0" fontId="24" fillId="11" borderId="12" xfId="0" applyFont="1" applyFill="1" applyBorder="1" applyAlignment="1" applyProtection="1">
      <alignment horizontal="center" vertical="center" wrapText="1" readingOrder="1"/>
      <protection locked="0"/>
    </xf>
    <xf numFmtId="0" fontId="0" fillId="0" borderId="16" xfId="0" applyBorder="1" applyAlignment="1">
      <alignment vertical="center"/>
    </xf>
    <xf numFmtId="0" fontId="31" fillId="5" borderId="4" xfId="0" applyFont="1" applyFill="1" applyBorder="1" applyAlignment="1" applyProtection="1">
      <alignment horizontal="center" vertical="center" wrapText="1"/>
      <protection locked="0"/>
    </xf>
    <xf numFmtId="0" fontId="0" fillId="0" borderId="8" xfId="0" applyBorder="1" applyAlignment="1" applyProtection="1">
      <alignment horizontal="center" vertical="center"/>
      <protection locked="0"/>
    </xf>
    <xf numFmtId="0" fontId="0" fillId="0" borderId="16" xfId="0" applyBorder="1" applyAlignment="1">
      <alignment horizontal="center" vertical="center"/>
    </xf>
    <xf numFmtId="0" fontId="0" fillId="0" borderId="16" xfId="0" applyBorder="1" applyAlignment="1" applyProtection="1">
      <alignment vertical="center"/>
      <protection locked="0"/>
    </xf>
    <xf numFmtId="0" fontId="0" fillId="0" borderId="8" xfId="0" applyBorder="1" applyAlignment="1">
      <alignment horizontal="left" vertical="center" wrapText="1"/>
    </xf>
    <xf numFmtId="0" fontId="0" fillId="0" borderId="16" xfId="0" applyBorder="1" applyAlignment="1">
      <alignment horizontal="left" vertical="center"/>
    </xf>
    <xf numFmtId="0" fontId="0" fillId="0" borderId="16" xfId="0" applyBorder="1" applyAlignment="1">
      <alignment vertical="center" wrapText="1"/>
    </xf>
    <xf numFmtId="0" fontId="0" fillId="0" borderId="15" xfId="0" applyBorder="1" applyAlignment="1" applyProtection="1">
      <alignment vertical="center"/>
      <protection locked="0"/>
    </xf>
    <xf numFmtId="0" fontId="0" fillId="0" borderId="16" xfId="0" applyBorder="1" applyAlignment="1" applyProtection="1">
      <alignment horizontal="center" vertical="center"/>
      <protection locked="0"/>
    </xf>
    <xf numFmtId="0" fontId="0" fillId="0" borderId="0" xfId="0" applyAlignment="1">
      <alignment horizontal="left" vertical="center"/>
    </xf>
    <xf numFmtId="14" fontId="0" fillId="0" borderId="0" xfId="0" applyNumberFormat="1" applyAlignment="1">
      <alignment horizontal="left" vertical="center"/>
    </xf>
    <xf numFmtId="4"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2" fontId="0" fillId="0" borderId="0" xfId="0" applyNumberFormat="1" applyAlignment="1">
      <alignment horizontal="left" vertical="center"/>
    </xf>
    <xf numFmtId="0" fontId="0" fillId="2" borderId="0" xfId="0" applyFill="1" applyAlignment="1">
      <alignment horizontal="left" vertical="center"/>
    </xf>
    <xf numFmtId="0" fontId="32" fillId="14" borderId="22" xfId="0" applyFont="1" applyFill="1" applyBorder="1" applyAlignment="1">
      <alignment horizontal="center" vertical="center"/>
    </xf>
    <xf numFmtId="0" fontId="32" fillId="14" borderId="12" xfId="0" applyFont="1" applyFill="1" applyBorder="1" applyAlignment="1">
      <alignment horizontal="center" vertical="center"/>
    </xf>
    <xf numFmtId="0" fontId="32" fillId="0" borderId="23" xfId="0" applyFont="1" applyBorder="1" applyAlignment="1">
      <alignment horizontal="center" vertical="center"/>
    </xf>
    <xf numFmtId="0" fontId="32" fillId="0" borderId="0" xfId="0" applyFont="1" applyAlignment="1">
      <alignment horizontal="center" vertical="center"/>
    </xf>
    <xf numFmtId="0" fontId="0" fillId="0" borderId="22" xfId="0" applyBorder="1"/>
    <xf numFmtId="0" fontId="0" fillId="0" borderId="24" xfId="0" applyBorder="1" applyAlignment="1">
      <alignment horizontal="left"/>
    </xf>
    <xf numFmtId="22" fontId="0" fillId="0" borderId="24" xfId="0" applyNumberFormat="1" applyBorder="1"/>
    <xf numFmtId="0" fontId="0" fillId="0" borderId="24" xfId="0" applyBorder="1"/>
    <xf numFmtId="0" fontId="0" fillId="0" borderId="12" xfId="0" applyBorder="1" applyAlignment="1">
      <alignment horizontal="left"/>
    </xf>
    <xf numFmtId="0" fontId="0" fillId="0" borderId="23" xfId="0" applyBorder="1"/>
    <xf numFmtId="0" fontId="0" fillId="0" borderId="12" xfId="0" applyBorder="1"/>
    <xf numFmtId="0" fontId="0" fillId="0" borderId="23" xfId="0" applyBorder="1" applyAlignment="1">
      <alignment horizontal="left"/>
    </xf>
    <xf numFmtId="0" fontId="0" fillId="0" borderId="0" xfId="0" applyAlignment="1">
      <alignment horizontal="left"/>
    </xf>
    <xf numFmtId="0" fontId="32" fillId="14" borderId="8" xfId="0" applyFont="1" applyFill="1" applyBorder="1" applyAlignment="1">
      <alignment vertical="center"/>
    </xf>
    <xf numFmtId="0" fontId="32" fillId="14" borderId="24" xfId="0" applyFont="1" applyFill="1" applyBorder="1" applyAlignment="1">
      <alignment horizontal="center" vertical="center"/>
    </xf>
    <xf numFmtId="0" fontId="32" fillId="14" borderId="25" xfId="0" applyFont="1" applyFill="1" applyBorder="1" applyAlignment="1">
      <alignment horizontal="center" vertical="center"/>
    </xf>
    <xf numFmtId="0" fontId="0" fillId="0" borderId="10" xfId="0" applyBorder="1" applyAlignment="1">
      <alignment vertical="center"/>
    </xf>
    <xf numFmtId="0" fontId="0" fillId="0" borderId="20" xfId="0" applyBorder="1" applyAlignment="1">
      <alignment vertical="center"/>
    </xf>
    <xf numFmtId="0" fontId="0" fillId="0" borderId="23" xfId="0" applyBorder="1" applyAlignment="1">
      <alignment vertical="center" wrapText="1"/>
    </xf>
    <xf numFmtId="0" fontId="0" fillId="0" borderId="12" xfId="0" applyBorder="1" applyAlignment="1">
      <alignment vertical="center"/>
    </xf>
    <xf numFmtId="0" fontId="0" fillId="0" borderId="11" xfId="0" applyBorder="1" applyAlignment="1">
      <alignment vertical="center"/>
    </xf>
    <xf numFmtId="0" fontId="33" fillId="0" borderId="8" xfId="0" applyFont="1" applyBorder="1" applyAlignment="1">
      <alignment vertical="center" wrapText="1"/>
    </xf>
    <xf numFmtId="0" fontId="0" fillId="0" borderId="24" xfId="0" applyBorder="1" applyAlignment="1">
      <alignment horizontal="left" vertical="center" wrapText="1"/>
    </xf>
    <xf numFmtId="0" fontId="0" fillId="0" borderId="22" xfId="0" applyBorder="1" applyAlignment="1">
      <alignment vertical="center" wrapText="1"/>
    </xf>
    <xf numFmtId="0" fontId="0" fillId="0" borderId="23" xfId="0" applyBorder="1" applyAlignment="1">
      <alignment horizontal="left" vertical="center" wrapText="1"/>
    </xf>
    <xf numFmtId="0" fontId="0" fillId="0" borderId="10" xfId="0" applyBorder="1" applyAlignment="1">
      <alignment horizontal="left" vertical="center"/>
    </xf>
    <xf numFmtId="0" fontId="0" fillId="0" borderId="20" xfId="0" applyBorder="1" applyAlignment="1">
      <alignment horizontal="left" vertical="center"/>
    </xf>
    <xf numFmtId="0" fontId="0" fillId="0" borderId="16" xfId="0" applyBorder="1" applyAlignment="1">
      <alignment horizontal="left" vertical="center" wrapText="1"/>
    </xf>
    <xf numFmtId="0" fontId="0" fillId="0" borderId="24" xfId="0" applyBorder="1" applyAlignment="1">
      <alignment wrapText="1"/>
    </xf>
    <xf numFmtId="0" fontId="34" fillId="0" borderId="8" xfId="0" applyFont="1" applyBorder="1" applyAlignment="1">
      <alignment horizontal="left" vertical="center" wrapText="1"/>
    </xf>
    <xf numFmtId="0" fontId="34" fillId="0" borderId="8" xfId="0" applyFont="1" applyBorder="1" applyAlignment="1">
      <alignment horizontal="left" vertical="center"/>
    </xf>
    <xf numFmtId="0" fontId="36" fillId="0" borderId="8" xfId="0" applyFont="1" applyBorder="1" applyAlignment="1">
      <alignment horizontal="left" vertical="center" wrapText="1"/>
    </xf>
    <xf numFmtId="0" fontId="35" fillId="0" borderId="8" xfId="0" applyFont="1" applyBorder="1" applyAlignment="1">
      <alignment horizontal="left" vertical="center" wrapText="1"/>
    </xf>
    <xf numFmtId="0" fontId="34" fillId="0" borderId="8" xfId="0" applyFont="1" applyBorder="1" applyAlignment="1">
      <alignment vertical="center"/>
    </xf>
    <xf numFmtId="0" fontId="35" fillId="0" borderId="8" xfId="0" applyFont="1" applyBorder="1" applyAlignment="1">
      <alignment vertical="center"/>
    </xf>
    <xf numFmtId="0" fontId="34" fillId="0" borderId="16" xfId="0" applyFont="1" applyBorder="1" applyAlignment="1">
      <alignment vertical="center"/>
    </xf>
    <xf numFmtId="0" fontId="34" fillId="0" borderId="8" xfId="0" applyFont="1" applyBorder="1" applyAlignment="1">
      <alignment vertical="center" wrapText="1"/>
    </xf>
    <xf numFmtId="0" fontId="34" fillId="0" borderId="16" xfId="0" applyFont="1" applyBorder="1" applyAlignment="1">
      <alignment vertical="center" wrapText="1"/>
    </xf>
    <xf numFmtId="0" fontId="35" fillId="0" borderId="16" xfId="0" applyFont="1" applyBorder="1" applyAlignment="1">
      <alignment vertical="center" wrapText="1"/>
    </xf>
    <xf numFmtId="0" fontId="35" fillId="0" borderId="16" xfId="0" applyFont="1" applyBorder="1" applyAlignment="1">
      <alignment vertical="center"/>
    </xf>
    <xf numFmtId="0" fontId="35" fillId="0" borderId="26" xfId="0" applyFont="1" applyBorder="1" applyAlignment="1">
      <alignment vertical="center"/>
    </xf>
    <xf numFmtId="0" fontId="35" fillId="0" borderId="8" xfId="0" applyFont="1" applyBorder="1" applyAlignment="1">
      <alignment vertical="center" wrapText="1"/>
    </xf>
    <xf numFmtId="0" fontId="0" fillId="0" borderId="0" xfId="0" applyAlignment="1" applyProtection="1">
      <alignment horizontal="left" vertical="center" wrapText="1"/>
      <protection locked="0"/>
    </xf>
    <xf numFmtId="0" fontId="25" fillId="5" borderId="27" xfId="0" applyFont="1" applyFill="1" applyBorder="1" applyAlignment="1">
      <alignment horizontal="center" vertical="center" wrapText="1"/>
    </xf>
    <xf numFmtId="0" fontId="30" fillId="0" borderId="8" xfId="0" applyFont="1" applyBorder="1" applyAlignment="1">
      <alignment vertical="center"/>
    </xf>
    <xf numFmtId="0" fontId="33" fillId="0" borderId="8" xfId="0" applyFont="1" applyBorder="1" applyAlignment="1">
      <alignment horizontal="left" vertical="center" wrapText="1"/>
    </xf>
    <xf numFmtId="0" fontId="37" fillId="0" borderId="8" xfId="0" applyFont="1" applyBorder="1" applyAlignment="1">
      <alignment horizontal="left" vertical="center" wrapText="1"/>
    </xf>
    <xf numFmtId="0" fontId="25" fillId="5" borderId="28" xfId="0" applyFont="1" applyFill="1" applyBorder="1" applyAlignment="1">
      <alignment horizontal="center" vertical="center" wrapText="1"/>
    </xf>
    <xf numFmtId="0" fontId="25" fillId="5" borderId="29" xfId="0" applyFont="1" applyFill="1" applyBorder="1" applyAlignment="1">
      <alignment horizontal="center" vertical="center" wrapText="1"/>
    </xf>
    <xf numFmtId="0" fontId="0" fillId="0" borderId="30" xfId="0" applyBorder="1" applyAlignment="1">
      <alignment vertical="center"/>
    </xf>
    <xf numFmtId="0" fontId="18" fillId="0" borderId="0" xfId="0" applyFont="1" applyAlignment="1" applyProtection="1">
      <alignment horizontal="left" vertical="center" wrapText="1"/>
      <protection locked="0"/>
    </xf>
    <xf numFmtId="0" fontId="0" fillId="0" borderId="8" xfId="0" applyBorder="1" applyAlignment="1">
      <alignment wrapText="1"/>
    </xf>
    <xf numFmtId="0" fontId="0" fillId="0" borderId="16" xfId="0" applyBorder="1" applyAlignment="1">
      <alignment wrapText="1"/>
    </xf>
    <xf numFmtId="0" fontId="0" fillId="0" borderId="0" xfId="0" applyAlignment="1">
      <alignment vertical="center" wrapText="1"/>
    </xf>
    <xf numFmtId="0" fontId="0" fillId="0" borderId="15" xfId="0" applyBorder="1" applyAlignment="1">
      <alignment vertical="center" wrapText="1"/>
    </xf>
    <xf numFmtId="0" fontId="34" fillId="0" borderId="26" xfId="0" applyFont="1" applyBorder="1" applyAlignment="1">
      <alignment vertical="center" wrapText="1"/>
    </xf>
    <xf numFmtId="0" fontId="34" fillId="0" borderId="26" xfId="0" applyFont="1" applyBorder="1" applyAlignment="1">
      <alignment vertical="center"/>
    </xf>
    <xf numFmtId="0" fontId="35" fillId="0" borderId="26" xfId="0" applyFont="1" applyBorder="1" applyAlignment="1">
      <alignment vertical="center" wrapText="1"/>
    </xf>
    <xf numFmtId="0" fontId="23" fillId="0" borderId="31" xfId="0" applyFont="1" applyBorder="1" applyAlignment="1">
      <alignment horizontal="left" vertical="center" indent="1"/>
    </xf>
    <xf numFmtId="0" fontId="36" fillId="0" borderId="16" xfId="0" applyFont="1" applyBorder="1" applyAlignment="1">
      <alignment vertical="center" wrapText="1"/>
    </xf>
    <xf numFmtId="0" fontId="36" fillId="0" borderId="8" xfId="0" applyFont="1" applyBorder="1" applyAlignment="1">
      <alignment vertical="center" wrapText="1"/>
    </xf>
    <xf numFmtId="0" fontId="1" fillId="0" borderId="8" xfId="0" applyFont="1" applyBorder="1" applyAlignment="1">
      <alignment vertical="center"/>
    </xf>
    <xf numFmtId="0" fontId="1" fillId="0" borderId="8" xfId="0" applyFont="1" applyBorder="1" applyAlignment="1" applyProtection="1">
      <alignment vertical="center"/>
      <protection locked="0"/>
    </xf>
    <xf numFmtId="0" fontId="1" fillId="0" borderId="8" xfId="0" applyFont="1" applyBorder="1" applyAlignment="1" applyProtection="1">
      <alignment horizontal="center" vertical="center"/>
      <protection locked="0"/>
    </xf>
    <xf numFmtId="0" fontId="1" fillId="0" borderId="8" xfId="0" applyFont="1" applyBorder="1" applyAlignment="1" applyProtection="1">
      <alignment vertical="center" wrapText="1"/>
      <protection locked="0"/>
    </xf>
    <xf numFmtId="0" fontId="1" fillId="0" borderId="8" xfId="0" applyFont="1" applyBorder="1" applyAlignment="1">
      <alignment horizontal="center" vertical="center"/>
    </xf>
    <xf numFmtId="0" fontId="1" fillId="0" borderId="8" xfId="0" applyFont="1" applyBorder="1" applyAlignment="1">
      <alignment vertical="center" wrapText="1"/>
    </xf>
    <xf numFmtId="0" fontId="1" fillId="0" borderId="8" xfId="0" applyFont="1" applyBorder="1" applyAlignment="1">
      <alignment horizontal="left" vertical="center" wrapText="1"/>
    </xf>
    <xf numFmtId="0" fontId="1" fillId="0" borderId="16" xfId="0" applyFont="1" applyBorder="1" applyAlignment="1">
      <alignment vertical="center"/>
    </xf>
    <xf numFmtId="0" fontId="1" fillId="0" borderId="16" xfId="0" applyFont="1" applyBorder="1" applyAlignment="1">
      <alignment horizontal="center" vertical="center"/>
    </xf>
    <xf numFmtId="0" fontId="1" fillId="0" borderId="16" xfId="0" applyFont="1" applyBorder="1" applyAlignment="1">
      <alignment horizontal="left" vertical="center"/>
    </xf>
    <xf numFmtId="0" fontId="1" fillId="0" borderId="16" xfId="0" applyFont="1" applyBorder="1" applyAlignment="1">
      <alignment vertical="center" wrapText="1"/>
    </xf>
    <xf numFmtId="0" fontId="1" fillId="0" borderId="16" xfId="0" applyFont="1" applyBorder="1" applyAlignment="1" applyProtection="1">
      <alignment vertical="center"/>
      <protection locked="0"/>
    </xf>
    <xf numFmtId="0" fontId="1" fillId="0" borderId="16" xfId="0" applyFont="1" applyBorder="1" applyAlignment="1" applyProtection="1">
      <alignment horizontal="center" vertical="center"/>
      <protection locked="0"/>
    </xf>
    <xf numFmtId="0" fontId="1" fillId="0" borderId="8" xfId="0" applyFont="1" applyBorder="1" applyAlignment="1">
      <alignment horizontal="left" vertical="center"/>
    </xf>
    <xf numFmtId="0" fontId="1" fillId="0" borderId="16" xfId="0" applyFont="1" applyBorder="1" applyAlignment="1" applyProtection="1">
      <alignment vertical="center" wrapText="1"/>
      <protection locked="0"/>
    </xf>
    <xf numFmtId="0" fontId="1" fillId="0" borderId="0" xfId="0" applyFont="1" applyAlignment="1">
      <alignment vertical="center" wrapText="1"/>
    </xf>
    <xf numFmtId="0" fontId="1" fillId="0" borderId="16" xfId="0" applyFont="1" applyBorder="1"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4" fillId="12" borderId="11" xfId="0" applyFont="1" applyFill="1" applyBorder="1" applyAlignment="1" applyProtection="1">
      <alignment horizontal="center" vertical="center" wrapText="1"/>
      <protection locked="0"/>
    </xf>
    <xf numFmtId="0" fontId="24" fillId="12" borderId="12" xfId="0" applyFont="1" applyFill="1" applyBorder="1" applyAlignment="1" applyProtection="1">
      <alignment horizontal="center" vertical="center" wrapText="1"/>
      <protection locked="0"/>
    </xf>
    <xf numFmtId="0" fontId="24" fillId="12" borderId="13" xfId="0" applyFont="1" applyFill="1" applyBorder="1" applyAlignment="1" applyProtection="1">
      <alignment horizontal="center" vertical="center" wrapText="1"/>
      <protection locked="0"/>
    </xf>
    <xf numFmtId="0" fontId="24" fillId="12" borderId="20" xfId="0" applyFont="1" applyFill="1" applyBorder="1" applyAlignment="1" applyProtection="1">
      <alignment horizontal="center" vertical="center" wrapText="1" readingOrder="1"/>
      <protection locked="0"/>
    </xf>
    <xf numFmtId="0" fontId="24" fillId="12" borderId="10" xfId="0" applyFont="1" applyFill="1" applyBorder="1" applyAlignment="1" applyProtection="1">
      <alignment horizontal="center" vertical="center" wrapText="1" readingOrder="1"/>
      <protection locked="0"/>
    </xf>
    <xf numFmtId="0" fontId="24" fillId="12" borderId="21" xfId="0" applyFont="1" applyFill="1" applyBorder="1" applyAlignment="1" applyProtection="1">
      <alignment horizontal="center" vertical="center" wrapText="1" readingOrder="1"/>
      <protection locked="0"/>
    </xf>
    <xf numFmtId="0" fontId="24" fillId="3" borderId="8" xfId="0" applyFont="1" applyFill="1" applyBorder="1" applyAlignment="1" applyProtection="1">
      <alignment horizontal="center" vertical="center" wrapText="1" readingOrder="1"/>
      <protection locked="0"/>
    </xf>
    <xf numFmtId="0" fontId="24" fillId="13" borderId="12" xfId="0" applyFont="1" applyFill="1" applyBorder="1" applyAlignment="1" applyProtection="1">
      <alignment horizontal="center" vertical="center" wrapText="1" readingOrder="1"/>
      <protection locked="0"/>
    </xf>
    <xf numFmtId="0" fontId="24" fillId="13" borderId="13" xfId="0" applyFont="1" applyFill="1" applyBorder="1" applyAlignment="1" applyProtection="1">
      <alignment horizontal="center" vertical="center" wrapText="1" readingOrder="1"/>
      <protection locked="0"/>
    </xf>
    <xf numFmtId="0" fontId="24" fillId="11" borderId="11" xfId="0" applyFont="1" applyFill="1" applyBorder="1" applyAlignment="1" applyProtection="1">
      <alignment horizontal="center" vertical="center" wrapText="1" readingOrder="1"/>
      <protection locked="0"/>
    </xf>
    <xf numFmtId="0" fontId="24" fillId="11" borderId="12" xfId="0" applyFont="1" applyFill="1" applyBorder="1" applyAlignment="1" applyProtection="1">
      <alignment horizontal="center" vertical="center" wrapText="1" readingOrder="1"/>
      <protection locked="0"/>
    </xf>
    <xf numFmtId="0" fontId="24" fillId="11" borderId="13" xfId="0" applyFont="1" applyFill="1" applyBorder="1" applyAlignment="1" applyProtection="1">
      <alignment horizontal="center" vertical="center" wrapText="1" readingOrder="1"/>
      <protection locked="0"/>
    </xf>
    <xf numFmtId="0" fontId="24" fillId="11" borderId="17" xfId="0" applyFont="1" applyFill="1" applyBorder="1" applyAlignment="1" applyProtection="1">
      <alignment horizontal="center" vertical="center" wrapText="1" readingOrder="1"/>
      <protection locked="0"/>
    </xf>
    <xf numFmtId="0" fontId="24" fillId="11" borderId="18" xfId="0" applyFont="1" applyFill="1" applyBorder="1" applyAlignment="1" applyProtection="1">
      <alignment horizontal="center" vertical="center" wrapText="1" readingOrder="1"/>
      <protection locked="0"/>
    </xf>
    <xf numFmtId="0" fontId="24" fillId="11" borderId="19"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2">
    <dxf>
      <font>
        <b val="0"/>
        <i val="0"/>
        <strike val="0"/>
        <condense val="0"/>
        <extend val="0"/>
        <outline val="0"/>
        <shadow val="0"/>
        <u val="none"/>
        <vertAlign val="baseline"/>
        <sz val="11"/>
        <color rgb="FF000000"/>
        <name val="Calibri"/>
        <charset val="1"/>
        <scheme val="none"/>
      </font>
      <alignment vertical="center"/>
    </dxf>
    <dxf>
      <font>
        <b val="0"/>
        <i val="0"/>
        <strike val="0"/>
        <condense val="0"/>
        <extend val="0"/>
        <outline val="0"/>
        <shadow val="0"/>
        <u val="none"/>
        <vertAlign val="baseline"/>
        <sz val="11"/>
        <color rgb="FF000000"/>
        <name val="Calibri"/>
        <charset val="1"/>
        <scheme val="none"/>
      </font>
      <alignment vertical="center"/>
    </dxf>
    <dxf>
      <font>
        <b val="0"/>
        <i val="0"/>
        <strike val="0"/>
        <condense val="0"/>
        <extend val="0"/>
        <outline val="0"/>
        <shadow val="0"/>
        <u val="none"/>
        <vertAlign val="baseline"/>
        <sz val="11"/>
        <color rgb="FF000000"/>
        <name val="Calibri"/>
        <charset val="1"/>
        <scheme val="none"/>
      </font>
      <alignmen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sharedStrings" Target="sharedStrings.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495300</xdr:colOff>
      <xdr:row>0</xdr:row>
      <xdr:rowOff>152400</xdr:rowOff>
    </xdr:from>
    <xdr:to>
      <xdr:col>1</xdr:col>
      <xdr:colOff>1009650</xdr:colOff>
      <xdr:row>1</xdr:row>
      <xdr:rowOff>161925</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95300" y="152400"/>
          <a:ext cx="1104900" cy="190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1</xdr:col>
      <xdr:colOff>19050</xdr:colOff>
      <xdr:row>0</xdr:row>
      <xdr:rowOff>123825</xdr:rowOff>
    </xdr:from>
    <xdr:to>
      <xdr:col>1</xdr:col>
      <xdr:colOff>1082116</xdr:colOff>
      <xdr:row>0</xdr:row>
      <xdr:rowOff>301500</xdr:rowOff>
    </xdr:to>
    <xdr:pic>
      <xdr:nvPicPr>
        <xdr:cNvPr id="2" name="Picture 1">
          <a:extLst>
            <a:ext uri="{FF2B5EF4-FFF2-40B4-BE49-F238E27FC236}">
              <a16:creationId xmlns:a16="http://schemas.microsoft.com/office/drawing/2014/main" id="{E79D8535-E53E-4704-9A0C-FC6CBF11558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28650" y="1238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6D3477C0\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6D3477C0\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7:AA144" totalsRowShown="0" headerRowDxfId="61" dataDxfId="60" tableBorderDxfId="59">
  <autoFilter ref="B7:AA144" xr:uid="{00000000-0009-0000-0100-000002000000}"/>
  <tableColumns count="26">
    <tableColumn id="1" xr3:uid="{00000000-0010-0000-0000-000001000000}" name="NOME BD" dataDxfId="58"/>
    <tableColumn id="2" xr3:uid="{00000000-0010-0000-0000-000002000000}" name="NOME TABELA" dataDxfId="57"/>
    <tableColumn id="21" xr3:uid="{00000000-0010-0000-0000-000015000000}" name="NOME FÍSICO TABELA" dataDxfId="56"/>
    <tableColumn id="23" xr3:uid="{00000000-0010-0000-0000-000017000000}" name="NÍVEL TABELA" dataDxfId="55"/>
    <tableColumn id="3" xr3:uid="{00000000-0010-0000-0000-000003000000}" name="NOME CAMPO" dataDxfId="54"/>
    <tableColumn id="22" xr3:uid="{00000000-0010-0000-0000-000016000000}" name="NOME FÍSICO CAMPO" dataDxfId="53"/>
    <tableColumn id="25" xr3:uid="{D33A4438-422D-4D16-AB01-CA12DAA3B0D0}" name="BLOCO" dataDxfId="52"/>
    <tableColumn id="4" xr3:uid="{00000000-0010-0000-0000-000004000000}" name="ORDEM" dataDxfId="51"/>
    <tableColumn id="5" xr3:uid="{00000000-0010-0000-0000-000005000000}" name="FORMATO" dataDxfId="50"/>
    <tableColumn id="6" xr3:uid="{00000000-0010-0000-0000-000006000000}" name="COMP_ CAMPO" dataDxfId="49"/>
    <tableColumn id="7" xr3:uid="{00000000-0010-0000-0000-000007000000}" name="NUM_ DECIMAIS" dataDxfId="48"/>
    <tableColumn id="8" xr3:uid="{00000000-0010-0000-0000-000008000000}" name="DESCRIÇÃO FUNCIONAL (ENG)" dataDxfId="47"/>
    <tableColumn id="9" xr3:uid="{00000000-0010-0000-0000-000009000000}" name="DESCRIÇÃO FUNCIONAL (PT)" dataDxfId="46"/>
    <tableColumn id="10" xr3:uid="{00000000-0010-0000-0000-00000A000000}" name="CHAVE PRIMÁRIA" dataDxfId="45"/>
    <tableColumn id="18" xr3:uid="{F7256665-4868-4130-B128-D07835A059AB}" name="DADOS REFERÊNCIA" dataDxfId="44"/>
    <tableColumn id="26" xr3:uid="{6577BEDD-0AB1-4300-BB06-36C34A6BC297}" name="NOME TABELA ONEFCC" dataDxfId="43"/>
    <tableColumn id="24" xr3:uid="{0AAB470E-E147-49BC-94B0-AB4E37111CB8}" name="NOME CAMPO ONEFCC" dataDxfId="42"/>
    <tableColumn id="13" xr3:uid="{00000000-0010-0000-0000-00000D000000}" name="NOME BD CURATED" dataDxfId="41"/>
    <tableColumn id="14" xr3:uid="{00000000-0010-0000-0000-00000E000000}" name="NOME FISICO TABELA CURATED" dataDxfId="40"/>
    <tableColumn id="15" xr3:uid="{00000000-0010-0000-0000-00000F000000}" name="NOME FISICO CAMPO CURATED" dataDxfId="39"/>
    <tableColumn id="16" xr3:uid="{00000000-0010-0000-0000-000010000000}" name="CODIÇÃO CURATED - CDM" dataDxfId="38"/>
    <tableColumn id="17" xr3:uid="{00000000-0010-0000-0000-000011000000}" name="TABELA / FICHEIRO" dataDxfId="37"/>
    <tableColumn id="19" xr3:uid="{00000000-0010-0000-0000-000013000000}" name="ID APLICAÇÂO TÉCNICA" dataDxfId="36"/>
    <tableColumn id="20" xr3:uid="{00000000-0010-0000-0000-000014000000}" name="NOME FISICO TABELA FONTE" dataDxfId="35"/>
    <tableColumn id="11" xr3:uid="{0C4D73E7-1EB7-4B97-B697-EDD0B5F98E3F}" name="NOME FISICO CAMPO FONTE" dataDxfId="34"/>
    <tableColumn id="12" xr3:uid="{1E1CD4D5-1EAA-4B35-ACFB-4C2787B060DB}" name="VALOR MANUAL FONTE" dataDxfId="3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E69B522-0E81-4036-96AF-FDB955DE0DDC}" name="Table16" displayName="Table16" ref="B2:T21" totalsRowShown="0" headerRowDxfId="32" dataDxfId="31">
  <autoFilter ref="B2:T21" xr:uid="{DE69B522-0E81-4036-96AF-FDB955DE0DDC}"/>
  <tableColumns count="19">
    <tableColumn id="1" xr3:uid="{BFCD0519-2F56-4D99-A058-C5788019BA4E}" name="case_test" dataDxfId="30"/>
    <tableColumn id="2" xr3:uid="{88017A8C-5CCE-4E96-BAC4-84238469C0B4}" name="test_id" dataDxfId="29"/>
    <tableColumn id="3" xr3:uid="{EE95546C-2137-4177-9591-F9DFD8E3127D}" name="test_timestamp" dataDxfId="28"/>
    <tableColumn id="4" xr3:uid="{FE24D291-A0D0-4D62-94BF-E8234F29DB30}" name="query_driver_data_date_part" dataDxfId="27"/>
    <tableColumn id="5" xr3:uid="{F3CF09D9-D9DD-4DF1-A5E4-43C0EABD3248}" name="test_number" dataDxfId="26"/>
    <tableColumn id="6" xr3:uid="{A476F5D9-94D6-4131-AFA9-5286517FF66B}" name="score" dataDxfId="25"/>
    <tableColumn id="7" xr3:uid="{836B85A9-96B7-4E72-8361-64F6F3BA303A}" name="general_result" dataDxfId="24"/>
    <tableColumn id="8" xr3:uid="{F0649A5A-F5C0-4787-9E98-860B018FEE44}" name="branch_id" dataDxfId="23"/>
    <tableColumn id="9" xr3:uid="{DB469376-B6A8-4EC9-A642-D0A047EE551D}" name="district_code" dataDxfId="22"/>
    <tableColumn id="10" xr3:uid="{5F230903-2A98-484F-91DF-274FEEA19515}" name="municipality_code" dataDxfId="21"/>
    <tableColumn id="11" xr3:uid="{362A2647-2DB1-472D-A12F-0144AFAEBDAE}" name="civil_parish_code" dataDxfId="20"/>
    <tableColumn id="12" xr3:uid="{161293D9-88E2-4A45-8C55-DF4FC3450AA0}" name="postal_code" dataDxfId="19"/>
    <tableColumn id="13" xr3:uid="{7F3EC9FE-1F92-4F4F-9666-65BB2A107EF3}" name="street_type_code" dataDxfId="18"/>
    <tableColumn id="14" xr3:uid="{9EA6C55A-7F35-4C52-8948-098BDEB3CFFD}" name="street_name" dataDxfId="17"/>
    <tableColumn id="15" xr3:uid="{2775188E-A3FD-4683-A8AA-7EF471C90261}" name="building_type_code" dataDxfId="16"/>
    <tableColumn id="16" xr3:uid="{3713A39A-65AD-4A88-BB4B-142AFCE23404}" name="building_number" dataDxfId="15"/>
    <tableColumn id="17" xr3:uid="{F66A4B53-EDA3-4D26-A949-F1A548C29C68}" name="building_details" dataDxfId="14"/>
    <tableColumn id="18" xr3:uid="{E2131D09-0254-4881-8C67-784AFC3B93C6}" name="data_date_part" dataDxfId="13"/>
    <tableColumn id="19" xr3:uid="{85389F4D-4C2C-420A-A274-0E1B3DE8B7D9}" name="data_timestamp_part" dataDxfId="12"/>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3DA7BB-A611-4749-AC99-321356848527}" name="Table1519" displayName="Table1519" ref="B28:F34" totalsRowShown="0" headerRowDxfId="11" headerRowBorderDxfId="10" tableBorderDxfId="9">
  <autoFilter ref="B28:F34" xr:uid="{1F3DA7BB-A611-4749-AC99-321356848527}"/>
  <sortState xmlns:xlrd2="http://schemas.microsoft.com/office/spreadsheetml/2017/richdata2" ref="B29:F34">
    <sortCondition ref="B28:B34"/>
  </sortState>
  <tableColumns count="5">
    <tableColumn id="1" xr3:uid="{E04816E0-CDD0-4870-B633-FAD2240AC04D}" name="Test ID" dataDxfId="8"/>
    <tableColumn id="2" xr3:uid="{6A5B052C-29DD-44CF-8FD3-9BE4F669B3DE}" name="Field" dataDxfId="7"/>
    <tableColumn id="3" xr3:uid="{D2529426-D6C4-4A98-9AC3-17D79D36C6E5}" name="Justification" dataDxfId="6"/>
    <tableColumn id="4" xr3:uid="{238B0145-52F9-4B2B-A2A5-4E48958AF07E}" name="Number of Occurences" dataDxfId="5"/>
    <tableColumn id="5" xr3:uid="{86DDC53B-20CB-4F6E-8FB0-CFBD9286D78B}" name="Justification State" dataDxfId="4"/>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7D80C1-E8DC-4B5B-ABC1-F8747CCE2B74}" name="Table1" displayName="Table1" ref="A1:B8" totalsRowShown="0" headerRowDxfId="3" dataDxfId="2">
  <autoFilter ref="A1:B8" xr:uid="{DA7D80C1-E8DC-4B5B-ABC1-F8747CCE2B74}"/>
  <tableColumns count="2">
    <tableColumn id="1" xr3:uid="{1FEFDF82-7EF4-4F08-BB5D-88EA1B761F40}" name="Word" dataDxfId="1"/>
    <tableColumn id="2" xr3:uid="{7509DCF6-290E-4C24-952C-825B6F684BCD}" name="Abbreviation"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75" zeroHeight="1" x14ac:dyDescent="0.2"/>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x14ac:dyDescent="0.2">
      <c r="A1" s="5"/>
      <c r="B1" s="5"/>
      <c r="C1" s="5"/>
      <c r="D1" s="5"/>
      <c r="E1" s="5"/>
      <c r="F1" s="5"/>
      <c r="G1" s="5"/>
      <c r="H1" s="5"/>
      <c r="I1" s="5"/>
      <c r="J1" s="5"/>
      <c r="K1" s="5"/>
      <c r="L1" s="5"/>
      <c r="M1" s="5"/>
      <c r="N1" s="5"/>
      <c r="O1" s="5"/>
      <c r="P1" s="5"/>
    </row>
    <row r="2" spans="1:16" x14ac:dyDescent="0.2">
      <c r="A2" s="5"/>
      <c r="B2" s="5"/>
      <c r="C2" s="5"/>
      <c r="D2" s="5"/>
      <c r="E2" s="5"/>
      <c r="F2" s="5"/>
      <c r="G2" s="5"/>
      <c r="H2" s="5"/>
      <c r="I2" s="5"/>
      <c r="J2" s="5"/>
      <c r="K2" s="5"/>
      <c r="L2" s="5"/>
      <c r="M2" s="5"/>
      <c r="N2" s="5"/>
      <c r="O2" s="5"/>
      <c r="P2" s="5"/>
    </row>
    <row r="3" spans="1:16" ht="30" x14ac:dyDescent="0.2">
      <c r="A3" s="5"/>
      <c r="B3" s="56" t="s">
        <v>0</v>
      </c>
      <c r="C3" s="5"/>
      <c r="D3" s="5"/>
      <c r="E3" s="5"/>
      <c r="F3" s="5"/>
      <c r="G3" s="5"/>
      <c r="H3" s="5"/>
      <c r="I3" s="5"/>
      <c r="J3" s="5"/>
      <c r="K3" s="5"/>
      <c r="L3" s="5"/>
      <c r="M3" s="5"/>
      <c r="N3" s="5"/>
      <c r="O3" s="5"/>
      <c r="P3" s="5"/>
    </row>
    <row r="4" spans="1:16" ht="18" x14ac:dyDescent="0.2">
      <c r="A4" s="5"/>
      <c r="B4" s="6"/>
      <c r="C4" s="5"/>
      <c r="D4" s="5"/>
      <c r="E4" s="5"/>
      <c r="F4" s="5"/>
      <c r="G4" s="5"/>
      <c r="H4" s="5"/>
      <c r="I4" s="5"/>
      <c r="J4" s="5"/>
      <c r="K4" s="5"/>
      <c r="L4" s="5"/>
      <c r="M4" s="5"/>
      <c r="N4" s="5"/>
      <c r="O4" s="5"/>
      <c r="P4" s="5"/>
    </row>
    <row r="5" spans="1:16" ht="13.5" thickBot="1" x14ac:dyDescent="0.25">
      <c r="A5" s="5"/>
      <c r="B5" s="7"/>
      <c r="C5" s="7"/>
      <c r="D5" s="7"/>
      <c r="E5" s="7"/>
      <c r="F5" s="7"/>
      <c r="G5" s="7"/>
      <c r="H5" s="7"/>
      <c r="I5" s="7"/>
      <c r="J5" s="5"/>
      <c r="K5" s="5"/>
      <c r="L5" s="5"/>
      <c r="M5" s="5"/>
      <c r="N5" s="5"/>
      <c r="O5" s="5"/>
      <c r="P5" s="5"/>
    </row>
    <row r="6" spans="1:16" ht="15" x14ac:dyDescent="0.3">
      <c r="A6" s="5"/>
      <c r="B6" s="5"/>
      <c r="C6" s="5"/>
      <c r="D6" s="5"/>
      <c r="E6" s="5"/>
      <c r="F6" s="8"/>
      <c r="G6" s="5"/>
      <c r="H6" s="5"/>
      <c r="I6" s="5"/>
      <c r="J6" s="5"/>
      <c r="K6" s="5"/>
      <c r="L6" s="5"/>
      <c r="M6" s="5"/>
      <c r="N6" s="5"/>
      <c r="O6" s="5"/>
      <c r="P6" s="5"/>
    </row>
    <row r="7" spans="1:16" x14ac:dyDescent="0.2">
      <c r="A7" s="5"/>
      <c r="B7" s="5"/>
      <c r="C7" s="5"/>
      <c r="D7" s="5"/>
      <c r="E7" s="5"/>
      <c r="F7" s="5"/>
      <c r="G7" s="5"/>
      <c r="H7" s="5"/>
      <c r="I7" s="5"/>
      <c r="J7" s="5"/>
      <c r="K7" s="5"/>
      <c r="L7" s="5"/>
      <c r="M7" s="5"/>
      <c r="N7" s="5"/>
      <c r="O7" s="5"/>
      <c r="P7" s="5"/>
    </row>
    <row r="8" spans="1:16" x14ac:dyDescent="0.2">
      <c r="A8" s="5"/>
      <c r="B8" s="5"/>
      <c r="C8" s="5"/>
      <c r="D8" s="5"/>
      <c r="E8" s="5"/>
      <c r="F8" s="5"/>
      <c r="G8" s="5"/>
      <c r="H8" s="5"/>
      <c r="I8" s="5"/>
      <c r="J8" s="5"/>
      <c r="K8" s="5"/>
      <c r="L8" s="5"/>
      <c r="M8" s="5"/>
      <c r="N8" s="5"/>
      <c r="O8" s="5"/>
      <c r="P8" s="5"/>
    </row>
    <row r="9" spans="1:16" x14ac:dyDescent="0.2">
      <c r="A9" s="5"/>
      <c r="B9" s="5"/>
      <c r="C9" s="5"/>
      <c r="D9" s="5"/>
      <c r="E9" s="5"/>
      <c r="F9" s="5"/>
      <c r="G9" s="5"/>
      <c r="H9" s="5"/>
      <c r="I9" s="5"/>
      <c r="J9" s="5"/>
      <c r="K9" s="5"/>
      <c r="L9" s="5"/>
      <c r="M9" s="5"/>
      <c r="N9" s="5"/>
      <c r="O9" s="5"/>
      <c r="P9" s="5"/>
    </row>
    <row r="10" spans="1:16" x14ac:dyDescent="0.2">
      <c r="A10" s="5"/>
      <c r="B10" s="5"/>
      <c r="C10" s="5"/>
      <c r="D10" s="5"/>
      <c r="E10" s="5"/>
      <c r="F10" s="5"/>
      <c r="G10" s="5"/>
      <c r="H10" s="5"/>
      <c r="I10" s="5"/>
      <c r="J10" s="5"/>
      <c r="K10" s="5"/>
      <c r="L10" s="5"/>
      <c r="M10" s="5"/>
      <c r="N10" s="5"/>
      <c r="O10" s="5"/>
      <c r="P10" s="5"/>
    </row>
    <row r="11" spans="1:16" x14ac:dyDescent="0.2">
      <c r="A11" s="5"/>
      <c r="B11" s="5"/>
      <c r="C11" s="5"/>
      <c r="D11" s="5"/>
      <c r="E11" s="5"/>
      <c r="F11" s="5"/>
      <c r="G11" s="5"/>
      <c r="H11" s="5"/>
      <c r="I11" s="5"/>
      <c r="J11" s="5"/>
      <c r="K11" s="5"/>
      <c r="L11" s="5"/>
      <c r="M11" s="5"/>
      <c r="N11" s="5"/>
      <c r="O11" s="5"/>
      <c r="P11" s="5"/>
    </row>
    <row r="12" spans="1:16" x14ac:dyDescent="0.2">
      <c r="A12" s="5"/>
      <c r="B12" s="5"/>
      <c r="C12" s="5"/>
      <c r="D12" s="5"/>
      <c r="E12" s="5"/>
      <c r="F12" s="5"/>
      <c r="G12" s="5"/>
      <c r="H12" s="5"/>
      <c r="I12" s="5"/>
      <c r="J12" s="5"/>
      <c r="K12" s="5"/>
      <c r="L12" s="5"/>
      <c r="M12" s="5"/>
      <c r="N12" s="5"/>
      <c r="O12" s="5"/>
      <c r="P12" s="5"/>
    </row>
    <row r="13" spans="1:16" x14ac:dyDescent="0.2">
      <c r="A13" s="5"/>
      <c r="B13" s="5"/>
      <c r="C13" s="5"/>
      <c r="D13" s="5"/>
      <c r="E13" s="5"/>
      <c r="F13" s="5"/>
      <c r="G13" s="5"/>
      <c r="H13" s="5"/>
      <c r="I13" s="5"/>
      <c r="J13" s="5"/>
      <c r="K13" s="5"/>
      <c r="L13" s="5"/>
      <c r="M13" s="5"/>
      <c r="N13" s="5"/>
      <c r="O13" s="5"/>
      <c r="P13" s="5"/>
    </row>
    <row r="14" spans="1:16" x14ac:dyDescent="0.2">
      <c r="A14" s="5"/>
      <c r="B14" s="5"/>
      <c r="C14" s="5"/>
      <c r="D14" s="5"/>
      <c r="E14" s="5"/>
      <c r="F14" s="5"/>
      <c r="G14" s="5"/>
      <c r="H14" s="5"/>
      <c r="I14" s="5"/>
      <c r="J14" s="5"/>
      <c r="K14" s="5"/>
      <c r="L14" s="5"/>
      <c r="M14" s="5"/>
      <c r="N14" s="5"/>
      <c r="O14" s="5"/>
      <c r="P14" s="5"/>
    </row>
    <row r="15" spans="1:16" x14ac:dyDescent="0.2">
      <c r="A15" s="5"/>
      <c r="B15" s="5"/>
      <c r="C15" s="5"/>
      <c r="D15" s="5"/>
      <c r="E15" s="5"/>
      <c r="F15" s="5"/>
      <c r="G15" s="5"/>
      <c r="H15" s="5"/>
      <c r="I15" s="5"/>
      <c r="J15" s="5"/>
      <c r="K15" s="5"/>
      <c r="L15" s="5"/>
      <c r="M15" s="5"/>
      <c r="N15" s="5"/>
      <c r="O15" s="5"/>
      <c r="P15" s="5"/>
    </row>
    <row r="16" spans="1:16" s="2" customFormat="1" ht="32.25" x14ac:dyDescent="0.25">
      <c r="A16" s="9"/>
      <c r="B16" s="9"/>
      <c r="C16" s="9"/>
      <c r="D16" s="9"/>
      <c r="E16" s="9"/>
      <c r="F16" s="9"/>
      <c r="G16" s="9"/>
      <c r="H16" s="9"/>
      <c r="I16" s="9"/>
      <c r="J16" s="9"/>
      <c r="K16" s="9"/>
      <c r="L16" s="9"/>
      <c r="M16" s="9"/>
      <c r="N16" s="9"/>
      <c r="O16" s="10"/>
      <c r="P16" s="9"/>
    </row>
    <row r="17" spans="1:16" s="3" customFormat="1" ht="25.5" x14ac:dyDescent="0.35">
      <c r="A17" s="11"/>
      <c r="B17" s="11"/>
      <c r="C17" s="11"/>
      <c r="D17" s="11"/>
      <c r="E17" s="11"/>
      <c r="F17" s="11"/>
      <c r="G17" s="11"/>
      <c r="H17" s="11"/>
      <c r="I17" s="11"/>
      <c r="J17" s="11"/>
      <c r="K17" s="11"/>
      <c r="L17" s="11"/>
      <c r="M17" s="11"/>
      <c r="N17" s="11"/>
      <c r="O17" s="12"/>
      <c r="P17" s="11"/>
    </row>
    <row r="18" spans="1:16" x14ac:dyDescent="0.2">
      <c r="A18" s="5"/>
      <c r="B18" s="5"/>
      <c r="C18" s="5"/>
      <c r="D18" s="5"/>
      <c r="E18" s="5"/>
      <c r="F18" s="5"/>
      <c r="G18" s="5"/>
      <c r="H18" s="5"/>
      <c r="I18" s="5"/>
      <c r="J18" s="5"/>
      <c r="K18" s="5"/>
      <c r="L18" s="5"/>
      <c r="M18" s="5"/>
      <c r="N18" s="5"/>
      <c r="O18" s="13"/>
      <c r="P18" s="5"/>
    </row>
    <row r="19" spans="1:16" x14ac:dyDescent="0.2">
      <c r="A19" s="5"/>
      <c r="B19" s="5"/>
      <c r="C19" s="5"/>
      <c r="D19" s="5"/>
      <c r="E19" s="5"/>
      <c r="F19" s="5"/>
      <c r="G19" s="5"/>
      <c r="H19" s="5"/>
      <c r="I19" s="5"/>
      <c r="J19" s="5"/>
      <c r="K19" s="5"/>
      <c r="L19" s="5"/>
      <c r="M19" s="5"/>
      <c r="N19" s="5"/>
      <c r="O19" s="13"/>
      <c r="P19" s="5"/>
    </row>
    <row r="20" spans="1:16" ht="15.75" x14ac:dyDescent="0.25">
      <c r="A20" s="5"/>
      <c r="B20" s="5"/>
      <c r="C20" s="5"/>
      <c r="D20" s="5"/>
      <c r="E20" s="5"/>
      <c r="F20" s="5"/>
      <c r="G20" s="5"/>
      <c r="H20" s="5"/>
      <c r="I20" s="5"/>
      <c r="J20" s="5"/>
      <c r="K20" s="5"/>
      <c r="L20" s="5"/>
      <c r="M20" s="5"/>
      <c r="N20" s="5"/>
      <c r="O20" s="14"/>
      <c r="P20" s="5"/>
    </row>
    <row r="21" spans="1:16" x14ac:dyDescent="0.2">
      <c r="A21" s="5"/>
      <c r="B21" s="5"/>
      <c r="C21" s="5"/>
      <c r="D21" s="5"/>
      <c r="E21" s="5"/>
      <c r="F21" s="5"/>
      <c r="G21" s="5"/>
      <c r="H21" s="5"/>
      <c r="I21" s="5"/>
      <c r="J21" s="5"/>
      <c r="K21" s="5"/>
      <c r="L21" s="5"/>
      <c r="M21" s="5"/>
      <c r="N21" s="5"/>
      <c r="O21" s="15"/>
      <c r="P21" s="5"/>
    </row>
    <row r="22" spans="1:16" x14ac:dyDescent="0.2">
      <c r="A22" s="5"/>
      <c r="B22" s="5"/>
      <c r="C22" s="5"/>
      <c r="D22" s="5"/>
      <c r="E22" s="5"/>
      <c r="F22" s="5"/>
      <c r="G22" s="5"/>
      <c r="H22" s="5"/>
      <c r="I22" s="5"/>
      <c r="J22" s="5"/>
      <c r="K22" s="5"/>
      <c r="L22" s="5"/>
      <c r="M22" s="5"/>
      <c r="N22" s="5"/>
      <c r="O22" s="15"/>
      <c r="P22" s="5"/>
    </row>
    <row r="23" spans="1:16" ht="15.75" x14ac:dyDescent="0.25">
      <c r="A23" s="5"/>
      <c r="B23" s="5"/>
      <c r="C23" s="5"/>
      <c r="D23" s="5"/>
      <c r="E23" s="5"/>
      <c r="F23" s="5"/>
      <c r="G23" s="5"/>
      <c r="H23" s="5"/>
      <c r="I23" s="5"/>
      <c r="J23" s="5"/>
      <c r="K23" s="5"/>
      <c r="L23" s="5"/>
      <c r="M23" s="5"/>
      <c r="N23" s="5"/>
      <c r="O23" s="16"/>
      <c r="P23" s="5"/>
    </row>
    <row r="24" spans="1:16" x14ac:dyDescent="0.2">
      <c r="A24" s="5"/>
      <c r="B24" s="5"/>
      <c r="C24" s="5"/>
      <c r="D24" s="5"/>
      <c r="E24" s="5"/>
      <c r="F24" s="5"/>
      <c r="G24" s="5"/>
      <c r="H24" s="5"/>
      <c r="I24" s="5"/>
      <c r="J24" s="5"/>
      <c r="K24" s="5"/>
      <c r="L24" s="5"/>
      <c r="M24" s="5"/>
      <c r="N24" s="5"/>
      <c r="O24" s="13"/>
      <c r="P24" s="5"/>
    </row>
    <row r="25" spans="1:16" x14ac:dyDescent="0.2">
      <c r="A25" s="5"/>
      <c r="B25" s="5"/>
      <c r="C25" s="5"/>
      <c r="D25" s="5"/>
      <c r="E25" s="5"/>
      <c r="F25" s="5"/>
      <c r="G25" s="5"/>
      <c r="H25" s="5"/>
      <c r="I25" s="5"/>
      <c r="J25" s="5"/>
      <c r="K25" s="5"/>
      <c r="L25" s="5"/>
      <c r="M25" s="5"/>
      <c r="N25" s="5"/>
      <c r="O25" s="13"/>
      <c r="P25" s="5"/>
    </row>
    <row r="26" spans="1:16" x14ac:dyDescent="0.2">
      <c r="A26" s="5"/>
      <c r="B26" s="5"/>
      <c r="C26" s="5"/>
      <c r="D26" s="5"/>
      <c r="E26" s="5"/>
      <c r="F26" s="5"/>
      <c r="G26" s="5"/>
      <c r="H26" s="5"/>
      <c r="I26" s="5"/>
      <c r="J26" s="5"/>
      <c r="K26" s="5"/>
      <c r="L26" s="5"/>
      <c r="M26" s="5"/>
      <c r="N26" s="5"/>
      <c r="O26" s="13"/>
      <c r="P26" s="5"/>
    </row>
    <row r="27" spans="1:16" x14ac:dyDescent="0.2">
      <c r="A27" s="5"/>
      <c r="B27" s="5"/>
      <c r="C27" s="5"/>
      <c r="D27" s="5"/>
      <c r="E27" s="5"/>
      <c r="F27" s="5"/>
      <c r="G27" s="5"/>
      <c r="H27" s="5"/>
      <c r="I27" s="5"/>
      <c r="J27" s="5"/>
      <c r="K27" s="5"/>
      <c r="L27" s="5"/>
      <c r="M27" s="5"/>
      <c r="N27" s="5"/>
      <c r="O27" s="13"/>
      <c r="P27" s="5"/>
    </row>
    <row r="28" spans="1:16" x14ac:dyDescent="0.2">
      <c r="A28" s="5"/>
      <c r="B28" s="5"/>
      <c r="C28" s="5"/>
      <c r="D28" s="5"/>
      <c r="E28" s="5"/>
      <c r="F28" s="5"/>
      <c r="G28" s="5"/>
      <c r="H28" s="5"/>
      <c r="I28" s="5"/>
      <c r="J28" s="5"/>
      <c r="K28" s="5"/>
      <c r="L28" s="5"/>
      <c r="M28" s="5"/>
      <c r="N28" s="5"/>
      <c r="O28" s="13"/>
      <c r="P28" s="5"/>
    </row>
    <row r="29" spans="1:16" x14ac:dyDescent="0.2">
      <c r="A29" s="5"/>
      <c r="B29" s="5"/>
      <c r="C29" s="5"/>
      <c r="D29" s="5"/>
      <c r="E29" s="5"/>
      <c r="F29" s="5"/>
      <c r="G29" s="5"/>
      <c r="H29" s="5"/>
      <c r="I29" s="5"/>
      <c r="J29" s="5"/>
      <c r="K29" s="5"/>
      <c r="L29" s="5"/>
      <c r="M29" s="5"/>
      <c r="N29" s="5"/>
      <c r="O29" s="13"/>
      <c r="P29" s="5"/>
    </row>
    <row r="30" spans="1:16" x14ac:dyDescent="0.2">
      <c r="A30" s="5"/>
      <c r="B30" s="5"/>
      <c r="C30" s="5"/>
      <c r="D30" s="5"/>
      <c r="E30" s="5"/>
      <c r="F30" s="5"/>
      <c r="G30" s="5"/>
      <c r="H30" s="5"/>
      <c r="I30" s="5"/>
      <c r="J30" s="5"/>
      <c r="K30" s="5"/>
      <c r="L30" s="5"/>
      <c r="M30" s="5"/>
      <c r="N30" s="5"/>
      <c r="O30" s="13"/>
      <c r="P30" s="5"/>
    </row>
    <row r="31" spans="1:16" x14ac:dyDescent="0.2">
      <c r="A31" s="5"/>
      <c r="B31" s="5"/>
      <c r="C31" s="5"/>
      <c r="D31" s="5"/>
      <c r="E31" s="5"/>
      <c r="F31" s="5"/>
      <c r="G31" s="5"/>
      <c r="H31" s="5"/>
      <c r="I31" s="5"/>
      <c r="J31" s="5"/>
      <c r="K31" s="5"/>
      <c r="L31" s="5"/>
      <c r="M31" s="17"/>
      <c r="N31" s="18"/>
      <c r="O31" s="19"/>
      <c r="P31" s="5"/>
    </row>
    <row r="32" spans="1:16" x14ac:dyDescent="0.2">
      <c r="A32" s="5"/>
      <c r="B32" s="5"/>
      <c r="C32" s="5"/>
      <c r="D32" s="5"/>
      <c r="E32" s="5"/>
      <c r="F32" s="5"/>
      <c r="G32" s="5"/>
      <c r="H32" s="5"/>
      <c r="I32" s="5"/>
      <c r="J32" s="5"/>
      <c r="K32" s="5"/>
      <c r="L32" s="5"/>
      <c r="M32" s="5"/>
      <c r="N32" s="5"/>
      <c r="O32" s="5"/>
      <c r="P32" s="5"/>
    </row>
    <row r="33" spans="1:16" hidden="1" x14ac:dyDescent="0.2">
      <c r="A33" s="5"/>
      <c r="B33" s="5"/>
      <c r="C33" s="5"/>
      <c r="D33" s="5"/>
      <c r="E33" s="5"/>
      <c r="F33" s="5"/>
      <c r="G33" s="5"/>
      <c r="H33" s="5"/>
      <c r="I33" s="5"/>
      <c r="J33" s="5"/>
      <c r="K33" s="5"/>
      <c r="L33" s="5"/>
      <c r="M33" s="5"/>
      <c r="N33" s="5"/>
      <c r="O33" s="5"/>
      <c r="P33" s="5"/>
    </row>
    <row r="34" spans="1:16" hidden="1" x14ac:dyDescent="0.2">
      <c r="A34" s="5"/>
      <c r="B34" s="5"/>
      <c r="C34" s="5"/>
      <c r="D34" s="5"/>
      <c r="E34" s="5"/>
      <c r="F34" s="5"/>
      <c r="G34" s="5"/>
      <c r="H34" s="5"/>
      <c r="I34" s="5"/>
      <c r="J34" s="5"/>
      <c r="K34" s="5"/>
      <c r="L34" s="5"/>
      <c r="M34" s="5"/>
      <c r="N34" s="5"/>
      <c r="O34" s="5"/>
      <c r="P34" s="5"/>
    </row>
    <row r="35" spans="1:16" hidden="1" x14ac:dyDescent="0.2">
      <c r="A35" s="5"/>
      <c r="B35" s="5"/>
      <c r="C35" s="5"/>
      <c r="D35" s="5"/>
      <c r="E35" s="5"/>
      <c r="F35" s="5"/>
      <c r="G35" s="5"/>
      <c r="H35" s="5"/>
      <c r="I35" s="5"/>
      <c r="J35" s="5"/>
      <c r="K35" s="5"/>
      <c r="L35" s="5"/>
      <c r="M35" s="5"/>
      <c r="N35" s="5"/>
      <c r="O35" s="5"/>
      <c r="P35" s="5"/>
    </row>
    <row r="36" spans="1:16" hidden="1" x14ac:dyDescent="0.2">
      <c r="A36" s="5"/>
      <c r="B36" s="5"/>
      <c r="C36" s="5"/>
      <c r="D36" s="5"/>
      <c r="E36" s="5"/>
      <c r="F36" s="5"/>
      <c r="G36" s="5"/>
      <c r="H36" s="5"/>
      <c r="I36" s="5"/>
      <c r="J36" s="5"/>
      <c r="K36" s="5"/>
      <c r="L36" s="5"/>
      <c r="M36" s="5"/>
      <c r="N36" s="5"/>
      <c r="O36" s="5"/>
      <c r="P36" s="5"/>
    </row>
    <row r="37" spans="1:16" hidden="1" x14ac:dyDescent="0.2">
      <c r="A37" s="5"/>
      <c r="B37" s="5"/>
      <c r="C37" s="5"/>
      <c r="D37" s="5"/>
      <c r="E37" s="5"/>
      <c r="F37" s="5"/>
      <c r="G37" s="5"/>
      <c r="H37" s="5"/>
      <c r="I37" s="5"/>
      <c r="J37" s="5"/>
      <c r="K37" s="5"/>
      <c r="L37" s="5"/>
      <c r="M37" s="5"/>
      <c r="N37" s="5"/>
      <c r="O37" s="5"/>
      <c r="P37" s="5"/>
    </row>
    <row r="38" spans="1:16" hidden="1" x14ac:dyDescent="0.2">
      <c r="A38" s="5"/>
      <c r="B38" s="5"/>
      <c r="C38" s="5"/>
      <c r="D38" s="5"/>
      <c r="E38" s="5"/>
      <c r="F38" s="5"/>
      <c r="G38" s="5"/>
      <c r="H38" s="5"/>
      <c r="I38" s="5"/>
      <c r="J38" s="5"/>
      <c r="K38" s="5"/>
      <c r="L38" s="5"/>
      <c r="M38" s="5"/>
      <c r="N38" s="5"/>
      <c r="O38" s="5"/>
      <c r="P38" s="5"/>
    </row>
    <row r="39" spans="1:16" hidden="1" x14ac:dyDescent="0.2">
      <c r="A39" s="5"/>
      <c r="B39" s="5"/>
      <c r="C39" s="5"/>
      <c r="D39" s="5"/>
      <c r="E39" s="5"/>
      <c r="F39" s="5"/>
      <c r="G39" s="5"/>
      <c r="H39" s="5"/>
      <c r="I39" s="5"/>
      <c r="J39" s="5"/>
      <c r="K39" s="5"/>
      <c r="L39" s="5"/>
      <c r="M39" s="5"/>
      <c r="N39" s="5"/>
      <c r="O39" s="5"/>
      <c r="P39" s="5"/>
    </row>
    <row r="40" spans="1:16" hidden="1" x14ac:dyDescent="0.2">
      <c r="A40" s="5"/>
      <c r="B40" s="5"/>
      <c r="C40" s="5"/>
      <c r="D40" s="5"/>
      <c r="E40" s="5"/>
      <c r="F40" s="5"/>
      <c r="G40" s="5"/>
      <c r="H40" s="5"/>
      <c r="I40" s="5"/>
      <c r="J40" s="5"/>
      <c r="K40" s="5"/>
      <c r="L40" s="5"/>
      <c r="M40" s="5"/>
      <c r="N40" s="5"/>
      <c r="O40" s="5"/>
      <c r="P40" s="5"/>
    </row>
    <row r="41" spans="1:16" hidden="1" x14ac:dyDescent="0.2">
      <c r="A41" s="5"/>
      <c r="B41" s="5"/>
      <c r="C41" s="5"/>
      <c r="D41" s="5"/>
      <c r="E41" s="5"/>
      <c r="F41" s="5"/>
      <c r="G41" s="5"/>
      <c r="H41" s="5"/>
      <c r="I41" s="5"/>
      <c r="J41" s="5"/>
      <c r="K41" s="5"/>
      <c r="L41" s="5"/>
      <c r="M41" s="5"/>
      <c r="N41" s="5"/>
      <c r="O41" s="5"/>
      <c r="P41" s="5"/>
    </row>
    <row r="42" spans="1:16" hidden="1" x14ac:dyDescent="0.2">
      <c r="A42" s="5"/>
      <c r="B42" s="5"/>
      <c r="C42" s="5"/>
      <c r="D42" s="5"/>
      <c r="E42" s="5"/>
      <c r="F42" s="5"/>
      <c r="G42" s="5"/>
      <c r="H42" s="5"/>
      <c r="I42" s="5"/>
      <c r="J42" s="5"/>
      <c r="K42" s="5"/>
      <c r="L42" s="5"/>
      <c r="M42" s="5"/>
      <c r="N42" s="5"/>
      <c r="O42" s="5"/>
      <c r="P42" s="5"/>
    </row>
    <row r="43" spans="1:16" hidden="1" x14ac:dyDescent="0.2">
      <c r="A43" s="5"/>
      <c r="B43" s="5"/>
      <c r="C43" s="5"/>
      <c r="D43" s="5"/>
      <c r="E43" s="5"/>
      <c r="F43" s="5"/>
      <c r="G43" s="5"/>
      <c r="H43" s="5"/>
      <c r="I43" s="5"/>
      <c r="J43" s="5"/>
      <c r="K43" s="5"/>
      <c r="L43" s="5"/>
      <c r="M43" s="5"/>
      <c r="N43" s="5"/>
      <c r="O43" s="5"/>
      <c r="P43" s="5"/>
    </row>
    <row r="44" spans="1:16" hidden="1" x14ac:dyDescent="0.2">
      <c r="A44" s="5"/>
      <c r="B44" s="5"/>
      <c r="C44" s="5"/>
      <c r="D44" s="5"/>
      <c r="E44" s="5"/>
      <c r="F44" s="5"/>
      <c r="G44" s="5"/>
      <c r="H44" s="5"/>
      <c r="I44" s="5"/>
      <c r="J44" s="5"/>
      <c r="K44" s="5"/>
      <c r="L44" s="5"/>
      <c r="M44" s="5"/>
      <c r="N44" s="5"/>
      <c r="O44" s="5"/>
      <c r="P44" s="5"/>
    </row>
    <row r="45" spans="1:16" x14ac:dyDescent="0.2">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7"/>
  <sheetViews>
    <sheetView topLeftCell="A2" workbookViewId="0">
      <selection activeCell="D20" sqref="D20"/>
    </sheetView>
  </sheetViews>
  <sheetFormatPr defaultColWidth="0" defaultRowHeight="15" x14ac:dyDescent="0.25"/>
  <cols>
    <col min="1" max="1" width="8.85546875" style="4" customWidth="1"/>
    <col min="2" max="2" width="37.28515625" bestFit="1" customWidth="1"/>
    <col min="3" max="3" width="40.7109375" bestFit="1" customWidth="1"/>
    <col min="4" max="4" width="91.7109375" customWidth="1"/>
    <col min="5" max="5" width="8.85546875" style="4" customWidth="1"/>
    <col min="6" max="16384" width="8.85546875" hidden="1"/>
  </cols>
  <sheetData>
    <row r="1" spans="1:5" x14ac:dyDescent="0.25">
      <c r="A1" s="20"/>
      <c r="B1" s="20"/>
      <c r="C1" s="20"/>
      <c r="D1" s="20"/>
      <c r="E1" s="20"/>
    </row>
    <row r="2" spans="1:5" x14ac:dyDescent="0.25">
      <c r="A2" s="20"/>
      <c r="B2" s="20"/>
      <c r="C2" s="20"/>
      <c r="D2" s="20"/>
      <c r="E2" s="20"/>
    </row>
    <row r="3" spans="1:5" ht="15.75" thickBot="1" x14ac:dyDescent="0.3">
      <c r="A3" s="22"/>
      <c r="B3" s="22"/>
      <c r="C3" s="22"/>
      <c r="D3" s="22"/>
      <c r="E3" s="22"/>
    </row>
    <row r="4" spans="1:5" x14ac:dyDescent="0.25">
      <c r="A4" s="21"/>
      <c r="B4" s="21"/>
      <c r="C4" s="21"/>
      <c r="D4" s="21"/>
      <c r="E4" s="21"/>
    </row>
    <row r="5" spans="1:5" x14ac:dyDescent="0.25">
      <c r="A5" s="21"/>
      <c r="B5" s="72" t="s">
        <v>1</v>
      </c>
      <c r="C5" s="73" t="s">
        <v>2</v>
      </c>
      <c r="D5" s="73" t="s">
        <v>3</v>
      </c>
      <c r="E5" s="21"/>
    </row>
    <row r="6" spans="1:5" x14ac:dyDescent="0.25">
      <c r="A6" s="21"/>
      <c r="B6" s="153" t="s">
        <v>4</v>
      </c>
      <c r="C6" s="153" t="s">
        <v>5</v>
      </c>
      <c r="D6" s="71" t="s">
        <v>6</v>
      </c>
      <c r="E6" s="21"/>
    </row>
    <row r="7" spans="1:5" x14ac:dyDescent="0.25">
      <c r="A7" s="21"/>
      <c r="B7" s="153" t="s">
        <v>4</v>
      </c>
      <c r="C7" s="153" t="s">
        <v>7</v>
      </c>
      <c r="D7" s="71" t="s">
        <v>8</v>
      </c>
      <c r="E7" s="21"/>
    </row>
    <row r="8" spans="1:5" x14ac:dyDescent="0.25">
      <c r="A8" s="21"/>
      <c r="B8" s="153" t="s">
        <v>4</v>
      </c>
      <c r="C8" s="153" t="s">
        <v>9</v>
      </c>
      <c r="D8" s="71" t="s">
        <v>10</v>
      </c>
      <c r="E8" s="21"/>
    </row>
    <row r="9" spans="1:5" x14ac:dyDescent="0.25">
      <c r="A9" s="21"/>
      <c r="B9" s="153" t="s">
        <v>4</v>
      </c>
      <c r="C9" s="153" t="s">
        <v>11</v>
      </c>
      <c r="D9" s="71" t="s">
        <v>12</v>
      </c>
      <c r="E9" s="21"/>
    </row>
    <row r="10" spans="1:5" x14ac:dyDescent="0.25">
      <c r="B10" s="153" t="s">
        <v>4</v>
      </c>
      <c r="C10" s="153" t="s">
        <v>13</v>
      </c>
      <c r="D10" s="71" t="s">
        <v>14</v>
      </c>
    </row>
    <row r="11" spans="1:5" x14ac:dyDescent="0.25">
      <c r="B11" s="153" t="s">
        <v>4</v>
      </c>
      <c r="C11" s="153" t="s">
        <v>15</v>
      </c>
      <c r="D11" s="71" t="s">
        <v>16</v>
      </c>
    </row>
    <row r="12" spans="1:5" x14ac:dyDescent="0.25">
      <c r="B12" s="153" t="s">
        <v>17</v>
      </c>
      <c r="C12" s="153" t="s">
        <v>18</v>
      </c>
      <c r="D12" s="71" t="s">
        <v>19</v>
      </c>
    </row>
    <row r="13" spans="1:5" s="4" customFormat="1" x14ac:dyDescent="0.25">
      <c r="B13" s="153" t="s">
        <v>17</v>
      </c>
      <c r="C13" s="153" t="s">
        <v>20</v>
      </c>
      <c r="D13" s="71" t="s">
        <v>21</v>
      </c>
    </row>
    <row r="14" spans="1:5" s="4" customFormat="1" x14ac:dyDescent="0.25">
      <c r="B14" s="153" t="s">
        <v>17</v>
      </c>
      <c r="C14" s="153" t="s">
        <v>22</v>
      </c>
      <c r="D14" s="71" t="s">
        <v>23</v>
      </c>
    </row>
    <row r="15" spans="1:5" s="4" customFormat="1" x14ac:dyDescent="0.25">
      <c r="B15" s="153" t="s">
        <v>17</v>
      </c>
      <c r="C15" s="153" t="s">
        <v>24</v>
      </c>
      <c r="D15" s="71" t="s">
        <v>25</v>
      </c>
    </row>
    <row r="16" spans="1:5" s="4" customFormat="1" x14ac:dyDescent="0.25">
      <c r="B16" s="153" t="s">
        <v>17</v>
      </c>
      <c r="C16" s="153" t="s">
        <v>26</v>
      </c>
      <c r="D16" s="71" t="s">
        <v>6</v>
      </c>
    </row>
    <row r="17" spans="2:4" s="4" customFormat="1" x14ac:dyDescent="0.25">
      <c r="B17" s="153" t="s">
        <v>17</v>
      </c>
      <c r="C17" s="153" t="s">
        <v>27</v>
      </c>
      <c r="D17" s="71" t="s">
        <v>8</v>
      </c>
    </row>
    <row r="18" spans="2:4" s="4" customFormat="1" x14ac:dyDescent="0.25">
      <c r="B18" s="153" t="s">
        <v>17</v>
      </c>
      <c r="C18" s="153" t="s">
        <v>28</v>
      </c>
      <c r="D18" s="71" t="s">
        <v>14</v>
      </c>
    </row>
    <row r="19" spans="2:4" s="4" customFormat="1" x14ac:dyDescent="0.25">
      <c r="B19" s="66"/>
      <c r="C19" s="66"/>
      <c r="D19" s="71"/>
    </row>
    <row r="20" spans="2:4" s="4" customFormat="1" x14ac:dyDescent="0.25">
      <c r="B20" s="66"/>
      <c r="C20" s="66"/>
      <c r="D20" s="71"/>
    </row>
    <row r="21" spans="2:4" s="4" customFormat="1" x14ac:dyDescent="0.25">
      <c r="B21" s="66"/>
      <c r="C21" s="66"/>
      <c r="D21" s="71"/>
    </row>
    <row r="22" spans="2:4" s="4" customFormat="1" x14ac:dyDescent="0.25">
      <c r="B22" s="66"/>
      <c r="C22" s="66"/>
      <c r="D22" s="71"/>
    </row>
    <row r="23" spans="2:4" s="4" customFormat="1" x14ac:dyDescent="0.25">
      <c r="B23" s="66"/>
      <c r="C23" s="66"/>
      <c r="D23" s="71"/>
    </row>
    <row r="24" spans="2:4" s="4" customFormat="1" x14ac:dyDescent="0.25">
      <c r="B24" s="66"/>
      <c r="C24" s="66"/>
      <c r="D24" s="71"/>
    </row>
    <row r="25" spans="2:4" s="4" customFormat="1" x14ac:dyDescent="0.25">
      <c r="B25" s="66"/>
      <c r="C25" s="66"/>
      <c r="D25" s="71"/>
    </row>
    <row r="26" spans="2:4" s="4" customFormat="1" x14ac:dyDescent="0.25">
      <c r="B26" s="66"/>
      <c r="C26" s="66"/>
      <c r="D26" s="71"/>
    </row>
    <row r="27" spans="2:4" s="4" customFormat="1" x14ac:dyDescent="0.25">
      <c r="B27" s="66"/>
      <c r="C27" s="66"/>
      <c r="D27" s="71"/>
    </row>
    <row r="28" spans="2:4" s="4" customFormat="1" x14ac:dyDescent="0.25">
      <c r="B28" s="66"/>
      <c r="C28" s="66"/>
      <c r="D28" s="71"/>
    </row>
    <row r="29" spans="2:4" s="4" customFormat="1" x14ac:dyDescent="0.25">
      <c r="B29" s="66"/>
      <c r="C29" s="66"/>
      <c r="D29" s="71"/>
    </row>
    <row r="30" spans="2:4" s="4" customFormat="1" x14ac:dyDescent="0.25">
      <c r="B30" s="66"/>
      <c r="C30" s="66"/>
      <c r="D30" s="71"/>
    </row>
    <row r="31" spans="2:4" s="4" customFormat="1" x14ac:dyDescent="0.25">
      <c r="B31" s="66"/>
      <c r="C31" s="66"/>
      <c r="D31" s="71"/>
    </row>
    <row r="32" spans="2:4" s="4" customFormat="1" x14ac:dyDescent="0.25">
      <c r="B32" s="66"/>
      <c r="C32" s="66"/>
      <c r="D32" s="71"/>
    </row>
    <row r="33" spans="2:4" s="4" customFormat="1" x14ac:dyDescent="0.25">
      <c r="B33" s="66"/>
      <c r="C33" s="66"/>
      <c r="D33" s="71"/>
    </row>
    <row r="34" spans="2:4" s="4" customFormat="1" x14ac:dyDescent="0.25">
      <c r="B34" s="66"/>
      <c r="C34" s="66"/>
      <c r="D34" s="71"/>
    </row>
    <row r="35" spans="2:4" s="4" customFormat="1" x14ac:dyDescent="0.25">
      <c r="B35" s="66"/>
      <c r="C35" s="66"/>
      <c r="D35" s="71"/>
    </row>
    <row r="36" spans="2:4" s="4" customFormat="1" x14ac:dyDescent="0.25">
      <c r="B36" s="66"/>
      <c r="C36" s="66"/>
      <c r="D36" s="71"/>
    </row>
    <row r="37" spans="2:4" s="4" customFormat="1" x14ac:dyDescent="0.25">
      <c r="B37" s="66"/>
      <c r="C37" s="66"/>
      <c r="D37" s="71"/>
    </row>
  </sheetData>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x14ac:dyDescent="0.2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x14ac:dyDescent="0.25">
      <c r="B1" s="23"/>
      <c r="C1" s="23"/>
      <c r="D1" s="23" t="s">
        <v>29</v>
      </c>
      <c r="E1" s="23"/>
      <c r="F1" s="23"/>
      <c r="G1" s="23"/>
      <c r="H1" s="23" t="s">
        <v>30</v>
      </c>
      <c r="I1" s="34"/>
      <c r="J1" s="23"/>
      <c r="K1" s="23"/>
      <c r="L1" s="23"/>
      <c r="M1" s="23"/>
      <c r="N1" s="23" t="s">
        <v>31</v>
      </c>
      <c r="O1" s="23"/>
      <c r="P1" s="23"/>
      <c r="Q1" s="23"/>
    </row>
    <row r="2" spans="2:17" x14ac:dyDescent="0.25">
      <c r="B2" s="23" t="s">
        <v>32</v>
      </c>
      <c r="C2" s="23" t="s">
        <v>33</v>
      </c>
      <c r="D2" s="23" t="s">
        <v>34</v>
      </c>
      <c r="E2" s="23">
        <v>1</v>
      </c>
      <c r="F2" s="23">
        <v>500</v>
      </c>
      <c r="G2" s="23">
        <v>500</v>
      </c>
      <c r="H2" s="23"/>
      <c r="I2" s="34"/>
      <c r="J2" s="23" t="s">
        <v>33</v>
      </c>
      <c r="K2" s="23">
        <v>1</v>
      </c>
      <c r="L2" s="23">
        <v>500</v>
      </c>
      <c r="M2" s="23">
        <v>500</v>
      </c>
      <c r="N2" s="23"/>
      <c r="O2" s="23"/>
      <c r="P2" s="23" t="s">
        <v>35</v>
      </c>
      <c r="Q2" s="23" t="s">
        <v>34</v>
      </c>
    </row>
    <row r="3" spans="2:17" x14ac:dyDescent="0.25">
      <c r="B3" s="23" t="s">
        <v>36</v>
      </c>
      <c r="C3" s="23" t="s">
        <v>33</v>
      </c>
      <c r="D3" s="23">
        <v>25</v>
      </c>
      <c r="E3" s="23">
        <v>25</v>
      </c>
      <c r="F3" s="23">
        <v>29</v>
      </c>
      <c r="G3" s="23">
        <v>5</v>
      </c>
      <c r="H3" s="23" t="s">
        <v>37</v>
      </c>
      <c r="I3" s="34"/>
      <c r="J3" s="23" t="s">
        <v>33</v>
      </c>
      <c r="K3" s="23">
        <v>224</v>
      </c>
      <c r="L3" s="23">
        <v>228</v>
      </c>
      <c r="M3" s="23">
        <v>5</v>
      </c>
      <c r="N3" s="23" t="s">
        <v>38</v>
      </c>
      <c r="O3" s="23"/>
      <c r="P3" s="23" t="s">
        <v>39</v>
      </c>
      <c r="Q3" s="23" t="s">
        <v>40</v>
      </c>
    </row>
    <row r="4" spans="2:17" x14ac:dyDescent="0.25">
      <c r="B4" s="23" t="s">
        <v>41</v>
      </c>
      <c r="C4" s="23" t="s">
        <v>33</v>
      </c>
      <c r="D4" s="23">
        <v>26</v>
      </c>
      <c r="E4" s="23">
        <v>69</v>
      </c>
      <c r="F4" s="23">
        <v>73</v>
      </c>
      <c r="G4" s="23">
        <v>5</v>
      </c>
      <c r="H4" s="23" t="s">
        <v>42</v>
      </c>
      <c r="I4" s="34"/>
      <c r="J4" s="23" t="s">
        <v>33</v>
      </c>
      <c r="K4" s="23">
        <v>241</v>
      </c>
      <c r="L4" s="23">
        <v>246</v>
      </c>
      <c r="M4" s="23">
        <v>6</v>
      </c>
      <c r="N4" s="23" t="s">
        <v>43</v>
      </c>
      <c r="O4" s="23"/>
      <c r="P4" s="23" t="s">
        <v>44</v>
      </c>
      <c r="Q4" s="23" t="s">
        <v>40</v>
      </c>
    </row>
    <row r="5" spans="2:17" x14ac:dyDescent="0.25">
      <c r="B5" s="23" t="s">
        <v>45</v>
      </c>
      <c r="C5" s="23" t="s">
        <v>33</v>
      </c>
      <c r="D5" s="23">
        <v>26</v>
      </c>
      <c r="E5" s="23">
        <v>74</v>
      </c>
      <c r="F5" s="23">
        <v>78</v>
      </c>
      <c r="G5" s="23">
        <v>5</v>
      </c>
      <c r="H5" s="23" t="s">
        <v>46</v>
      </c>
      <c r="I5" s="34"/>
      <c r="J5" s="23" t="s">
        <v>33</v>
      </c>
      <c r="K5" s="23">
        <v>241</v>
      </c>
      <c r="L5" s="23">
        <v>246</v>
      </c>
      <c r="M5" s="23">
        <v>6</v>
      </c>
      <c r="N5" s="23" t="s">
        <v>43</v>
      </c>
      <c r="O5" s="23"/>
      <c r="P5" s="23" t="s">
        <v>44</v>
      </c>
      <c r="Q5" s="23" t="s">
        <v>47</v>
      </c>
    </row>
    <row r="6" spans="2:17" x14ac:dyDescent="0.25">
      <c r="B6" s="23" t="s">
        <v>48</v>
      </c>
      <c r="C6" s="23" t="s">
        <v>33</v>
      </c>
      <c r="D6" s="23">
        <v>532</v>
      </c>
      <c r="E6" s="23">
        <v>79</v>
      </c>
      <c r="F6" s="23">
        <v>83</v>
      </c>
      <c r="G6" s="23">
        <v>5</v>
      </c>
      <c r="H6" s="23" t="s">
        <v>49</v>
      </c>
      <c r="I6" s="34"/>
      <c r="J6" s="23" t="s">
        <v>33</v>
      </c>
      <c r="K6" s="23">
        <v>247</v>
      </c>
      <c r="L6" s="23">
        <v>247</v>
      </c>
      <c r="M6" s="23">
        <v>1</v>
      </c>
      <c r="N6" s="23" t="s">
        <v>50</v>
      </c>
      <c r="O6" s="23" t="s">
        <v>51</v>
      </c>
      <c r="P6" s="23" t="s">
        <v>52</v>
      </c>
      <c r="Q6" s="23" t="s">
        <v>47</v>
      </c>
    </row>
    <row r="7" spans="2:17" x14ac:dyDescent="0.25">
      <c r="B7" s="23" t="s">
        <v>53</v>
      </c>
      <c r="C7" s="23" t="s">
        <v>33</v>
      </c>
      <c r="D7" s="23">
        <v>27</v>
      </c>
      <c r="E7" s="23">
        <v>85</v>
      </c>
      <c r="F7" s="23">
        <v>89</v>
      </c>
      <c r="G7" s="23">
        <v>5</v>
      </c>
      <c r="H7" s="23" t="s">
        <v>54</v>
      </c>
      <c r="I7" s="34"/>
      <c r="J7" s="23" t="s">
        <v>33</v>
      </c>
      <c r="K7" s="23">
        <v>248</v>
      </c>
      <c r="L7" s="23">
        <v>248</v>
      </c>
      <c r="M7" s="23">
        <v>1</v>
      </c>
      <c r="N7" s="23" t="s">
        <v>55</v>
      </c>
      <c r="O7" s="23"/>
      <c r="P7" s="23" t="s">
        <v>56</v>
      </c>
      <c r="Q7" s="23" t="s">
        <v>40</v>
      </c>
    </row>
    <row r="8" spans="2:17" x14ac:dyDescent="0.25">
      <c r="B8" s="23" t="s">
        <v>57</v>
      </c>
      <c r="C8" s="23" t="s">
        <v>33</v>
      </c>
      <c r="D8" s="23">
        <v>28</v>
      </c>
      <c r="E8" s="23">
        <v>90</v>
      </c>
      <c r="F8" s="23">
        <v>94</v>
      </c>
      <c r="G8" s="23">
        <v>5</v>
      </c>
      <c r="H8" s="23" t="s">
        <v>58</v>
      </c>
      <c r="I8" s="34"/>
      <c r="J8" s="23" t="s">
        <v>33</v>
      </c>
      <c r="K8" s="23">
        <v>249</v>
      </c>
      <c r="L8" s="23">
        <v>249</v>
      </c>
      <c r="M8" s="23">
        <v>1</v>
      </c>
      <c r="N8" s="23" t="s">
        <v>59</v>
      </c>
      <c r="O8" s="23"/>
      <c r="P8" s="23" t="s">
        <v>60</v>
      </c>
      <c r="Q8" s="23" t="s">
        <v>40</v>
      </c>
    </row>
    <row r="9" spans="2:17" x14ac:dyDescent="0.25">
      <c r="B9" s="23" t="s">
        <v>61</v>
      </c>
      <c r="C9" s="23" t="s">
        <v>33</v>
      </c>
      <c r="D9" s="23">
        <v>29</v>
      </c>
      <c r="E9" s="23">
        <v>95</v>
      </c>
      <c r="F9" s="23">
        <v>99</v>
      </c>
      <c r="G9" s="23">
        <v>5</v>
      </c>
      <c r="H9" s="23" t="s">
        <v>62</v>
      </c>
      <c r="I9" s="34"/>
      <c r="J9" s="23" t="s">
        <v>33</v>
      </c>
      <c r="K9" s="23">
        <v>250</v>
      </c>
      <c r="L9" s="23">
        <v>254</v>
      </c>
      <c r="M9" s="23">
        <v>5</v>
      </c>
      <c r="N9" s="23" t="s">
        <v>63</v>
      </c>
      <c r="O9" s="23"/>
      <c r="P9" s="23" t="s">
        <v>64</v>
      </c>
      <c r="Q9" s="23" t="s">
        <v>40</v>
      </c>
    </row>
    <row r="10" spans="2:17" x14ac:dyDescent="0.25">
      <c r="B10" s="23" t="s">
        <v>65</v>
      </c>
      <c r="C10" s="23" t="s">
        <v>33</v>
      </c>
      <c r="D10" s="23">
        <v>30</v>
      </c>
      <c r="E10" s="23">
        <v>152</v>
      </c>
      <c r="F10" s="23">
        <v>156</v>
      </c>
      <c r="G10" s="23">
        <v>5</v>
      </c>
      <c r="H10" s="23" t="s">
        <v>66</v>
      </c>
      <c r="I10" s="34"/>
      <c r="J10" s="23" t="s">
        <v>33</v>
      </c>
      <c r="K10" s="23">
        <v>255</v>
      </c>
      <c r="L10" s="23">
        <v>256</v>
      </c>
      <c r="M10" s="23">
        <v>2</v>
      </c>
      <c r="N10" s="23" t="s">
        <v>67</v>
      </c>
      <c r="O10" s="23" t="s">
        <v>68</v>
      </c>
      <c r="P10" s="23" t="s">
        <v>69</v>
      </c>
      <c r="Q10" s="23" t="s">
        <v>40</v>
      </c>
    </row>
    <row r="11" spans="2:17" x14ac:dyDescent="0.25">
      <c r="B11" s="26" t="s">
        <v>70</v>
      </c>
      <c r="C11" s="26" t="s">
        <v>71</v>
      </c>
      <c r="D11" s="26" t="s">
        <v>34</v>
      </c>
      <c r="E11" s="26">
        <v>1</v>
      </c>
      <c r="F11" s="26">
        <v>500</v>
      </c>
      <c r="G11" s="26">
        <v>500</v>
      </c>
      <c r="H11" s="26"/>
      <c r="I11" s="36"/>
      <c r="J11" s="26" t="s">
        <v>71</v>
      </c>
      <c r="K11" s="26">
        <v>1</v>
      </c>
      <c r="L11" s="26">
        <v>500</v>
      </c>
      <c r="M11" s="26">
        <v>500</v>
      </c>
      <c r="N11" s="26"/>
      <c r="O11" s="26"/>
      <c r="P11" s="26" t="s">
        <v>35</v>
      </c>
      <c r="Q11" s="26" t="s">
        <v>34</v>
      </c>
    </row>
    <row r="12" spans="2:17" x14ac:dyDescent="0.25">
      <c r="B12" s="26" t="s">
        <v>72</v>
      </c>
      <c r="C12" s="26" t="s">
        <v>71</v>
      </c>
      <c r="D12" s="26" t="s">
        <v>34</v>
      </c>
      <c r="E12" s="26">
        <v>501</v>
      </c>
      <c r="F12" s="26">
        <v>999</v>
      </c>
      <c r="G12" s="26">
        <v>500</v>
      </c>
      <c r="H12" s="26"/>
      <c r="I12" s="36"/>
      <c r="J12" s="26" t="s">
        <v>71</v>
      </c>
      <c r="K12" s="26">
        <v>501</v>
      </c>
      <c r="L12" s="26">
        <v>999</v>
      </c>
      <c r="M12" s="26">
        <v>500</v>
      </c>
      <c r="N12" s="26"/>
      <c r="O12" s="26"/>
      <c r="P12" s="26" t="s">
        <v>35</v>
      </c>
      <c r="Q12" s="26" t="s">
        <v>34</v>
      </c>
    </row>
    <row r="13" spans="2:17" x14ac:dyDescent="0.25">
      <c r="B13" s="26" t="s">
        <v>73</v>
      </c>
      <c r="C13" s="26" t="s">
        <v>71</v>
      </c>
      <c r="D13" s="26">
        <v>508</v>
      </c>
      <c r="E13" s="26">
        <v>39</v>
      </c>
      <c r="F13" s="26">
        <v>43</v>
      </c>
      <c r="G13" s="26">
        <v>5</v>
      </c>
      <c r="H13" s="26" t="s">
        <v>74</v>
      </c>
      <c r="I13" s="36"/>
      <c r="J13" s="26" t="s">
        <v>71</v>
      </c>
      <c r="K13" s="26">
        <v>474</v>
      </c>
      <c r="L13" s="26">
        <v>477</v>
      </c>
      <c r="M13" s="26">
        <v>4</v>
      </c>
      <c r="N13" s="26" t="s">
        <v>75</v>
      </c>
      <c r="O13" s="26"/>
      <c r="P13" s="26" t="s">
        <v>76</v>
      </c>
      <c r="Q13" s="26" t="s">
        <v>47</v>
      </c>
    </row>
    <row r="14" spans="2:17" x14ac:dyDescent="0.25">
      <c r="B14" s="26" t="s">
        <v>77</v>
      </c>
      <c r="C14" s="26" t="s">
        <v>71</v>
      </c>
      <c r="D14" s="26">
        <v>20</v>
      </c>
      <c r="E14" s="26">
        <v>86</v>
      </c>
      <c r="F14" s="26">
        <v>90</v>
      </c>
      <c r="G14" s="26">
        <v>5</v>
      </c>
      <c r="H14" s="26" t="s">
        <v>78</v>
      </c>
      <c r="I14" s="36"/>
      <c r="J14" s="26" t="s">
        <v>71</v>
      </c>
      <c r="K14" s="26">
        <v>478</v>
      </c>
      <c r="L14" s="26">
        <v>482</v>
      </c>
      <c r="M14" s="26">
        <v>5</v>
      </c>
      <c r="N14" s="26" t="s">
        <v>79</v>
      </c>
      <c r="O14" s="26"/>
      <c r="P14" s="26" t="s">
        <v>80</v>
      </c>
      <c r="Q14" s="26" t="s">
        <v>40</v>
      </c>
    </row>
    <row r="15" spans="2:17" x14ac:dyDescent="0.25">
      <c r="B15" s="26" t="s">
        <v>81</v>
      </c>
      <c r="C15" s="26" t="s">
        <v>71</v>
      </c>
      <c r="D15" s="26">
        <v>32</v>
      </c>
      <c r="E15" s="26">
        <v>91</v>
      </c>
      <c r="F15" s="26">
        <v>95</v>
      </c>
      <c r="G15" s="26">
        <v>5</v>
      </c>
      <c r="H15" s="26" t="s">
        <v>82</v>
      </c>
      <c r="I15" s="36"/>
      <c r="J15" s="26" t="s">
        <v>71</v>
      </c>
      <c r="K15" s="26">
        <v>483</v>
      </c>
      <c r="L15" s="26">
        <v>487</v>
      </c>
      <c r="M15" s="26">
        <v>5</v>
      </c>
      <c r="N15" s="26" t="s">
        <v>83</v>
      </c>
      <c r="O15" s="26"/>
      <c r="P15" s="26" t="s">
        <v>84</v>
      </c>
      <c r="Q15" s="26" t="s">
        <v>40</v>
      </c>
    </row>
    <row r="16" spans="2:17" x14ac:dyDescent="0.25">
      <c r="B16" s="26" t="s">
        <v>85</v>
      </c>
      <c r="C16" s="26" t="s">
        <v>71</v>
      </c>
      <c r="D16" s="26">
        <v>13</v>
      </c>
      <c r="E16" s="26">
        <v>96</v>
      </c>
      <c r="F16" s="26">
        <v>100</v>
      </c>
      <c r="G16" s="26">
        <v>5</v>
      </c>
      <c r="H16" s="26" t="s">
        <v>86</v>
      </c>
      <c r="I16" s="36"/>
      <c r="J16" s="26" t="s">
        <v>71</v>
      </c>
      <c r="K16" s="26">
        <v>488</v>
      </c>
      <c r="L16" s="26">
        <v>492</v>
      </c>
      <c r="M16" s="26">
        <v>5</v>
      </c>
      <c r="N16" s="26" t="s">
        <v>87</v>
      </c>
      <c r="O16" s="26"/>
      <c r="P16" s="26" t="s">
        <v>88</v>
      </c>
      <c r="Q16" s="26" t="s">
        <v>40</v>
      </c>
    </row>
    <row r="17" spans="2:17" x14ac:dyDescent="0.25">
      <c r="B17" s="26" t="s">
        <v>89</v>
      </c>
      <c r="C17" s="26" t="s">
        <v>71</v>
      </c>
      <c r="D17" s="26">
        <v>503</v>
      </c>
      <c r="E17" s="26">
        <v>119</v>
      </c>
      <c r="F17" s="26">
        <v>123</v>
      </c>
      <c r="G17" s="26">
        <v>5</v>
      </c>
      <c r="H17" s="26" t="s">
        <v>90</v>
      </c>
      <c r="I17" s="36"/>
      <c r="J17" s="26" t="s">
        <v>71</v>
      </c>
      <c r="K17" s="26">
        <v>493</v>
      </c>
      <c r="L17" s="26">
        <v>497</v>
      </c>
      <c r="M17" s="26">
        <v>5</v>
      </c>
      <c r="N17" s="26" t="s">
        <v>91</v>
      </c>
      <c r="O17" s="26"/>
      <c r="P17" s="26" t="s">
        <v>92</v>
      </c>
      <c r="Q17" s="26" t="s">
        <v>47</v>
      </c>
    </row>
    <row r="18" spans="2:17" x14ac:dyDescent="0.25">
      <c r="B18" s="26" t="s">
        <v>93</v>
      </c>
      <c r="C18" s="26" t="s">
        <v>71</v>
      </c>
      <c r="D18" s="26">
        <v>2</v>
      </c>
      <c r="E18" s="26">
        <v>124</v>
      </c>
      <c r="F18" s="26">
        <v>128</v>
      </c>
      <c r="G18" s="26">
        <v>5</v>
      </c>
      <c r="H18" s="26" t="s">
        <v>94</v>
      </c>
      <c r="I18" s="36"/>
      <c r="J18" s="26" t="s">
        <v>71</v>
      </c>
      <c r="K18" s="26">
        <v>498</v>
      </c>
      <c r="L18" s="26">
        <v>500</v>
      </c>
      <c r="M18" s="26">
        <v>3</v>
      </c>
      <c r="N18" s="26" t="s">
        <v>95</v>
      </c>
      <c r="O18" s="26"/>
      <c r="P18" s="26" t="s">
        <v>96</v>
      </c>
      <c r="Q18" s="26" t="s">
        <v>40</v>
      </c>
    </row>
    <row r="19" spans="2:17" x14ac:dyDescent="0.25">
      <c r="B19" s="26" t="s">
        <v>97</v>
      </c>
      <c r="C19" s="26" t="s">
        <v>71</v>
      </c>
      <c r="D19" s="26">
        <v>6</v>
      </c>
      <c r="E19" s="26">
        <v>146</v>
      </c>
      <c r="F19" s="26">
        <v>148</v>
      </c>
      <c r="G19" s="26">
        <v>3</v>
      </c>
      <c r="H19" s="26" t="s">
        <v>98</v>
      </c>
      <c r="I19" s="36"/>
      <c r="J19" s="26" t="s">
        <v>71</v>
      </c>
      <c r="K19" s="26">
        <v>501</v>
      </c>
      <c r="L19" s="26">
        <v>503</v>
      </c>
      <c r="M19" s="26">
        <v>3</v>
      </c>
      <c r="N19" s="26" t="s">
        <v>99</v>
      </c>
      <c r="O19" s="26"/>
      <c r="P19" s="26" t="s">
        <v>100</v>
      </c>
      <c r="Q19" s="26" t="s">
        <v>40</v>
      </c>
    </row>
    <row r="20" spans="2:17" x14ac:dyDescent="0.25">
      <c r="B20" s="26" t="s">
        <v>101</v>
      </c>
      <c r="C20" s="26" t="s">
        <v>71</v>
      </c>
      <c r="D20" s="26">
        <v>40</v>
      </c>
      <c r="E20" s="26">
        <v>199</v>
      </c>
      <c r="F20" s="26">
        <v>203</v>
      </c>
      <c r="G20" s="26">
        <v>5</v>
      </c>
      <c r="H20" s="26" t="s">
        <v>102</v>
      </c>
      <c r="I20" s="36"/>
      <c r="J20" s="26" t="s">
        <v>71</v>
      </c>
      <c r="K20" s="26">
        <v>504</v>
      </c>
      <c r="L20" s="26">
        <v>508</v>
      </c>
      <c r="M20" s="26">
        <v>5</v>
      </c>
      <c r="N20" s="26" t="s">
        <v>103</v>
      </c>
      <c r="O20" s="26"/>
      <c r="P20" s="26" t="s">
        <v>104</v>
      </c>
      <c r="Q20" s="26" t="s">
        <v>40</v>
      </c>
    </row>
    <row r="21" spans="2:17" x14ac:dyDescent="0.25">
      <c r="B21" s="26" t="s">
        <v>105</v>
      </c>
      <c r="C21" s="26" t="s">
        <v>71</v>
      </c>
      <c r="D21" s="26">
        <v>47</v>
      </c>
      <c r="E21" s="26">
        <v>253</v>
      </c>
      <c r="F21" s="26">
        <v>257</v>
      </c>
      <c r="G21" s="26">
        <v>5</v>
      </c>
      <c r="H21" s="26" t="s">
        <v>106</v>
      </c>
      <c r="I21" s="36"/>
      <c r="J21" s="26" t="s">
        <v>71</v>
      </c>
      <c r="K21" s="26">
        <v>509</v>
      </c>
      <c r="L21" s="26">
        <v>513</v>
      </c>
      <c r="M21" s="26">
        <v>5</v>
      </c>
      <c r="N21" s="26" t="s">
        <v>107</v>
      </c>
      <c r="O21" s="26"/>
      <c r="P21" s="26" t="s">
        <v>108</v>
      </c>
      <c r="Q21" s="26" t="s">
        <v>40</v>
      </c>
    </row>
    <row r="22" spans="2:17" x14ac:dyDescent="0.25">
      <c r="B22" s="26" t="s">
        <v>109</v>
      </c>
      <c r="C22" s="26" t="s">
        <v>71</v>
      </c>
      <c r="D22" s="26">
        <v>49</v>
      </c>
      <c r="E22" s="26">
        <v>258</v>
      </c>
      <c r="F22" s="26">
        <v>262</v>
      </c>
      <c r="G22" s="26">
        <v>5</v>
      </c>
      <c r="H22" s="26" t="s">
        <v>110</v>
      </c>
      <c r="I22" s="36"/>
      <c r="J22" s="26" t="s">
        <v>71</v>
      </c>
      <c r="K22" s="26">
        <v>514</v>
      </c>
      <c r="L22" s="26">
        <v>517</v>
      </c>
      <c r="M22" s="26">
        <v>4</v>
      </c>
      <c r="N22" s="26" t="s">
        <v>111</v>
      </c>
      <c r="O22" s="26"/>
      <c r="P22" s="26" t="s">
        <v>112</v>
      </c>
      <c r="Q22" s="26" t="s">
        <v>40</v>
      </c>
    </row>
    <row r="23" spans="2:17" x14ac:dyDescent="0.25">
      <c r="B23" s="26" t="s">
        <v>113</v>
      </c>
      <c r="C23" s="26" t="s">
        <v>71</v>
      </c>
      <c r="D23" s="26">
        <v>50</v>
      </c>
      <c r="E23" s="26">
        <v>280</v>
      </c>
      <c r="F23" s="26">
        <v>284</v>
      </c>
      <c r="G23" s="26">
        <v>5</v>
      </c>
      <c r="H23" s="26" t="s">
        <v>114</v>
      </c>
      <c r="I23" s="36"/>
      <c r="J23" s="26" t="s">
        <v>71</v>
      </c>
      <c r="K23" s="26">
        <v>518</v>
      </c>
      <c r="L23" s="26">
        <v>522</v>
      </c>
      <c r="M23" s="26">
        <v>5</v>
      </c>
      <c r="N23" s="26" t="s">
        <v>115</v>
      </c>
      <c r="O23" s="26"/>
      <c r="P23" s="26" t="s">
        <v>116</v>
      </c>
      <c r="Q23" s="26" t="s">
        <v>40</v>
      </c>
    </row>
    <row r="24" spans="2:17" x14ac:dyDescent="0.25">
      <c r="B24" s="26" t="s">
        <v>117</v>
      </c>
      <c r="C24" s="26" t="s">
        <v>71</v>
      </c>
      <c r="D24" s="26">
        <v>8</v>
      </c>
      <c r="E24" s="26">
        <v>285</v>
      </c>
      <c r="F24" s="26">
        <v>289</v>
      </c>
      <c r="G24" s="26">
        <v>5</v>
      </c>
      <c r="H24" s="26" t="s">
        <v>118</v>
      </c>
      <c r="I24" s="36"/>
      <c r="J24" s="26" t="s">
        <v>71</v>
      </c>
      <c r="K24" s="26">
        <v>523</v>
      </c>
      <c r="L24" s="26">
        <v>523</v>
      </c>
      <c r="M24" s="26">
        <v>1</v>
      </c>
      <c r="N24" s="26" t="s">
        <v>119</v>
      </c>
      <c r="O24" s="26"/>
      <c r="P24" s="26" t="s">
        <v>120</v>
      </c>
      <c r="Q24" s="26" t="s">
        <v>40</v>
      </c>
    </row>
    <row r="25" spans="2:17" x14ac:dyDescent="0.25">
      <c r="B25" s="26" t="s">
        <v>121</v>
      </c>
      <c r="C25" s="26" t="s">
        <v>71</v>
      </c>
      <c r="D25" s="26">
        <v>101</v>
      </c>
      <c r="E25" s="26">
        <v>589</v>
      </c>
      <c r="F25" s="26">
        <v>593</v>
      </c>
      <c r="G25" s="26">
        <v>5</v>
      </c>
      <c r="H25" s="26" t="s">
        <v>122</v>
      </c>
      <c r="I25" s="36"/>
      <c r="J25" s="26" t="s">
        <v>71</v>
      </c>
      <c r="K25" s="26">
        <v>594</v>
      </c>
      <c r="L25" s="26">
        <v>599</v>
      </c>
      <c r="M25" s="26">
        <v>6</v>
      </c>
      <c r="N25" s="26" t="s">
        <v>43</v>
      </c>
      <c r="O25" s="26"/>
      <c r="P25" s="26" t="s">
        <v>123</v>
      </c>
      <c r="Q25" s="26" t="s">
        <v>40</v>
      </c>
    </row>
    <row r="26" spans="2:17" x14ac:dyDescent="0.25">
      <c r="B26" s="23" t="s">
        <v>124</v>
      </c>
      <c r="C26" s="23" t="s">
        <v>125</v>
      </c>
      <c r="D26" s="23" t="s">
        <v>34</v>
      </c>
      <c r="E26" s="23">
        <v>1</v>
      </c>
      <c r="F26" s="23">
        <v>500</v>
      </c>
      <c r="G26" s="23">
        <v>500</v>
      </c>
      <c r="H26" s="23"/>
      <c r="I26" s="34"/>
      <c r="J26" s="23" t="s">
        <v>125</v>
      </c>
      <c r="K26" s="23">
        <v>1</v>
      </c>
      <c r="L26" s="23">
        <v>500</v>
      </c>
      <c r="M26" s="23">
        <v>500</v>
      </c>
      <c r="N26" s="23"/>
      <c r="O26" s="23"/>
      <c r="P26" s="23" t="s">
        <v>35</v>
      </c>
      <c r="Q26" s="23" t="s">
        <v>34</v>
      </c>
    </row>
    <row r="27" spans="2:17" x14ac:dyDescent="0.25">
      <c r="B27" s="23" t="s">
        <v>126</v>
      </c>
      <c r="C27" s="23" t="s">
        <v>125</v>
      </c>
      <c r="D27" s="23">
        <v>26</v>
      </c>
      <c r="E27" s="23">
        <v>169</v>
      </c>
      <c r="F27" s="23">
        <v>173</v>
      </c>
      <c r="G27" s="23">
        <v>5</v>
      </c>
      <c r="H27" s="23" t="s">
        <v>42</v>
      </c>
      <c r="I27" s="34"/>
      <c r="J27" s="23" t="s">
        <v>125</v>
      </c>
      <c r="K27" s="23">
        <v>175</v>
      </c>
      <c r="L27" s="23">
        <v>180</v>
      </c>
      <c r="M27" s="23">
        <v>6</v>
      </c>
      <c r="N27" s="23" t="s">
        <v>43</v>
      </c>
      <c r="O27" s="23"/>
      <c r="P27" s="23" t="s">
        <v>44</v>
      </c>
      <c r="Q27" s="23" t="s">
        <v>40</v>
      </c>
    </row>
    <row r="28" spans="2:17" ht="45" x14ac:dyDescent="0.25">
      <c r="B28" s="23" t="s">
        <v>127</v>
      </c>
      <c r="C28" s="23" t="s">
        <v>125</v>
      </c>
      <c r="D28" s="23">
        <v>81</v>
      </c>
      <c r="E28" s="23">
        <v>147</v>
      </c>
      <c r="F28" s="23">
        <v>151</v>
      </c>
      <c r="G28" s="23">
        <v>5</v>
      </c>
      <c r="H28" s="23" t="s">
        <v>128</v>
      </c>
      <c r="I28" s="34"/>
      <c r="J28" s="23" t="s">
        <v>125</v>
      </c>
      <c r="K28" s="23">
        <v>169</v>
      </c>
      <c r="L28" s="23">
        <v>180</v>
      </c>
      <c r="M28" s="23">
        <v>12</v>
      </c>
      <c r="N28" s="34" t="s">
        <v>129</v>
      </c>
      <c r="O28" s="23"/>
      <c r="P28" s="23" t="s">
        <v>130</v>
      </c>
      <c r="Q28" s="23" t="s">
        <v>40</v>
      </c>
    </row>
    <row r="31" spans="2:17" x14ac:dyDescent="0.25">
      <c r="B31" s="23" t="s">
        <v>131</v>
      </c>
      <c r="C31" s="23" t="s">
        <v>132</v>
      </c>
      <c r="D31" s="23" t="s">
        <v>34</v>
      </c>
      <c r="E31" s="23">
        <v>1</v>
      </c>
      <c r="F31" s="23">
        <v>500</v>
      </c>
      <c r="G31" s="23">
        <v>500</v>
      </c>
      <c r="H31" s="23"/>
      <c r="I31" s="34"/>
      <c r="J31" s="23" t="s">
        <v>132</v>
      </c>
      <c r="K31" s="23">
        <v>1</v>
      </c>
      <c r="L31" s="23">
        <v>500</v>
      </c>
      <c r="M31" s="23">
        <v>500</v>
      </c>
      <c r="N31" s="23"/>
      <c r="O31" s="23"/>
      <c r="P31" s="23" t="s">
        <v>35</v>
      </c>
      <c r="Q31" s="23" t="s">
        <v>34</v>
      </c>
    </row>
    <row r="32" spans="2:17" x14ac:dyDescent="0.25">
      <c r="B32" s="23" t="s">
        <v>133</v>
      </c>
      <c r="C32" s="23" t="s">
        <v>132</v>
      </c>
      <c r="D32" s="23" t="s">
        <v>34</v>
      </c>
      <c r="E32" s="23">
        <v>501</v>
      </c>
      <c r="F32" s="23">
        <v>500</v>
      </c>
      <c r="G32" s="23">
        <v>500</v>
      </c>
      <c r="H32" s="23"/>
      <c r="I32" s="34"/>
      <c r="J32" s="23" t="s">
        <v>132</v>
      </c>
      <c r="K32" s="23">
        <v>501</v>
      </c>
      <c r="L32" s="23">
        <v>500</v>
      </c>
      <c r="M32" s="23">
        <v>500</v>
      </c>
      <c r="N32" s="23"/>
      <c r="O32" s="23"/>
      <c r="P32" s="23" t="s">
        <v>35</v>
      </c>
      <c r="Q32" s="23" t="s">
        <v>34</v>
      </c>
    </row>
    <row r="33" spans="2:17" x14ac:dyDescent="0.25">
      <c r="B33" s="23" t="s">
        <v>134</v>
      </c>
      <c r="C33" s="23" t="s">
        <v>132</v>
      </c>
      <c r="D33" s="23">
        <v>159</v>
      </c>
      <c r="E33" s="23">
        <v>25</v>
      </c>
      <c r="F33" s="23">
        <v>29</v>
      </c>
      <c r="G33" s="23">
        <v>5</v>
      </c>
      <c r="H33" s="23" t="s">
        <v>135</v>
      </c>
      <c r="I33" s="34"/>
      <c r="J33" s="23" t="s">
        <v>132</v>
      </c>
      <c r="K33" s="23">
        <v>501</v>
      </c>
      <c r="L33" s="23">
        <v>505</v>
      </c>
      <c r="M33" s="23">
        <v>5</v>
      </c>
      <c r="N33" s="23" t="s">
        <v>136</v>
      </c>
      <c r="O33" s="23"/>
      <c r="P33" s="23" t="s">
        <v>137</v>
      </c>
      <c r="Q33" s="23" t="s">
        <v>40</v>
      </c>
    </row>
    <row r="34" spans="2:17" x14ac:dyDescent="0.25">
      <c r="B34" s="23" t="s">
        <v>138</v>
      </c>
      <c r="C34" s="23" t="s">
        <v>132</v>
      </c>
      <c r="D34" s="23">
        <v>160</v>
      </c>
      <c r="E34" s="23">
        <v>220</v>
      </c>
      <c r="F34" s="23">
        <v>224</v>
      </c>
      <c r="G34" s="23">
        <v>5</v>
      </c>
      <c r="H34" s="23" t="s">
        <v>139</v>
      </c>
      <c r="I34" s="34"/>
      <c r="J34" s="23" t="s">
        <v>132</v>
      </c>
      <c r="K34" s="23">
        <v>506</v>
      </c>
      <c r="L34" s="23">
        <v>510</v>
      </c>
      <c r="M34" s="23">
        <v>5</v>
      </c>
      <c r="N34" s="23" t="s">
        <v>140</v>
      </c>
      <c r="O34" s="23"/>
      <c r="P34" s="23" t="s">
        <v>141</v>
      </c>
      <c r="Q34" s="23" t="s">
        <v>40</v>
      </c>
    </row>
    <row r="35" spans="2:17" x14ac:dyDescent="0.25">
      <c r="B35" s="23" t="s">
        <v>142</v>
      </c>
      <c r="C35" s="23" t="s">
        <v>132</v>
      </c>
      <c r="D35" s="23">
        <v>124</v>
      </c>
      <c r="E35" s="23">
        <v>327</v>
      </c>
      <c r="F35" s="23">
        <v>331</v>
      </c>
      <c r="G35" s="23">
        <v>5</v>
      </c>
      <c r="H35" s="23" t="s">
        <v>143</v>
      </c>
      <c r="I35" s="34"/>
      <c r="J35" s="23" t="s">
        <v>132</v>
      </c>
      <c r="K35" s="23">
        <v>511</v>
      </c>
      <c r="L35" s="23">
        <v>515</v>
      </c>
      <c r="M35" s="23">
        <v>5</v>
      </c>
      <c r="N35" s="23" t="s">
        <v>144</v>
      </c>
      <c r="O35" s="23"/>
      <c r="P35" s="23" t="s">
        <v>145</v>
      </c>
      <c r="Q35" s="23" t="s">
        <v>40</v>
      </c>
    </row>
    <row r="36" spans="2:17" x14ac:dyDescent="0.25">
      <c r="B36" s="23" t="s">
        <v>146</v>
      </c>
      <c r="C36" s="23" t="s">
        <v>147</v>
      </c>
      <c r="D36" s="23" t="s">
        <v>34</v>
      </c>
      <c r="E36" s="23">
        <v>1</v>
      </c>
      <c r="F36" s="23">
        <v>250</v>
      </c>
      <c r="G36" s="23">
        <v>250</v>
      </c>
      <c r="H36" s="23" t="s">
        <v>148</v>
      </c>
      <c r="I36" s="34"/>
      <c r="J36" s="23" t="s">
        <v>147</v>
      </c>
      <c r="K36" s="23">
        <v>1</v>
      </c>
      <c r="L36" s="23">
        <v>250</v>
      </c>
      <c r="M36" s="23">
        <v>250</v>
      </c>
      <c r="N36" s="23"/>
      <c r="O36" s="23"/>
      <c r="P36" s="23" t="s">
        <v>35</v>
      </c>
      <c r="Q36" s="23" t="s">
        <v>34</v>
      </c>
    </row>
    <row r="37" spans="2:17" x14ac:dyDescent="0.25">
      <c r="B37" s="23" t="s">
        <v>149</v>
      </c>
      <c r="C37" s="23" t="s">
        <v>147</v>
      </c>
      <c r="D37" s="23">
        <v>161</v>
      </c>
      <c r="E37" s="23">
        <v>35</v>
      </c>
      <c r="F37" s="23">
        <v>39</v>
      </c>
      <c r="G37" s="23">
        <v>5</v>
      </c>
      <c r="H37" s="23" t="s">
        <v>150</v>
      </c>
      <c r="I37" s="34"/>
      <c r="J37" s="23" t="s">
        <v>147</v>
      </c>
      <c r="K37" s="23">
        <v>129</v>
      </c>
      <c r="L37" s="23">
        <v>133</v>
      </c>
      <c r="M37" s="23">
        <v>5</v>
      </c>
      <c r="N37" s="23" t="s">
        <v>151</v>
      </c>
      <c r="O37" s="23"/>
      <c r="P37" s="23" t="s">
        <v>152</v>
      </c>
      <c r="Q37" s="23" t="s">
        <v>47</v>
      </c>
    </row>
    <row r="38" spans="2:17" x14ac:dyDescent="0.25">
      <c r="B38" s="23" t="s">
        <v>153</v>
      </c>
      <c r="C38" s="23" t="s">
        <v>147</v>
      </c>
      <c r="D38" s="23">
        <v>161</v>
      </c>
      <c r="E38" s="23">
        <v>40</v>
      </c>
      <c r="F38" s="23">
        <v>44</v>
      </c>
      <c r="G38" s="23">
        <v>5</v>
      </c>
      <c r="H38" s="23" t="s">
        <v>154</v>
      </c>
      <c r="I38" s="34"/>
      <c r="J38" s="23" t="s">
        <v>147</v>
      </c>
      <c r="K38" s="23">
        <v>129</v>
      </c>
      <c r="L38" s="23">
        <v>133</v>
      </c>
      <c r="M38" s="23">
        <v>5</v>
      </c>
      <c r="N38" s="23" t="s">
        <v>151</v>
      </c>
      <c r="O38" s="23"/>
      <c r="P38" s="23" t="s">
        <v>152</v>
      </c>
      <c r="Q38" s="23" t="s">
        <v>40</v>
      </c>
    </row>
    <row r="39" spans="2:17" x14ac:dyDescent="0.25">
      <c r="B39" s="23"/>
      <c r="C39" s="23"/>
      <c r="D39" s="23"/>
      <c r="E39" s="23"/>
      <c r="F39" s="23"/>
      <c r="G39" s="23"/>
      <c r="H39" s="23"/>
      <c r="I39" s="34"/>
      <c r="J39" s="23"/>
      <c r="K39" s="23"/>
      <c r="L39" s="23"/>
      <c r="M39" s="23"/>
      <c r="N39" s="23"/>
      <c r="O39" s="23"/>
      <c r="P39" s="23"/>
      <c r="Q39" s="23"/>
    </row>
    <row r="43" spans="2:17" x14ac:dyDescent="0.25">
      <c r="B43" t="s">
        <v>155</v>
      </c>
      <c r="C43" t="s">
        <v>148</v>
      </c>
      <c r="E43">
        <v>1</v>
      </c>
      <c r="F43" t="s">
        <v>34</v>
      </c>
      <c r="G43">
        <v>500</v>
      </c>
      <c r="K43">
        <v>1</v>
      </c>
      <c r="L43" t="s">
        <v>34</v>
      </c>
      <c r="M43">
        <v>500</v>
      </c>
      <c r="P43" t="s">
        <v>35</v>
      </c>
      <c r="Q43" t="s">
        <v>34</v>
      </c>
    </row>
    <row r="44" spans="2:17" x14ac:dyDescent="0.25">
      <c r="B44" t="s">
        <v>156</v>
      </c>
      <c r="C44" t="s">
        <v>157</v>
      </c>
      <c r="E44">
        <v>25</v>
      </c>
      <c r="F44">
        <v>29</v>
      </c>
      <c r="G44">
        <v>5</v>
      </c>
      <c r="K44">
        <v>228</v>
      </c>
      <c r="L44">
        <v>232</v>
      </c>
      <c r="M44">
        <v>5</v>
      </c>
      <c r="N44" t="s">
        <v>158</v>
      </c>
      <c r="P44" t="s">
        <v>159</v>
      </c>
      <c r="Q44" t="s">
        <v>47</v>
      </c>
    </row>
    <row r="45" spans="2:17" x14ac:dyDescent="0.25">
      <c r="B45" t="s">
        <v>160</v>
      </c>
      <c r="C45" t="s">
        <v>161</v>
      </c>
      <c r="E45">
        <v>30</v>
      </c>
      <c r="F45">
        <v>34</v>
      </c>
      <c r="G45">
        <v>5</v>
      </c>
      <c r="K45">
        <v>228</v>
      </c>
      <c r="L45">
        <v>232</v>
      </c>
      <c r="M45">
        <v>5</v>
      </c>
      <c r="N45" t="s">
        <v>158</v>
      </c>
      <c r="P45" t="s">
        <v>159</v>
      </c>
      <c r="Q45" t="s">
        <v>40</v>
      </c>
    </row>
    <row r="48" spans="2:17" x14ac:dyDescent="0.25">
      <c r="B48" t="s">
        <v>162</v>
      </c>
      <c r="C48" t="s">
        <v>163</v>
      </c>
      <c r="D48" t="s">
        <v>34</v>
      </c>
      <c r="E48">
        <v>1</v>
      </c>
      <c r="F48">
        <v>300</v>
      </c>
      <c r="G48">
        <v>300</v>
      </c>
      <c r="K48">
        <v>1</v>
      </c>
      <c r="L48">
        <v>300</v>
      </c>
      <c r="M48">
        <v>300</v>
      </c>
      <c r="P48" t="s">
        <v>35</v>
      </c>
    </row>
    <row r="49" spans="2:17" x14ac:dyDescent="0.25">
      <c r="B49" t="s">
        <v>164</v>
      </c>
      <c r="C49" t="s">
        <v>163</v>
      </c>
      <c r="D49">
        <v>1</v>
      </c>
      <c r="E49">
        <v>1</v>
      </c>
      <c r="F49">
        <v>5</v>
      </c>
      <c r="G49">
        <v>5</v>
      </c>
      <c r="H49" t="s">
        <v>165</v>
      </c>
      <c r="K49">
        <v>160</v>
      </c>
      <c r="L49">
        <v>161</v>
      </c>
      <c r="M49">
        <v>2</v>
      </c>
      <c r="N49" t="s">
        <v>166</v>
      </c>
      <c r="P49" t="s">
        <v>167</v>
      </c>
      <c r="Q49" t="s">
        <v>40</v>
      </c>
    </row>
    <row r="50" spans="2:17" x14ac:dyDescent="0.25">
      <c r="B50" t="s">
        <v>168</v>
      </c>
      <c r="C50" t="s">
        <v>163</v>
      </c>
      <c r="D50">
        <v>12</v>
      </c>
      <c r="E50">
        <v>57</v>
      </c>
      <c r="F50">
        <v>61</v>
      </c>
      <c r="G50">
        <v>5</v>
      </c>
      <c r="H50" t="s">
        <v>169</v>
      </c>
      <c r="K50">
        <v>182</v>
      </c>
      <c r="L50">
        <v>185</v>
      </c>
      <c r="M50">
        <v>4</v>
      </c>
      <c r="N50" t="s">
        <v>170</v>
      </c>
      <c r="P50" t="s">
        <v>171</v>
      </c>
      <c r="Q50" t="s">
        <v>40</v>
      </c>
    </row>
    <row r="51" spans="2:17" x14ac:dyDescent="0.25">
      <c r="B51" t="s">
        <v>172</v>
      </c>
      <c r="C51" t="s">
        <v>163</v>
      </c>
      <c r="D51">
        <v>12</v>
      </c>
      <c r="E51">
        <v>62</v>
      </c>
      <c r="F51">
        <v>66</v>
      </c>
      <c r="G51">
        <v>5</v>
      </c>
      <c r="H51" t="s">
        <v>173</v>
      </c>
      <c r="K51">
        <v>182</v>
      </c>
      <c r="L51">
        <v>185</v>
      </c>
      <c r="M51">
        <v>4</v>
      </c>
      <c r="N51" t="s">
        <v>170</v>
      </c>
      <c r="P51" t="s">
        <v>171</v>
      </c>
      <c r="Q51" t="s">
        <v>47</v>
      </c>
    </row>
    <row r="55" spans="2:17" x14ac:dyDescent="0.25">
      <c r="B55" t="s">
        <v>174</v>
      </c>
      <c r="C55" t="s">
        <v>165</v>
      </c>
      <c r="D55">
        <v>1</v>
      </c>
      <c r="E55">
        <v>1</v>
      </c>
      <c r="F55">
        <v>5</v>
      </c>
      <c r="G55">
        <v>5</v>
      </c>
      <c r="K55">
        <v>264</v>
      </c>
      <c r="L55">
        <v>265</v>
      </c>
      <c r="M55">
        <v>2</v>
      </c>
      <c r="N55" t="s">
        <v>166</v>
      </c>
      <c r="P55" t="s">
        <v>167</v>
      </c>
    </row>
    <row r="56" spans="2:17" x14ac:dyDescent="0.25">
      <c r="B56" t="s">
        <v>175</v>
      </c>
      <c r="C56" t="s">
        <v>176</v>
      </c>
      <c r="D56">
        <v>2</v>
      </c>
      <c r="E56">
        <v>164</v>
      </c>
      <c r="F56">
        <v>168</v>
      </c>
      <c r="G56">
        <v>5</v>
      </c>
      <c r="K56">
        <v>276</v>
      </c>
      <c r="L56">
        <v>278</v>
      </c>
      <c r="M56">
        <v>3</v>
      </c>
      <c r="N56" t="s">
        <v>177</v>
      </c>
      <c r="P56" t="s">
        <v>178</v>
      </c>
    </row>
    <row r="57" spans="2:17" x14ac:dyDescent="0.25">
      <c r="B57" t="s">
        <v>179</v>
      </c>
      <c r="C57" t="s">
        <v>180</v>
      </c>
      <c r="D57">
        <v>18</v>
      </c>
      <c r="E57">
        <v>212</v>
      </c>
      <c r="F57">
        <v>216</v>
      </c>
      <c r="G57">
        <v>5</v>
      </c>
      <c r="K57">
        <v>279</v>
      </c>
      <c r="L57">
        <v>283</v>
      </c>
      <c r="M57">
        <v>5</v>
      </c>
      <c r="N57" t="s">
        <v>181</v>
      </c>
      <c r="P57" t="s">
        <v>182</v>
      </c>
    </row>
    <row r="58" spans="2:17" x14ac:dyDescent="0.25">
      <c r="B58" t="s">
        <v>183</v>
      </c>
      <c r="C58" t="s">
        <v>184</v>
      </c>
      <c r="D58">
        <v>18</v>
      </c>
      <c r="E58">
        <v>217</v>
      </c>
      <c r="F58">
        <v>221</v>
      </c>
      <c r="G58">
        <v>5</v>
      </c>
      <c r="K58">
        <v>284</v>
      </c>
      <c r="L58">
        <v>288</v>
      </c>
      <c r="M58">
        <v>5</v>
      </c>
      <c r="N58" t="s">
        <v>185</v>
      </c>
      <c r="P58" t="s">
        <v>182</v>
      </c>
    </row>
    <row r="59" spans="2:17" x14ac:dyDescent="0.25">
      <c r="B59" t="s">
        <v>186</v>
      </c>
      <c r="C59" t="s">
        <v>187</v>
      </c>
      <c r="D59">
        <v>18</v>
      </c>
      <c r="E59">
        <v>222</v>
      </c>
      <c r="F59">
        <v>226</v>
      </c>
      <c r="G59">
        <v>5</v>
      </c>
      <c r="K59">
        <v>289</v>
      </c>
      <c r="L59">
        <v>293</v>
      </c>
      <c r="M59">
        <v>5</v>
      </c>
      <c r="N59" t="s">
        <v>188</v>
      </c>
      <c r="P59" t="s">
        <v>182</v>
      </c>
    </row>
    <row r="62" spans="2:17" x14ac:dyDescent="0.25">
      <c r="B62" t="s">
        <v>189</v>
      </c>
      <c r="C62" t="s">
        <v>165</v>
      </c>
      <c r="D62">
        <v>1</v>
      </c>
      <c r="E62">
        <v>1</v>
      </c>
      <c r="F62">
        <v>5</v>
      </c>
      <c r="K62">
        <v>59</v>
      </c>
      <c r="L62">
        <v>60</v>
      </c>
      <c r="M62">
        <v>2</v>
      </c>
      <c r="N62" t="s">
        <v>166</v>
      </c>
      <c r="P62" t="s">
        <v>167</v>
      </c>
    </row>
    <row r="63" spans="2:17" x14ac:dyDescent="0.25">
      <c r="B63" t="s">
        <v>190</v>
      </c>
      <c r="C63" t="s">
        <v>191</v>
      </c>
      <c r="D63">
        <v>58</v>
      </c>
      <c r="E63">
        <v>34</v>
      </c>
      <c r="F63">
        <v>38</v>
      </c>
      <c r="K63">
        <v>91</v>
      </c>
      <c r="L63">
        <v>91</v>
      </c>
      <c r="M63">
        <v>1</v>
      </c>
      <c r="N63" t="s">
        <v>192</v>
      </c>
      <c r="P63" t="s">
        <v>193</v>
      </c>
    </row>
    <row r="65" spans="2:16" x14ac:dyDescent="0.25">
      <c r="B65" t="s">
        <v>194</v>
      </c>
      <c r="C65" t="s">
        <v>148</v>
      </c>
      <c r="D65" t="s">
        <v>34</v>
      </c>
      <c r="E65">
        <v>1</v>
      </c>
      <c r="F65">
        <v>250</v>
      </c>
      <c r="G65">
        <v>250</v>
      </c>
      <c r="K65">
        <v>1</v>
      </c>
      <c r="L65">
        <v>250</v>
      </c>
      <c r="M65">
        <v>250</v>
      </c>
      <c r="P65" t="s">
        <v>35</v>
      </c>
    </row>
    <row r="66" spans="2:16" x14ac:dyDescent="0.25">
      <c r="B66" t="s">
        <v>195</v>
      </c>
      <c r="C66" t="s">
        <v>165</v>
      </c>
      <c r="D66">
        <v>1</v>
      </c>
      <c r="E66">
        <v>1</v>
      </c>
      <c r="F66">
        <v>5</v>
      </c>
      <c r="G66">
        <v>5</v>
      </c>
      <c r="K66">
        <v>113</v>
      </c>
      <c r="L66">
        <v>114</v>
      </c>
      <c r="M66">
        <v>2</v>
      </c>
      <c r="N66" t="s">
        <v>166</v>
      </c>
      <c r="P66" t="s">
        <v>167</v>
      </c>
    </row>
    <row r="67" spans="2:16" x14ac:dyDescent="0.25">
      <c r="B67" t="s">
        <v>196</v>
      </c>
      <c r="C67" t="s">
        <v>180</v>
      </c>
      <c r="D67">
        <v>18</v>
      </c>
      <c r="E67">
        <v>88</v>
      </c>
      <c r="F67">
        <v>92</v>
      </c>
      <c r="G67">
        <v>5</v>
      </c>
      <c r="K67">
        <v>135</v>
      </c>
      <c r="L67">
        <v>139</v>
      </c>
      <c r="M67">
        <v>5</v>
      </c>
      <c r="N67" t="s">
        <v>181</v>
      </c>
      <c r="P67" t="s">
        <v>182</v>
      </c>
    </row>
    <row r="68" spans="2:16" x14ac:dyDescent="0.25">
      <c r="B68" t="s">
        <v>197</v>
      </c>
      <c r="C68" t="s">
        <v>184</v>
      </c>
      <c r="D68">
        <v>18</v>
      </c>
      <c r="E68">
        <v>93</v>
      </c>
      <c r="F68">
        <v>97</v>
      </c>
      <c r="G68">
        <v>5</v>
      </c>
      <c r="K68">
        <v>140</v>
      </c>
      <c r="L68">
        <v>144</v>
      </c>
      <c r="M68">
        <v>5</v>
      </c>
      <c r="N68" t="s">
        <v>185</v>
      </c>
      <c r="P68" t="s">
        <v>182</v>
      </c>
    </row>
    <row r="69" spans="2:16" x14ac:dyDescent="0.25">
      <c r="B69" t="s">
        <v>198</v>
      </c>
      <c r="C69" t="s">
        <v>187</v>
      </c>
      <c r="D69">
        <v>67</v>
      </c>
      <c r="E69">
        <v>98</v>
      </c>
      <c r="F69">
        <v>102</v>
      </c>
      <c r="G69">
        <v>5</v>
      </c>
      <c r="K69">
        <v>145</v>
      </c>
      <c r="L69">
        <v>149</v>
      </c>
      <c r="M69">
        <v>5</v>
      </c>
      <c r="N69" t="s">
        <v>188</v>
      </c>
      <c r="P69" t="s">
        <v>199</v>
      </c>
    </row>
    <row r="76" spans="2:16" x14ac:dyDescent="0.25">
      <c r="B76" t="s">
        <v>200</v>
      </c>
      <c r="C76" t="s">
        <v>201</v>
      </c>
    </row>
    <row r="77" spans="2:16" x14ac:dyDescent="0.25">
      <c r="B77" t="s">
        <v>202</v>
      </c>
      <c r="C77" t="s">
        <v>203</v>
      </c>
    </row>
    <row r="78" spans="2:16" x14ac:dyDescent="0.25">
      <c r="B78" t="s">
        <v>204</v>
      </c>
      <c r="C78" t="s">
        <v>205</v>
      </c>
    </row>
    <row r="82" spans="2:5" x14ac:dyDescent="0.25">
      <c r="B82" t="s">
        <v>206</v>
      </c>
      <c r="C82" t="s">
        <v>207</v>
      </c>
      <c r="D82" t="s">
        <v>208</v>
      </c>
      <c r="E82" t="s">
        <v>209</v>
      </c>
    </row>
    <row r="83" spans="2:5" x14ac:dyDescent="0.25">
      <c r="C83" t="s">
        <v>210</v>
      </c>
      <c r="D83" t="s">
        <v>211</v>
      </c>
    </row>
    <row r="85" spans="2:5" x14ac:dyDescent="0.25">
      <c r="B85" t="s">
        <v>212</v>
      </c>
      <c r="C85" t="s">
        <v>213</v>
      </c>
      <c r="D85" t="s">
        <v>214</v>
      </c>
    </row>
    <row r="86" spans="2:5" x14ac:dyDescent="0.25">
      <c r="C86" t="s">
        <v>215</v>
      </c>
      <c r="D86" t="s">
        <v>216</v>
      </c>
      <c r="E86" t="s">
        <v>217</v>
      </c>
    </row>
    <row r="88" spans="2:5" x14ac:dyDescent="0.25">
      <c r="B88" t="s">
        <v>218</v>
      </c>
      <c r="E88" t="s">
        <v>205</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x14ac:dyDescent="0.2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x14ac:dyDescent="0.25">
      <c r="E1" t="s">
        <v>219</v>
      </c>
    </row>
    <row r="2" spans="1:5" x14ac:dyDescent="0.25">
      <c r="A2">
        <v>5</v>
      </c>
      <c r="B2" t="s">
        <v>34</v>
      </c>
      <c r="C2" s="37" t="s">
        <v>220</v>
      </c>
      <c r="D2" s="37" t="s">
        <v>221</v>
      </c>
    </row>
    <row r="3" spans="1:5" x14ac:dyDescent="0.25">
      <c r="A3">
        <v>9</v>
      </c>
      <c r="B3" t="s">
        <v>34</v>
      </c>
      <c r="C3" s="37" t="s">
        <v>222</v>
      </c>
      <c r="D3" s="37" t="s">
        <v>223</v>
      </c>
    </row>
    <row r="4" spans="1:5" x14ac:dyDescent="0.25">
      <c r="A4">
        <v>13</v>
      </c>
      <c r="B4" t="s">
        <v>34</v>
      </c>
      <c r="C4" s="37" t="s">
        <v>224</v>
      </c>
      <c r="D4" s="37" t="s">
        <v>225</v>
      </c>
    </row>
    <row r="5" spans="1:5" x14ac:dyDescent="0.25">
      <c r="A5">
        <v>17</v>
      </c>
      <c r="B5" t="s">
        <v>34</v>
      </c>
      <c r="C5" s="37" t="s">
        <v>226</v>
      </c>
      <c r="D5" s="37" t="s">
        <v>227</v>
      </c>
    </row>
    <row r="6" spans="1:5" x14ac:dyDescent="0.25">
      <c r="A6">
        <v>21</v>
      </c>
      <c r="B6" t="s">
        <v>34</v>
      </c>
      <c r="C6" s="37" t="s">
        <v>228</v>
      </c>
      <c r="D6" s="37" t="s">
        <v>229</v>
      </c>
    </row>
    <row r="7" spans="1:5" x14ac:dyDescent="0.25">
      <c r="A7">
        <v>25</v>
      </c>
      <c r="B7" t="s">
        <v>34</v>
      </c>
      <c r="C7" s="37" t="s">
        <v>230</v>
      </c>
      <c r="D7" s="37" t="s">
        <v>231</v>
      </c>
    </row>
    <row r="8" spans="1:5" x14ac:dyDescent="0.25">
      <c r="A8">
        <v>29</v>
      </c>
      <c r="B8" t="s">
        <v>34</v>
      </c>
      <c r="C8" s="37" t="s">
        <v>232</v>
      </c>
      <c r="D8" s="37" t="s">
        <v>233</v>
      </c>
    </row>
    <row r="9" spans="1:5" x14ac:dyDescent="0.25">
      <c r="A9">
        <v>33</v>
      </c>
      <c r="B9" t="s">
        <v>34</v>
      </c>
      <c r="C9" s="37" t="s">
        <v>234</v>
      </c>
      <c r="D9" s="37" t="s">
        <v>235</v>
      </c>
    </row>
    <row r="10" spans="1:5" x14ac:dyDescent="0.25">
      <c r="A10">
        <v>37</v>
      </c>
      <c r="B10" t="s">
        <v>34</v>
      </c>
      <c r="C10" s="37" t="s">
        <v>236</v>
      </c>
      <c r="D10" s="37" t="s">
        <v>237</v>
      </c>
    </row>
    <row r="11" spans="1:5" x14ac:dyDescent="0.25">
      <c r="A11">
        <v>41</v>
      </c>
      <c r="B11" t="s">
        <v>34</v>
      </c>
      <c r="C11" s="37" t="s">
        <v>238</v>
      </c>
      <c r="D11" s="37" t="s">
        <v>239</v>
      </c>
    </row>
    <row r="12" spans="1:5" x14ac:dyDescent="0.25">
      <c r="A12">
        <v>45</v>
      </c>
      <c r="B12" t="s">
        <v>34</v>
      </c>
      <c r="C12" s="37" t="s">
        <v>240</v>
      </c>
      <c r="D12" s="37" t="s">
        <v>241</v>
      </c>
    </row>
    <row r="13" spans="1:5" x14ac:dyDescent="0.25">
      <c r="A13">
        <v>49</v>
      </c>
      <c r="B13" t="s">
        <v>34</v>
      </c>
      <c r="C13" s="37" t="s">
        <v>242</v>
      </c>
      <c r="D13" s="37" t="s">
        <v>243</v>
      </c>
    </row>
    <row r="14" spans="1:5" x14ac:dyDescent="0.25">
      <c r="A14">
        <v>56</v>
      </c>
      <c r="B14" t="s">
        <v>34</v>
      </c>
      <c r="C14" s="37" t="s">
        <v>244</v>
      </c>
      <c r="D14" s="37" t="s">
        <v>245</v>
      </c>
    </row>
    <row r="15" spans="1:5" x14ac:dyDescent="0.25">
      <c r="A15">
        <v>60</v>
      </c>
      <c r="B15" t="s">
        <v>34</v>
      </c>
      <c r="C15" s="37" t="s">
        <v>246</v>
      </c>
      <c r="D15" s="37" t="s">
        <v>247</v>
      </c>
    </row>
    <row r="16" spans="1:5" x14ac:dyDescent="0.25">
      <c r="A16">
        <v>64</v>
      </c>
      <c r="B16" t="s">
        <v>34</v>
      </c>
      <c r="C16" s="37" t="s">
        <v>248</v>
      </c>
      <c r="D16" s="37" t="s">
        <v>249</v>
      </c>
    </row>
    <row r="17" spans="1:4" x14ac:dyDescent="0.25">
      <c r="A17">
        <v>68</v>
      </c>
      <c r="B17" t="s">
        <v>34</v>
      </c>
      <c r="C17" s="37" t="s">
        <v>250</v>
      </c>
      <c r="D17" s="37" t="s">
        <v>251</v>
      </c>
    </row>
    <row r="18" spans="1:4" x14ac:dyDescent="0.25">
      <c r="A18">
        <v>72</v>
      </c>
      <c r="B18" t="s">
        <v>34</v>
      </c>
      <c r="C18" s="37" t="s">
        <v>252</v>
      </c>
      <c r="D18" s="37" t="s">
        <v>253</v>
      </c>
    </row>
    <row r="19" spans="1:4" x14ac:dyDescent="0.25">
      <c r="A19">
        <v>73</v>
      </c>
      <c r="B19" t="s">
        <v>34</v>
      </c>
      <c r="C19" s="37" t="s">
        <v>34</v>
      </c>
      <c r="D19" s="37" t="s">
        <v>254</v>
      </c>
    </row>
    <row r="20" spans="1:4" x14ac:dyDescent="0.25">
      <c r="A20">
        <v>74</v>
      </c>
      <c r="B20" t="s">
        <v>34</v>
      </c>
      <c r="D20" s="37" t="s">
        <v>255</v>
      </c>
    </row>
    <row r="21" spans="1:4" x14ac:dyDescent="0.25">
      <c r="A21">
        <v>75</v>
      </c>
      <c r="B21" t="s">
        <v>34</v>
      </c>
      <c r="D21" s="37" t="s">
        <v>256</v>
      </c>
    </row>
    <row r="22" spans="1:4" x14ac:dyDescent="0.25">
      <c r="A22">
        <v>79</v>
      </c>
      <c r="B22" t="s">
        <v>34</v>
      </c>
      <c r="C22" s="37" t="s">
        <v>257</v>
      </c>
      <c r="D22" s="37" t="s">
        <v>258</v>
      </c>
    </row>
    <row r="23" spans="1:4" x14ac:dyDescent="0.25">
      <c r="A23">
        <v>83</v>
      </c>
      <c r="B23" t="s">
        <v>34</v>
      </c>
      <c r="C23" s="37" t="s">
        <v>259</v>
      </c>
      <c r="D23" s="37" t="s">
        <v>260</v>
      </c>
    </row>
    <row r="24" spans="1:4" x14ac:dyDescent="0.25">
      <c r="A24">
        <v>87</v>
      </c>
      <c r="B24" t="s">
        <v>34</v>
      </c>
      <c r="C24" s="37" t="s">
        <v>261</v>
      </c>
      <c r="D24" s="37" t="s">
        <v>262</v>
      </c>
    </row>
    <row r="25" spans="1:4" x14ac:dyDescent="0.25">
      <c r="A25">
        <v>91</v>
      </c>
      <c r="B25" t="s">
        <v>34</v>
      </c>
      <c r="C25" s="37" t="s">
        <v>263</v>
      </c>
      <c r="D25" s="37" t="s">
        <v>264</v>
      </c>
    </row>
    <row r="26" spans="1:4" x14ac:dyDescent="0.25">
      <c r="A26">
        <v>95</v>
      </c>
      <c r="B26" t="s">
        <v>34</v>
      </c>
      <c r="C26" s="37" t="s">
        <v>265</v>
      </c>
      <c r="D26" s="37" t="s">
        <v>266</v>
      </c>
    </row>
    <row r="27" spans="1:4" x14ac:dyDescent="0.25">
      <c r="A27">
        <v>96</v>
      </c>
      <c r="B27" t="s">
        <v>34</v>
      </c>
      <c r="C27" s="37" t="s">
        <v>34</v>
      </c>
      <c r="D27" s="37" t="s">
        <v>267</v>
      </c>
    </row>
    <row r="28" spans="1:4" x14ac:dyDescent="0.25">
      <c r="A28">
        <v>97</v>
      </c>
      <c r="B28" t="s">
        <v>34</v>
      </c>
      <c r="D28" s="37" t="s">
        <v>268</v>
      </c>
    </row>
    <row r="29" spans="1:4" x14ac:dyDescent="0.25">
      <c r="A29">
        <v>98</v>
      </c>
      <c r="B29" t="s">
        <v>34</v>
      </c>
      <c r="D29" s="37" t="s">
        <v>269</v>
      </c>
    </row>
    <row r="30" spans="1:4" x14ac:dyDescent="0.25">
      <c r="A30">
        <v>99</v>
      </c>
      <c r="B30" t="s">
        <v>34</v>
      </c>
      <c r="D30" s="37" t="s">
        <v>270</v>
      </c>
    </row>
    <row r="31" spans="1:4" x14ac:dyDescent="0.25">
      <c r="A31">
        <v>100</v>
      </c>
      <c r="B31" t="s">
        <v>34</v>
      </c>
      <c r="D31" s="37" t="s">
        <v>271</v>
      </c>
    </row>
    <row r="32" spans="1:4" x14ac:dyDescent="0.25">
      <c r="A32">
        <v>101</v>
      </c>
      <c r="B32" t="s">
        <v>34</v>
      </c>
      <c r="D32" s="37" t="s">
        <v>272</v>
      </c>
    </row>
    <row r="33" spans="1:4" x14ac:dyDescent="0.25">
      <c r="A33">
        <v>102</v>
      </c>
      <c r="B33" t="s">
        <v>34</v>
      </c>
      <c r="D33" s="37" t="s">
        <v>273</v>
      </c>
    </row>
    <row r="34" spans="1:4" x14ac:dyDescent="0.25">
      <c r="A34">
        <v>103</v>
      </c>
      <c r="B34" t="s">
        <v>34</v>
      </c>
      <c r="D34" s="37" t="s">
        <v>274</v>
      </c>
    </row>
    <row r="35" spans="1:4" x14ac:dyDescent="0.25">
      <c r="A35">
        <v>104</v>
      </c>
      <c r="B35" t="s">
        <v>34</v>
      </c>
      <c r="D35" s="37" t="s">
        <v>275</v>
      </c>
    </row>
    <row r="36" spans="1:4" x14ac:dyDescent="0.25">
      <c r="A36">
        <v>105</v>
      </c>
      <c r="B36" t="s">
        <v>34</v>
      </c>
      <c r="D36" s="37" t="s">
        <v>276</v>
      </c>
    </row>
    <row r="37" spans="1:4" x14ac:dyDescent="0.25">
      <c r="A37">
        <v>112</v>
      </c>
      <c r="B37" t="s">
        <v>34</v>
      </c>
      <c r="C37" s="37" t="s">
        <v>277</v>
      </c>
      <c r="D37" s="37" t="s">
        <v>278</v>
      </c>
    </row>
    <row r="38" spans="1:4" x14ac:dyDescent="0.25">
      <c r="A38">
        <v>116</v>
      </c>
      <c r="B38" t="s">
        <v>34</v>
      </c>
      <c r="C38" s="37" t="s">
        <v>279</v>
      </c>
      <c r="D38" s="37" t="s">
        <v>280</v>
      </c>
    </row>
    <row r="39" spans="1:4" x14ac:dyDescent="0.25">
      <c r="A39">
        <v>117</v>
      </c>
      <c r="B39" t="s">
        <v>34</v>
      </c>
      <c r="C39" s="37" t="s">
        <v>34</v>
      </c>
      <c r="D39" s="37" t="s">
        <v>281</v>
      </c>
    </row>
    <row r="40" spans="1:4" x14ac:dyDescent="0.25">
      <c r="A40">
        <v>118</v>
      </c>
      <c r="B40" t="s">
        <v>34</v>
      </c>
      <c r="D40" s="37" t="s">
        <v>282</v>
      </c>
    </row>
    <row r="41" spans="1:4" x14ac:dyDescent="0.25">
      <c r="A41">
        <v>119</v>
      </c>
      <c r="B41" t="s">
        <v>34</v>
      </c>
      <c r="D41" s="37" t="s">
        <v>283</v>
      </c>
    </row>
    <row r="42" spans="1:4" x14ac:dyDescent="0.25">
      <c r="A42">
        <v>120</v>
      </c>
      <c r="B42" t="s">
        <v>34</v>
      </c>
      <c r="D42" s="37" t="s">
        <v>284</v>
      </c>
    </row>
    <row r="43" spans="1:4" x14ac:dyDescent="0.25">
      <c r="A43">
        <v>121</v>
      </c>
      <c r="B43" t="s">
        <v>34</v>
      </c>
      <c r="D43" s="37" t="s">
        <v>285</v>
      </c>
    </row>
    <row r="44" spans="1:4" x14ac:dyDescent="0.25">
      <c r="A44">
        <v>122</v>
      </c>
      <c r="B44" t="s">
        <v>34</v>
      </c>
      <c r="D44" s="37" t="s">
        <v>286</v>
      </c>
    </row>
    <row r="45" spans="1:4" x14ac:dyDescent="0.25">
      <c r="A45">
        <v>123</v>
      </c>
      <c r="B45" t="s">
        <v>34</v>
      </c>
      <c r="D45" s="37" t="s">
        <v>287</v>
      </c>
    </row>
    <row r="46" spans="1:4" x14ac:dyDescent="0.25">
      <c r="A46">
        <v>124</v>
      </c>
      <c r="B46" t="s">
        <v>34</v>
      </c>
      <c r="D46" s="37" t="s">
        <v>288</v>
      </c>
    </row>
    <row r="47" spans="1:4" x14ac:dyDescent="0.25">
      <c r="A47">
        <v>125</v>
      </c>
      <c r="B47" t="s">
        <v>34</v>
      </c>
      <c r="D47" s="37" t="s">
        <v>289</v>
      </c>
    </row>
    <row r="48" spans="1:4" x14ac:dyDescent="0.25">
      <c r="A48">
        <v>129</v>
      </c>
      <c r="B48" t="s">
        <v>34</v>
      </c>
      <c r="C48" s="37" t="s">
        <v>290</v>
      </c>
      <c r="D48" s="37" t="s">
        <v>291</v>
      </c>
    </row>
    <row r="49" spans="1:4" x14ac:dyDescent="0.25">
      <c r="A49">
        <v>130</v>
      </c>
      <c r="B49" t="s">
        <v>34</v>
      </c>
      <c r="C49" s="37" t="s">
        <v>34</v>
      </c>
      <c r="D49" s="37" t="s">
        <v>292</v>
      </c>
    </row>
    <row r="50" spans="1:4" x14ac:dyDescent="0.25">
      <c r="A50">
        <v>134</v>
      </c>
      <c r="B50" t="s">
        <v>34</v>
      </c>
      <c r="C50" s="37" t="s">
        <v>293</v>
      </c>
      <c r="D50" s="37" t="s">
        <v>294</v>
      </c>
    </row>
    <row r="51" spans="1:4" x14ac:dyDescent="0.25">
      <c r="A51">
        <v>138</v>
      </c>
      <c r="B51" t="s">
        <v>34</v>
      </c>
      <c r="C51" s="37" t="s">
        <v>295</v>
      </c>
      <c r="D51" s="37" t="s">
        <v>296</v>
      </c>
    </row>
    <row r="52" spans="1:4" x14ac:dyDescent="0.25">
      <c r="A52">
        <v>142</v>
      </c>
      <c r="B52" t="s">
        <v>34</v>
      </c>
      <c r="C52" s="37" t="s">
        <v>297</v>
      </c>
      <c r="D52" s="37" t="s">
        <v>298</v>
      </c>
    </row>
    <row r="53" spans="1:4" x14ac:dyDescent="0.25">
      <c r="A53">
        <v>146</v>
      </c>
      <c r="B53" t="s">
        <v>34</v>
      </c>
      <c r="C53" s="37" t="s">
        <v>299</v>
      </c>
      <c r="D53" s="37" t="s">
        <v>300</v>
      </c>
    </row>
    <row r="54" spans="1:4" x14ac:dyDescent="0.25">
      <c r="A54">
        <v>150</v>
      </c>
      <c r="B54" t="s">
        <v>34</v>
      </c>
      <c r="C54" s="37" t="s">
        <v>301</v>
      </c>
      <c r="D54" s="37" t="s">
        <v>302</v>
      </c>
    </row>
    <row r="55" spans="1:4" x14ac:dyDescent="0.25">
      <c r="A55">
        <v>154</v>
      </c>
      <c r="B55" t="s">
        <v>34</v>
      </c>
      <c r="C55" s="37" t="s">
        <v>303</v>
      </c>
      <c r="D55" s="37" t="s">
        <v>304</v>
      </c>
    </row>
    <row r="56" spans="1:4" x14ac:dyDescent="0.25">
      <c r="A56">
        <v>158</v>
      </c>
      <c r="B56" t="s">
        <v>34</v>
      </c>
      <c r="C56" s="37" t="s">
        <v>305</v>
      </c>
      <c r="D56" s="37" t="s">
        <v>306</v>
      </c>
    </row>
    <row r="57" spans="1:4" x14ac:dyDescent="0.25">
      <c r="A57">
        <v>159</v>
      </c>
      <c r="B57" t="s">
        <v>34</v>
      </c>
      <c r="C57" s="37" t="s">
        <v>34</v>
      </c>
      <c r="D57" s="37" t="s">
        <v>307</v>
      </c>
    </row>
    <row r="58" spans="1:4" x14ac:dyDescent="0.25">
      <c r="A58">
        <v>166</v>
      </c>
      <c r="B58" t="s">
        <v>34</v>
      </c>
      <c r="C58" s="37" t="s">
        <v>308</v>
      </c>
      <c r="D58" s="37" t="s">
        <v>309</v>
      </c>
    </row>
    <row r="59" spans="1:4" x14ac:dyDescent="0.25">
      <c r="A59">
        <v>167</v>
      </c>
      <c r="B59" t="s">
        <v>34</v>
      </c>
      <c r="C59" s="37" t="s">
        <v>34</v>
      </c>
      <c r="D59" s="37" t="s">
        <v>310</v>
      </c>
    </row>
    <row r="60" spans="1:4" x14ac:dyDescent="0.25">
      <c r="A60">
        <v>171</v>
      </c>
      <c r="B60" t="s">
        <v>34</v>
      </c>
      <c r="C60" s="37" t="s">
        <v>311</v>
      </c>
      <c r="D60" s="37" t="s">
        <v>312</v>
      </c>
    </row>
    <row r="61" spans="1:4" x14ac:dyDescent="0.25">
      <c r="A61">
        <v>172</v>
      </c>
      <c r="B61" t="s">
        <v>34</v>
      </c>
      <c r="C61" s="37" t="s">
        <v>34</v>
      </c>
      <c r="D61" s="37" t="s">
        <v>313</v>
      </c>
    </row>
    <row r="62" spans="1:4" x14ac:dyDescent="0.25">
      <c r="A62">
        <v>173</v>
      </c>
      <c r="B62" t="s">
        <v>34</v>
      </c>
      <c r="D62" s="37" t="s">
        <v>314</v>
      </c>
    </row>
    <row r="63" spans="1:4" x14ac:dyDescent="0.25">
      <c r="A63">
        <v>177</v>
      </c>
      <c r="B63" t="s">
        <v>34</v>
      </c>
      <c r="C63" s="37" t="s">
        <v>315</v>
      </c>
      <c r="D63" s="37" t="s">
        <v>316</v>
      </c>
    </row>
    <row r="64" spans="1:4" x14ac:dyDescent="0.25">
      <c r="A64">
        <v>178</v>
      </c>
      <c r="B64" t="s">
        <v>34</v>
      </c>
      <c r="C64" s="37" t="s">
        <v>34</v>
      </c>
      <c r="D64" s="37" t="s">
        <v>317</v>
      </c>
    </row>
    <row r="65" spans="1:4" x14ac:dyDescent="0.25">
      <c r="A65">
        <v>182</v>
      </c>
      <c r="B65" t="s">
        <v>34</v>
      </c>
      <c r="C65" s="37" t="s">
        <v>318</v>
      </c>
      <c r="D65" s="37" t="s">
        <v>319</v>
      </c>
    </row>
    <row r="66" spans="1:4" x14ac:dyDescent="0.25">
      <c r="A66">
        <v>183</v>
      </c>
      <c r="B66" t="s">
        <v>34</v>
      </c>
      <c r="C66" s="37" t="s">
        <v>34</v>
      </c>
      <c r="D66" s="37" t="s">
        <v>320</v>
      </c>
    </row>
    <row r="67" spans="1:4" x14ac:dyDescent="0.25">
      <c r="A67">
        <v>184</v>
      </c>
      <c r="B67" t="s">
        <v>34</v>
      </c>
      <c r="D67" s="37" t="s">
        <v>321</v>
      </c>
    </row>
    <row r="68" spans="1:4" x14ac:dyDescent="0.25">
      <c r="A68">
        <v>185</v>
      </c>
      <c r="B68" t="s">
        <v>34</v>
      </c>
      <c r="D68" s="37" t="s">
        <v>322</v>
      </c>
    </row>
    <row r="69" spans="1:4" x14ac:dyDescent="0.25">
      <c r="A69">
        <v>186</v>
      </c>
      <c r="B69" t="s">
        <v>34</v>
      </c>
      <c r="D69" s="37" t="s">
        <v>323</v>
      </c>
    </row>
    <row r="70" spans="1:4" x14ac:dyDescent="0.25">
      <c r="A70">
        <v>190</v>
      </c>
      <c r="B70" t="s">
        <v>34</v>
      </c>
      <c r="C70" s="37" t="s">
        <v>324</v>
      </c>
      <c r="D70" s="37" t="s">
        <v>325</v>
      </c>
    </row>
    <row r="71" spans="1:4" x14ac:dyDescent="0.25">
      <c r="A71">
        <v>191</v>
      </c>
      <c r="B71" t="s">
        <v>34</v>
      </c>
      <c r="C71" s="37" t="s">
        <v>34</v>
      </c>
      <c r="D71" s="37" t="s">
        <v>326</v>
      </c>
    </row>
    <row r="72" spans="1:4" x14ac:dyDescent="0.25">
      <c r="A72">
        <v>192</v>
      </c>
      <c r="B72" t="s">
        <v>34</v>
      </c>
      <c r="D72" s="37" t="s">
        <v>327</v>
      </c>
    </row>
    <row r="73" spans="1:4" x14ac:dyDescent="0.25">
      <c r="A73">
        <v>196</v>
      </c>
      <c r="B73" t="s">
        <v>34</v>
      </c>
      <c r="C73" s="37" t="s">
        <v>328</v>
      </c>
      <c r="D73" s="37" t="s">
        <v>329</v>
      </c>
    </row>
    <row r="74" spans="1:4" x14ac:dyDescent="0.25">
      <c r="A74">
        <v>197</v>
      </c>
      <c r="B74" t="s">
        <v>34</v>
      </c>
      <c r="C74" s="37" t="s">
        <v>34</v>
      </c>
      <c r="D74" s="37" t="s">
        <v>330</v>
      </c>
    </row>
    <row r="75" spans="1:4" x14ac:dyDescent="0.25">
      <c r="A75">
        <v>198</v>
      </c>
      <c r="B75" t="s">
        <v>34</v>
      </c>
      <c r="D75" s="37" t="s">
        <v>331</v>
      </c>
    </row>
    <row r="76" spans="1:4" x14ac:dyDescent="0.25">
      <c r="A76">
        <v>202</v>
      </c>
      <c r="B76" t="s">
        <v>34</v>
      </c>
      <c r="C76" s="37" t="s">
        <v>332</v>
      </c>
      <c r="D76" s="37" t="s">
        <v>333</v>
      </c>
    </row>
    <row r="77" spans="1:4" x14ac:dyDescent="0.25">
      <c r="A77">
        <v>203</v>
      </c>
      <c r="B77" t="s">
        <v>34</v>
      </c>
      <c r="C77" s="37" t="s">
        <v>34</v>
      </c>
      <c r="D77" s="37" t="s">
        <v>334</v>
      </c>
    </row>
    <row r="78" spans="1:4" x14ac:dyDescent="0.25">
      <c r="A78">
        <v>207</v>
      </c>
      <c r="B78" t="s">
        <v>34</v>
      </c>
      <c r="C78" s="37" t="s">
        <v>335</v>
      </c>
      <c r="D78" s="37" t="s">
        <v>336</v>
      </c>
    </row>
    <row r="79" spans="1:4" x14ac:dyDescent="0.25">
      <c r="A79">
        <v>208</v>
      </c>
      <c r="B79" t="s">
        <v>34</v>
      </c>
      <c r="C79" s="37" t="s">
        <v>34</v>
      </c>
      <c r="D79" s="37" t="s">
        <v>337</v>
      </c>
    </row>
    <row r="80" spans="1:4" x14ac:dyDescent="0.25">
      <c r="A80">
        <v>209</v>
      </c>
      <c r="B80" t="s">
        <v>34</v>
      </c>
      <c r="D80" s="37" t="s">
        <v>338</v>
      </c>
    </row>
    <row r="81" spans="1:4" x14ac:dyDescent="0.25">
      <c r="A81">
        <v>210</v>
      </c>
      <c r="B81" t="s">
        <v>34</v>
      </c>
      <c r="D81" s="37" t="s">
        <v>339</v>
      </c>
    </row>
    <row r="82" spans="1:4" x14ac:dyDescent="0.25">
      <c r="A82">
        <v>211</v>
      </c>
      <c r="B82" t="s">
        <v>34</v>
      </c>
      <c r="D82" s="37" t="s">
        <v>340</v>
      </c>
    </row>
    <row r="83" spans="1:4" x14ac:dyDescent="0.25">
      <c r="A83">
        <v>212</v>
      </c>
      <c r="B83" t="s">
        <v>34</v>
      </c>
      <c r="D83" s="37" t="s">
        <v>341</v>
      </c>
    </row>
    <row r="84" spans="1:4" x14ac:dyDescent="0.25">
      <c r="A84">
        <v>213</v>
      </c>
      <c r="B84" t="s">
        <v>34</v>
      </c>
      <c r="D84" s="37" t="s">
        <v>342</v>
      </c>
    </row>
    <row r="85" spans="1:4" x14ac:dyDescent="0.25">
      <c r="A85">
        <v>214</v>
      </c>
      <c r="B85" t="s">
        <v>34</v>
      </c>
      <c r="D85" s="37" t="s">
        <v>343</v>
      </c>
    </row>
    <row r="86" spans="1:4" x14ac:dyDescent="0.25">
      <c r="A86">
        <v>215</v>
      </c>
      <c r="B86" t="s">
        <v>34</v>
      </c>
    </row>
    <row r="87" spans="1:4" x14ac:dyDescent="0.25">
      <c r="A87">
        <v>216</v>
      </c>
      <c r="B87" t="s">
        <v>34</v>
      </c>
    </row>
    <row r="88" spans="1:4" x14ac:dyDescent="0.25">
      <c r="A88">
        <v>217</v>
      </c>
      <c r="B88" t="s">
        <v>34</v>
      </c>
      <c r="C88" s="37" t="s">
        <v>34</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x14ac:dyDescent="0.2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x14ac:dyDescent="0.25">
      <c r="A2" s="24" t="s">
        <v>344</v>
      </c>
      <c r="B2" s="24" t="s">
        <v>148</v>
      </c>
      <c r="C2" s="24" t="s">
        <v>34</v>
      </c>
      <c r="D2" s="24">
        <v>1</v>
      </c>
      <c r="E2" s="24" t="s">
        <v>34</v>
      </c>
      <c r="F2" s="24">
        <v>732</v>
      </c>
      <c r="I2">
        <v>1</v>
      </c>
      <c r="J2" t="s">
        <v>34</v>
      </c>
      <c r="K2">
        <v>732</v>
      </c>
      <c r="L2" t="s">
        <v>35</v>
      </c>
      <c r="M2" t="s">
        <v>34</v>
      </c>
    </row>
    <row r="3" spans="1:13" x14ac:dyDescent="0.25">
      <c r="A3" s="24" t="s">
        <v>345</v>
      </c>
      <c r="B3" s="24" t="s">
        <v>346</v>
      </c>
      <c r="C3" s="24">
        <v>1</v>
      </c>
      <c r="D3" s="24">
        <v>11</v>
      </c>
      <c r="E3" s="24">
        <v>15</v>
      </c>
      <c r="F3" s="24">
        <v>5</v>
      </c>
      <c r="I3">
        <v>542</v>
      </c>
      <c r="J3">
        <v>543</v>
      </c>
      <c r="K3">
        <v>2</v>
      </c>
      <c r="L3" t="s">
        <v>167</v>
      </c>
      <c r="M3" t="s">
        <v>40</v>
      </c>
    </row>
    <row r="4" spans="1:13" x14ac:dyDescent="0.25">
      <c r="A4" s="24" t="s">
        <v>347</v>
      </c>
      <c r="B4" s="24" t="s">
        <v>348</v>
      </c>
      <c r="C4" s="24">
        <v>3</v>
      </c>
      <c r="D4" s="24">
        <v>314</v>
      </c>
      <c r="E4" s="24">
        <v>318</v>
      </c>
      <c r="F4" s="24">
        <v>5</v>
      </c>
      <c r="H4" t="s">
        <v>95</v>
      </c>
      <c r="I4">
        <v>724</v>
      </c>
      <c r="J4">
        <v>726</v>
      </c>
      <c r="K4">
        <v>3</v>
      </c>
      <c r="L4" t="s">
        <v>96</v>
      </c>
      <c r="M4" t="s">
        <v>40</v>
      </c>
    </row>
    <row r="5" spans="1:13" x14ac:dyDescent="0.25">
      <c r="A5" s="24" t="s">
        <v>349</v>
      </c>
      <c r="B5" s="24" t="s">
        <v>350</v>
      </c>
      <c r="C5" s="24">
        <v>112</v>
      </c>
      <c r="D5" s="24">
        <v>358</v>
      </c>
      <c r="E5" s="24">
        <v>362</v>
      </c>
      <c r="F5" s="24">
        <v>5</v>
      </c>
      <c r="H5" t="s">
        <v>351</v>
      </c>
      <c r="I5">
        <v>727</v>
      </c>
      <c r="J5">
        <v>727</v>
      </c>
      <c r="K5">
        <v>1</v>
      </c>
      <c r="L5" t="s">
        <v>352</v>
      </c>
      <c r="M5" t="s">
        <v>40</v>
      </c>
    </row>
    <row r="6" spans="1:13" x14ac:dyDescent="0.25">
      <c r="A6" s="24" t="s">
        <v>353</v>
      </c>
      <c r="B6" s="24" t="s">
        <v>354</v>
      </c>
      <c r="C6" s="24">
        <v>113</v>
      </c>
      <c r="D6" s="24">
        <v>492</v>
      </c>
      <c r="E6" s="24">
        <v>496</v>
      </c>
      <c r="F6" s="24">
        <v>5</v>
      </c>
      <c r="H6" t="s">
        <v>355</v>
      </c>
      <c r="I6">
        <v>728</v>
      </c>
      <c r="J6">
        <v>729</v>
      </c>
      <c r="K6">
        <v>2</v>
      </c>
      <c r="L6" t="s">
        <v>356</v>
      </c>
      <c r="M6" t="s">
        <v>40</v>
      </c>
    </row>
    <row r="7" spans="1:13" x14ac:dyDescent="0.25">
      <c r="A7" s="24" t="s">
        <v>357</v>
      </c>
      <c r="B7" s="24" t="s">
        <v>358</v>
      </c>
      <c r="C7" s="24">
        <v>6</v>
      </c>
      <c r="D7" s="24">
        <v>598</v>
      </c>
      <c r="E7" s="24">
        <v>602</v>
      </c>
      <c r="F7" s="24">
        <v>3</v>
      </c>
      <c r="H7" t="s">
        <v>359</v>
      </c>
      <c r="I7">
        <v>730</v>
      </c>
      <c r="J7">
        <v>732</v>
      </c>
      <c r="K7">
        <v>3</v>
      </c>
      <c r="L7" t="s">
        <v>360</v>
      </c>
      <c r="M7" t="s">
        <v>40</v>
      </c>
    </row>
    <row r="9" spans="1:13" x14ac:dyDescent="0.25">
      <c r="D9" t="s">
        <v>361</v>
      </c>
    </row>
    <row r="10" spans="1:13" x14ac:dyDescent="0.25">
      <c r="A10" s="31" t="s">
        <v>362</v>
      </c>
      <c r="B10" s="43" t="s">
        <v>363</v>
      </c>
      <c r="C10" t="s">
        <v>363</v>
      </c>
      <c r="D10" t="s">
        <v>364</v>
      </c>
      <c r="E10" t="s">
        <v>365</v>
      </c>
    </row>
    <row r="11" spans="1:13" x14ac:dyDescent="0.25">
      <c r="A11" s="31" t="s">
        <v>366</v>
      </c>
      <c r="B11" t="s">
        <v>367</v>
      </c>
      <c r="C11" t="s">
        <v>368</v>
      </c>
      <c r="D11" t="s">
        <v>346</v>
      </c>
      <c r="E11" t="s">
        <v>369</v>
      </c>
    </row>
    <row r="12" spans="1:13" x14ac:dyDescent="0.25">
      <c r="A12" s="31" t="s">
        <v>370</v>
      </c>
      <c r="B12" t="s">
        <v>371</v>
      </c>
      <c r="C12" t="s">
        <v>372</v>
      </c>
      <c r="D12" t="s">
        <v>373</v>
      </c>
      <c r="E12" s="50" t="s">
        <v>374</v>
      </c>
    </row>
    <row r="13" spans="1:13" x14ac:dyDescent="0.25">
      <c r="A13" s="31" t="s">
        <v>375</v>
      </c>
      <c r="B13" t="s">
        <v>376</v>
      </c>
      <c r="C13" t="s">
        <v>355</v>
      </c>
      <c r="D13" t="s">
        <v>377</v>
      </c>
      <c r="E13" s="49" t="s">
        <v>378</v>
      </c>
    </row>
    <row r="14" spans="1:13" x14ac:dyDescent="0.25">
      <c r="A14" s="29" t="s">
        <v>379</v>
      </c>
      <c r="B14" t="s">
        <v>351</v>
      </c>
      <c r="C14" t="s">
        <v>351</v>
      </c>
      <c r="D14" t="s">
        <v>380</v>
      </c>
      <c r="E14" s="35" t="s">
        <v>381</v>
      </c>
    </row>
    <row r="15" spans="1:13" x14ac:dyDescent="0.25">
      <c r="A15" s="29" t="s">
        <v>382</v>
      </c>
      <c r="B15" t="s">
        <v>383</v>
      </c>
      <c r="C15" t="s">
        <v>384</v>
      </c>
      <c r="D15" t="s">
        <v>385</v>
      </c>
      <c r="E15" s="35" t="s">
        <v>386</v>
      </c>
    </row>
    <row r="16" spans="1:13" x14ac:dyDescent="0.25">
      <c r="A16" s="32" t="s">
        <v>387</v>
      </c>
      <c r="B16" t="s">
        <v>388</v>
      </c>
      <c r="C16" t="s">
        <v>389</v>
      </c>
      <c r="D16" t="s">
        <v>390</v>
      </c>
      <c r="E16" s="45" t="s">
        <v>391</v>
      </c>
      <c r="F16" s="45" t="s">
        <v>392</v>
      </c>
      <c r="G16" s="45"/>
    </row>
    <row r="17" spans="1:8" x14ac:dyDescent="0.25">
      <c r="A17" s="29" t="s">
        <v>393</v>
      </c>
      <c r="B17" t="s">
        <v>394</v>
      </c>
      <c r="C17" t="s">
        <v>394</v>
      </c>
      <c r="D17" t="s">
        <v>348</v>
      </c>
      <c r="E17" s="35" t="s">
        <v>395</v>
      </c>
    </row>
    <row r="18" spans="1:8" x14ac:dyDescent="0.25">
      <c r="A18" s="29" t="s">
        <v>396</v>
      </c>
      <c r="B18" t="s">
        <v>397</v>
      </c>
      <c r="C18" t="s">
        <v>398</v>
      </c>
      <c r="D18" t="s">
        <v>399</v>
      </c>
      <c r="E18" s="35" t="s">
        <v>400</v>
      </c>
    </row>
    <row r="19" spans="1:8" x14ac:dyDescent="0.25">
      <c r="A19" s="29" t="s">
        <v>401</v>
      </c>
      <c r="B19" t="s">
        <v>402</v>
      </c>
      <c r="C19" t="s">
        <v>403</v>
      </c>
      <c r="D19" t="s">
        <v>404</v>
      </c>
      <c r="E19" s="47" t="s">
        <v>405</v>
      </c>
    </row>
    <row r="20" spans="1:8" x14ac:dyDescent="0.25">
      <c r="A20" s="29" t="s">
        <v>406</v>
      </c>
      <c r="B20" t="s">
        <v>407</v>
      </c>
      <c r="C20" t="s">
        <v>408</v>
      </c>
      <c r="D20" t="s">
        <v>409</v>
      </c>
      <c r="E20" s="47" t="s">
        <v>410</v>
      </c>
      <c r="H20" t="s">
        <v>411</v>
      </c>
    </row>
    <row r="21" spans="1:8" x14ac:dyDescent="0.25">
      <c r="A21" s="29" t="s">
        <v>412</v>
      </c>
      <c r="B21" t="s">
        <v>413</v>
      </c>
      <c r="C21" t="s">
        <v>414</v>
      </c>
      <c r="D21" t="s">
        <v>415</v>
      </c>
      <c r="E21" s="47" t="s">
        <v>416</v>
      </c>
      <c r="G21">
        <v>6</v>
      </c>
    </row>
    <row r="22" spans="1:8" x14ac:dyDescent="0.25">
      <c r="A22" s="29" t="s">
        <v>417</v>
      </c>
      <c r="B22" t="s">
        <v>418</v>
      </c>
      <c r="C22" t="s">
        <v>419</v>
      </c>
      <c r="D22" t="s">
        <v>420</v>
      </c>
      <c r="E22" s="47" t="s">
        <v>421</v>
      </c>
      <c r="G22">
        <v>10</v>
      </c>
    </row>
    <row r="23" spans="1:8" x14ac:dyDescent="0.25">
      <c r="A23" s="32" t="s">
        <v>422</v>
      </c>
      <c r="B23" t="s">
        <v>423</v>
      </c>
      <c r="C23" t="s">
        <v>424</v>
      </c>
      <c r="D23" t="s">
        <v>425</v>
      </c>
      <c r="G23">
        <v>3</v>
      </c>
    </row>
    <row r="24" spans="1:8" x14ac:dyDescent="0.25">
      <c r="A24" s="29" t="s">
        <v>426</v>
      </c>
      <c r="B24" t="s">
        <v>427</v>
      </c>
      <c r="C24" s="49" t="s">
        <v>428</v>
      </c>
      <c r="D24" t="s">
        <v>350</v>
      </c>
      <c r="E24" s="35" t="s">
        <v>429</v>
      </c>
      <c r="G24">
        <v>2</v>
      </c>
    </row>
    <row r="25" spans="1:8" x14ac:dyDescent="0.25">
      <c r="A25" s="29" t="s">
        <v>430</v>
      </c>
      <c r="B25" t="s">
        <v>431</v>
      </c>
      <c r="C25" t="s">
        <v>432</v>
      </c>
      <c r="D25" t="s">
        <v>433</v>
      </c>
      <c r="E25" s="35" t="s">
        <v>434</v>
      </c>
      <c r="G25">
        <v>1</v>
      </c>
    </row>
    <row r="26" spans="1:8" x14ac:dyDescent="0.25">
      <c r="A26" s="29" t="s">
        <v>435</v>
      </c>
      <c r="B26" s="48" t="s">
        <v>436</v>
      </c>
      <c r="C26" s="45" t="s">
        <v>437</v>
      </c>
      <c r="D26" t="s">
        <v>438</v>
      </c>
      <c r="E26" s="47" t="s">
        <v>439</v>
      </c>
      <c r="G26">
        <v>2</v>
      </c>
    </row>
    <row r="27" spans="1:8" x14ac:dyDescent="0.25">
      <c r="A27" s="29" t="s">
        <v>440</v>
      </c>
      <c r="B27" t="s">
        <v>441</v>
      </c>
      <c r="C27" s="45" t="s">
        <v>442</v>
      </c>
      <c r="D27" t="s">
        <v>443</v>
      </c>
      <c r="E27" s="47" t="s">
        <v>444</v>
      </c>
      <c r="G27">
        <v>10</v>
      </c>
    </row>
    <row r="28" spans="1:8" x14ac:dyDescent="0.25">
      <c r="A28" s="31" t="s">
        <v>445</v>
      </c>
      <c r="B28" t="s">
        <v>446</v>
      </c>
      <c r="C28" s="45" t="s">
        <v>447</v>
      </c>
      <c r="D28" t="s">
        <v>448</v>
      </c>
      <c r="E28" t="s">
        <v>449</v>
      </c>
      <c r="G28">
        <v>4</v>
      </c>
    </row>
    <row r="29" spans="1:8" x14ac:dyDescent="0.25">
      <c r="A29" s="29" t="s">
        <v>450</v>
      </c>
      <c r="B29" t="s">
        <v>451</v>
      </c>
      <c r="C29" t="s">
        <v>452</v>
      </c>
      <c r="D29" t="s">
        <v>453</v>
      </c>
      <c r="E29" s="35" t="s">
        <v>454</v>
      </c>
      <c r="G29">
        <v>11</v>
      </c>
    </row>
    <row r="30" spans="1:8" x14ac:dyDescent="0.25">
      <c r="A30" s="29" t="s">
        <v>455</v>
      </c>
      <c r="B30" t="s">
        <v>456</v>
      </c>
      <c r="C30" s="45" t="s">
        <v>457</v>
      </c>
      <c r="D30" t="s">
        <v>458</v>
      </c>
      <c r="E30" s="47" t="s">
        <v>459</v>
      </c>
      <c r="G30">
        <v>10</v>
      </c>
    </row>
    <row r="31" spans="1:8" x14ac:dyDescent="0.25">
      <c r="A31" s="32" t="s">
        <v>460</v>
      </c>
      <c r="B31" t="s">
        <v>461</v>
      </c>
      <c r="C31" t="s">
        <v>462</v>
      </c>
      <c r="D31" t="s">
        <v>463</v>
      </c>
      <c r="E31" s="45" t="s">
        <v>464</v>
      </c>
      <c r="G31">
        <v>5</v>
      </c>
    </row>
    <row r="32" spans="1:8" x14ac:dyDescent="0.25">
      <c r="A32" s="32" t="s">
        <v>465</v>
      </c>
      <c r="B32" s="44" t="s">
        <v>466</v>
      </c>
      <c r="C32" t="s">
        <v>467</v>
      </c>
      <c r="D32" t="s">
        <v>468</v>
      </c>
      <c r="E32" s="45" t="s">
        <v>469</v>
      </c>
      <c r="G32">
        <v>4</v>
      </c>
    </row>
    <row r="33" spans="1:7" x14ac:dyDescent="0.25">
      <c r="A33" s="29" t="s">
        <v>470</v>
      </c>
      <c r="B33" t="s">
        <v>471</v>
      </c>
      <c r="C33" t="s">
        <v>472</v>
      </c>
      <c r="D33" t="s">
        <v>354</v>
      </c>
      <c r="E33" s="35" t="s">
        <v>473</v>
      </c>
      <c r="G33">
        <v>9</v>
      </c>
    </row>
    <row r="34" spans="1:7" x14ac:dyDescent="0.25">
      <c r="A34" s="29" t="s">
        <v>474</v>
      </c>
      <c r="B34" t="s">
        <v>475</v>
      </c>
      <c r="C34" t="s">
        <v>476</v>
      </c>
      <c r="D34" t="s">
        <v>477</v>
      </c>
      <c r="E34" s="35" t="s">
        <v>478</v>
      </c>
      <c r="G34">
        <v>4</v>
      </c>
    </row>
    <row r="35" spans="1:7" x14ac:dyDescent="0.25">
      <c r="A35" s="31" t="s">
        <v>479</v>
      </c>
      <c r="C35" s="45" t="s">
        <v>351</v>
      </c>
      <c r="D35" t="s">
        <v>480</v>
      </c>
      <c r="E35" t="s">
        <v>481</v>
      </c>
      <c r="G35">
        <v>5</v>
      </c>
    </row>
    <row r="36" spans="1:7" x14ac:dyDescent="0.25">
      <c r="A36" s="31" t="s">
        <v>482</v>
      </c>
      <c r="C36" s="45" t="s">
        <v>355</v>
      </c>
      <c r="D36" t="s">
        <v>483</v>
      </c>
      <c r="E36" t="s">
        <v>484</v>
      </c>
      <c r="G36">
        <v>7</v>
      </c>
    </row>
    <row r="37" spans="1:7" x14ac:dyDescent="0.25">
      <c r="A37" s="29" t="s">
        <v>485</v>
      </c>
      <c r="C37" s="45" t="s">
        <v>486</v>
      </c>
      <c r="D37" t="s">
        <v>487</v>
      </c>
      <c r="E37" s="35" t="s">
        <v>488</v>
      </c>
      <c r="G37">
        <v>6</v>
      </c>
    </row>
    <row r="38" spans="1:7" x14ac:dyDescent="0.25">
      <c r="A38" s="31" t="s">
        <v>489</v>
      </c>
      <c r="C38" t="s">
        <v>394</v>
      </c>
      <c r="D38" t="s">
        <v>490</v>
      </c>
      <c r="E38" t="s">
        <v>491</v>
      </c>
      <c r="G38">
        <v>10</v>
      </c>
    </row>
    <row r="39" spans="1:7" x14ac:dyDescent="0.25">
      <c r="A39" s="29" t="s">
        <v>492</v>
      </c>
      <c r="C39" t="s">
        <v>398</v>
      </c>
      <c r="D39" t="s">
        <v>358</v>
      </c>
      <c r="E39" s="35" t="s">
        <v>493</v>
      </c>
      <c r="G39">
        <v>17</v>
      </c>
    </row>
    <row r="40" spans="1:7" x14ac:dyDescent="0.25">
      <c r="A40" s="29" t="s">
        <v>494</v>
      </c>
      <c r="C40" t="s">
        <v>403</v>
      </c>
      <c r="D40" t="s">
        <v>495</v>
      </c>
      <c r="E40" s="35" t="s">
        <v>496</v>
      </c>
      <c r="G40">
        <v>17</v>
      </c>
    </row>
    <row r="41" spans="1:7" x14ac:dyDescent="0.25">
      <c r="A41" s="29" t="s">
        <v>497</v>
      </c>
      <c r="C41" t="s">
        <v>408</v>
      </c>
      <c r="D41" t="s">
        <v>497</v>
      </c>
      <c r="E41" s="47" t="s">
        <v>498</v>
      </c>
      <c r="G41">
        <v>10</v>
      </c>
    </row>
    <row r="42" spans="1:7" x14ac:dyDescent="0.25">
      <c r="A42" s="29" t="s">
        <v>499</v>
      </c>
      <c r="C42" s="46" t="s">
        <v>500</v>
      </c>
      <c r="D42" t="s">
        <v>501</v>
      </c>
      <c r="E42" s="47" t="s">
        <v>502</v>
      </c>
      <c r="G42">
        <v>1</v>
      </c>
    </row>
    <row r="43" spans="1:7" x14ac:dyDescent="0.25">
      <c r="A43" s="29" t="s">
        <v>503</v>
      </c>
      <c r="C43" s="46" t="s">
        <v>504</v>
      </c>
      <c r="D43" t="s">
        <v>505</v>
      </c>
      <c r="E43" s="35" t="s">
        <v>506</v>
      </c>
      <c r="G43">
        <v>4</v>
      </c>
    </row>
    <row r="44" spans="1:7" x14ac:dyDescent="0.25">
      <c r="A44" s="29" t="s">
        <v>507</v>
      </c>
      <c r="C44" s="46" t="s">
        <v>508</v>
      </c>
      <c r="D44" t="s">
        <v>509</v>
      </c>
      <c r="E44" s="47" t="s">
        <v>510</v>
      </c>
      <c r="G44">
        <v>50</v>
      </c>
    </row>
    <row r="45" spans="1:7" x14ac:dyDescent="0.25">
      <c r="A45" s="29" t="s">
        <v>511</v>
      </c>
      <c r="D45" t="s">
        <v>512</v>
      </c>
      <c r="E45" s="47" t="s">
        <v>513</v>
      </c>
      <c r="G45">
        <v>10</v>
      </c>
    </row>
    <row r="46" spans="1:7" x14ac:dyDescent="0.25">
      <c r="A46" s="31"/>
      <c r="C46" t="s">
        <v>514</v>
      </c>
      <c r="D46" t="s">
        <v>515</v>
      </c>
      <c r="E46" s="50" t="s">
        <v>516</v>
      </c>
      <c r="G46">
        <v>1</v>
      </c>
    </row>
    <row r="47" spans="1:7" x14ac:dyDescent="0.25">
      <c r="A47" s="31"/>
      <c r="C47" t="s">
        <v>517</v>
      </c>
      <c r="D47" t="s">
        <v>518</v>
      </c>
      <c r="E47" s="49" t="s">
        <v>519</v>
      </c>
      <c r="G47">
        <v>2</v>
      </c>
    </row>
    <row r="48" spans="1:7" x14ac:dyDescent="0.25">
      <c r="A48" s="31"/>
      <c r="C48" t="s">
        <v>520</v>
      </c>
      <c r="D48" t="s">
        <v>521</v>
      </c>
      <c r="E48" t="s">
        <v>522</v>
      </c>
      <c r="G48">
        <v>3</v>
      </c>
    </row>
    <row r="49" spans="1:8" x14ac:dyDescent="0.25">
      <c r="A49" s="31"/>
      <c r="C49" t="s">
        <v>523</v>
      </c>
      <c r="D49" t="s">
        <v>524</v>
      </c>
      <c r="E49" t="s">
        <v>525</v>
      </c>
      <c r="G49">
        <v>15</v>
      </c>
    </row>
    <row r="50" spans="1:8" x14ac:dyDescent="0.25">
      <c r="A50" s="31" t="s">
        <v>526</v>
      </c>
      <c r="C50" t="s">
        <v>527</v>
      </c>
      <c r="D50" t="s">
        <v>528</v>
      </c>
      <c r="E50" s="45" t="s">
        <v>529</v>
      </c>
      <c r="G50">
        <v>10</v>
      </c>
    </row>
    <row r="51" spans="1:8" x14ac:dyDescent="0.25">
      <c r="C51" t="s">
        <v>530</v>
      </c>
      <c r="E51" s="45" t="s">
        <v>531</v>
      </c>
      <c r="G51">
        <v>5</v>
      </c>
    </row>
    <row r="52" spans="1:8" x14ac:dyDescent="0.25">
      <c r="C52" t="s">
        <v>532</v>
      </c>
      <c r="E52" s="45" t="s">
        <v>533</v>
      </c>
      <c r="G52">
        <v>4</v>
      </c>
    </row>
    <row r="53" spans="1:8" x14ac:dyDescent="0.25">
      <c r="C53" t="s">
        <v>534</v>
      </c>
      <c r="E53" s="45" t="s">
        <v>535</v>
      </c>
      <c r="G53">
        <v>11</v>
      </c>
    </row>
    <row r="54" spans="1:8" x14ac:dyDescent="0.25">
      <c r="C54" s="49" t="s">
        <v>536</v>
      </c>
      <c r="E54" s="45" t="s">
        <v>537</v>
      </c>
      <c r="G54">
        <v>2</v>
      </c>
      <c r="H54">
        <f>SUM(G21:G54)</f>
        <v>271</v>
      </c>
    </row>
    <row r="55" spans="1:8" x14ac:dyDescent="0.25">
      <c r="C55" s="49" t="s">
        <v>538</v>
      </c>
      <c r="E55" s="45" t="s">
        <v>539</v>
      </c>
    </row>
    <row r="56" spans="1:8" x14ac:dyDescent="0.25">
      <c r="C56" t="s">
        <v>540</v>
      </c>
      <c r="E56" s="45" t="s">
        <v>541</v>
      </c>
    </row>
    <row r="57" spans="1:8" x14ac:dyDescent="0.25">
      <c r="C57" t="s">
        <v>542</v>
      </c>
    </row>
    <row r="58" spans="1:8" x14ac:dyDescent="0.25">
      <c r="C58" t="s">
        <v>543</v>
      </c>
    </row>
    <row r="59" spans="1:8" x14ac:dyDescent="0.25">
      <c r="C59" t="s">
        <v>544</v>
      </c>
    </row>
    <row r="61" spans="1:8" x14ac:dyDescent="0.25">
      <c r="B61" t="s">
        <v>545</v>
      </c>
      <c r="C61" s="45" t="s">
        <v>546</v>
      </c>
    </row>
    <row r="62" spans="1:8" x14ac:dyDescent="0.25">
      <c r="C62" s="45" t="s">
        <v>547</v>
      </c>
    </row>
    <row r="63" spans="1:8" x14ac:dyDescent="0.25">
      <c r="C63" s="45" t="s">
        <v>95</v>
      </c>
    </row>
    <row r="64" spans="1:8" x14ac:dyDescent="0.25">
      <c r="C64" s="45" t="s">
        <v>359</v>
      </c>
    </row>
    <row r="65" spans="2:3" x14ac:dyDescent="0.25">
      <c r="C65" t="s">
        <v>548</v>
      </c>
    </row>
    <row r="66" spans="2:3" x14ac:dyDescent="0.25">
      <c r="C66" t="s">
        <v>549</v>
      </c>
    </row>
    <row r="67" spans="2:3" x14ac:dyDescent="0.25">
      <c r="C67" s="45" t="s">
        <v>550</v>
      </c>
    </row>
    <row r="68" spans="2:3" x14ac:dyDescent="0.25">
      <c r="C68" t="s">
        <v>373</v>
      </c>
    </row>
    <row r="70" spans="2:3" x14ac:dyDescent="0.25">
      <c r="B70" t="s">
        <v>551</v>
      </c>
      <c r="C70" s="50" t="s">
        <v>552</v>
      </c>
    </row>
    <row r="71" spans="2:3" x14ac:dyDescent="0.25">
      <c r="C71" s="50" t="s">
        <v>373</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x14ac:dyDescent="0.2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x14ac:dyDescent="0.25">
      <c r="A1" s="34" t="s">
        <v>553</v>
      </c>
      <c r="B1" s="40" t="s">
        <v>554</v>
      </c>
      <c r="C1" s="34" t="s">
        <v>555</v>
      </c>
      <c r="D1" s="34" t="s">
        <v>556</v>
      </c>
      <c r="E1" s="34" t="s">
        <v>557</v>
      </c>
      <c r="F1" s="34" t="s">
        <v>556</v>
      </c>
    </row>
    <row r="2" spans="1:7" ht="30" x14ac:dyDescent="0.25">
      <c r="A2" s="173" t="s">
        <v>558</v>
      </c>
      <c r="B2" s="39" t="s">
        <v>559</v>
      </c>
      <c r="C2" s="30"/>
      <c r="D2" s="41"/>
      <c r="E2" s="30" t="s">
        <v>560</v>
      </c>
      <c r="F2" s="41" t="s">
        <v>561</v>
      </c>
    </row>
    <row r="3" spans="1:7" ht="30" x14ac:dyDescent="0.25">
      <c r="A3" s="174"/>
      <c r="B3" s="40" t="s">
        <v>562</v>
      </c>
      <c r="C3" s="34" t="s">
        <v>563</v>
      </c>
      <c r="D3" s="34" t="s">
        <v>564</v>
      </c>
      <c r="E3" s="34" t="s">
        <v>565</v>
      </c>
      <c r="F3" s="34" t="s">
        <v>561</v>
      </c>
    </row>
    <row r="4" spans="1:7" ht="30" x14ac:dyDescent="0.25">
      <c r="A4" s="175"/>
      <c r="B4" s="24" t="s">
        <v>566</v>
      </c>
      <c r="C4" s="34" t="s">
        <v>567</v>
      </c>
      <c r="D4" s="34"/>
      <c r="E4" s="34" t="s">
        <v>568</v>
      </c>
      <c r="F4" s="34" t="s">
        <v>561</v>
      </c>
    </row>
    <row r="5" spans="1:7" ht="30" x14ac:dyDescent="0.25">
      <c r="A5" s="34" t="s">
        <v>569</v>
      </c>
      <c r="B5" s="28" t="s">
        <v>570</v>
      </c>
      <c r="C5" s="28" t="s">
        <v>571</v>
      </c>
      <c r="D5" s="34" t="s">
        <v>572</v>
      </c>
      <c r="E5" s="34"/>
      <c r="F5" s="34"/>
    </row>
    <row r="6" spans="1:7" x14ac:dyDescent="0.25">
      <c r="A6" s="34"/>
      <c r="B6" s="34"/>
      <c r="C6" s="34"/>
      <c r="D6" s="34"/>
      <c r="E6" s="34"/>
      <c r="F6" s="34"/>
    </row>
    <row r="7" spans="1:7" ht="30" x14ac:dyDescent="0.25">
      <c r="A7" s="34"/>
      <c r="B7" s="28"/>
      <c r="C7" s="28" t="s">
        <v>573</v>
      </c>
      <c r="D7" s="34"/>
      <c r="E7" s="34"/>
      <c r="F7" s="34"/>
      <c r="G7" s="34" t="s">
        <v>574</v>
      </c>
    </row>
    <row r="8" spans="1:7" x14ac:dyDescent="0.25">
      <c r="A8" s="34"/>
      <c r="B8" s="34"/>
      <c r="C8" s="34"/>
      <c r="D8" s="34"/>
      <c r="E8" s="34"/>
      <c r="F8" s="34"/>
    </row>
    <row r="9" spans="1:7" x14ac:dyDescent="0.25">
      <c r="A9" s="34" t="s">
        <v>575</v>
      </c>
      <c r="B9" s="34"/>
      <c r="C9" s="34" t="s">
        <v>576</v>
      </c>
      <c r="D9" s="34"/>
      <c r="E9" s="34"/>
      <c r="F9" s="34"/>
    </row>
    <row r="10" spans="1:7" x14ac:dyDescent="0.25">
      <c r="A10" s="42"/>
      <c r="B10" s="42"/>
      <c r="C10" s="42"/>
      <c r="D10" s="42"/>
      <c r="E10" s="34"/>
      <c r="F10" s="34"/>
    </row>
    <row r="11" spans="1:7" x14ac:dyDescent="0.25">
      <c r="A11" s="34" t="s">
        <v>577</v>
      </c>
      <c r="B11" s="34"/>
      <c r="C11" s="34" t="s">
        <v>578</v>
      </c>
      <c r="D11" s="34"/>
      <c r="E11" s="34"/>
      <c r="F11" s="34"/>
    </row>
    <row r="12" spans="1:7" x14ac:dyDescent="0.25">
      <c r="A12" s="34" t="s">
        <v>577</v>
      </c>
      <c r="B12" s="34"/>
      <c r="C12" s="34" t="s">
        <v>579</v>
      </c>
      <c r="D12" s="34"/>
      <c r="E12" s="34"/>
      <c r="F12" s="34"/>
    </row>
    <row r="13" spans="1:7" x14ac:dyDescent="0.25">
      <c r="A13" s="34" t="s">
        <v>577</v>
      </c>
      <c r="B13" s="34" t="s">
        <v>580</v>
      </c>
      <c r="C13" s="34" t="s">
        <v>581</v>
      </c>
      <c r="D13" s="34"/>
      <c r="E13" s="34" t="s">
        <v>582</v>
      </c>
      <c r="F13" s="34"/>
    </row>
    <row r="14" spans="1:7" x14ac:dyDescent="0.25">
      <c r="A14" s="34" t="s">
        <v>577</v>
      </c>
      <c r="B14" s="34" t="s">
        <v>583</v>
      </c>
      <c r="C14" s="34" t="s">
        <v>584</v>
      </c>
      <c r="D14" s="34"/>
      <c r="E14" s="34" t="s">
        <v>585</v>
      </c>
      <c r="F14" s="34"/>
    </row>
    <row r="15" spans="1:7" x14ac:dyDescent="0.25">
      <c r="A15" s="34"/>
      <c r="B15" s="34"/>
      <c r="C15" s="34"/>
      <c r="D15" s="34"/>
      <c r="E15" s="34"/>
      <c r="F15" s="34"/>
    </row>
    <row r="16" spans="1:7" x14ac:dyDescent="0.25">
      <c r="A16" s="173" t="s">
        <v>586</v>
      </c>
      <c r="B16" s="173" t="s">
        <v>587</v>
      </c>
      <c r="C16" s="34" t="s">
        <v>588</v>
      </c>
      <c r="D16" s="34" t="s">
        <v>204</v>
      </c>
      <c r="E16" s="34" t="s">
        <v>589</v>
      </c>
      <c r="F16" s="34"/>
    </row>
    <row r="17" spans="1:6" x14ac:dyDescent="0.25">
      <c r="A17" s="174"/>
      <c r="B17" s="174"/>
      <c r="C17" s="34" t="s">
        <v>590</v>
      </c>
      <c r="D17" s="34" t="s">
        <v>204</v>
      </c>
      <c r="E17" s="34" t="s">
        <v>591</v>
      </c>
      <c r="F17" s="34"/>
    </row>
    <row r="18" spans="1:6" x14ac:dyDescent="0.25">
      <c r="A18" s="174"/>
      <c r="B18" s="174"/>
      <c r="C18" s="34" t="s">
        <v>592</v>
      </c>
      <c r="D18" s="34" t="s">
        <v>204</v>
      </c>
      <c r="E18" s="34" t="s">
        <v>593</v>
      </c>
      <c r="F18" s="34"/>
    </row>
    <row r="19" spans="1:6" x14ac:dyDescent="0.25">
      <c r="A19" s="175"/>
      <c r="B19" s="175"/>
      <c r="C19" s="34" t="s">
        <v>594</v>
      </c>
      <c r="D19" s="34" t="s">
        <v>204</v>
      </c>
      <c r="E19" s="34" t="s">
        <v>595</v>
      </c>
      <c r="F19" s="34"/>
    </row>
    <row r="20" spans="1:6" x14ac:dyDescent="0.25">
      <c r="A20" s="34"/>
      <c r="B20" s="34"/>
      <c r="C20" s="34"/>
      <c r="D20" s="34"/>
      <c r="E20" s="34"/>
      <c r="F20" s="34"/>
    </row>
    <row r="21" spans="1:6" ht="30" x14ac:dyDescent="0.25">
      <c r="A21" s="34" t="s">
        <v>596</v>
      </c>
      <c r="B21" s="34" t="s">
        <v>597</v>
      </c>
      <c r="C21" s="34" t="s">
        <v>598</v>
      </c>
      <c r="D21" s="34" t="s">
        <v>599</v>
      </c>
      <c r="E21" s="34" t="s">
        <v>600</v>
      </c>
      <c r="F21" s="34"/>
    </row>
    <row r="22" spans="1:6" x14ac:dyDescent="0.25">
      <c r="A22" s="34"/>
      <c r="B22" s="34"/>
      <c r="C22" s="34"/>
      <c r="D22" s="34"/>
      <c r="E22" s="34"/>
      <c r="F22" s="34"/>
    </row>
    <row r="23" spans="1:6" x14ac:dyDescent="0.25">
      <c r="A23" s="34"/>
      <c r="B23" s="34"/>
      <c r="C23" s="34"/>
      <c r="D23" s="34"/>
      <c r="E23" s="34"/>
      <c r="F23" s="34"/>
    </row>
    <row r="24" spans="1:6" x14ac:dyDescent="0.25">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x14ac:dyDescent="0.25"/>
  <cols>
    <col min="1" max="1" width="10" bestFit="1" customWidth="1"/>
    <col min="2" max="2" width="40.42578125" bestFit="1" customWidth="1"/>
    <col min="3" max="3" width="44.42578125" customWidth="1"/>
    <col min="5" max="5" width="43.5703125" bestFit="1" customWidth="1"/>
    <col min="6" max="6" width="10" bestFit="1" customWidth="1"/>
  </cols>
  <sheetData>
    <row r="1" spans="1:6" x14ac:dyDescent="0.25">
      <c r="A1" s="23" t="s">
        <v>553</v>
      </c>
      <c r="B1" s="25" t="s">
        <v>554</v>
      </c>
      <c r="C1" s="23" t="s">
        <v>555</v>
      </c>
      <c r="D1" s="23" t="s">
        <v>556</v>
      </c>
      <c r="E1" s="23" t="s">
        <v>557</v>
      </c>
      <c r="F1" s="23" t="s">
        <v>556</v>
      </c>
    </row>
    <row r="2" spans="1:6" x14ac:dyDescent="0.25">
      <c r="A2" s="176" t="s">
        <v>558</v>
      </c>
      <c r="B2" s="38" t="s">
        <v>559</v>
      </c>
      <c r="C2" s="28"/>
      <c r="D2" s="23"/>
      <c r="E2" s="28" t="s">
        <v>560</v>
      </c>
      <c r="F2" s="23" t="s">
        <v>561</v>
      </c>
    </row>
    <row r="3" spans="1:6" x14ac:dyDescent="0.25">
      <c r="A3" s="177"/>
      <c r="B3" s="25" t="s">
        <v>562</v>
      </c>
      <c r="C3" s="23" t="s">
        <v>563</v>
      </c>
      <c r="D3" s="23" t="s">
        <v>564</v>
      </c>
      <c r="E3" s="23" t="s">
        <v>565</v>
      </c>
      <c r="F3" s="23" t="s">
        <v>561</v>
      </c>
    </row>
    <row r="4" spans="1:6" x14ac:dyDescent="0.25">
      <c r="A4" s="178"/>
      <c r="B4" t="s">
        <v>566</v>
      </c>
      <c r="C4" s="34" t="s">
        <v>567</v>
      </c>
      <c r="D4" s="23"/>
      <c r="E4" s="34" t="s">
        <v>568</v>
      </c>
      <c r="F4" s="23" t="s">
        <v>561</v>
      </c>
    </row>
    <row r="5" spans="1:6" x14ac:dyDescent="0.25">
      <c r="A5" s="23"/>
      <c r="B5" s="25"/>
      <c r="C5" s="23"/>
      <c r="D5" s="23"/>
      <c r="E5" s="23"/>
      <c r="F5" s="23"/>
    </row>
    <row r="6" spans="1:6" x14ac:dyDescent="0.25">
      <c r="A6" s="179" t="s">
        <v>601</v>
      </c>
      <c r="B6" s="23"/>
      <c r="C6" s="23" t="s">
        <v>602</v>
      </c>
      <c r="D6" s="23"/>
      <c r="E6" s="23" t="s">
        <v>603</v>
      </c>
      <c r="F6" s="25"/>
    </row>
    <row r="7" spans="1:6" x14ac:dyDescent="0.25">
      <c r="A7" s="179"/>
      <c r="B7" s="23"/>
      <c r="C7" s="23" t="s">
        <v>604</v>
      </c>
      <c r="D7" s="23"/>
      <c r="E7" s="23" t="s">
        <v>605</v>
      </c>
      <c r="F7" s="25"/>
    </row>
    <row r="8" spans="1:6" x14ac:dyDescent="0.25">
      <c r="A8" s="179"/>
      <c r="B8" s="23"/>
      <c r="C8" s="23" t="s">
        <v>606</v>
      </c>
      <c r="D8" s="23"/>
      <c r="E8" s="23" t="s">
        <v>607</v>
      </c>
    </row>
    <row r="9" spans="1:6" x14ac:dyDescent="0.25">
      <c r="A9" s="179"/>
      <c r="B9" s="23"/>
      <c r="C9" s="23" t="s">
        <v>608</v>
      </c>
      <c r="D9" s="23"/>
      <c r="E9" s="23" t="s">
        <v>609</v>
      </c>
    </row>
    <row r="10" spans="1:6" x14ac:dyDescent="0.25">
      <c r="A10" s="179"/>
      <c r="B10" s="23"/>
      <c r="C10" s="23" t="s">
        <v>610</v>
      </c>
      <c r="D10" s="23"/>
      <c r="E10" s="23" t="s">
        <v>611</v>
      </c>
    </row>
    <row r="11" spans="1:6" x14ac:dyDescent="0.25">
      <c r="A11" s="179"/>
      <c r="B11" s="23"/>
      <c r="C11" s="23" t="s">
        <v>612</v>
      </c>
      <c r="D11" s="23"/>
      <c r="E11" s="23" t="s">
        <v>613</v>
      </c>
    </row>
    <row r="12" spans="1:6" x14ac:dyDescent="0.25">
      <c r="A12" s="179"/>
      <c r="B12" s="23"/>
      <c r="C12" s="23" t="s">
        <v>614</v>
      </c>
      <c r="D12" s="23"/>
      <c r="E12" s="23" t="s">
        <v>615</v>
      </c>
    </row>
    <row r="13" spans="1:6" x14ac:dyDescent="0.25">
      <c r="A13" s="179"/>
      <c r="B13" s="23"/>
      <c r="C13" s="23" t="s">
        <v>616</v>
      </c>
      <c r="D13" s="23"/>
      <c r="E13" s="23" t="s">
        <v>617</v>
      </c>
    </row>
    <row r="14" spans="1:6" x14ac:dyDescent="0.25">
      <c r="A14" s="179"/>
      <c r="B14" s="23"/>
      <c r="C14" s="23" t="s">
        <v>618</v>
      </c>
      <c r="D14" s="23"/>
      <c r="E14" s="23" t="s">
        <v>619</v>
      </c>
    </row>
    <row r="15" spans="1:6" x14ac:dyDescent="0.25">
      <c r="A15" s="179"/>
      <c r="B15" s="23"/>
      <c r="C15" s="23" t="s">
        <v>620</v>
      </c>
      <c r="D15" s="23"/>
      <c r="E15" s="23" t="s">
        <v>621</v>
      </c>
    </row>
    <row r="16" spans="1:6" x14ac:dyDescent="0.25">
      <c r="A16" s="179"/>
      <c r="B16" s="23"/>
      <c r="C16" s="23" t="s">
        <v>622</v>
      </c>
      <c r="D16" s="23"/>
      <c r="E16" s="23" t="s">
        <v>623</v>
      </c>
    </row>
    <row r="17" spans="1:5" x14ac:dyDescent="0.25">
      <c r="A17" s="179"/>
      <c r="B17" s="23"/>
      <c r="C17" s="23" t="s">
        <v>624</v>
      </c>
      <c r="D17" s="23"/>
      <c r="E17" s="23" t="s">
        <v>625</v>
      </c>
    </row>
    <row r="18" spans="1:5" x14ac:dyDescent="0.25">
      <c r="A18" s="179"/>
      <c r="B18" s="23"/>
      <c r="C18" s="23" t="s">
        <v>626</v>
      </c>
      <c r="D18" s="23"/>
      <c r="E18" s="23" t="s">
        <v>627</v>
      </c>
    </row>
    <row r="19" spans="1:5" x14ac:dyDescent="0.25">
      <c r="A19" s="179"/>
      <c r="B19" s="23"/>
      <c r="C19" s="23" t="s">
        <v>628</v>
      </c>
      <c r="D19" s="23"/>
      <c r="E19" s="23" t="s">
        <v>629</v>
      </c>
    </row>
    <row r="20" spans="1:5" x14ac:dyDescent="0.25">
      <c r="A20" s="176" t="s">
        <v>630</v>
      </c>
      <c r="B20" s="23"/>
      <c r="C20" s="23" t="s">
        <v>631</v>
      </c>
      <c r="D20" s="23"/>
      <c r="E20" s="23" t="s">
        <v>632</v>
      </c>
    </row>
    <row r="21" spans="1:5" x14ac:dyDescent="0.25">
      <c r="A21" s="177"/>
      <c r="B21" s="23"/>
      <c r="C21" s="23" t="s">
        <v>633</v>
      </c>
      <c r="D21" s="23"/>
      <c r="E21" s="23" t="s">
        <v>634</v>
      </c>
    </row>
    <row r="22" spans="1:5" x14ac:dyDescent="0.25">
      <c r="A22" s="177"/>
      <c r="B22" s="23"/>
      <c r="C22" s="23" t="s">
        <v>635</v>
      </c>
      <c r="D22" s="23"/>
      <c r="E22" s="23" t="s">
        <v>636</v>
      </c>
    </row>
    <row r="23" spans="1:5" x14ac:dyDescent="0.25">
      <c r="A23" s="177"/>
      <c r="B23" s="23"/>
      <c r="C23" s="23" t="s">
        <v>637</v>
      </c>
      <c r="D23" s="23"/>
      <c r="E23" s="23" t="s">
        <v>638</v>
      </c>
    </row>
    <row r="24" spans="1:5" x14ac:dyDescent="0.25">
      <c r="A24" s="177"/>
      <c r="B24" s="23"/>
      <c r="C24" s="23" t="s">
        <v>639</v>
      </c>
      <c r="D24" s="23"/>
      <c r="E24" s="23" t="s">
        <v>640</v>
      </c>
    </row>
    <row r="25" spans="1:5" x14ac:dyDescent="0.25">
      <c r="A25" s="177"/>
      <c r="B25" s="23"/>
      <c r="C25" s="23" t="s">
        <v>641</v>
      </c>
      <c r="D25" s="23"/>
      <c r="E25" s="23" t="s">
        <v>642</v>
      </c>
    </row>
    <row r="26" spans="1:5" x14ac:dyDescent="0.25">
      <c r="A26" s="177"/>
      <c r="B26" s="23"/>
      <c r="C26" s="23" t="s">
        <v>643</v>
      </c>
      <c r="D26" s="23"/>
      <c r="E26" s="23" t="s">
        <v>644</v>
      </c>
    </row>
    <row r="27" spans="1:5" x14ac:dyDescent="0.25">
      <c r="A27" s="177"/>
      <c r="B27" s="23"/>
      <c r="C27" s="23" t="s">
        <v>645</v>
      </c>
      <c r="D27" s="23"/>
      <c r="E27" s="23" t="s">
        <v>646</v>
      </c>
    </row>
    <row r="28" spans="1:5" x14ac:dyDescent="0.25">
      <c r="A28" s="177"/>
      <c r="B28" s="23"/>
      <c r="C28" s="23" t="s">
        <v>647</v>
      </c>
      <c r="D28" s="23"/>
      <c r="E28" s="23" t="s">
        <v>648</v>
      </c>
    </row>
    <row r="29" spans="1:5" x14ac:dyDescent="0.25">
      <c r="A29" s="177"/>
      <c r="B29" s="23"/>
      <c r="C29" s="23" t="s">
        <v>649</v>
      </c>
      <c r="D29" s="23"/>
      <c r="E29" s="23" t="s">
        <v>650</v>
      </c>
    </row>
    <row r="30" spans="1:5" x14ac:dyDescent="0.25">
      <c r="A30" s="178"/>
      <c r="B30" s="23"/>
      <c r="C30" s="23" t="s">
        <v>651</v>
      </c>
      <c r="D30" s="23"/>
      <c r="E30" s="23" t="s">
        <v>652</v>
      </c>
    </row>
    <row r="31" spans="1:5" x14ac:dyDescent="0.25">
      <c r="A31" s="23"/>
      <c r="B31" s="23"/>
      <c r="C31" s="23" t="s">
        <v>653</v>
      </c>
      <c r="D31" s="23"/>
      <c r="E31" s="23" t="s">
        <v>654</v>
      </c>
    </row>
    <row r="32" spans="1:5" x14ac:dyDescent="0.25">
      <c r="A32" s="23"/>
      <c r="B32" s="23"/>
      <c r="C32" s="23" t="s">
        <v>655</v>
      </c>
      <c r="D32" s="23"/>
      <c r="E32" s="23" t="s">
        <v>656</v>
      </c>
    </row>
    <row r="33" spans="1:5" x14ac:dyDescent="0.25">
      <c r="A33" s="23"/>
      <c r="B33" s="23"/>
      <c r="C33" s="23" t="s">
        <v>657</v>
      </c>
      <c r="D33" s="23"/>
      <c r="E33" s="23" t="s">
        <v>658</v>
      </c>
    </row>
    <row r="34" spans="1:5" x14ac:dyDescent="0.25">
      <c r="A34" s="23"/>
      <c r="B34" s="23"/>
      <c r="C34" s="23" t="s">
        <v>659</v>
      </c>
      <c r="D34" s="23"/>
      <c r="E34" s="23" t="s">
        <v>660</v>
      </c>
    </row>
    <row r="35" spans="1:5" x14ac:dyDescent="0.25">
      <c r="A35" s="23"/>
      <c r="B35" s="23"/>
      <c r="C35" s="23" t="s">
        <v>661</v>
      </c>
      <c r="D35" s="23"/>
      <c r="E35" s="23" t="s">
        <v>662</v>
      </c>
    </row>
    <row r="36" spans="1:5" x14ac:dyDescent="0.25">
      <c r="A36" s="23"/>
      <c r="B36" s="23"/>
      <c r="C36" s="23" t="s">
        <v>663</v>
      </c>
      <c r="D36" s="23"/>
      <c r="E36" s="23" t="s">
        <v>664</v>
      </c>
    </row>
    <row r="37" spans="1:5" x14ac:dyDescent="0.25">
      <c r="A37" s="23"/>
      <c r="B37" s="23"/>
      <c r="C37" s="23" t="s">
        <v>665</v>
      </c>
      <c r="D37" s="23"/>
      <c r="E37" s="23" t="s">
        <v>666</v>
      </c>
    </row>
    <row r="38" spans="1:5" x14ac:dyDescent="0.25">
      <c r="A38" s="23"/>
      <c r="B38" s="23"/>
      <c r="C38" s="23" t="s">
        <v>667</v>
      </c>
      <c r="D38" s="23"/>
      <c r="E38" s="23" t="s">
        <v>668</v>
      </c>
    </row>
    <row r="39" spans="1:5" x14ac:dyDescent="0.25">
      <c r="A39" s="23"/>
      <c r="B39" s="23"/>
      <c r="C39" s="23" t="s">
        <v>669</v>
      </c>
      <c r="D39" s="23"/>
      <c r="E39" s="23" t="s">
        <v>670</v>
      </c>
    </row>
    <row r="40" spans="1:5" x14ac:dyDescent="0.25">
      <c r="A40" s="23"/>
      <c r="B40" s="23"/>
      <c r="C40" s="23"/>
      <c r="D40" s="23"/>
      <c r="E40" s="23"/>
    </row>
    <row r="41" spans="1:5" x14ac:dyDescent="0.25">
      <c r="A41" s="23"/>
      <c r="B41" s="28"/>
      <c r="C41" s="28" t="s">
        <v>573</v>
      </c>
      <c r="D41" s="23"/>
      <c r="E41" s="23" t="s">
        <v>574</v>
      </c>
    </row>
    <row r="42" spans="1:5" x14ac:dyDescent="0.25">
      <c r="A42" s="23"/>
      <c r="B42" s="23"/>
      <c r="C42" s="23"/>
      <c r="D42" s="23"/>
      <c r="E42" s="23"/>
    </row>
    <row r="43" spans="1:5" x14ac:dyDescent="0.25">
      <c r="A43" s="23" t="s">
        <v>671</v>
      </c>
      <c r="B43" s="23"/>
      <c r="C43" s="23" t="s">
        <v>672</v>
      </c>
      <c r="D43" s="23"/>
      <c r="E43" s="23"/>
    </row>
    <row r="44" spans="1:5" x14ac:dyDescent="0.25">
      <c r="A44" s="23"/>
      <c r="B44" s="23"/>
      <c r="C44" s="23"/>
      <c r="D44" s="23"/>
      <c r="E44" s="23"/>
    </row>
    <row r="45" spans="1:5" x14ac:dyDescent="0.25">
      <c r="A45" s="23" t="s">
        <v>575</v>
      </c>
      <c r="B45" s="23"/>
      <c r="C45" s="23" t="s">
        <v>576</v>
      </c>
      <c r="D45" s="23"/>
      <c r="E45" s="23"/>
    </row>
    <row r="46" spans="1:5" x14ac:dyDescent="0.25">
      <c r="A46" s="23"/>
      <c r="B46" s="23"/>
      <c r="C46" s="23"/>
      <c r="D46" s="23"/>
      <c r="E46" s="23"/>
    </row>
    <row r="47" spans="1:5" x14ac:dyDescent="0.25">
      <c r="A47" s="23"/>
      <c r="B47" s="23"/>
      <c r="C47" s="23"/>
      <c r="D47" s="23"/>
      <c r="E47" s="23"/>
    </row>
    <row r="48" spans="1:5" x14ac:dyDescent="0.25">
      <c r="A48" s="23"/>
      <c r="B48" s="23"/>
      <c r="C48" s="23"/>
      <c r="D48" s="23"/>
      <c r="E48" s="23"/>
    </row>
    <row r="49" spans="1:5" x14ac:dyDescent="0.2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182"/>
  <sheetViews>
    <sheetView showGridLines="0" tabSelected="1" topLeftCell="A11" zoomScale="70" zoomScaleNormal="70" workbookViewId="0">
      <selection activeCell="D8" sqref="D8:D144"/>
    </sheetView>
  </sheetViews>
  <sheetFormatPr defaultColWidth="8.5703125" defaultRowHeight="15" x14ac:dyDescent="0.25"/>
  <cols>
    <col min="1" max="1" width="3.140625" customWidth="1"/>
    <col min="2" max="2" width="43.28515625" style="53" customWidth="1"/>
    <col min="3" max="3" width="31" style="33" bestFit="1" customWidth="1"/>
    <col min="4" max="4" width="40.7109375" style="33" bestFit="1" customWidth="1"/>
    <col min="5" max="5" width="14.85546875" style="51" bestFit="1" customWidth="1"/>
    <col min="6" max="6" width="35.28515625" style="51" bestFit="1" customWidth="1"/>
    <col min="7" max="7" width="35.28515625" style="54" customWidth="1"/>
    <col min="8" max="8" width="26" style="51" customWidth="1"/>
    <col min="9" max="9" width="9.28515625" style="54" customWidth="1"/>
    <col min="10" max="10" width="11.85546875" style="54" customWidth="1"/>
    <col min="11" max="11" width="20.5703125" style="53" customWidth="1"/>
    <col min="12" max="12" width="16.140625" style="53" customWidth="1"/>
    <col min="13" max="13" width="57.85546875" style="53" customWidth="1"/>
    <col min="14" max="14" width="23.85546875" style="137" customWidth="1"/>
    <col min="15" max="15" width="17.140625" style="51" bestFit="1" customWidth="1"/>
    <col min="16" max="16" width="49.140625" style="54" customWidth="1"/>
    <col min="17" max="17" width="50" style="54" customWidth="1"/>
    <col min="18" max="18" width="45.140625" style="54" customWidth="1"/>
    <col min="19" max="19" width="64.85546875" style="33" customWidth="1"/>
    <col min="20" max="20" width="53" style="33" customWidth="1"/>
    <col min="21" max="21" width="30" style="33" customWidth="1"/>
    <col min="22" max="22" width="125.85546875" style="52" customWidth="1"/>
    <col min="23" max="23" width="28.85546875" style="52" customWidth="1"/>
    <col min="24" max="24" width="35.85546875" style="52" customWidth="1"/>
    <col min="25" max="25" width="49" style="52" customWidth="1"/>
    <col min="26" max="26" width="49.28515625" style="33" customWidth="1"/>
    <col min="27" max="27" width="36.5703125" customWidth="1"/>
  </cols>
  <sheetData>
    <row r="1" spans="1:27" s="33" customFormat="1" x14ac:dyDescent="0.25">
      <c r="A1" s="27"/>
      <c r="B1" s="53"/>
      <c r="E1" s="51"/>
      <c r="F1" s="51"/>
      <c r="G1" s="54"/>
      <c r="H1" s="51"/>
      <c r="I1" s="54"/>
      <c r="J1" s="54"/>
      <c r="K1" s="53"/>
      <c r="L1" s="53"/>
      <c r="M1" s="53"/>
      <c r="N1" s="137"/>
      <c r="O1" s="51"/>
      <c r="P1" s="54"/>
      <c r="Q1" s="54"/>
      <c r="R1" s="54"/>
      <c r="V1" s="52"/>
      <c r="W1" s="52"/>
      <c r="X1" s="52"/>
      <c r="Y1" s="52"/>
    </row>
    <row r="2" spans="1:27" s="33" customFormat="1" x14ac:dyDescent="0.25">
      <c r="A2" s="27"/>
      <c r="B2" s="53"/>
      <c r="E2" s="51"/>
      <c r="F2" s="51"/>
      <c r="G2" s="54"/>
      <c r="H2" s="51"/>
      <c r="I2" s="54"/>
      <c r="J2" s="54"/>
      <c r="K2" s="53"/>
      <c r="L2" s="53"/>
      <c r="M2" s="53"/>
      <c r="N2" s="137"/>
      <c r="O2" s="51"/>
      <c r="P2" s="54"/>
      <c r="Q2" s="54"/>
      <c r="R2" s="54"/>
      <c r="V2" s="52"/>
      <c r="W2" s="52"/>
      <c r="X2" s="52"/>
      <c r="Y2" s="52"/>
    </row>
    <row r="3" spans="1:27" s="33" customFormat="1" x14ac:dyDescent="0.2">
      <c r="A3" s="57"/>
      <c r="B3" s="58"/>
      <c r="C3" s="59"/>
      <c r="D3" s="59"/>
      <c r="E3" s="60"/>
      <c r="F3" s="60"/>
      <c r="G3" s="62"/>
      <c r="H3" s="60"/>
      <c r="I3" s="62"/>
      <c r="J3" s="62"/>
      <c r="K3" s="58"/>
      <c r="L3" s="58"/>
      <c r="M3" s="58"/>
      <c r="N3" s="145"/>
      <c r="O3" s="60"/>
      <c r="P3" s="62"/>
      <c r="Q3" s="62"/>
      <c r="R3" s="62"/>
      <c r="S3" s="59"/>
      <c r="T3" s="59"/>
      <c r="U3" s="59"/>
      <c r="V3" s="61"/>
      <c r="W3" s="61"/>
      <c r="X3" s="61"/>
      <c r="Y3" s="61"/>
    </row>
    <row r="4" spans="1:27" s="33" customFormat="1" x14ac:dyDescent="0.25">
      <c r="A4" s="27"/>
      <c r="B4" s="53"/>
      <c r="E4" s="51"/>
      <c r="F4" s="51"/>
      <c r="G4" s="54"/>
      <c r="H4" s="51"/>
      <c r="I4" s="54"/>
      <c r="J4" s="54"/>
      <c r="K4" s="53"/>
      <c r="L4" s="53"/>
      <c r="M4" s="53"/>
      <c r="N4" s="137"/>
      <c r="O4" s="51"/>
      <c r="P4" s="54"/>
      <c r="Q4" s="54"/>
      <c r="R4" s="54"/>
      <c r="V4" s="52"/>
      <c r="W4" s="52"/>
      <c r="X4" s="52"/>
      <c r="Y4" s="52"/>
    </row>
    <row r="5" spans="1:27" s="51" customFormat="1" ht="21" customHeight="1" x14ac:dyDescent="0.25">
      <c r="B5" s="186" t="s">
        <v>673</v>
      </c>
      <c r="C5" s="186"/>
      <c r="D5" s="186"/>
      <c r="E5" s="186"/>
      <c r="F5" s="186"/>
      <c r="G5" s="186"/>
      <c r="H5" s="186"/>
      <c r="I5" s="186"/>
      <c r="J5" s="186"/>
      <c r="K5" s="186"/>
      <c r="L5" s="186"/>
      <c r="M5" s="186"/>
      <c r="N5" s="186"/>
      <c r="O5" s="186"/>
      <c r="P5" s="186"/>
      <c r="Q5" s="187" t="s">
        <v>674</v>
      </c>
      <c r="R5" s="188"/>
      <c r="S5" s="189" t="s">
        <v>675</v>
      </c>
      <c r="T5" s="190"/>
      <c r="U5" s="190"/>
      <c r="V5" s="190"/>
      <c r="W5" s="191"/>
      <c r="X5" s="180" t="s">
        <v>676</v>
      </c>
      <c r="Y5" s="181"/>
      <c r="Z5" s="181"/>
      <c r="AA5" s="182"/>
    </row>
    <row r="6" spans="1:27" s="33" customFormat="1" x14ac:dyDescent="0.25">
      <c r="A6" s="27"/>
      <c r="B6" s="186" t="s">
        <v>677</v>
      </c>
      <c r="C6" s="186"/>
      <c r="D6" s="186"/>
      <c r="E6" s="186"/>
      <c r="F6" s="186"/>
      <c r="G6" s="186"/>
      <c r="H6" s="186"/>
      <c r="I6" s="186"/>
      <c r="J6" s="186"/>
      <c r="K6" s="186"/>
      <c r="L6" s="186"/>
      <c r="M6" s="186"/>
      <c r="N6" s="186"/>
      <c r="O6" s="186"/>
      <c r="P6" s="186"/>
      <c r="Q6" s="187" t="s">
        <v>678</v>
      </c>
      <c r="R6" s="188"/>
      <c r="S6" s="192" t="s">
        <v>679</v>
      </c>
      <c r="T6" s="193"/>
      <c r="U6" s="193"/>
      <c r="V6" s="194"/>
      <c r="W6" s="77" t="s">
        <v>680</v>
      </c>
      <c r="X6" s="183" t="s">
        <v>681</v>
      </c>
      <c r="Y6" s="184"/>
      <c r="Z6" s="184"/>
      <c r="AA6" s="185"/>
    </row>
    <row r="7" spans="1:27" s="53" customFormat="1" ht="39.75" customHeight="1" x14ac:dyDescent="0.25">
      <c r="B7" s="55" t="s">
        <v>682</v>
      </c>
      <c r="C7" s="55" t="s">
        <v>683</v>
      </c>
      <c r="D7" s="55" t="s">
        <v>684</v>
      </c>
      <c r="E7" s="55" t="s">
        <v>685</v>
      </c>
      <c r="F7" s="74" t="s">
        <v>686</v>
      </c>
      <c r="G7" s="74" t="s">
        <v>687</v>
      </c>
      <c r="H7" s="55" t="s">
        <v>688</v>
      </c>
      <c r="I7" s="55" t="s">
        <v>689</v>
      </c>
      <c r="J7" s="75" t="s">
        <v>690</v>
      </c>
      <c r="K7" s="55" t="s">
        <v>691</v>
      </c>
      <c r="L7" s="55" t="s">
        <v>692</v>
      </c>
      <c r="M7" s="55" t="s">
        <v>693</v>
      </c>
      <c r="N7" s="55" t="s">
        <v>694</v>
      </c>
      <c r="O7" s="55" t="s">
        <v>695</v>
      </c>
      <c r="P7" s="55" t="s">
        <v>696</v>
      </c>
      <c r="Q7" s="55" t="s">
        <v>697</v>
      </c>
      <c r="R7" s="55" t="s">
        <v>698</v>
      </c>
      <c r="S7" s="76" t="s">
        <v>699</v>
      </c>
      <c r="T7" s="76" t="s">
        <v>700</v>
      </c>
      <c r="U7" s="76" t="s">
        <v>701</v>
      </c>
      <c r="V7" s="76" t="s">
        <v>702</v>
      </c>
      <c r="W7" s="76" t="s">
        <v>703</v>
      </c>
      <c r="X7" s="76" t="s">
        <v>704</v>
      </c>
      <c r="Y7" s="76" t="s">
        <v>705</v>
      </c>
      <c r="Z7" s="76" t="s">
        <v>706</v>
      </c>
      <c r="AA7" s="79" t="s">
        <v>707</v>
      </c>
    </row>
    <row r="8" spans="1:27" s="33" customFormat="1" ht="71.25" customHeight="1" x14ac:dyDescent="0.25">
      <c r="A8" s="27"/>
      <c r="B8" s="156" t="s">
        <v>4</v>
      </c>
      <c r="C8" s="157" t="s">
        <v>708</v>
      </c>
      <c r="D8" s="157" t="s">
        <v>11</v>
      </c>
      <c r="E8" s="158">
        <v>1</v>
      </c>
      <c r="F8" s="157" t="s">
        <v>709</v>
      </c>
      <c r="G8" s="157" t="s">
        <v>710</v>
      </c>
      <c r="H8" s="66" t="s">
        <v>711</v>
      </c>
      <c r="I8" s="158">
        <v>1</v>
      </c>
      <c r="J8" s="157" t="s">
        <v>712</v>
      </c>
      <c r="K8" s="158">
        <v>4</v>
      </c>
      <c r="L8" s="158"/>
      <c r="M8" s="159" t="s">
        <v>713</v>
      </c>
      <c r="N8" s="159" t="s">
        <v>714</v>
      </c>
      <c r="O8" s="158" t="s">
        <v>715</v>
      </c>
      <c r="P8" s="159" t="s">
        <v>716</v>
      </c>
      <c r="Q8" s="157"/>
      <c r="R8" s="157"/>
      <c r="S8" s="124" t="s">
        <v>717</v>
      </c>
      <c r="T8" s="124" t="s">
        <v>718</v>
      </c>
      <c r="U8" s="125" t="s">
        <v>719</v>
      </c>
      <c r="V8" s="126" t="s">
        <v>720</v>
      </c>
      <c r="W8" s="70"/>
      <c r="X8" s="70" t="s">
        <v>721</v>
      </c>
      <c r="Y8" s="70" t="s">
        <v>722</v>
      </c>
      <c r="Z8" s="86" t="s">
        <v>723</v>
      </c>
      <c r="AA8" s="80" t="s">
        <v>724</v>
      </c>
    </row>
    <row r="9" spans="1:27" s="33" customFormat="1" ht="39.75" customHeight="1" x14ac:dyDescent="0.25">
      <c r="A9" s="27"/>
      <c r="B9" s="156" t="s">
        <v>4</v>
      </c>
      <c r="C9" s="157" t="s">
        <v>708</v>
      </c>
      <c r="D9" s="157" t="s">
        <v>11</v>
      </c>
      <c r="E9" s="158">
        <v>1</v>
      </c>
      <c r="F9" s="66" t="s">
        <v>725</v>
      </c>
      <c r="G9" s="66" t="s">
        <v>726</v>
      </c>
      <c r="H9" s="66" t="s">
        <v>727</v>
      </c>
      <c r="I9" s="67">
        <v>2</v>
      </c>
      <c r="J9" s="69" t="s">
        <v>712</v>
      </c>
      <c r="K9" s="67">
        <v>6</v>
      </c>
      <c r="L9" s="67"/>
      <c r="M9" s="68" t="s">
        <v>728</v>
      </c>
      <c r="N9" s="159" t="s">
        <v>729</v>
      </c>
      <c r="O9" s="158"/>
      <c r="P9" s="159" t="s">
        <v>730</v>
      </c>
      <c r="Q9" s="157"/>
      <c r="R9" s="157"/>
      <c r="S9" s="124" t="s">
        <v>731</v>
      </c>
      <c r="T9" s="124" t="s">
        <v>732</v>
      </c>
      <c r="U9" s="124" t="s">
        <v>733</v>
      </c>
      <c r="V9" s="127" t="s">
        <v>734</v>
      </c>
      <c r="W9" s="70"/>
      <c r="X9" s="70" t="s">
        <v>721</v>
      </c>
      <c r="Y9" s="66" t="s">
        <v>735</v>
      </c>
      <c r="Z9" s="66" t="s">
        <v>736</v>
      </c>
      <c r="AA9" s="80" t="s">
        <v>724</v>
      </c>
    </row>
    <row r="10" spans="1:27" s="33" customFormat="1" ht="39.75" customHeight="1" x14ac:dyDescent="0.25">
      <c r="A10" s="27"/>
      <c r="B10" s="156" t="s">
        <v>4</v>
      </c>
      <c r="C10" s="157" t="s">
        <v>708</v>
      </c>
      <c r="D10" s="157" t="s">
        <v>11</v>
      </c>
      <c r="E10" s="158">
        <v>1</v>
      </c>
      <c r="F10" s="156" t="s">
        <v>737</v>
      </c>
      <c r="G10" s="156" t="s">
        <v>738</v>
      </c>
      <c r="H10" s="66" t="s">
        <v>727</v>
      </c>
      <c r="I10" s="67">
        <v>3</v>
      </c>
      <c r="J10" s="69" t="s">
        <v>712</v>
      </c>
      <c r="K10" s="67">
        <v>6</v>
      </c>
      <c r="L10" s="67"/>
      <c r="M10" s="68" t="s">
        <v>739</v>
      </c>
      <c r="N10" s="159" t="s">
        <v>740</v>
      </c>
      <c r="O10" s="158"/>
      <c r="P10" s="159" t="s">
        <v>730</v>
      </c>
      <c r="Q10" s="157"/>
      <c r="R10" s="157"/>
      <c r="S10" s="124" t="s">
        <v>731</v>
      </c>
      <c r="T10" s="124" t="s">
        <v>732</v>
      </c>
      <c r="U10" s="124" t="s">
        <v>741</v>
      </c>
      <c r="V10" s="127" t="s">
        <v>742</v>
      </c>
      <c r="W10" s="70"/>
      <c r="X10" s="70" t="s">
        <v>721</v>
      </c>
      <c r="Y10" s="66" t="s">
        <v>735</v>
      </c>
      <c r="Z10" s="66" t="s">
        <v>743</v>
      </c>
      <c r="AA10" s="80" t="s">
        <v>724</v>
      </c>
    </row>
    <row r="11" spans="1:27" s="33" customFormat="1" ht="154.5" customHeight="1" x14ac:dyDescent="0.25">
      <c r="A11" s="27"/>
      <c r="B11" s="156" t="s">
        <v>4</v>
      </c>
      <c r="C11" s="157" t="s">
        <v>708</v>
      </c>
      <c r="D11" s="157" t="s">
        <v>11</v>
      </c>
      <c r="E11" s="158">
        <v>1</v>
      </c>
      <c r="F11" s="156" t="s">
        <v>744</v>
      </c>
      <c r="G11" s="156" t="s">
        <v>745</v>
      </c>
      <c r="H11" s="66" t="s">
        <v>727</v>
      </c>
      <c r="I11" s="67">
        <v>4</v>
      </c>
      <c r="J11" s="69" t="s">
        <v>712</v>
      </c>
      <c r="K11" s="67">
        <v>6</v>
      </c>
      <c r="L11" s="67"/>
      <c r="M11" s="68" t="s">
        <v>746</v>
      </c>
      <c r="N11" s="159" t="s">
        <v>747</v>
      </c>
      <c r="O11" s="158"/>
      <c r="P11" s="159" t="s">
        <v>730</v>
      </c>
      <c r="Q11" s="157"/>
      <c r="R11" s="157"/>
      <c r="S11" s="124" t="s">
        <v>731</v>
      </c>
      <c r="T11" s="124" t="s">
        <v>732</v>
      </c>
      <c r="U11" s="124" t="s">
        <v>748</v>
      </c>
      <c r="V11" s="126" t="s">
        <v>749</v>
      </c>
      <c r="W11" s="70"/>
      <c r="X11" s="70" t="s">
        <v>721</v>
      </c>
      <c r="Y11" s="66" t="s">
        <v>735</v>
      </c>
      <c r="Z11" s="66" t="s">
        <v>750</v>
      </c>
      <c r="AA11" s="80" t="s">
        <v>724</v>
      </c>
    </row>
    <row r="12" spans="1:27" s="33" customFormat="1" ht="39.75" customHeight="1" x14ac:dyDescent="0.25">
      <c r="A12" s="27"/>
      <c r="B12" s="156" t="s">
        <v>4</v>
      </c>
      <c r="C12" s="157" t="s">
        <v>708</v>
      </c>
      <c r="D12" s="157" t="s">
        <v>11</v>
      </c>
      <c r="E12" s="158">
        <v>1</v>
      </c>
      <c r="F12" s="66" t="s">
        <v>751</v>
      </c>
      <c r="G12" s="66" t="s">
        <v>752</v>
      </c>
      <c r="H12" s="66" t="s">
        <v>753</v>
      </c>
      <c r="I12" s="67">
        <v>5</v>
      </c>
      <c r="J12" s="69" t="s">
        <v>712</v>
      </c>
      <c r="K12" s="67">
        <v>7</v>
      </c>
      <c r="L12" s="67"/>
      <c r="M12" s="68" t="s">
        <v>754</v>
      </c>
      <c r="N12" s="68" t="s">
        <v>755</v>
      </c>
      <c r="O12" s="67" t="s">
        <v>756</v>
      </c>
      <c r="P12" s="68" t="s">
        <v>757</v>
      </c>
      <c r="Q12" s="157"/>
      <c r="R12" s="157"/>
      <c r="S12" s="124" t="s">
        <v>731</v>
      </c>
      <c r="T12" s="124" t="s">
        <v>732</v>
      </c>
      <c r="U12" s="124" t="s">
        <v>758</v>
      </c>
      <c r="V12" s="126" t="s">
        <v>759</v>
      </c>
      <c r="W12" s="70"/>
      <c r="X12" s="70" t="s">
        <v>721</v>
      </c>
      <c r="Y12" s="66" t="s">
        <v>735</v>
      </c>
      <c r="Z12" s="70" t="s">
        <v>760</v>
      </c>
      <c r="AA12" s="80" t="s">
        <v>724</v>
      </c>
    </row>
    <row r="13" spans="1:27" s="33" customFormat="1" ht="39.75" customHeight="1" x14ac:dyDescent="0.25">
      <c r="A13" s="27"/>
      <c r="B13" s="156" t="s">
        <v>4</v>
      </c>
      <c r="C13" s="157" t="s">
        <v>708</v>
      </c>
      <c r="D13" s="157" t="s">
        <v>11</v>
      </c>
      <c r="E13" s="158">
        <v>1</v>
      </c>
      <c r="F13" s="66" t="s">
        <v>761</v>
      </c>
      <c r="G13" s="66" t="s">
        <v>762</v>
      </c>
      <c r="H13" s="66" t="s">
        <v>763</v>
      </c>
      <c r="I13" s="67">
        <v>6</v>
      </c>
      <c r="J13" s="69" t="s">
        <v>712</v>
      </c>
      <c r="K13" s="67">
        <v>4</v>
      </c>
      <c r="L13" s="67"/>
      <c r="M13" s="68" t="s">
        <v>764</v>
      </c>
      <c r="N13" s="68" t="s">
        <v>765</v>
      </c>
      <c r="O13" s="67" t="s">
        <v>756</v>
      </c>
      <c r="P13" s="68" t="s">
        <v>766</v>
      </c>
      <c r="Q13" s="157"/>
      <c r="R13" s="157"/>
      <c r="S13" s="124" t="s">
        <v>731</v>
      </c>
      <c r="T13" s="124" t="s">
        <v>732</v>
      </c>
      <c r="U13" s="124" t="s">
        <v>767</v>
      </c>
      <c r="V13" s="127" t="s">
        <v>768</v>
      </c>
      <c r="W13" s="70"/>
      <c r="X13" s="70" t="s">
        <v>721</v>
      </c>
      <c r="Y13" s="66" t="s">
        <v>735</v>
      </c>
      <c r="Z13" s="70" t="s">
        <v>769</v>
      </c>
      <c r="AA13" s="80" t="s">
        <v>724</v>
      </c>
    </row>
    <row r="14" spans="1:27" s="33" customFormat="1" ht="39.75" customHeight="1" x14ac:dyDescent="0.25">
      <c r="A14" s="27"/>
      <c r="B14" s="156" t="s">
        <v>4</v>
      </c>
      <c r="C14" s="157" t="s">
        <v>708</v>
      </c>
      <c r="D14" s="157" t="s">
        <v>11</v>
      </c>
      <c r="E14" s="158">
        <v>1</v>
      </c>
      <c r="F14" s="66" t="s">
        <v>770</v>
      </c>
      <c r="G14" s="66" t="s">
        <v>771</v>
      </c>
      <c r="H14" s="66" t="s">
        <v>753</v>
      </c>
      <c r="I14" s="67">
        <v>7</v>
      </c>
      <c r="J14" s="69" t="s">
        <v>712</v>
      </c>
      <c r="K14" s="67"/>
      <c r="L14" s="67"/>
      <c r="M14" s="68" t="s">
        <v>772</v>
      </c>
      <c r="N14" s="68" t="s">
        <v>773</v>
      </c>
      <c r="O14" s="67" t="s">
        <v>756</v>
      </c>
      <c r="P14" s="68"/>
      <c r="Q14" s="157"/>
      <c r="R14" s="157"/>
      <c r="S14" s="124" t="s">
        <v>731</v>
      </c>
      <c r="T14" s="124" t="s">
        <v>732</v>
      </c>
      <c r="U14" s="124" t="s">
        <v>774</v>
      </c>
      <c r="V14" s="127" t="s">
        <v>775</v>
      </c>
      <c r="W14" s="70"/>
      <c r="X14" s="70" t="s">
        <v>721</v>
      </c>
      <c r="Y14" s="66" t="s">
        <v>735</v>
      </c>
      <c r="Z14" s="70" t="s">
        <v>776</v>
      </c>
      <c r="AA14" s="80" t="s">
        <v>724</v>
      </c>
    </row>
    <row r="15" spans="1:27" s="33" customFormat="1" ht="39.75" customHeight="1" x14ac:dyDescent="0.25">
      <c r="A15" s="27"/>
      <c r="B15" s="156" t="s">
        <v>4</v>
      </c>
      <c r="C15" s="157" t="s">
        <v>708</v>
      </c>
      <c r="D15" s="157" t="s">
        <v>11</v>
      </c>
      <c r="E15" s="158">
        <v>1</v>
      </c>
      <c r="F15" s="156" t="s">
        <v>777</v>
      </c>
      <c r="G15" s="156" t="s">
        <v>778</v>
      </c>
      <c r="H15" s="66" t="s">
        <v>763</v>
      </c>
      <c r="I15" s="160">
        <v>8</v>
      </c>
      <c r="J15" s="156" t="s">
        <v>712</v>
      </c>
      <c r="K15" s="160">
        <v>4</v>
      </c>
      <c r="L15" s="160"/>
      <c r="M15" s="161" t="s">
        <v>779</v>
      </c>
      <c r="N15" s="161" t="s">
        <v>780</v>
      </c>
      <c r="O15" s="160"/>
      <c r="P15" s="159" t="s">
        <v>781</v>
      </c>
      <c r="Q15" s="157"/>
      <c r="R15" s="157"/>
      <c r="S15" s="124" t="s">
        <v>731</v>
      </c>
      <c r="T15" s="124" t="s">
        <v>732</v>
      </c>
      <c r="U15" s="124" t="s">
        <v>782</v>
      </c>
      <c r="V15" s="127" t="s">
        <v>783</v>
      </c>
      <c r="W15" s="70"/>
      <c r="X15" s="70" t="s">
        <v>721</v>
      </c>
      <c r="Y15" s="66" t="s">
        <v>735</v>
      </c>
      <c r="Z15" s="70" t="s">
        <v>784</v>
      </c>
      <c r="AA15" s="80" t="s">
        <v>724</v>
      </c>
    </row>
    <row r="16" spans="1:27" s="33" customFormat="1" ht="39.75" customHeight="1" x14ac:dyDescent="0.25">
      <c r="A16" s="27"/>
      <c r="B16" s="156" t="s">
        <v>4</v>
      </c>
      <c r="C16" s="157" t="s">
        <v>708</v>
      </c>
      <c r="D16" s="157" t="s">
        <v>11</v>
      </c>
      <c r="E16" s="158">
        <v>1</v>
      </c>
      <c r="F16" s="156" t="s">
        <v>785</v>
      </c>
      <c r="G16" s="156" t="s">
        <v>786</v>
      </c>
      <c r="H16" s="66" t="s">
        <v>753</v>
      </c>
      <c r="I16" s="160">
        <v>9</v>
      </c>
      <c r="J16" s="156" t="s">
        <v>712</v>
      </c>
      <c r="K16" s="160"/>
      <c r="L16" s="160"/>
      <c r="M16" s="161" t="s">
        <v>787</v>
      </c>
      <c r="N16" s="161" t="s">
        <v>788</v>
      </c>
      <c r="O16" s="160" t="s">
        <v>756</v>
      </c>
      <c r="P16" s="159"/>
      <c r="Q16" s="157"/>
      <c r="R16" s="157"/>
      <c r="S16" s="124" t="s">
        <v>731</v>
      </c>
      <c r="T16" s="124" t="s">
        <v>732</v>
      </c>
      <c r="U16" s="124" t="s">
        <v>789</v>
      </c>
      <c r="V16" s="127" t="s">
        <v>790</v>
      </c>
      <c r="W16" s="70"/>
      <c r="X16" s="70" t="s">
        <v>721</v>
      </c>
      <c r="Y16" s="66" t="s">
        <v>735</v>
      </c>
      <c r="Z16" s="70" t="s">
        <v>791</v>
      </c>
      <c r="AA16" s="80" t="s">
        <v>724</v>
      </c>
    </row>
    <row r="17" spans="1:27" s="33" customFormat="1" ht="39.75" customHeight="1" x14ac:dyDescent="0.25">
      <c r="A17" s="27"/>
      <c r="B17" s="156" t="s">
        <v>4</v>
      </c>
      <c r="C17" s="157" t="s">
        <v>708</v>
      </c>
      <c r="D17" s="157" t="s">
        <v>11</v>
      </c>
      <c r="E17" s="158">
        <v>1</v>
      </c>
      <c r="F17" s="156" t="s">
        <v>792</v>
      </c>
      <c r="G17" s="156" t="s">
        <v>793</v>
      </c>
      <c r="H17" s="66" t="s">
        <v>753</v>
      </c>
      <c r="I17" s="160">
        <v>10</v>
      </c>
      <c r="J17" s="156" t="s">
        <v>712</v>
      </c>
      <c r="K17" s="160"/>
      <c r="L17" s="160"/>
      <c r="M17" s="161" t="s">
        <v>794</v>
      </c>
      <c r="N17" s="161" t="s">
        <v>795</v>
      </c>
      <c r="O17" s="160" t="s">
        <v>756</v>
      </c>
      <c r="P17" s="159"/>
      <c r="Q17" s="157"/>
      <c r="R17" s="157"/>
      <c r="S17" s="124" t="s">
        <v>731</v>
      </c>
      <c r="T17" s="124" t="s">
        <v>732</v>
      </c>
      <c r="U17" s="124" t="s">
        <v>796</v>
      </c>
      <c r="V17" s="127" t="s">
        <v>797</v>
      </c>
      <c r="W17" s="70"/>
      <c r="X17" s="70" t="s">
        <v>721</v>
      </c>
      <c r="Y17" s="66" t="s">
        <v>735</v>
      </c>
      <c r="Z17" s="70" t="s">
        <v>798</v>
      </c>
      <c r="AA17" s="80" t="s">
        <v>724</v>
      </c>
    </row>
    <row r="18" spans="1:27" s="33" customFormat="1" ht="39.75" customHeight="1" x14ac:dyDescent="0.25">
      <c r="A18" s="27"/>
      <c r="B18" s="156" t="s">
        <v>4</v>
      </c>
      <c r="C18" s="157" t="s">
        <v>708</v>
      </c>
      <c r="D18" s="157" t="s">
        <v>11</v>
      </c>
      <c r="E18" s="158">
        <v>1</v>
      </c>
      <c r="F18" s="156" t="s">
        <v>799</v>
      </c>
      <c r="G18" s="156" t="s">
        <v>800</v>
      </c>
      <c r="H18" s="66" t="s">
        <v>801</v>
      </c>
      <c r="I18" s="160">
        <v>11</v>
      </c>
      <c r="J18" s="156" t="s">
        <v>712</v>
      </c>
      <c r="K18" s="160">
        <v>10</v>
      </c>
      <c r="L18" s="160"/>
      <c r="M18" s="161" t="s">
        <v>802</v>
      </c>
      <c r="N18" s="159" t="s">
        <v>803</v>
      </c>
      <c r="O18" s="158" t="s">
        <v>715</v>
      </c>
      <c r="P18" s="158"/>
      <c r="Q18" s="157"/>
      <c r="R18" s="157"/>
      <c r="S18" s="124" t="s">
        <v>731</v>
      </c>
      <c r="T18" s="124" t="s">
        <v>732</v>
      </c>
      <c r="U18" s="124" t="s">
        <v>804</v>
      </c>
      <c r="V18" s="127" t="s">
        <v>805</v>
      </c>
      <c r="W18" s="70"/>
      <c r="X18" s="70" t="s">
        <v>724</v>
      </c>
      <c r="Y18" s="70" t="s">
        <v>724</v>
      </c>
      <c r="Z18" s="70" t="s">
        <v>724</v>
      </c>
      <c r="AA18" s="80" t="s">
        <v>724</v>
      </c>
    </row>
    <row r="19" spans="1:27" s="33" customFormat="1" ht="39.75" customHeight="1" x14ac:dyDescent="0.25">
      <c r="A19" s="27"/>
      <c r="B19" s="156" t="s">
        <v>4</v>
      </c>
      <c r="C19" s="157" t="s">
        <v>708</v>
      </c>
      <c r="D19" s="157" t="s">
        <v>11</v>
      </c>
      <c r="E19" s="158">
        <v>1</v>
      </c>
      <c r="F19" s="156" t="s">
        <v>806</v>
      </c>
      <c r="G19" s="156" t="s">
        <v>807</v>
      </c>
      <c r="H19" s="66" t="s">
        <v>808</v>
      </c>
      <c r="I19" s="160">
        <v>12</v>
      </c>
      <c r="J19" s="156" t="s">
        <v>809</v>
      </c>
      <c r="K19" s="160">
        <v>23</v>
      </c>
      <c r="L19" s="160"/>
      <c r="M19" s="68" t="s">
        <v>810</v>
      </c>
      <c r="N19" s="159" t="s">
        <v>811</v>
      </c>
      <c r="O19" s="158"/>
      <c r="P19" s="158"/>
      <c r="Q19" s="157"/>
      <c r="R19" s="157"/>
      <c r="S19" s="124" t="s">
        <v>731</v>
      </c>
      <c r="T19" s="124" t="s">
        <v>732</v>
      </c>
      <c r="U19" s="124" t="s">
        <v>812</v>
      </c>
      <c r="V19" s="127" t="s">
        <v>813</v>
      </c>
      <c r="W19" s="70"/>
      <c r="X19" s="70" t="s">
        <v>724</v>
      </c>
      <c r="Y19" s="70" t="s">
        <v>724</v>
      </c>
      <c r="Z19" s="70" t="s">
        <v>724</v>
      </c>
      <c r="AA19" s="80" t="s">
        <v>724</v>
      </c>
    </row>
    <row r="20" spans="1:27" s="33" customFormat="1" ht="39.75" customHeight="1" x14ac:dyDescent="0.25">
      <c r="A20" s="27"/>
      <c r="B20" s="156" t="s">
        <v>4</v>
      </c>
      <c r="C20" s="66" t="s">
        <v>814</v>
      </c>
      <c r="D20" s="66" t="s">
        <v>9</v>
      </c>
      <c r="E20" s="67">
        <v>1</v>
      </c>
      <c r="F20" s="156" t="s">
        <v>815</v>
      </c>
      <c r="G20" s="66" t="s">
        <v>816</v>
      </c>
      <c r="H20" s="66" t="s">
        <v>801</v>
      </c>
      <c r="I20" s="160">
        <v>1</v>
      </c>
      <c r="J20" s="156" t="s">
        <v>712</v>
      </c>
      <c r="K20" s="160">
        <v>10</v>
      </c>
      <c r="L20" s="160"/>
      <c r="M20" s="161" t="s">
        <v>817</v>
      </c>
      <c r="N20" s="161" t="s">
        <v>818</v>
      </c>
      <c r="O20" s="160" t="s">
        <v>715</v>
      </c>
      <c r="P20" s="162"/>
      <c r="Q20" s="156"/>
      <c r="R20" s="156"/>
      <c r="S20" s="128" t="s">
        <v>819</v>
      </c>
      <c r="T20" s="128" t="s">
        <v>820</v>
      </c>
      <c r="U20" s="128" t="s">
        <v>821</v>
      </c>
      <c r="V20" s="129" t="s">
        <v>822</v>
      </c>
      <c r="W20" s="66"/>
      <c r="X20" s="66" t="s">
        <v>823</v>
      </c>
      <c r="Y20" s="66" t="s">
        <v>820</v>
      </c>
      <c r="Z20" s="70" t="s">
        <v>821</v>
      </c>
      <c r="AA20" s="80" t="s">
        <v>724</v>
      </c>
    </row>
    <row r="21" spans="1:27" s="33" customFormat="1" ht="39.75" customHeight="1" x14ac:dyDescent="0.25">
      <c r="A21" s="27"/>
      <c r="B21" s="156" t="s">
        <v>4</v>
      </c>
      <c r="C21" s="66" t="s">
        <v>814</v>
      </c>
      <c r="D21" s="66" t="s">
        <v>9</v>
      </c>
      <c r="E21" s="67">
        <v>1</v>
      </c>
      <c r="F21" s="156" t="s">
        <v>824</v>
      </c>
      <c r="G21" s="156" t="s">
        <v>825</v>
      </c>
      <c r="H21" s="66" t="s">
        <v>826</v>
      </c>
      <c r="I21" s="160">
        <v>2</v>
      </c>
      <c r="J21" s="66" t="s">
        <v>712</v>
      </c>
      <c r="K21" s="160">
        <v>1</v>
      </c>
      <c r="L21" s="160"/>
      <c r="M21" s="161" t="s">
        <v>827</v>
      </c>
      <c r="N21" s="161" t="s">
        <v>828</v>
      </c>
      <c r="O21" s="67" t="s">
        <v>715</v>
      </c>
      <c r="P21" s="83" t="s">
        <v>829</v>
      </c>
      <c r="Q21" s="157"/>
      <c r="R21" s="157"/>
      <c r="S21" s="128" t="s">
        <v>819</v>
      </c>
      <c r="T21" s="128" t="s">
        <v>820</v>
      </c>
      <c r="U21" s="128" t="s">
        <v>830</v>
      </c>
      <c r="V21" s="129" t="s">
        <v>831</v>
      </c>
      <c r="W21" s="66"/>
      <c r="X21" s="66" t="s">
        <v>823</v>
      </c>
      <c r="Y21" s="66" t="s">
        <v>820</v>
      </c>
      <c r="Z21" s="70" t="s">
        <v>830</v>
      </c>
      <c r="AA21" s="80" t="s">
        <v>724</v>
      </c>
    </row>
    <row r="22" spans="1:27" s="33" customFormat="1" ht="39.75" customHeight="1" x14ac:dyDescent="0.25">
      <c r="A22" s="27"/>
      <c r="B22" s="156" t="s">
        <v>4</v>
      </c>
      <c r="C22" s="66" t="s">
        <v>814</v>
      </c>
      <c r="D22" s="66" t="s">
        <v>9</v>
      </c>
      <c r="E22" s="67">
        <v>1</v>
      </c>
      <c r="F22" s="66" t="s">
        <v>832</v>
      </c>
      <c r="G22" s="66" t="s">
        <v>833</v>
      </c>
      <c r="H22" s="66" t="s">
        <v>826</v>
      </c>
      <c r="I22" s="67">
        <v>3</v>
      </c>
      <c r="J22" s="66" t="s">
        <v>712</v>
      </c>
      <c r="K22" s="67">
        <v>20</v>
      </c>
      <c r="L22" s="67"/>
      <c r="M22" s="68" t="s">
        <v>834</v>
      </c>
      <c r="N22" s="68" t="s">
        <v>835</v>
      </c>
      <c r="O22" s="67" t="s">
        <v>715</v>
      </c>
      <c r="P22" s="83" t="s">
        <v>836</v>
      </c>
      <c r="Q22" s="66"/>
      <c r="R22" s="66"/>
      <c r="S22" s="128" t="s">
        <v>819</v>
      </c>
      <c r="T22" s="128" t="s">
        <v>820</v>
      </c>
      <c r="U22" s="128" t="s">
        <v>359</v>
      </c>
      <c r="V22" s="129" t="s">
        <v>837</v>
      </c>
      <c r="W22" s="66"/>
      <c r="X22" s="66" t="s">
        <v>823</v>
      </c>
      <c r="Y22" s="66" t="s">
        <v>820</v>
      </c>
      <c r="Z22" s="70" t="s">
        <v>359</v>
      </c>
      <c r="AA22" s="80" t="s">
        <v>724</v>
      </c>
    </row>
    <row r="23" spans="1:27" s="33" customFormat="1" ht="39.75" customHeight="1" x14ac:dyDescent="0.25">
      <c r="A23" s="27"/>
      <c r="B23" s="156" t="s">
        <v>4</v>
      </c>
      <c r="C23" s="66" t="s">
        <v>814</v>
      </c>
      <c r="D23" s="66" t="s">
        <v>9</v>
      </c>
      <c r="E23" s="67">
        <v>1</v>
      </c>
      <c r="F23" s="156" t="s">
        <v>838</v>
      </c>
      <c r="G23" s="156" t="s">
        <v>839</v>
      </c>
      <c r="H23" s="66" t="s">
        <v>840</v>
      </c>
      <c r="I23" s="160">
        <v>4</v>
      </c>
      <c r="J23" s="156" t="s">
        <v>841</v>
      </c>
      <c r="K23" s="160"/>
      <c r="L23" s="160"/>
      <c r="M23" s="161" t="s">
        <v>842</v>
      </c>
      <c r="N23" s="161" t="s">
        <v>843</v>
      </c>
      <c r="O23" s="160" t="s">
        <v>715</v>
      </c>
      <c r="P23" s="158"/>
      <c r="Q23" s="157"/>
      <c r="R23" s="157"/>
      <c r="S23" s="128" t="s">
        <v>819</v>
      </c>
      <c r="T23" s="128" t="s">
        <v>820</v>
      </c>
      <c r="U23" s="128" t="s">
        <v>844</v>
      </c>
      <c r="V23" s="129" t="s">
        <v>845</v>
      </c>
      <c r="W23" s="66"/>
      <c r="X23" s="66" t="s">
        <v>823</v>
      </c>
      <c r="Y23" s="66" t="s">
        <v>820</v>
      </c>
      <c r="Z23" s="70" t="s">
        <v>844</v>
      </c>
      <c r="AA23" s="80" t="s">
        <v>724</v>
      </c>
    </row>
    <row r="24" spans="1:27" s="33" customFormat="1" ht="39.75" customHeight="1" x14ac:dyDescent="0.25">
      <c r="A24" s="27"/>
      <c r="B24" s="156" t="s">
        <v>4</v>
      </c>
      <c r="C24" s="66" t="s">
        <v>814</v>
      </c>
      <c r="D24" s="66" t="s">
        <v>9</v>
      </c>
      <c r="E24" s="67">
        <v>1</v>
      </c>
      <c r="F24" s="156" t="s">
        <v>846</v>
      </c>
      <c r="G24" s="66" t="s">
        <v>847</v>
      </c>
      <c r="H24" s="66" t="s">
        <v>848</v>
      </c>
      <c r="I24" s="160">
        <v>5</v>
      </c>
      <c r="J24" s="66" t="s">
        <v>712</v>
      </c>
      <c r="K24" s="160">
        <v>4</v>
      </c>
      <c r="L24" s="160"/>
      <c r="M24" s="161" t="s">
        <v>849</v>
      </c>
      <c r="N24" s="161" t="s">
        <v>850</v>
      </c>
      <c r="O24" s="160"/>
      <c r="P24" s="83" t="s">
        <v>851</v>
      </c>
      <c r="Q24" s="157"/>
      <c r="R24" s="157"/>
      <c r="S24" s="128" t="s">
        <v>819</v>
      </c>
      <c r="T24" s="128" t="s">
        <v>820</v>
      </c>
      <c r="U24" s="128" t="s">
        <v>852</v>
      </c>
      <c r="V24" s="129" t="s">
        <v>853</v>
      </c>
      <c r="W24" s="66"/>
      <c r="X24" s="66" t="s">
        <v>823</v>
      </c>
      <c r="Y24" s="66" t="s">
        <v>820</v>
      </c>
      <c r="Z24" s="70" t="s">
        <v>852</v>
      </c>
      <c r="AA24" s="80" t="s">
        <v>724</v>
      </c>
    </row>
    <row r="25" spans="1:27" s="33" customFormat="1" ht="39.75" customHeight="1" x14ac:dyDescent="0.25">
      <c r="A25" s="27"/>
      <c r="B25" s="156" t="s">
        <v>4</v>
      </c>
      <c r="C25" s="66" t="s">
        <v>814</v>
      </c>
      <c r="D25" s="66" t="s">
        <v>9</v>
      </c>
      <c r="E25" s="67">
        <v>1</v>
      </c>
      <c r="F25" s="66" t="s">
        <v>854</v>
      </c>
      <c r="G25" s="66" t="s">
        <v>855</v>
      </c>
      <c r="H25" s="66" t="s">
        <v>848</v>
      </c>
      <c r="I25" s="67">
        <v>6</v>
      </c>
      <c r="J25" s="66" t="s">
        <v>856</v>
      </c>
      <c r="K25" s="67">
        <v>23</v>
      </c>
      <c r="L25" s="67">
        <v>6</v>
      </c>
      <c r="M25" s="68" t="s">
        <v>857</v>
      </c>
      <c r="N25" s="68" t="s">
        <v>858</v>
      </c>
      <c r="O25" s="67"/>
      <c r="P25" s="83"/>
      <c r="Q25" s="66"/>
      <c r="R25" s="66"/>
      <c r="S25" s="128" t="s">
        <v>819</v>
      </c>
      <c r="T25" s="128" t="s">
        <v>820</v>
      </c>
      <c r="U25" s="128" t="s">
        <v>859</v>
      </c>
      <c r="V25" s="129" t="s">
        <v>860</v>
      </c>
      <c r="W25" s="66"/>
      <c r="X25" s="66" t="s">
        <v>823</v>
      </c>
      <c r="Y25" s="66" t="s">
        <v>820</v>
      </c>
      <c r="Z25" s="66" t="s">
        <v>859</v>
      </c>
      <c r="AA25" s="80" t="s">
        <v>724</v>
      </c>
    </row>
    <row r="26" spans="1:27" s="33" customFormat="1" ht="39.75" customHeight="1" x14ac:dyDescent="0.25">
      <c r="A26" s="27"/>
      <c r="B26" s="156" t="s">
        <v>4</v>
      </c>
      <c r="C26" s="66" t="s">
        <v>814</v>
      </c>
      <c r="D26" s="66" t="s">
        <v>9</v>
      </c>
      <c r="E26" s="67">
        <v>1</v>
      </c>
      <c r="F26" s="156" t="s">
        <v>861</v>
      </c>
      <c r="G26" s="156" t="s">
        <v>862</v>
      </c>
      <c r="H26" s="66" t="s">
        <v>848</v>
      </c>
      <c r="I26" s="160">
        <v>7</v>
      </c>
      <c r="J26" s="66" t="s">
        <v>856</v>
      </c>
      <c r="K26" s="67">
        <v>23</v>
      </c>
      <c r="L26" s="67">
        <v>6</v>
      </c>
      <c r="M26" s="68" t="s">
        <v>863</v>
      </c>
      <c r="N26" s="161" t="s">
        <v>864</v>
      </c>
      <c r="O26" s="160"/>
      <c r="P26" s="158"/>
      <c r="Q26" s="157"/>
      <c r="R26" s="157"/>
      <c r="S26" s="128" t="s">
        <v>819</v>
      </c>
      <c r="T26" s="128" t="s">
        <v>820</v>
      </c>
      <c r="U26" s="128" t="s">
        <v>865</v>
      </c>
      <c r="V26" s="129" t="s">
        <v>866</v>
      </c>
      <c r="W26" s="66"/>
      <c r="X26" s="66" t="s">
        <v>823</v>
      </c>
      <c r="Y26" s="66" t="s">
        <v>820</v>
      </c>
      <c r="Z26" s="66" t="s">
        <v>865</v>
      </c>
      <c r="AA26" s="80" t="s">
        <v>724</v>
      </c>
    </row>
    <row r="27" spans="1:27" s="33" customFormat="1" ht="39.75" customHeight="1" x14ac:dyDescent="0.25">
      <c r="A27" s="27"/>
      <c r="B27" s="156" t="s">
        <v>4</v>
      </c>
      <c r="C27" s="66" t="s">
        <v>814</v>
      </c>
      <c r="D27" s="66" t="s">
        <v>9</v>
      </c>
      <c r="E27" s="67">
        <v>1</v>
      </c>
      <c r="F27" s="156" t="s">
        <v>867</v>
      </c>
      <c r="G27" s="156" t="s">
        <v>868</v>
      </c>
      <c r="H27" s="66" t="s">
        <v>848</v>
      </c>
      <c r="I27" s="160">
        <v>8</v>
      </c>
      <c r="J27" s="66" t="s">
        <v>856</v>
      </c>
      <c r="K27" s="67">
        <v>23</v>
      </c>
      <c r="L27" s="67">
        <v>6</v>
      </c>
      <c r="M27" s="161" t="s">
        <v>869</v>
      </c>
      <c r="N27" s="161" t="s">
        <v>870</v>
      </c>
      <c r="O27" s="160"/>
      <c r="P27" s="158"/>
      <c r="Q27" s="157"/>
      <c r="R27" s="157"/>
      <c r="S27" s="128" t="s">
        <v>819</v>
      </c>
      <c r="T27" s="128" t="s">
        <v>820</v>
      </c>
      <c r="U27" s="128" t="s">
        <v>871</v>
      </c>
      <c r="V27" s="129" t="s">
        <v>872</v>
      </c>
      <c r="W27" s="66"/>
      <c r="X27" s="66" t="s">
        <v>823</v>
      </c>
      <c r="Y27" s="66" t="s">
        <v>820</v>
      </c>
      <c r="Z27" s="66" t="s">
        <v>871</v>
      </c>
      <c r="AA27" s="80" t="s">
        <v>724</v>
      </c>
    </row>
    <row r="28" spans="1:27" s="33" customFormat="1" ht="39.75" customHeight="1" x14ac:dyDescent="0.25">
      <c r="A28" s="27"/>
      <c r="B28" s="156" t="s">
        <v>4</v>
      </c>
      <c r="C28" s="66" t="s">
        <v>814</v>
      </c>
      <c r="D28" s="66" t="s">
        <v>9</v>
      </c>
      <c r="E28" s="67">
        <v>1</v>
      </c>
      <c r="F28" s="156" t="s">
        <v>873</v>
      </c>
      <c r="G28" s="156" t="s">
        <v>874</v>
      </c>
      <c r="H28" s="66" t="s">
        <v>848</v>
      </c>
      <c r="I28" s="160">
        <v>9</v>
      </c>
      <c r="J28" s="66" t="s">
        <v>856</v>
      </c>
      <c r="K28" s="67">
        <v>23</v>
      </c>
      <c r="L28" s="67">
        <v>6</v>
      </c>
      <c r="M28" s="161" t="s">
        <v>875</v>
      </c>
      <c r="N28" s="161" t="s">
        <v>876</v>
      </c>
      <c r="O28" s="160"/>
      <c r="P28" s="158"/>
      <c r="Q28" s="157"/>
      <c r="R28" s="157"/>
      <c r="S28" s="128" t="s">
        <v>819</v>
      </c>
      <c r="T28" s="128" t="s">
        <v>820</v>
      </c>
      <c r="U28" s="128" t="s">
        <v>877</v>
      </c>
      <c r="V28" s="129" t="s">
        <v>878</v>
      </c>
      <c r="W28" s="66"/>
      <c r="X28" s="66" t="s">
        <v>823</v>
      </c>
      <c r="Y28" s="66" t="s">
        <v>820</v>
      </c>
      <c r="Z28" s="66" t="s">
        <v>877</v>
      </c>
      <c r="AA28" s="80" t="s">
        <v>724</v>
      </c>
    </row>
    <row r="29" spans="1:27" s="33" customFormat="1" ht="39.75" customHeight="1" x14ac:dyDescent="0.25">
      <c r="A29" s="27"/>
      <c r="B29" s="156" t="s">
        <v>4</v>
      </c>
      <c r="C29" s="66" t="s">
        <v>814</v>
      </c>
      <c r="D29" s="66" t="s">
        <v>9</v>
      </c>
      <c r="E29" s="67">
        <v>1</v>
      </c>
      <c r="F29" s="163" t="s">
        <v>879</v>
      </c>
      <c r="G29" s="163" t="s">
        <v>880</v>
      </c>
      <c r="H29" s="66" t="s">
        <v>881</v>
      </c>
      <c r="I29" s="164">
        <v>10</v>
      </c>
      <c r="J29" s="165" t="s">
        <v>712</v>
      </c>
      <c r="K29" s="164">
        <v>2</v>
      </c>
      <c r="L29" s="164"/>
      <c r="M29" s="166" t="s">
        <v>882</v>
      </c>
      <c r="N29" s="161" t="s">
        <v>883</v>
      </c>
      <c r="O29" s="67" t="s">
        <v>715</v>
      </c>
      <c r="P29" s="158"/>
      <c r="Q29" s="157"/>
      <c r="R29" s="157"/>
      <c r="S29" s="128" t="s">
        <v>819</v>
      </c>
      <c r="T29" s="128" t="s">
        <v>820</v>
      </c>
      <c r="U29" s="128" t="s">
        <v>884</v>
      </c>
      <c r="V29" s="129" t="s">
        <v>885</v>
      </c>
      <c r="W29" s="66"/>
      <c r="X29" s="66" t="s">
        <v>823</v>
      </c>
      <c r="Y29" s="66" t="s">
        <v>820</v>
      </c>
      <c r="Z29" s="66" t="s">
        <v>884</v>
      </c>
      <c r="AA29" s="80" t="s">
        <v>724</v>
      </c>
    </row>
    <row r="30" spans="1:27" s="33" customFormat="1" ht="39.75" customHeight="1" x14ac:dyDescent="0.25">
      <c r="A30" s="27"/>
      <c r="B30" s="156" t="s">
        <v>4</v>
      </c>
      <c r="C30" s="66" t="s">
        <v>814</v>
      </c>
      <c r="D30" s="66" t="s">
        <v>9</v>
      </c>
      <c r="E30" s="67">
        <v>1</v>
      </c>
      <c r="F30" s="66" t="s">
        <v>799</v>
      </c>
      <c r="G30" s="66" t="s">
        <v>800</v>
      </c>
      <c r="H30" s="66" t="s">
        <v>801</v>
      </c>
      <c r="I30" s="67">
        <v>11</v>
      </c>
      <c r="J30" s="66" t="s">
        <v>712</v>
      </c>
      <c r="K30" s="67">
        <v>10</v>
      </c>
      <c r="L30" s="67"/>
      <c r="M30" s="68" t="s">
        <v>802</v>
      </c>
      <c r="N30" s="159" t="s">
        <v>803</v>
      </c>
      <c r="O30" s="67" t="s">
        <v>715</v>
      </c>
      <c r="P30" s="83"/>
      <c r="Q30" s="66"/>
      <c r="R30" s="66"/>
      <c r="S30" s="128" t="s">
        <v>819</v>
      </c>
      <c r="T30" s="128" t="s">
        <v>820</v>
      </c>
      <c r="U30" s="128" t="s">
        <v>886</v>
      </c>
      <c r="V30" s="129" t="s">
        <v>887</v>
      </c>
      <c r="W30" s="66"/>
      <c r="X30" s="66" t="s">
        <v>823</v>
      </c>
      <c r="Y30" s="66" t="s">
        <v>724</v>
      </c>
      <c r="Z30" s="66" t="s">
        <v>724</v>
      </c>
      <c r="AA30" s="80" t="s">
        <v>724</v>
      </c>
    </row>
    <row r="31" spans="1:27" s="33" customFormat="1" ht="39.75" customHeight="1" x14ac:dyDescent="0.25">
      <c r="A31" s="27"/>
      <c r="B31" s="156" t="s">
        <v>4</v>
      </c>
      <c r="C31" s="66" t="s">
        <v>814</v>
      </c>
      <c r="D31" s="66" t="s">
        <v>9</v>
      </c>
      <c r="E31" s="67">
        <v>1</v>
      </c>
      <c r="F31" s="66" t="s">
        <v>806</v>
      </c>
      <c r="G31" s="66" t="s">
        <v>807</v>
      </c>
      <c r="H31" s="66" t="s">
        <v>808</v>
      </c>
      <c r="I31" s="67">
        <v>12</v>
      </c>
      <c r="J31" s="69" t="s">
        <v>809</v>
      </c>
      <c r="K31" s="67">
        <v>23</v>
      </c>
      <c r="L31" s="158"/>
      <c r="M31" s="68" t="s">
        <v>810</v>
      </c>
      <c r="N31" s="159" t="s">
        <v>811</v>
      </c>
      <c r="O31" s="160"/>
      <c r="P31" s="162"/>
      <c r="Q31" s="156"/>
      <c r="R31" s="156"/>
      <c r="S31" s="128" t="s">
        <v>819</v>
      </c>
      <c r="T31" s="128" t="s">
        <v>820</v>
      </c>
      <c r="U31" s="128" t="s">
        <v>724</v>
      </c>
      <c r="V31" s="129" t="s">
        <v>888</v>
      </c>
      <c r="W31" s="66"/>
      <c r="X31" s="66" t="s">
        <v>823</v>
      </c>
      <c r="Y31" s="66" t="s">
        <v>724</v>
      </c>
      <c r="Z31" s="66" t="s">
        <v>724</v>
      </c>
      <c r="AA31" s="80" t="s">
        <v>724</v>
      </c>
    </row>
    <row r="32" spans="1:27" s="33" customFormat="1" ht="39.75" customHeight="1" x14ac:dyDescent="0.25">
      <c r="A32" s="27"/>
      <c r="B32" s="157" t="s">
        <v>17</v>
      </c>
      <c r="C32" s="157" t="s">
        <v>889</v>
      </c>
      <c r="D32" s="157" t="s">
        <v>18</v>
      </c>
      <c r="E32" s="158">
        <v>0</v>
      </c>
      <c r="F32" s="157" t="s">
        <v>890</v>
      </c>
      <c r="G32" s="157" t="s">
        <v>891</v>
      </c>
      <c r="H32" s="66" t="s">
        <v>826</v>
      </c>
      <c r="I32" s="158">
        <v>1</v>
      </c>
      <c r="J32" s="156" t="s">
        <v>712</v>
      </c>
      <c r="K32" s="158">
        <v>2</v>
      </c>
      <c r="L32" s="158"/>
      <c r="M32" s="146" t="s">
        <v>892</v>
      </c>
      <c r="N32" s="159" t="s">
        <v>893</v>
      </c>
      <c r="O32" s="158" t="s">
        <v>894</v>
      </c>
      <c r="P32" s="158"/>
      <c r="Q32" s="157"/>
      <c r="R32" s="157"/>
      <c r="S32" s="70"/>
      <c r="T32" s="70"/>
      <c r="U32" s="70"/>
      <c r="V32" s="70"/>
      <c r="W32" s="70"/>
      <c r="X32" s="66" t="s">
        <v>724</v>
      </c>
      <c r="Y32" s="66" t="s">
        <v>724</v>
      </c>
      <c r="Z32" s="66" t="s">
        <v>724</v>
      </c>
      <c r="AA32" s="80" t="s">
        <v>724</v>
      </c>
    </row>
    <row r="33" spans="1:27" s="33" customFormat="1" ht="39.75" customHeight="1" x14ac:dyDescent="0.25">
      <c r="A33" s="27"/>
      <c r="B33" s="157" t="s">
        <v>17</v>
      </c>
      <c r="C33" s="157" t="s">
        <v>889</v>
      </c>
      <c r="D33" s="157" t="s">
        <v>18</v>
      </c>
      <c r="E33" s="158">
        <v>0</v>
      </c>
      <c r="F33" s="157" t="s">
        <v>895</v>
      </c>
      <c r="G33" s="157" t="s">
        <v>896</v>
      </c>
      <c r="H33" s="66" t="s">
        <v>826</v>
      </c>
      <c r="I33" s="158">
        <v>2</v>
      </c>
      <c r="J33" s="156" t="s">
        <v>712</v>
      </c>
      <c r="K33" s="158"/>
      <c r="L33" s="158"/>
      <c r="M33" s="159" t="s">
        <v>897</v>
      </c>
      <c r="N33" s="159" t="s">
        <v>898</v>
      </c>
      <c r="O33" s="158" t="s">
        <v>894</v>
      </c>
      <c r="P33" s="158"/>
      <c r="Q33" s="157"/>
      <c r="R33" s="157"/>
      <c r="S33" s="70"/>
      <c r="T33" s="70"/>
      <c r="U33" s="70"/>
      <c r="V33" s="70"/>
      <c r="W33" s="70"/>
      <c r="X33" s="66" t="s">
        <v>724</v>
      </c>
      <c r="Y33" s="66" t="s">
        <v>724</v>
      </c>
      <c r="Z33" s="66" t="s">
        <v>724</v>
      </c>
      <c r="AA33" s="80" t="s">
        <v>724</v>
      </c>
    </row>
    <row r="34" spans="1:27" s="33" customFormat="1" ht="39.75" customHeight="1" x14ac:dyDescent="0.25">
      <c r="A34" s="27"/>
      <c r="B34" s="157" t="s">
        <v>17</v>
      </c>
      <c r="C34" s="157" t="s">
        <v>889</v>
      </c>
      <c r="D34" s="157" t="s">
        <v>18</v>
      </c>
      <c r="E34" s="158">
        <v>0</v>
      </c>
      <c r="F34" s="157" t="s">
        <v>899</v>
      </c>
      <c r="G34" s="157" t="s">
        <v>900</v>
      </c>
      <c r="H34" s="66" t="s">
        <v>881</v>
      </c>
      <c r="I34" s="158">
        <v>3</v>
      </c>
      <c r="J34" s="156" t="s">
        <v>712</v>
      </c>
      <c r="K34" s="158"/>
      <c r="L34" s="158"/>
      <c r="M34" s="159" t="s">
        <v>901</v>
      </c>
      <c r="N34" s="159" t="s">
        <v>902</v>
      </c>
      <c r="O34" s="158" t="s">
        <v>894</v>
      </c>
      <c r="P34" s="158"/>
      <c r="Q34" s="157"/>
      <c r="R34" s="157"/>
      <c r="S34" s="70"/>
      <c r="T34" s="70"/>
      <c r="U34" s="70"/>
      <c r="V34" s="70"/>
      <c r="W34" s="70"/>
      <c r="X34" s="66" t="s">
        <v>724</v>
      </c>
      <c r="Y34" s="66" t="s">
        <v>724</v>
      </c>
      <c r="Z34" s="66" t="s">
        <v>724</v>
      </c>
      <c r="AA34" s="80" t="s">
        <v>724</v>
      </c>
    </row>
    <row r="35" spans="1:27" s="33" customFormat="1" ht="39.75" customHeight="1" x14ac:dyDescent="0.25">
      <c r="A35" s="27"/>
      <c r="B35" s="157" t="s">
        <v>17</v>
      </c>
      <c r="C35" s="157" t="s">
        <v>889</v>
      </c>
      <c r="D35" s="157" t="s">
        <v>18</v>
      </c>
      <c r="E35" s="158">
        <v>0</v>
      </c>
      <c r="F35" s="157" t="s">
        <v>903</v>
      </c>
      <c r="G35" s="157" t="s">
        <v>904</v>
      </c>
      <c r="H35" s="66" t="s">
        <v>881</v>
      </c>
      <c r="I35" s="158">
        <v>4</v>
      </c>
      <c r="J35" s="156" t="s">
        <v>712</v>
      </c>
      <c r="K35" s="158"/>
      <c r="L35" s="158"/>
      <c r="M35" s="159" t="s">
        <v>905</v>
      </c>
      <c r="N35" s="159" t="s">
        <v>906</v>
      </c>
      <c r="O35" s="158"/>
      <c r="P35" s="158"/>
      <c r="Q35" s="157"/>
      <c r="R35" s="157"/>
      <c r="S35" s="70"/>
      <c r="T35" s="70"/>
      <c r="U35" s="70"/>
      <c r="V35" s="70"/>
      <c r="W35" s="70"/>
      <c r="X35" s="66" t="s">
        <v>724</v>
      </c>
      <c r="Y35" s="66" t="s">
        <v>724</v>
      </c>
      <c r="Z35" s="66" t="s">
        <v>724</v>
      </c>
      <c r="AA35" s="80" t="s">
        <v>724</v>
      </c>
    </row>
    <row r="36" spans="1:27" s="33" customFormat="1" ht="39.75" customHeight="1" x14ac:dyDescent="0.25">
      <c r="A36" s="27"/>
      <c r="B36" s="157" t="s">
        <v>17</v>
      </c>
      <c r="C36" s="157" t="s">
        <v>889</v>
      </c>
      <c r="D36" s="157" t="s">
        <v>18</v>
      </c>
      <c r="E36" s="158">
        <v>0</v>
      </c>
      <c r="F36" s="156" t="s">
        <v>799</v>
      </c>
      <c r="G36" s="157" t="s">
        <v>800</v>
      </c>
      <c r="H36" s="66" t="s">
        <v>801</v>
      </c>
      <c r="I36" s="158">
        <v>5</v>
      </c>
      <c r="J36" s="156" t="s">
        <v>712</v>
      </c>
      <c r="K36" s="158">
        <v>10</v>
      </c>
      <c r="L36" s="158"/>
      <c r="M36" s="161" t="s">
        <v>802</v>
      </c>
      <c r="N36" s="159" t="s">
        <v>803</v>
      </c>
      <c r="O36" s="158" t="s">
        <v>894</v>
      </c>
      <c r="P36" s="158"/>
      <c r="Q36" s="157"/>
      <c r="R36" s="157"/>
      <c r="S36" s="70"/>
      <c r="T36" s="70"/>
      <c r="U36" s="70"/>
      <c r="V36" s="70"/>
      <c r="W36" s="70"/>
      <c r="X36" s="66" t="s">
        <v>724</v>
      </c>
      <c r="Y36" s="66" t="s">
        <v>724</v>
      </c>
      <c r="Z36" s="66" t="s">
        <v>724</v>
      </c>
      <c r="AA36" s="80" t="s">
        <v>724</v>
      </c>
    </row>
    <row r="37" spans="1:27" s="33" customFormat="1" ht="39.75" customHeight="1" x14ac:dyDescent="0.25">
      <c r="A37" s="27"/>
      <c r="B37" s="157" t="s">
        <v>17</v>
      </c>
      <c r="C37" s="157" t="s">
        <v>889</v>
      </c>
      <c r="D37" s="157" t="s">
        <v>18</v>
      </c>
      <c r="E37" s="158">
        <v>0</v>
      </c>
      <c r="F37" s="156" t="s">
        <v>806</v>
      </c>
      <c r="G37" s="157" t="s">
        <v>807</v>
      </c>
      <c r="H37" s="66" t="s">
        <v>808</v>
      </c>
      <c r="I37" s="158">
        <v>6</v>
      </c>
      <c r="J37" s="156" t="s">
        <v>809</v>
      </c>
      <c r="K37" s="158">
        <v>23</v>
      </c>
      <c r="L37" s="158"/>
      <c r="M37" s="68" t="s">
        <v>810</v>
      </c>
      <c r="N37" s="159" t="s">
        <v>811</v>
      </c>
      <c r="O37" s="158"/>
      <c r="P37" s="158"/>
      <c r="Q37" s="157"/>
      <c r="R37" s="157"/>
      <c r="S37" s="70"/>
      <c r="T37" s="70"/>
      <c r="U37" s="70"/>
      <c r="V37" s="70"/>
      <c r="W37" s="70"/>
      <c r="X37" s="66" t="s">
        <v>724</v>
      </c>
      <c r="Y37" s="66" t="s">
        <v>724</v>
      </c>
      <c r="Z37" s="66" t="s">
        <v>724</v>
      </c>
      <c r="AA37" s="80" t="s">
        <v>724</v>
      </c>
    </row>
    <row r="38" spans="1:27" s="33" customFormat="1" ht="39.75" customHeight="1" x14ac:dyDescent="0.25">
      <c r="A38" s="27"/>
      <c r="B38" s="157" t="s">
        <v>17</v>
      </c>
      <c r="C38" s="157" t="s">
        <v>907</v>
      </c>
      <c r="D38" s="157" t="s">
        <v>20</v>
      </c>
      <c r="E38" s="158">
        <v>0</v>
      </c>
      <c r="F38" s="157" t="s">
        <v>890</v>
      </c>
      <c r="G38" s="157" t="s">
        <v>891</v>
      </c>
      <c r="H38" s="66" t="s">
        <v>908</v>
      </c>
      <c r="I38" s="158">
        <v>1</v>
      </c>
      <c r="J38" s="157" t="s">
        <v>712</v>
      </c>
      <c r="K38" s="158">
        <v>2</v>
      </c>
      <c r="L38" s="158"/>
      <c r="M38" s="146" t="s">
        <v>892</v>
      </c>
      <c r="N38" s="159" t="s">
        <v>893</v>
      </c>
      <c r="O38" s="160" t="s">
        <v>715</v>
      </c>
      <c r="P38" s="160"/>
      <c r="Q38" s="157"/>
      <c r="R38" s="157"/>
      <c r="S38" s="70"/>
      <c r="T38" s="70"/>
      <c r="U38" s="70"/>
      <c r="V38" s="70"/>
      <c r="W38" s="70"/>
      <c r="X38" s="66" t="s">
        <v>724</v>
      </c>
      <c r="Y38" s="66" t="s">
        <v>724</v>
      </c>
      <c r="Z38" s="66" t="s">
        <v>724</v>
      </c>
      <c r="AA38" s="80" t="s">
        <v>724</v>
      </c>
    </row>
    <row r="39" spans="1:27" s="33" customFormat="1" ht="39.75" customHeight="1" x14ac:dyDescent="0.25">
      <c r="A39" s="27"/>
      <c r="B39" s="157" t="s">
        <v>17</v>
      </c>
      <c r="C39" s="157" t="s">
        <v>907</v>
      </c>
      <c r="D39" s="157" t="s">
        <v>20</v>
      </c>
      <c r="E39" s="158">
        <v>0</v>
      </c>
      <c r="F39" s="157" t="s">
        <v>909</v>
      </c>
      <c r="G39" s="157" t="s">
        <v>910</v>
      </c>
      <c r="H39" s="66" t="s">
        <v>908</v>
      </c>
      <c r="I39" s="158">
        <v>2</v>
      </c>
      <c r="J39" s="157" t="s">
        <v>712</v>
      </c>
      <c r="K39" s="158"/>
      <c r="L39" s="158"/>
      <c r="M39" s="159" t="s">
        <v>911</v>
      </c>
      <c r="N39" s="159" t="s">
        <v>912</v>
      </c>
      <c r="O39" s="160" t="s">
        <v>715</v>
      </c>
      <c r="P39" s="160"/>
      <c r="Q39" s="157"/>
      <c r="R39" s="157"/>
      <c r="S39" s="70"/>
      <c r="T39" s="70"/>
      <c r="U39" s="70"/>
      <c r="V39" s="70"/>
      <c r="W39" s="70"/>
      <c r="X39" s="66" t="s">
        <v>724</v>
      </c>
      <c r="Y39" s="66" t="s">
        <v>724</v>
      </c>
      <c r="Z39" s="66" t="s">
        <v>724</v>
      </c>
      <c r="AA39" s="80" t="s">
        <v>724</v>
      </c>
    </row>
    <row r="40" spans="1:27" s="33" customFormat="1" ht="39.75" customHeight="1" x14ac:dyDescent="0.25">
      <c r="A40"/>
      <c r="B40" s="157" t="s">
        <v>17</v>
      </c>
      <c r="C40" s="157" t="s">
        <v>907</v>
      </c>
      <c r="D40" s="157" t="s">
        <v>20</v>
      </c>
      <c r="E40" s="158">
        <v>0</v>
      </c>
      <c r="F40" s="157" t="s">
        <v>899</v>
      </c>
      <c r="G40" s="157" t="s">
        <v>900</v>
      </c>
      <c r="H40" s="66" t="s">
        <v>881</v>
      </c>
      <c r="I40" s="158">
        <v>3</v>
      </c>
      <c r="J40" s="157" t="s">
        <v>712</v>
      </c>
      <c r="K40" s="158"/>
      <c r="L40" s="158"/>
      <c r="M40" s="159" t="s">
        <v>901</v>
      </c>
      <c r="N40" s="159" t="s">
        <v>902</v>
      </c>
      <c r="O40" s="160" t="s">
        <v>715</v>
      </c>
      <c r="P40" s="160"/>
      <c r="Q40" s="157"/>
      <c r="R40" s="157"/>
      <c r="S40" s="70"/>
      <c r="T40" s="70"/>
      <c r="U40" s="70"/>
      <c r="V40" s="70"/>
      <c r="W40" s="70"/>
      <c r="X40" s="66" t="s">
        <v>724</v>
      </c>
      <c r="Y40" s="66" t="s">
        <v>724</v>
      </c>
      <c r="Z40" s="66" t="s">
        <v>724</v>
      </c>
      <c r="AA40" s="80" t="s">
        <v>724</v>
      </c>
    </row>
    <row r="41" spans="1:27" ht="39.75" customHeight="1" x14ac:dyDescent="0.25">
      <c r="B41" s="157" t="s">
        <v>17</v>
      </c>
      <c r="C41" s="157" t="s">
        <v>907</v>
      </c>
      <c r="D41" s="157" t="s">
        <v>20</v>
      </c>
      <c r="E41" s="158">
        <v>0</v>
      </c>
      <c r="F41" s="157" t="s">
        <v>903</v>
      </c>
      <c r="G41" s="157" t="s">
        <v>904</v>
      </c>
      <c r="H41" s="66" t="s">
        <v>881</v>
      </c>
      <c r="I41" s="158">
        <v>4</v>
      </c>
      <c r="J41" s="157" t="s">
        <v>712</v>
      </c>
      <c r="K41" s="158"/>
      <c r="L41" s="158"/>
      <c r="M41" s="159" t="s">
        <v>913</v>
      </c>
      <c r="N41" s="159" t="s">
        <v>914</v>
      </c>
      <c r="O41" s="158"/>
      <c r="P41" s="158"/>
      <c r="Q41" s="157"/>
      <c r="R41" s="157"/>
      <c r="S41" s="70"/>
      <c r="T41" s="70"/>
      <c r="U41" s="70"/>
      <c r="V41" s="70"/>
      <c r="W41" s="70"/>
      <c r="X41" s="66" t="s">
        <v>724</v>
      </c>
      <c r="Y41" s="66" t="s">
        <v>724</v>
      </c>
      <c r="Z41" s="66" t="s">
        <v>724</v>
      </c>
      <c r="AA41" s="80" t="s">
        <v>724</v>
      </c>
    </row>
    <row r="42" spans="1:27" ht="39.75" customHeight="1" x14ac:dyDescent="0.25">
      <c r="B42" s="157" t="s">
        <v>17</v>
      </c>
      <c r="C42" s="157" t="s">
        <v>907</v>
      </c>
      <c r="D42" s="157" t="s">
        <v>20</v>
      </c>
      <c r="E42" s="158">
        <v>0</v>
      </c>
      <c r="F42" s="157" t="s">
        <v>915</v>
      </c>
      <c r="G42" s="157" t="s">
        <v>916</v>
      </c>
      <c r="H42" s="66" t="s">
        <v>881</v>
      </c>
      <c r="I42" s="158">
        <v>5</v>
      </c>
      <c r="J42" s="157" t="s">
        <v>917</v>
      </c>
      <c r="K42" s="158"/>
      <c r="L42" s="158"/>
      <c r="M42" s="159" t="s">
        <v>918</v>
      </c>
      <c r="N42" s="159" t="s">
        <v>919</v>
      </c>
      <c r="O42" s="160" t="s">
        <v>715</v>
      </c>
      <c r="P42" s="160"/>
      <c r="Q42" s="157"/>
      <c r="R42" s="157"/>
      <c r="S42" s="70"/>
      <c r="T42" s="70"/>
      <c r="U42" s="70"/>
      <c r="V42" s="70"/>
      <c r="W42" s="70"/>
      <c r="X42" s="66" t="s">
        <v>724</v>
      </c>
      <c r="Y42" s="66" t="s">
        <v>724</v>
      </c>
      <c r="Z42" s="66" t="s">
        <v>724</v>
      </c>
      <c r="AA42" s="80" t="s">
        <v>724</v>
      </c>
    </row>
    <row r="43" spans="1:27" ht="39.75" customHeight="1" x14ac:dyDescent="0.25">
      <c r="B43" s="157" t="s">
        <v>17</v>
      </c>
      <c r="C43" s="157" t="s">
        <v>907</v>
      </c>
      <c r="D43" s="157" t="s">
        <v>20</v>
      </c>
      <c r="E43" s="158">
        <v>0</v>
      </c>
      <c r="F43" s="156" t="s">
        <v>799</v>
      </c>
      <c r="G43" s="156" t="s">
        <v>800</v>
      </c>
      <c r="H43" s="66" t="s">
        <v>801</v>
      </c>
      <c r="I43" s="160">
        <v>6</v>
      </c>
      <c r="J43" s="156" t="s">
        <v>712</v>
      </c>
      <c r="K43" s="160">
        <v>10</v>
      </c>
      <c r="L43" s="160"/>
      <c r="M43" s="161" t="s">
        <v>802</v>
      </c>
      <c r="N43" s="159" t="s">
        <v>803</v>
      </c>
      <c r="O43" s="160" t="s">
        <v>715</v>
      </c>
      <c r="P43" s="160"/>
      <c r="Q43" s="157"/>
      <c r="R43" s="157"/>
      <c r="S43" s="66"/>
      <c r="T43" s="66"/>
      <c r="U43" s="66"/>
      <c r="V43" s="66"/>
      <c r="W43" s="66"/>
      <c r="X43" s="66" t="s">
        <v>724</v>
      </c>
      <c r="Y43" s="66" t="s">
        <v>724</v>
      </c>
      <c r="Z43" s="66" t="s">
        <v>724</v>
      </c>
      <c r="AA43" s="80" t="s">
        <v>724</v>
      </c>
    </row>
    <row r="44" spans="1:27" ht="39.75" customHeight="1" x14ac:dyDescent="0.25">
      <c r="B44" s="157" t="s">
        <v>17</v>
      </c>
      <c r="C44" s="157" t="s">
        <v>907</v>
      </c>
      <c r="D44" s="157" t="s">
        <v>20</v>
      </c>
      <c r="E44" s="158">
        <v>0</v>
      </c>
      <c r="F44" s="156" t="s">
        <v>806</v>
      </c>
      <c r="G44" s="156" t="s">
        <v>807</v>
      </c>
      <c r="H44" s="66" t="s">
        <v>808</v>
      </c>
      <c r="I44" s="160">
        <v>7</v>
      </c>
      <c r="J44" s="156" t="s">
        <v>809</v>
      </c>
      <c r="K44" s="160">
        <v>23</v>
      </c>
      <c r="L44" s="158"/>
      <c r="M44" s="68" t="s">
        <v>810</v>
      </c>
      <c r="N44" s="159" t="s">
        <v>811</v>
      </c>
      <c r="O44" s="160"/>
      <c r="P44" s="160"/>
      <c r="Q44" s="157"/>
      <c r="R44" s="157"/>
      <c r="S44" s="66"/>
      <c r="T44" s="66"/>
      <c r="U44" s="66"/>
      <c r="V44" s="66"/>
      <c r="W44" s="66"/>
      <c r="X44" s="66" t="s">
        <v>724</v>
      </c>
      <c r="Y44" s="66" t="s">
        <v>724</v>
      </c>
      <c r="Z44" s="66" t="s">
        <v>724</v>
      </c>
      <c r="AA44" s="80" t="s">
        <v>724</v>
      </c>
    </row>
    <row r="45" spans="1:27" ht="39.75" customHeight="1" x14ac:dyDescent="0.25">
      <c r="B45" s="157" t="s">
        <v>17</v>
      </c>
      <c r="C45" s="157" t="s">
        <v>920</v>
      </c>
      <c r="D45" s="157" t="s">
        <v>22</v>
      </c>
      <c r="E45" s="158">
        <v>0</v>
      </c>
      <c r="F45" s="157" t="s">
        <v>890</v>
      </c>
      <c r="G45" s="157" t="s">
        <v>891</v>
      </c>
      <c r="H45" s="66" t="s">
        <v>826</v>
      </c>
      <c r="I45" s="158">
        <v>1</v>
      </c>
      <c r="J45" s="156" t="s">
        <v>712</v>
      </c>
      <c r="K45" s="158">
        <v>2</v>
      </c>
      <c r="L45" s="158"/>
      <c r="M45" s="146" t="s">
        <v>892</v>
      </c>
      <c r="N45" s="159" t="s">
        <v>893</v>
      </c>
      <c r="O45" s="160" t="s">
        <v>715</v>
      </c>
      <c r="P45" s="160"/>
      <c r="Q45" s="157"/>
      <c r="R45" s="157"/>
      <c r="S45" s="70"/>
      <c r="T45" s="70"/>
      <c r="U45" s="70"/>
      <c r="V45" s="70"/>
      <c r="W45" s="70"/>
      <c r="X45" s="66" t="s">
        <v>724</v>
      </c>
      <c r="Y45" s="66" t="s">
        <v>724</v>
      </c>
      <c r="Z45" s="66" t="s">
        <v>724</v>
      </c>
      <c r="AA45" s="80" t="s">
        <v>724</v>
      </c>
    </row>
    <row r="46" spans="1:27" ht="39.75" customHeight="1" x14ac:dyDescent="0.25">
      <c r="B46" s="157" t="s">
        <v>17</v>
      </c>
      <c r="C46" s="157" t="s">
        <v>920</v>
      </c>
      <c r="D46" s="157" t="s">
        <v>22</v>
      </c>
      <c r="E46" s="158">
        <v>0</v>
      </c>
      <c r="F46" s="157" t="s">
        <v>921</v>
      </c>
      <c r="G46" s="157" t="s">
        <v>922</v>
      </c>
      <c r="H46" s="66" t="s">
        <v>908</v>
      </c>
      <c r="I46" s="158">
        <v>2</v>
      </c>
      <c r="J46" s="156" t="s">
        <v>712</v>
      </c>
      <c r="K46" s="158">
        <v>3</v>
      </c>
      <c r="L46" s="158"/>
      <c r="M46" s="159" t="s">
        <v>923</v>
      </c>
      <c r="N46" s="159" t="s">
        <v>924</v>
      </c>
      <c r="O46" s="160" t="s">
        <v>715</v>
      </c>
      <c r="P46" s="158"/>
      <c r="Q46" s="157"/>
      <c r="R46" s="157"/>
      <c r="S46" s="70"/>
      <c r="T46" s="70"/>
      <c r="U46" s="70"/>
      <c r="V46" s="70"/>
      <c r="W46" s="70"/>
      <c r="X46" s="66" t="s">
        <v>724</v>
      </c>
      <c r="Y46" s="66" t="s">
        <v>724</v>
      </c>
      <c r="Z46" s="66" t="s">
        <v>724</v>
      </c>
      <c r="AA46" s="80" t="s">
        <v>724</v>
      </c>
    </row>
    <row r="47" spans="1:27" ht="39.75" customHeight="1" x14ac:dyDescent="0.25">
      <c r="B47" s="157" t="s">
        <v>17</v>
      </c>
      <c r="C47" s="157" t="s">
        <v>920</v>
      </c>
      <c r="D47" s="157" t="s">
        <v>22</v>
      </c>
      <c r="E47" s="158">
        <v>0</v>
      </c>
      <c r="F47" s="157" t="s">
        <v>925</v>
      </c>
      <c r="G47" s="157" t="s">
        <v>926</v>
      </c>
      <c r="H47" s="66" t="s">
        <v>908</v>
      </c>
      <c r="I47" s="158">
        <v>3</v>
      </c>
      <c r="J47" s="156" t="s">
        <v>712</v>
      </c>
      <c r="K47" s="158">
        <v>3</v>
      </c>
      <c r="L47" s="158"/>
      <c r="M47" s="159" t="s">
        <v>927</v>
      </c>
      <c r="N47" s="159" t="s">
        <v>928</v>
      </c>
      <c r="O47" s="160" t="s">
        <v>715</v>
      </c>
      <c r="P47" s="158"/>
      <c r="Q47" s="157"/>
      <c r="R47" s="157"/>
      <c r="S47" s="70"/>
      <c r="T47" s="70"/>
      <c r="U47" s="70"/>
      <c r="V47" s="70"/>
      <c r="W47" s="70"/>
      <c r="X47" s="66" t="s">
        <v>724</v>
      </c>
      <c r="Y47" s="66" t="s">
        <v>724</v>
      </c>
      <c r="Z47" s="66" t="s">
        <v>724</v>
      </c>
      <c r="AA47" s="87" t="s">
        <v>724</v>
      </c>
    </row>
    <row r="48" spans="1:27" ht="39.75" customHeight="1" x14ac:dyDescent="0.25">
      <c r="B48" s="157" t="s">
        <v>17</v>
      </c>
      <c r="C48" s="157" t="s">
        <v>920</v>
      </c>
      <c r="D48" s="157" t="s">
        <v>22</v>
      </c>
      <c r="E48" s="158">
        <v>0</v>
      </c>
      <c r="F48" s="156" t="s">
        <v>799</v>
      </c>
      <c r="G48" s="156" t="s">
        <v>800</v>
      </c>
      <c r="H48" s="66" t="s">
        <v>801</v>
      </c>
      <c r="I48" s="160">
        <v>4</v>
      </c>
      <c r="J48" s="156" t="s">
        <v>712</v>
      </c>
      <c r="K48" s="160">
        <v>10</v>
      </c>
      <c r="L48" s="160"/>
      <c r="M48" s="161" t="s">
        <v>802</v>
      </c>
      <c r="N48" s="159" t="s">
        <v>803</v>
      </c>
      <c r="O48" s="160" t="s">
        <v>715</v>
      </c>
      <c r="P48" s="160"/>
      <c r="Q48" s="157"/>
      <c r="R48" s="157"/>
      <c r="S48" s="66"/>
      <c r="T48" s="66"/>
      <c r="U48" s="66"/>
      <c r="V48" s="66"/>
      <c r="W48" s="66"/>
      <c r="X48" s="66" t="s">
        <v>724</v>
      </c>
      <c r="Y48" s="66" t="s">
        <v>724</v>
      </c>
      <c r="Z48" s="66" t="s">
        <v>724</v>
      </c>
      <c r="AA48" s="87" t="s">
        <v>724</v>
      </c>
    </row>
    <row r="49" spans="2:27" ht="39.75" customHeight="1" x14ac:dyDescent="0.25">
      <c r="B49" s="157" t="s">
        <v>17</v>
      </c>
      <c r="C49" s="157" t="s">
        <v>920</v>
      </c>
      <c r="D49" s="157" t="s">
        <v>22</v>
      </c>
      <c r="E49" s="158">
        <v>0</v>
      </c>
      <c r="F49" s="156" t="s">
        <v>806</v>
      </c>
      <c r="G49" s="156" t="s">
        <v>807</v>
      </c>
      <c r="H49" s="66" t="s">
        <v>808</v>
      </c>
      <c r="I49" s="160">
        <v>5</v>
      </c>
      <c r="J49" s="156" t="s">
        <v>809</v>
      </c>
      <c r="K49" s="160">
        <v>23</v>
      </c>
      <c r="L49" s="158"/>
      <c r="M49" s="68" t="s">
        <v>810</v>
      </c>
      <c r="N49" s="159" t="s">
        <v>811</v>
      </c>
      <c r="O49" s="160"/>
      <c r="P49" s="160"/>
      <c r="Q49" s="157"/>
      <c r="R49" s="157"/>
      <c r="S49" s="66"/>
      <c r="T49" s="66"/>
      <c r="U49" s="66"/>
      <c r="V49" s="66"/>
      <c r="W49" s="66"/>
      <c r="X49" s="66" t="s">
        <v>724</v>
      </c>
      <c r="Y49" s="66" t="s">
        <v>724</v>
      </c>
      <c r="Z49" s="66" t="s">
        <v>724</v>
      </c>
      <c r="AA49" s="87" t="s">
        <v>724</v>
      </c>
    </row>
    <row r="50" spans="2:27" ht="39.75" customHeight="1" x14ac:dyDescent="0.25">
      <c r="B50" s="156" t="s">
        <v>4</v>
      </c>
      <c r="C50" s="157" t="s">
        <v>929</v>
      </c>
      <c r="D50" s="157" t="s">
        <v>15</v>
      </c>
      <c r="E50" s="158">
        <v>0</v>
      </c>
      <c r="F50" s="157" t="s">
        <v>930</v>
      </c>
      <c r="G50" s="157" t="s">
        <v>931</v>
      </c>
      <c r="H50" s="66" t="s">
        <v>826</v>
      </c>
      <c r="I50" s="158">
        <v>1</v>
      </c>
      <c r="J50" s="157" t="s">
        <v>712</v>
      </c>
      <c r="K50" s="158">
        <v>4</v>
      </c>
      <c r="L50" s="158"/>
      <c r="M50" s="159" t="s">
        <v>932</v>
      </c>
      <c r="N50" s="159" t="s">
        <v>933</v>
      </c>
      <c r="O50" s="158" t="s">
        <v>715</v>
      </c>
      <c r="P50" s="158"/>
      <c r="Q50" s="157"/>
      <c r="R50" s="157"/>
      <c r="S50" s="128" t="s">
        <v>934</v>
      </c>
      <c r="T50" s="128" t="s">
        <v>935</v>
      </c>
      <c r="U50" s="128" t="s">
        <v>936</v>
      </c>
      <c r="V50" s="129" t="s">
        <v>937</v>
      </c>
      <c r="W50" s="70"/>
      <c r="X50" s="70" t="s">
        <v>938</v>
      </c>
      <c r="Y50" s="70" t="s">
        <v>935</v>
      </c>
      <c r="Z50" s="70" t="s">
        <v>936</v>
      </c>
      <c r="AA50" s="87" t="s">
        <v>724</v>
      </c>
    </row>
    <row r="51" spans="2:27" ht="39.75" customHeight="1" x14ac:dyDescent="0.25">
      <c r="B51" s="156" t="s">
        <v>4</v>
      </c>
      <c r="C51" s="157" t="s">
        <v>929</v>
      </c>
      <c r="D51" s="157" t="s">
        <v>15</v>
      </c>
      <c r="E51" s="158">
        <v>0</v>
      </c>
      <c r="F51" s="167" t="s">
        <v>939</v>
      </c>
      <c r="G51" s="157" t="s">
        <v>940</v>
      </c>
      <c r="H51" s="66" t="s">
        <v>881</v>
      </c>
      <c r="I51" s="158">
        <v>2</v>
      </c>
      <c r="J51" s="157" t="s">
        <v>712</v>
      </c>
      <c r="K51" s="158"/>
      <c r="L51" s="158"/>
      <c r="M51" s="159" t="s">
        <v>941</v>
      </c>
      <c r="N51" s="159" t="s">
        <v>942</v>
      </c>
      <c r="O51" s="158"/>
      <c r="P51" s="158"/>
      <c r="Q51" s="157"/>
      <c r="R51" s="157"/>
      <c r="S51" s="128" t="s">
        <v>934</v>
      </c>
      <c r="T51" s="128" t="s">
        <v>935</v>
      </c>
      <c r="U51" s="128" t="s">
        <v>943</v>
      </c>
      <c r="V51" s="129" t="s">
        <v>944</v>
      </c>
      <c r="W51" s="70"/>
      <c r="X51" s="70" t="s">
        <v>938</v>
      </c>
      <c r="Y51" s="70" t="s">
        <v>935</v>
      </c>
      <c r="Z51" s="70" t="s">
        <v>943</v>
      </c>
      <c r="AA51" s="87" t="s">
        <v>724</v>
      </c>
    </row>
    <row r="52" spans="2:27" ht="39.75" customHeight="1" x14ac:dyDescent="0.25">
      <c r="B52" s="156" t="s">
        <v>4</v>
      </c>
      <c r="C52" s="167" t="s">
        <v>929</v>
      </c>
      <c r="D52" s="167" t="s">
        <v>15</v>
      </c>
      <c r="E52" s="168">
        <v>0</v>
      </c>
      <c r="F52" s="157" t="s">
        <v>945</v>
      </c>
      <c r="G52" s="157" t="s">
        <v>946</v>
      </c>
      <c r="H52" s="66" t="s">
        <v>881</v>
      </c>
      <c r="I52" s="158">
        <v>3</v>
      </c>
      <c r="J52" s="157" t="s">
        <v>712</v>
      </c>
      <c r="K52" s="158"/>
      <c r="L52" s="158"/>
      <c r="M52" s="159" t="s">
        <v>947</v>
      </c>
      <c r="N52" s="159" t="s">
        <v>948</v>
      </c>
      <c r="O52" s="168"/>
      <c r="P52" s="168"/>
      <c r="Q52" s="167"/>
      <c r="R52" s="167"/>
      <c r="S52" s="128" t="s">
        <v>934</v>
      </c>
      <c r="T52" s="128" t="s">
        <v>935</v>
      </c>
      <c r="U52" s="130" t="s">
        <v>949</v>
      </c>
      <c r="V52" s="129" t="s">
        <v>950</v>
      </c>
      <c r="W52" s="82"/>
      <c r="X52" s="70" t="s">
        <v>938</v>
      </c>
      <c r="Y52" s="82" t="s">
        <v>935</v>
      </c>
      <c r="Z52" s="70" t="s">
        <v>949</v>
      </c>
      <c r="AA52" s="80" t="s">
        <v>724</v>
      </c>
    </row>
    <row r="53" spans="2:27" ht="39.75" customHeight="1" x14ac:dyDescent="0.25">
      <c r="B53" s="156" t="s">
        <v>4</v>
      </c>
      <c r="C53" s="167" t="s">
        <v>929</v>
      </c>
      <c r="D53" s="167" t="s">
        <v>15</v>
      </c>
      <c r="E53" s="168">
        <v>0</v>
      </c>
      <c r="F53" s="157" t="s">
        <v>951</v>
      </c>
      <c r="G53" s="157" t="s">
        <v>952</v>
      </c>
      <c r="H53" s="66" t="s">
        <v>881</v>
      </c>
      <c r="I53" s="158">
        <v>4</v>
      </c>
      <c r="J53" s="157" t="s">
        <v>712</v>
      </c>
      <c r="K53" s="158">
        <v>4</v>
      </c>
      <c r="L53" s="158"/>
      <c r="M53" s="159" t="s">
        <v>953</v>
      </c>
      <c r="N53" s="159" t="s">
        <v>954</v>
      </c>
      <c r="O53" s="168"/>
      <c r="P53" s="168"/>
      <c r="Q53" s="157"/>
      <c r="R53" s="157"/>
      <c r="S53" s="131" t="s">
        <v>955</v>
      </c>
      <c r="T53" s="131" t="s">
        <v>956</v>
      </c>
      <c r="U53" s="131" t="s">
        <v>957</v>
      </c>
      <c r="V53" s="129" t="s">
        <v>958</v>
      </c>
      <c r="W53" s="70"/>
      <c r="X53" s="70" t="s">
        <v>959</v>
      </c>
      <c r="Y53" s="82" t="s">
        <v>960</v>
      </c>
      <c r="Z53" s="82" t="s">
        <v>961</v>
      </c>
      <c r="AA53" s="80" t="s">
        <v>962</v>
      </c>
    </row>
    <row r="54" spans="2:27" ht="39.75" customHeight="1" x14ac:dyDescent="0.25">
      <c r="B54" s="156" t="s">
        <v>4</v>
      </c>
      <c r="C54" s="167" t="s">
        <v>929</v>
      </c>
      <c r="D54" s="167" t="s">
        <v>15</v>
      </c>
      <c r="E54" s="168">
        <v>0</v>
      </c>
      <c r="F54" s="157" t="s">
        <v>963</v>
      </c>
      <c r="G54" s="157" t="s">
        <v>964</v>
      </c>
      <c r="H54" s="66" t="s">
        <v>881</v>
      </c>
      <c r="I54" s="158">
        <v>5</v>
      </c>
      <c r="J54" s="157" t="s">
        <v>712</v>
      </c>
      <c r="K54" s="158">
        <v>11</v>
      </c>
      <c r="L54" s="168"/>
      <c r="M54" s="159" t="s">
        <v>965</v>
      </c>
      <c r="N54" s="159" t="s">
        <v>966</v>
      </c>
      <c r="O54" s="158"/>
      <c r="P54" s="168"/>
      <c r="Q54" s="167"/>
      <c r="R54" s="167"/>
      <c r="S54" s="131" t="s">
        <v>967</v>
      </c>
      <c r="T54" s="131" t="s">
        <v>968</v>
      </c>
      <c r="U54" s="132" t="s">
        <v>969</v>
      </c>
      <c r="V54" s="133" t="s">
        <v>970</v>
      </c>
      <c r="W54" s="82"/>
      <c r="X54" s="70" t="s">
        <v>938</v>
      </c>
      <c r="Y54" s="82" t="s">
        <v>971</v>
      </c>
      <c r="Z54" s="82" t="s">
        <v>972</v>
      </c>
      <c r="AA54" s="80" t="s">
        <v>724</v>
      </c>
    </row>
    <row r="55" spans="2:27" ht="39.75" customHeight="1" x14ac:dyDescent="0.25">
      <c r="B55" s="156" t="s">
        <v>4</v>
      </c>
      <c r="C55" s="167" t="s">
        <v>929</v>
      </c>
      <c r="D55" s="167" t="s">
        <v>15</v>
      </c>
      <c r="E55" s="168">
        <v>0</v>
      </c>
      <c r="F55" s="163" t="s">
        <v>799</v>
      </c>
      <c r="G55" s="163" t="s">
        <v>800</v>
      </c>
      <c r="H55" s="66" t="s">
        <v>801</v>
      </c>
      <c r="I55" s="168">
        <v>6</v>
      </c>
      <c r="J55" s="156" t="s">
        <v>712</v>
      </c>
      <c r="K55" s="164">
        <v>10</v>
      </c>
      <c r="L55" s="164"/>
      <c r="M55" s="166" t="s">
        <v>802</v>
      </c>
      <c r="N55" s="159" t="s">
        <v>803</v>
      </c>
      <c r="O55" s="168" t="s">
        <v>715</v>
      </c>
      <c r="P55" s="168"/>
      <c r="Q55" s="167"/>
      <c r="R55" s="167"/>
      <c r="S55" s="128" t="s">
        <v>934</v>
      </c>
      <c r="T55" s="128" t="s">
        <v>935</v>
      </c>
      <c r="U55" s="130" t="s">
        <v>886</v>
      </c>
      <c r="V55" s="134" t="s">
        <v>973</v>
      </c>
      <c r="W55" s="82"/>
      <c r="X55" s="66" t="s">
        <v>724</v>
      </c>
      <c r="Y55" s="78" t="s">
        <v>724</v>
      </c>
      <c r="Z55" s="78" t="s">
        <v>724</v>
      </c>
      <c r="AA55" s="80" t="s">
        <v>724</v>
      </c>
    </row>
    <row r="56" spans="2:27" ht="39.75" customHeight="1" x14ac:dyDescent="0.25">
      <c r="B56" s="156" t="s">
        <v>4</v>
      </c>
      <c r="C56" s="167" t="s">
        <v>929</v>
      </c>
      <c r="D56" s="167" t="s">
        <v>15</v>
      </c>
      <c r="E56" s="168">
        <v>0</v>
      </c>
      <c r="F56" s="163" t="s">
        <v>806</v>
      </c>
      <c r="G56" s="163" t="s">
        <v>807</v>
      </c>
      <c r="H56" s="66" t="s">
        <v>808</v>
      </c>
      <c r="I56" s="168">
        <v>7</v>
      </c>
      <c r="J56" s="163" t="s">
        <v>809</v>
      </c>
      <c r="K56" s="164">
        <v>23</v>
      </c>
      <c r="L56" s="168"/>
      <c r="M56" s="85" t="s">
        <v>810</v>
      </c>
      <c r="N56" s="159" t="s">
        <v>811</v>
      </c>
      <c r="O56" s="168"/>
      <c r="P56" s="168"/>
      <c r="Q56" s="167"/>
      <c r="R56" s="167"/>
      <c r="S56" s="151" t="s">
        <v>934</v>
      </c>
      <c r="T56" s="151" t="s">
        <v>935</v>
      </c>
      <c r="U56" s="151" t="s">
        <v>724</v>
      </c>
      <c r="V56" s="135" t="s">
        <v>888</v>
      </c>
      <c r="W56" s="82"/>
      <c r="X56" s="66" t="s">
        <v>724</v>
      </c>
      <c r="Y56" s="78" t="s">
        <v>724</v>
      </c>
      <c r="Z56" s="78" t="s">
        <v>724</v>
      </c>
      <c r="AA56" s="80" t="s">
        <v>724</v>
      </c>
    </row>
    <row r="57" spans="2:27" ht="39.75" customHeight="1" x14ac:dyDescent="0.25">
      <c r="B57" s="156" t="s">
        <v>4</v>
      </c>
      <c r="C57" s="167" t="s">
        <v>974</v>
      </c>
      <c r="D57" s="167" t="s">
        <v>13</v>
      </c>
      <c r="E57" s="168">
        <v>2</v>
      </c>
      <c r="F57" s="163" t="s">
        <v>975</v>
      </c>
      <c r="G57" s="165" t="s">
        <v>976</v>
      </c>
      <c r="H57" s="66" t="s">
        <v>826</v>
      </c>
      <c r="I57" s="164">
        <v>1</v>
      </c>
      <c r="J57" s="165" t="s">
        <v>712</v>
      </c>
      <c r="K57" s="164">
        <v>5</v>
      </c>
      <c r="L57" s="164"/>
      <c r="M57" s="166" t="s">
        <v>977</v>
      </c>
      <c r="N57" s="159" t="s">
        <v>978</v>
      </c>
      <c r="O57" s="168" t="s">
        <v>715</v>
      </c>
      <c r="P57" s="168"/>
      <c r="Q57" s="132"/>
      <c r="R57" s="132"/>
      <c r="S57" s="132" t="s">
        <v>979</v>
      </c>
      <c r="T57" s="132" t="s">
        <v>980</v>
      </c>
      <c r="U57" s="132" t="s">
        <v>981</v>
      </c>
      <c r="V57" s="154" t="s">
        <v>982</v>
      </c>
      <c r="W57" s="82"/>
      <c r="X57" s="66" t="s">
        <v>721</v>
      </c>
      <c r="Y57" s="82" t="s">
        <v>983</v>
      </c>
      <c r="Z57" s="82" t="s">
        <v>984</v>
      </c>
      <c r="AA57" s="80" t="s">
        <v>724</v>
      </c>
    </row>
    <row r="58" spans="2:27" ht="39.75" customHeight="1" x14ac:dyDescent="0.25">
      <c r="B58" s="156" t="s">
        <v>4</v>
      </c>
      <c r="C58" s="167" t="s">
        <v>974</v>
      </c>
      <c r="D58" s="167" t="s">
        <v>13</v>
      </c>
      <c r="E58" s="168">
        <v>2</v>
      </c>
      <c r="F58" s="163" t="s">
        <v>985</v>
      </c>
      <c r="G58" s="163" t="s">
        <v>986</v>
      </c>
      <c r="H58" s="66" t="s">
        <v>908</v>
      </c>
      <c r="I58" s="164">
        <v>3</v>
      </c>
      <c r="J58" s="163" t="s">
        <v>712</v>
      </c>
      <c r="K58" s="164">
        <v>2</v>
      </c>
      <c r="L58" s="164"/>
      <c r="M58" s="166" t="s">
        <v>987</v>
      </c>
      <c r="N58" s="159" t="s">
        <v>988</v>
      </c>
      <c r="O58" s="168" t="s">
        <v>715</v>
      </c>
      <c r="P58" s="168"/>
      <c r="Q58" s="132"/>
      <c r="R58" s="132"/>
      <c r="S58" s="132" t="s">
        <v>979</v>
      </c>
      <c r="T58" s="132" t="s">
        <v>980</v>
      </c>
      <c r="U58" s="132" t="s">
        <v>989</v>
      </c>
      <c r="V58" s="133" t="s">
        <v>990</v>
      </c>
      <c r="W58" s="82"/>
      <c r="X58" s="66" t="s">
        <v>721</v>
      </c>
      <c r="Y58" s="82" t="s">
        <v>983</v>
      </c>
      <c r="Z58" s="82" t="s">
        <v>991</v>
      </c>
      <c r="AA58" s="80" t="s">
        <v>724</v>
      </c>
    </row>
    <row r="59" spans="2:27" ht="39.75" customHeight="1" x14ac:dyDescent="0.25">
      <c r="B59" s="156" t="s">
        <v>4</v>
      </c>
      <c r="C59" s="167" t="s">
        <v>974</v>
      </c>
      <c r="D59" s="167" t="s">
        <v>13</v>
      </c>
      <c r="E59" s="168">
        <v>2</v>
      </c>
      <c r="F59" s="156" t="s">
        <v>992</v>
      </c>
      <c r="G59" s="156" t="s">
        <v>993</v>
      </c>
      <c r="H59" s="66" t="s">
        <v>881</v>
      </c>
      <c r="I59" s="160">
        <v>4</v>
      </c>
      <c r="J59" s="169" t="s">
        <v>712</v>
      </c>
      <c r="K59" s="160"/>
      <c r="L59" s="158"/>
      <c r="M59" s="161" t="s">
        <v>994</v>
      </c>
      <c r="N59" s="159" t="s">
        <v>995</v>
      </c>
      <c r="O59" s="158"/>
      <c r="P59" s="158"/>
      <c r="Q59" s="132"/>
      <c r="R59" s="132"/>
      <c r="S59" s="132" t="s">
        <v>979</v>
      </c>
      <c r="T59" s="132" t="s">
        <v>980</v>
      </c>
      <c r="U59" s="131" t="s">
        <v>996</v>
      </c>
      <c r="V59" s="133" t="s">
        <v>997</v>
      </c>
      <c r="W59" s="70"/>
      <c r="X59" s="66" t="s">
        <v>721</v>
      </c>
      <c r="Y59" s="70" t="s">
        <v>983</v>
      </c>
      <c r="Z59" s="70" t="s">
        <v>998</v>
      </c>
      <c r="AA59" s="80" t="s">
        <v>724</v>
      </c>
    </row>
    <row r="60" spans="2:27" ht="39.75" customHeight="1" x14ac:dyDescent="0.25">
      <c r="B60" s="156" t="s">
        <v>4</v>
      </c>
      <c r="C60" s="167" t="s">
        <v>974</v>
      </c>
      <c r="D60" s="167" t="s">
        <v>13</v>
      </c>
      <c r="E60" s="168">
        <v>2</v>
      </c>
      <c r="F60" s="167" t="s">
        <v>999</v>
      </c>
      <c r="G60" s="167" t="s">
        <v>1000</v>
      </c>
      <c r="H60" s="78" t="s">
        <v>1001</v>
      </c>
      <c r="I60" s="168">
        <v>5</v>
      </c>
      <c r="J60" s="165" t="s">
        <v>712</v>
      </c>
      <c r="K60" s="168">
        <v>4</v>
      </c>
      <c r="L60" s="168"/>
      <c r="M60" s="170" t="s">
        <v>1002</v>
      </c>
      <c r="N60" s="159" t="s">
        <v>1003</v>
      </c>
      <c r="O60" s="168"/>
      <c r="P60" s="168"/>
      <c r="Q60" s="132"/>
      <c r="R60" s="132"/>
      <c r="S60" s="132" t="s">
        <v>979</v>
      </c>
      <c r="T60" s="132" t="s">
        <v>980</v>
      </c>
      <c r="U60" s="132" t="s">
        <v>1004</v>
      </c>
      <c r="V60" s="133" t="s">
        <v>1005</v>
      </c>
      <c r="W60" s="82"/>
      <c r="X60" s="78" t="s">
        <v>721</v>
      </c>
      <c r="Y60" s="82" t="s">
        <v>983</v>
      </c>
      <c r="Z60" s="82" t="s">
        <v>1006</v>
      </c>
      <c r="AA60" s="80" t="s">
        <v>724</v>
      </c>
    </row>
    <row r="61" spans="2:27" ht="39.75" customHeight="1" x14ac:dyDescent="0.25">
      <c r="B61" s="156" t="s">
        <v>4</v>
      </c>
      <c r="C61" s="167" t="s">
        <v>974</v>
      </c>
      <c r="D61" s="167" t="s">
        <v>13</v>
      </c>
      <c r="E61" s="168">
        <v>2</v>
      </c>
      <c r="F61" s="167" t="s">
        <v>1007</v>
      </c>
      <c r="G61" s="167" t="s">
        <v>1008</v>
      </c>
      <c r="H61" s="66" t="s">
        <v>881</v>
      </c>
      <c r="I61" s="168">
        <v>6</v>
      </c>
      <c r="J61" s="167" t="s">
        <v>841</v>
      </c>
      <c r="K61" s="168"/>
      <c r="L61" s="168"/>
      <c r="M61" s="170" t="s">
        <v>1009</v>
      </c>
      <c r="N61" s="159" t="s">
        <v>1010</v>
      </c>
      <c r="O61" s="158" t="s">
        <v>715</v>
      </c>
      <c r="P61" s="168"/>
      <c r="Q61" s="150"/>
      <c r="R61" s="150"/>
      <c r="S61" s="150" t="s">
        <v>979</v>
      </c>
      <c r="T61" s="150" t="s">
        <v>980</v>
      </c>
      <c r="U61" s="150" t="s">
        <v>1011</v>
      </c>
      <c r="V61" s="152" t="s">
        <v>1012</v>
      </c>
      <c r="W61" s="82"/>
      <c r="X61" s="78" t="s">
        <v>721</v>
      </c>
      <c r="Y61" s="82" t="s">
        <v>983</v>
      </c>
      <c r="Z61" s="82" t="s">
        <v>1013</v>
      </c>
      <c r="AA61" s="80" t="s">
        <v>724</v>
      </c>
    </row>
    <row r="62" spans="2:27" ht="39.75" customHeight="1" x14ac:dyDescent="0.25">
      <c r="B62" s="156" t="s">
        <v>4</v>
      </c>
      <c r="C62" s="167" t="s">
        <v>974</v>
      </c>
      <c r="D62" s="167" t="s">
        <v>13</v>
      </c>
      <c r="E62" s="168">
        <v>2</v>
      </c>
      <c r="F62" s="167" t="s">
        <v>1014</v>
      </c>
      <c r="G62" s="167" t="s">
        <v>1015</v>
      </c>
      <c r="H62" s="66" t="s">
        <v>881</v>
      </c>
      <c r="I62" s="168">
        <v>7</v>
      </c>
      <c r="J62" s="167" t="s">
        <v>917</v>
      </c>
      <c r="K62" s="168"/>
      <c r="L62" s="168"/>
      <c r="M62" s="170" t="s">
        <v>1016</v>
      </c>
      <c r="N62" s="159" t="s">
        <v>1017</v>
      </c>
      <c r="O62" s="158"/>
      <c r="P62" s="168"/>
      <c r="Q62" s="132"/>
      <c r="R62" s="132"/>
      <c r="S62" s="132" t="s">
        <v>979</v>
      </c>
      <c r="T62" s="132" t="s">
        <v>980</v>
      </c>
      <c r="U62" s="132" t="s">
        <v>1018</v>
      </c>
      <c r="V62" s="133" t="s">
        <v>1019</v>
      </c>
      <c r="W62" s="82"/>
      <c r="X62" s="78" t="s">
        <v>721</v>
      </c>
      <c r="Y62" s="82" t="s">
        <v>983</v>
      </c>
      <c r="Z62" s="82" t="s">
        <v>1020</v>
      </c>
      <c r="AA62" s="80" t="s">
        <v>724</v>
      </c>
    </row>
    <row r="63" spans="2:27" ht="39.75" customHeight="1" x14ac:dyDescent="0.25">
      <c r="B63" s="156" t="s">
        <v>4</v>
      </c>
      <c r="C63" s="167" t="s">
        <v>974</v>
      </c>
      <c r="D63" s="167" t="s">
        <v>13</v>
      </c>
      <c r="E63" s="168">
        <v>2</v>
      </c>
      <c r="F63" s="167" t="s">
        <v>1021</v>
      </c>
      <c r="G63" s="167" t="s">
        <v>1022</v>
      </c>
      <c r="H63" s="66" t="s">
        <v>881</v>
      </c>
      <c r="I63" s="168">
        <v>8</v>
      </c>
      <c r="J63" s="167" t="s">
        <v>917</v>
      </c>
      <c r="K63" s="168"/>
      <c r="L63" s="168"/>
      <c r="M63" s="170" t="s">
        <v>1023</v>
      </c>
      <c r="N63" s="159" t="s">
        <v>1024</v>
      </c>
      <c r="O63" s="158"/>
      <c r="P63" s="168"/>
      <c r="Q63" s="132"/>
      <c r="R63" s="132"/>
      <c r="S63" s="132" t="s">
        <v>979</v>
      </c>
      <c r="T63" s="132" t="s">
        <v>980</v>
      </c>
      <c r="U63" s="132" t="s">
        <v>1025</v>
      </c>
      <c r="V63" s="133" t="s">
        <v>1026</v>
      </c>
      <c r="W63" s="82"/>
      <c r="X63" s="78" t="s">
        <v>721</v>
      </c>
      <c r="Y63" s="82" t="s">
        <v>983</v>
      </c>
      <c r="Z63" s="82" t="s">
        <v>1027</v>
      </c>
      <c r="AA63" s="80" t="s">
        <v>724</v>
      </c>
    </row>
    <row r="64" spans="2:27" ht="39.75" customHeight="1" x14ac:dyDescent="0.25">
      <c r="B64" s="156" t="s">
        <v>4</v>
      </c>
      <c r="C64" s="167" t="s">
        <v>974</v>
      </c>
      <c r="D64" s="167" t="s">
        <v>13</v>
      </c>
      <c r="E64" s="168">
        <v>2</v>
      </c>
      <c r="F64" s="163" t="s">
        <v>799</v>
      </c>
      <c r="G64" s="163" t="s">
        <v>800</v>
      </c>
      <c r="H64" s="66" t="s">
        <v>801</v>
      </c>
      <c r="I64" s="164">
        <v>9</v>
      </c>
      <c r="J64" s="163" t="s">
        <v>712</v>
      </c>
      <c r="K64" s="164">
        <v>10</v>
      </c>
      <c r="L64" s="164"/>
      <c r="M64" s="161" t="s">
        <v>802</v>
      </c>
      <c r="N64" s="159" t="s">
        <v>803</v>
      </c>
      <c r="O64" s="164" t="s">
        <v>715</v>
      </c>
      <c r="P64" s="164"/>
      <c r="Q64" s="132"/>
      <c r="R64" s="132"/>
      <c r="S64" s="132" t="s">
        <v>979</v>
      </c>
      <c r="T64" s="132" t="s">
        <v>980</v>
      </c>
      <c r="U64" s="132" t="s">
        <v>1028</v>
      </c>
      <c r="V64" s="133" t="s">
        <v>1029</v>
      </c>
      <c r="W64" s="78"/>
      <c r="X64" s="78" t="s">
        <v>724</v>
      </c>
      <c r="Y64" s="78" t="s">
        <v>724</v>
      </c>
      <c r="Z64" s="78" t="s">
        <v>724</v>
      </c>
      <c r="AA64" s="80" t="s">
        <v>724</v>
      </c>
    </row>
    <row r="65" spans="2:27" ht="39.75" customHeight="1" x14ac:dyDescent="0.25">
      <c r="B65" s="156" t="s">
        <v>4</v>
      </c>
      <c r="C65" s="167" t="s">
        <v>974</v>
      </c>
      <c r="D65" s="167" t="s">
        <v>13</v>
      </c>
      <c r="E65" s="158">
        <v>2</v>
      </c>
      <c r="F65" s="156" t="s">
        <v>806</v>
      </c>
      <c r="G65" s="156" t="s">
        <v>807</v>
      </c>
      <c r="H65" s="66" t="s">
        <v>808</v>
      </c>
      <c r="I65" s="160">
        <v>10</v>
      </c>
      <c r="J65" s="156" t="s">
        <v>809</v>
      </c>
      <c r="K65" s="160">
        <v>23</v>
      </c>
      <c r="L65" s="158"/>
      <c r="M65" s="149" t="s">
        <v>810</v>
      </c>
      <c r="N65" s="159" t="s">
        <v>811</v>
      </c>
      <c r="O65" s="160"/>
      <c r="P65" s="160"/>
      <c r="Q65" s="132"/>
      <c r="R65" s="132"/>
      <c r="S65" s="132" t="s">
        <v>979</v>
      </c>
      <c r="T65" s="132" t="s">
        <v>980</v>
      </c>
      <c r="U65" s="131" t="s">
        <v>812</v>
      </c>
      <c r="V65" s="129" t="s">
        <v>888</v>
      </c>
      <c r="W65" s="66"/>
      <c r="X65" s="78" t="s">
        <v>724</v>
      </c>
      <c r="Y65" s="78" t="s">
        <v>724</v>
      </c>
      <c r="Z65" s="78" t="s">
        <v>724</v>
      </c>
      <c r="AA65" s="80" t="s">
        <v>724</v>
      </c>
    </row>
    <row r="66" spans="2:27" ht="39.75" customHeight="1" x14ac:dyDescent="0.25">
      <c r="B66" s="156" t="s">
        <v>4</v>
      </c>
      <c r="C66" s="78" t="s">
        <v>1030</v>
      </c>
      <c r="D66" s="163" t="s">
        <v>5</v>
      </c>
      <c r="E66" s="164">
        <v>0</v>
      </c>
      <c r="F66" s="156" t="s">
        <v>975</v>
      </c>
      <c r="G66" s="169" t="s">
        <v>976</v>
      </c>
      <c r="H66" s="66" t="s">
        <v>826</v>
      </c>
      <c r="I66" s="160">
        <v>1</v>
      </c>
      <c r="J66" s="169" t="s">
        <v>712</v>
      </c>
      <c r="K66" s="160">
        <v>3</v>
      </c>
      <c r="L66" s="160"/>
      <c r="M66" s="161" t="s">
        <v>977</v>
      </c>
      <c r="N66" s="159" t="s">
        <v>978</v>
      </c>
      <c r="O66" s="160" t="s">
        <v>715</v>
      </c>
      <c r="P66" s="160"/>
      <c r="Q66" s="66"/>
      <c r="R66" s="66"/>
      <c r="S66" s="68" t="s">
        <v>1031</v>
      </c>
      <c r="T66" s="68" t="s">
        <v>1032</v>
      </c>
      <c r="U66" s="68" t="s">
        <v>1033</v>
      </c>
      <c r="V66" s="155" t="s">
        <v>1034</v>
      </c>
      <c r="W66" s="66"/>
      <c r="X66" s="66" t="s">
        <v>721</v>
      </c>
      <c r="Y66" s="70" t="s">
        <v>722</v>
      </c>
      <c r="Z66" s="70" t="s">
        <v>984</v>
      </c>
      <c r="AA66" s="80" t="s">
        <v>724</v>
      </c>
    </row>
    <row r="67" spans="2:27" ht="39.75" customHeight="1" x14ac:dyDescent="0.25">
      <c r="B67" s="156" t="s">
        <v>4</v>
      </c>
      <c r="C67" s="78" t="s">
        <v>1030</v>
      </c>
      <c r="D67" s="163" t="s">
        <v>5</v>
      </c>
      <c r="E67" s="164">
        <v>0</v>
      </c>
      <c r="F67" s="163" t="s">
        <v>1035</v>
      </c>
      <c r="G67" s="165" t="s">
        <v>1036</v>
      </c>
      <c r="H67" s="78" t="s">
        <v>826</v>
      </c>
      <c r="I67" s="164">
        <v>2</v>
      </c>
      <c r="J67" s="165" t="s">
        <v>712</v>
      </c>
      <c r="K67" s="164">
        <v>20</v>
      </c>
      <c r="L67" s="164"/>
      <c r="M67" s="166" t="s">
        <v>1037</v>
      </c>
      <c r="N67" s="161" t="s">
        <v>1038</v>
      </c>
      <c r="O67" s="164" t="s">
        <v>715</v>
      </c>
      <c r="P67" s="164"/>
      <c r="Q67" s="163"/>
      <c r="R67" s="163"/>
      <c r="S67" s="68" t="s">
        <v>1031</v>
      </c>
      <c r="T67" s="68" t="s">
        <v>1032</v>
      </c>
      <c r="U67" s="85" t="s">
        <v>1039</v>
      </c>
      <c r="V67" s="155" t="s">
        <v>1040</v>
      </c>
      <c r="W67" s="78"/>
      <c r="X67" s="78" t="s">
        <v>721</v>
      </c>
      <c r="Y67" s="82" t="s">
        <v>722</v>
      </c>
      <c r="Z67" s="82" t="s">
        <v>723</v>
      </c>
      <c r="AA67" s="80" t="s">
        <v>724</v>
      </c>
    </row>
    <row r="68" spans="2:27" ht="39.75" customHeight="1" x14ac:dyDescent="0.25">
      <c r="B68" s="156" t="s">
        <v>4</v>
      </c>
      <c r="C68" s="78" t="s">
        <v>1030</v>
      </c>
      <c r="D68" s="163" t="s">
        <v>5</v>
      </c>
      <c r="E68" s="164">
        <v>0</v>
      </c>
      <c r="F68" s="163" t="s">
        <v>879</v>
      </c>
      <c r="G68" s="163" t="s">
        <v>880</v>
      </c>
      <c r="H68" s="66" t="s">
        <v>881</v>
      </c>
      <c r="I68" s="164">
        <v>3</v>
      </c>
      <c r="J68" s="165" t="s">
        <v>712</v>
      </c>
      <c r="K68" s="164">
        <v>2</v>
      </c>
      <c r="L68" s="164"/>
      <c r="M68" s="166" t="s">
        <v>882</v>
      </c>
      <c r="N68" s="161" t="s">
        <v>883</v>
      </c>
      <c r="O68" s="160" t="s">
        <v>715</v>
      </c>
      <c r="P68" s="164"/>
      <c r="Q68" s="167"/>
      <c r="R68" s="167"/>
      <c r="S68" s="68" t="s">
        <v>1031</v>
      </c>
      <c r="T68" s="68" t="s">
        <v>1032</v>
      </c>
      <c r="U68" s="85" t="s">
        <v>1041</v>
      </c>
      <c r="V68" s="155" t="s">
        <v>1042</v>
      </c>
      <c r="W68" s="78"/>
      <c r="X68" s="78" t="s">
        <v>721</v>
      </c>
      <c r="Y68" s="82" t="s">
        <v>722</v>
      </c>
      <c r="Z68" s="82" t="s">
        <v>1043</v>
      </c>
      <c r="AA68" s="80" t="s">
        <v>724</v>
      </c>
    </row>
    <row r="69" spans="2:27" ht="39.75" customHeight="1" x14ac:dyDescent="0.25">
      <c r="B69" s="156" t="s">
        <v>4</v>
      </c>
      <c r="C69" s="78" t="s">
        <v>1030</v>
      </c>
      <c r="D69" s="163" t="s">
        <v>5</v>
      </c>
      <c r="E69" s="164">
        <v>0</v>
      </c>
      <c r="F69" s="163" t="s">
        <v>992</v>
      </c>
      <c r="G69" s="165" t="s">
        <v>993</v>
      </c>
      <c r="H69" s="66" t="s">
        <v>881</v>
      </c>
      <c r="I69" s="164">
        <v>4</v>
      </c>
      <c r="J69" s="165" t="s">
        <v>712</v>
      </c>
      <c r="K69" s="164"/>
      <c r="L69" s="164"/>
      <c r="M69" s="166" t="s">
        <v>994</v>
      </c>
      <c r="N69" s="159" t="s">
        <v>995</v>
      </c>
      <c r="O69" s="160"/>
      <c r="P69" s="164"/>
      <c r="Q69" s="163"/>
      <c r="R69" s="163"/>
      <c r="S69" s="68" t="s">
        <v>1031</v>
      </c>
      <c r="T69" s="68" t="s">
        <v>1032</v>
      </c>
      <c r="U69" s="85" t="s">
        <v>1044</v>
      </c>
      <c r="V69" s="155" t="s">
        <v>1045</v>
      </c>
      <c r="W69" s="78"/>
      <c r="X69" s="78" t="s">
        <v>721</v>
      </c>
      <c r="Y69" s="82" t="s">
        <v>722</v>
      </c>
      <c r="Z69" s="82" t="s">
        <v>1046</v>
      </c>
      <c r="AA69" s="80" t="s">
        <v>724</v>
      </c>
    </row>
    <row r="70" spans="2:27" ht="39.75" customHeight="1" x14ac:dyDescent="0.25">
      <c r="B70" s="156" t="s">
        <v>4</v>
      </c>
      <c r="C70" s="78" t="s">
        <v>1030</v>
      </c>
      <c r="D70" s="163" t="s">
        <v>5</v>
      </c>
      <c r="E70" s="164">
        <v>0</v>
      </c>
      <c r="F70" s="163" t="s">
        <v>1047</v>
      </c>
      <c r="G70" s="165" t="s">
        <v>1048</v>
      </c>
      <c r="H70" s="66" t="s">
        <v>881</v>
      </c>
      <c r="I70" s="164">
        <v>5</v>
      </c>
      <c r="J70" s="165" t="s">
        <v>712</v>
      </c>
      <c r="K70" s="164">
        <v>30</v>
      </c>
      <c r="L70" s="164"/>
      <c r="M70" s="166" t="s">
        <v>1049</v>
      </c>
      <c r="N70" s="166" t="s">
        <v>1050</v>
      </c>
      <c r="O70" s="164"/>
      <c r="P70" s="164"/>
      <c r="Q70" s="163"/>
      <c r="R70" s="163"/>
      <c r="S70" s="68" t="s">
        <v>1031</v>
      </c>
      <c r="T70" s="68" t="s">
        <v>1032</v>
      </c>
      <c r="U70" s="85" t="s">
        <v>1051</v>
      </c>
      <c r="V70" s="155" t="s">
        <v>1052</v>
      </c>
      <c r="W70" s="78"/>
      <c r="X70" s="78" t="s">
        <v>721</v>
      </c>
      <c r="Y70" s="82" t="s">
        <v>722</v>
      </c>
      <c r="Z70" s="82" t="s">
        <v>1053</v>
      </c>
      <c r="AA70" s="80" t="s">
        <v>724</v>
      </c>
    </row>
    <row r="71" spans="2:27" ht="39.75" customHeight="1" x14ac:dyDescent="0.25">
      <c r="B71" s="156" t="s">
        <v>4</v>
      </c>
      <c r="C71" s="78" t="s">
        <v>1030</v>
      </c>
      <c r="D71" s="163" t="s">
        <v>5</v>
      </c>
      <c r="E71" s="160">
        <v>0</v>
      </c>
      <c r="F71" s="156" t="s">
        <v>1054</v>
      </c>
      <c r="G71" s="156" t="s">
        <v>1055</v>
      </c>
      <c r="H71" s="66" t="s">
        <v>881</v>
      </c>
      <c r="I71" s="160">
        <v>6</v>
      </c>
      <c r="J71" s="169" t="s">
        <v>712</v>
      </c>
      <c r="K71" s="160">
        <v>15</v>
      </c>
      <c r="L71" s="160"/>
      <c r="M71" s="161" t="s">
        <v>1056</v>
      </c>
      <c r="N71" s="161" t="s">
        <v>1057</v>
      </c>
      <c r="O71" s="160"/>
      <c r="P71" s="160"/>
      <c r="Q71" s="157"/>
      <c r="R71" s="157"/>
      <c r="S71" s="68" t="s">
        <v>1031</v>
      </c>
      <c r="T71" s="68" t="s">
        <v>1032</v>
      </c>
      <c r="U71" s="68" t="s">
        <v>1058</v>
      </c>
      <c r="V71" s="155" t="s">
        <v>1059</v>
      </c>
      <c r="W71" s="66"/>
      <c r="X71" s="66" t="s">
        <v>721</v>
      </c>
      <c r="Y71" s="70" t="s">
        <v>722</v>
      </c>
      <c r="Z71" s="70" t="s">
        <v>1060</v>
      </c>
      <c r="AA71" s="80" t="s">
        <v>724</v>
      </c>
    </row>
    <row r="72" spans="2:27" ht="39.75" customHeight="1" x14ac:dyDescent="0.25">
      <c r="B72" s="156" t="s">
        <v>4</v>
      </c>
      <c r="C72" s="78" t="s">
        <v>1030</v>
      </c>
      <c r="D72" s="163" t="s">
        <v>5</v>
      </c>
      <c r="E72" s="164">
        <v>0</v>
      </c>
      <c r="F72" s="163" t="s">
        <v>1061</v>
      </c>
      <c r="G72" s="163" t="s">
        <v>1062</v>
      </c>
      <c r="H72" s="78" t="s">
        <v>881</v>
      </c>
      <c r="I72" s="164">
        <v>7</v>
      </c>
      <c r="J72" s="165" t="s">
        <v>712</v>
      </c>
      <c r="K72" s="164">
        <v>15</v>
      </c>
      <c r="L72" s="164"/>
      <c r="M72" s="161" t="s">
        <v>1056</v>
      </c>
      <c r="N72" s="161" t="s">
        <v>1057</v>
      </c>
      <c r="O72" s="164"/>
      <c r="P72" s="164"/>
      <c r="Q72" s="167"/>
      <c r="R72" s="167"/>
      <c r="S72" s="68" t="s">
        <v>1031</v>
      </c>
      <c r="T72" s="68" t="s">
        <v>1032</v>
      </c>
      <c r="U72" s="85" t="s">
        <v>1063</v>
      </c>
      <c r="V72" s="155" t="s">
        <v>1064</v>
      </c>
      <c r="W72" s="78"/>
      <c r="X72" s="78" t="s">
        <v>721</v>
      </c>
      <c r="Y72" s="82" t="s">
        <v>722</v>
      </c>
      <c r="Z72" s="82" t="s">
        <v>1065</v>
      </c>
      <c r="AA72" s="80" t="s">
        <v>724</v>
      </c>
    </row>
    <row r="73" spans="2:27" ht="39.75" customHeight="1" x14ac:dyDescent="0.25">
      <c r="B73" s="156" t="s">
        <v>4</v>
      </c>
      <c r="C73" s="78" t="s">
        <v>1030</v>
      </c>
      <c r="D73" s="163" t="s">
        <v>5</v>
      </c>
      <c r="E73" s="164">
        <v>0</v>
      </c>
      <c r="F73" s="163" t="s">
        <v>1066</v>
      </c>
      <c r="G73" s="163" t="s">
        <v>1067</v>
      </c>
      <c r="H73" s="66" t="s">
        <v>881</v>
      </c>
      <c r="I73" s="164">
        <v>8</v>
      </c>
      <c r="J73" s="169" t="s">
        <v>712</v>
      </c>
      <c r="K73" s="164">
        <v>15</v>
      </c>
      <c r="L73" s="164"/>
      <c r="M73" s="166" t="s">
        <v>1056</v>
      </c>
      <c r="N73" s="166" t="s">
        <v>1057</v>
      </c>
      <c r="O73" s="160"/>
      <c r="P73" s="164"/>
      <c r="Q73" s="167"/>
      <c r="R73" s="167"/>
      <c r="S73" s="68" t="s">
        <v>1031</v>
      </c>
      <c r="T73" s="68" t="s">
        <v>1032</v>
      </c>
      <c r="U73" s="85" t="s">
        <v>1068</v>
      </c>
      <c r="V73" s="155" t="s">
        <v>1069</v>
      </c>
      <c r="W73" s="78"/>
      <c r="X73" s="78" t="s">
        <v>721</v>
      </c>
      <c r="Y73" s="82" t="s">
        <v>722</v>
      </c>
      <c r="Z73" s="82" t="s">
        <v>1070</v>
      </c>
      <c r="AA73" s="80" t="s">
        <v>724</v>
      </c>
    </row>
    <row r="74" spans="2:27" ht="39.75" customHeight="1" x14ac:dyDescent="0.25">
      <c r="B74" s="156" t="s">
        <v>4</v>
      </c>
      <c r="C74" s="78" t="s">
        <v>1030</v>
      </c>
      <c r="D74" s="163" t="s">
        <v>5</v>
      </c>
      <c r="E74" s="164">
        <v>0</v>
      </c>
      <c r="F74" s="163" t="s">
        <v>1071</v>
      </c>
      <c r="G74" s="163" t="s">
        <v>1072</v>
      </c>
      <c r="H74" s="66" t="s">
        <v>881</v>
      </c>
      <c r="I74" s="164">
        <v>9</v>
      </c>
      <c r="J74" s="169" t="s">
        <v>712</v>
      </c>
      <c r="K74" s="164">
        <v>15</v>
      </c>
      <c r="L74" s="164"/>
      <c r="M74" s="166" t="s">
        <v>1056</v>
      </c>
      <c r="N74" s="166" t="s">
        <v>1057</v>
      </c>
      <c r="O74" s="164"/>
      <c r="P74" s="164"/>
      <c r="Q74" s="167"/>
      <c r="R74" s="167"/>
      <c r="S74" s="68" t="s">
        <v>1031</v>
      </c>
      <c r="T74" s="68" t="s">
        <v>1032</v>
      </c>
      <c r="U74" s="85" t="s">
        <v>1073</v>
      </c>
      <c r="V74" s="155" t="s">
        <v>1074</v>
      </c>
      <c r="W74" s="78"/>
      <c r="X74" s="78" t="s">
        <v>721</v>
      </c>
      <c r="Y74" s="82" t="s">
        <v>722</v>
      </c>
      <c r="Z74" s="82" t="s">
        <v>1075</v>
      </c>
      <c r="AA74" s="80" t="s">
        <v>724</v>
      </c>
    </row>
    <row r="75" spans="2:27" ht="39.75" customHeight="1" x14ac:dyDescent="0.25">
      <c r="B75" s="156" t="s">
        <v>4</v>
      </c>
      <c r="C75" s="78" t="s">
        <v>1030</v>
      </c>
      <c r="D75" s="163" t="s">
        <v>5</v>
      </c>
      <c r="E75" s="164">
        <v>0</v>
      </c>
      <c r="F75" s="163" t="s">
        <v>1076</v>
      </c>
      <c r="G75" s="163" t="s">
        <v>1077</v>
      </c>
      <c r="H75" s="66" t="s">
        <v>881</v>
      </c>
      <c r="I75" s="164">
        <v>10</v>
      </c>
      <c r="J75" s="169" t="s">
        <v>712</v>
      </c>
      <c r="K75" s="164">
        <v>15</v>
      </c>
      <c r="L75" s="164"/>
      <c r="M75" s="166" t="s">
        <v>1056</v>
      </c>
      <c r="N75" s="166" t="s">
        <v>1057</v>
      </c>
      <c r="O75" s="164"/>
      <c r="P75" s="164"/>
      <c r="Q75" s="167"/>
      <c r="R75" s="167"/>
      <c r="S75" s="68" t="s">
        <v>1031</v>
      </c>
      <c r="T75" s="68" t="s">
        <v>1032</v>
      </c>
      <c r="U75" s="85" t="s">
        <v>1078</v>
      </c>
      <c r="V75" s="155" t="s">
        <v>1079</v>
      </c>
      <c r="W75" s="78"/>
      <c r="X75" s="78" t="s">
        <v>721</v>
      </c>
      <c r="Y75" s="82" t="s">
        <v>722</v>
      </c>
      <c r="Z75" s="82" t="s">
        <v>1080</v>
      </c>
      <c r="AA75" s="80" t="s">
        <v>724</v>
      </c>
    </row>
    <row r="76" spans="2:27" ht="39.75" customHeight="1" x14ac:dyDescent="0.25">
      <c r="B76" s="156" t="s">
        <v>4</v>
      </c>
      <c r="C76" s="78" t="s">
        <v>1030</v>
      </c>
      <c r="D76" s="163" t="s">
        <v>5</v>
      </c>
      <c r="E76" s="160">
        <v>0</v>
      </c>
      <c r="F76" s="156" t="s">
        <v>1081</v>
      </c>
      <c r="G76" s="156" t="s">
        <v>1082</v>
      </c>
      <c r="H76" s="66" t="s">
        <v>881</v>
      </c>
      <c r="I76" s="160">
        <v>11</v>
      </c>
      <c r="J76" s="169" t="s">
        <v>712</v>
      </c>
      <c r="K76" s="160">
        <v>15</v>
      </c>
      <c r="L76" s="160"/>
      <c r="M76" s="161" t="s">
        <v>1056</v>
      </c>
      <c r="N76" s="161" t="s">
        <v>1057</v>
      </c>
      <c r="O76" s="160"/>
      <c r="P76" s="160"/>
      <c r="Q76" s="157"/>
      <c r="R76" s="157"/>
      <c r="S76" s="68" t="s">
        <v>1031</v>
      </c>
      <c r="T76" s="68" t="s">
        <v>1032</v>
      </c>
      <c r="U76" s="68" t="s">
        <v>1083</v>
      </c>
      <c r="V76" s="155" t="s">
        <v>1084</v>
      </c>
      <c r="W76" s="66"/>
      <c r="X76" s="66" t="s">
        <v>721</v>
      </c>
      <c r="Y76" s="70" t="s">
        <v>722</v>
      </c>
      <c r="Z76" s="70" t="s">
        <v>1085</v>
      </c>
      <c r="AA76" s="80" t="s">
        <v>724</v>
      </c>
    </row>
    <row r="77" spans="2:27" ht="39.75" customHeight="1" x14ac:dyDescent="0.25">
      <c r="B77" s="156" t="s">
        <v>4</v>
      </c>
      <c r="C77" s="78" t="s">
        <v>1030</v>
      </c>
      <c r="D77" s="163" t="s">
        <v>5</v>
      </c>
      <c r="E77" s="164">
        <v>0</v>
      </c>
      <c r="F77" s="163" t="s">
        <v>1086</v>
      </c>
      <c r="G77" s="163" t="s">
        <v>1087</v>
      </c>
      <c r="H77" s="78" t="s">
        <v>881</v>
      </c>
      <c r="I77" s="164">
        <v>12</v>
      </c>
      <c r="J77" s="165" t="s">
        <v>712</v>
      </c>
      <c r="K77" s="164">
        <v>15</v>
      </c>
      <c r="L77" s="164"/>
      <c r="M77" s="166" t="s">
        <v>1056</v>
      </c>
      <c r="N77" s="166" t="s">
        <v>1057</v>
      </c>
      <c r="O77" s="164"/>
      <c r="P77" s="164"/>
      <c r="Q77" s="167"/>
      <c r="R77" s="167"/>
      <c r="S77" s="68" t="s">
        <v>1031</v>
      </c>
      <c r="T77" s="68" t="s">
        <v>1032</v>
      </c>
      <c r="U77" s="85" t="s">
        <v>1088</v>
      </c>
      <c r="V77" s="155" t="s">
        <v>1089</v>
      </c>
      <c r="W77" s="78"/>
      <c r="X77" s="78" t="s">
        <v>721</v>
      </c>
      <c r="Y77" s="82" t="s">
        <v>722</v>
      </c>
      <c r="Z77" s="82" t="s">
        <v>1090</v>
      </c>
      <c r="AA77" s="80" t="s">
        <v>724</v>
      </c>
    </row>
    <row r="78" spans="2:27" ht="39.75" customHeight="1" x14ac:dyDescent="0.25">
      <c r="B78" s="156" t="s">
        <v>4</v>
      </c>
      <c r="C78" s="78" t="s">
        <v>1030</v>
      </c>
      <c r="D78" s="163" t="s">
        <v>5</v>
      </c>
      <c r="E78" s="164">
        <v>0</v>
      </c>
      <c r="F78" s="163" t="s">
        <v>1091</v>
      </c>
      <c r="G78" s="156" t="s">
        <v>1092</v>
      </c>
      <c r="H78" s="66" t="s">
        <v>881</v>
      </c>
      <c r="I78" s="164">
        <v>13</v>
      </c>
      <c r="J78" s="169" t="s">
        <v>712</v>
      </c>
      <c r="K78" s="164">
        <v>15</v>
      </c>
      <c r="L78" s="164"/>
      <c r="M78" s="166" t="s">
        <v>1056</v>
      </c>
      <c r="N78" s="166" t="s">
        <v>1057</v>
      </c>
      <c r="O78" s="164"/>
      <c r="P78" s="164"/>
      <c r="Q78" s="167"/>
      <c r="R78" s="167"/>
      <c r="S78" s="68" t="s">
        <v>1031</v>
      </c>
      <c r="T78" s="68" t="s">
        <v>1032</v>
      </c>
      <c r="U78" s="85" t="s">
        <v>1093</v>
      </c>
      <c r="V78" s="155" t="s">
        <v>1094</v>
      </c>
      <c r="W78" s="78"/>
      <c r="X78" s="78" t="s">
        <v>721</v>
      </c>
      <c r="Y78" s="82" t="s">
        <v>722</v>
      </c>
      <c r="Z78" s="82" t="s">
        <v>1095</v>
      </c>
      <c r="AA78" s="80" t="s">
        <v>724</v>
      </c>
    </row>
    <row r="79" spans="2:27" ht="39.75" customHeight="1" x14ac:dyDescent="0.25">
      <c r="B79" s="156" t="s">
        <v>4</v>
      </c>
      <c r="C79" s="78" t="s">
        <v>1030</v>
      </c>
      <c r="D79" s="163" t="s">
        <v>5</v>
      </c>
      <c r="E79" s="164">
        <v>0</v>
      </c>
      <c r="F79" s="156" t="s">
        <v>1096</v>
      </c>
      <c r="G79" s="156" t="s">
        <v>1097</v>
      </c>
      <c r="H79" s="66" t="s">
        <v>881</v>
      </c>
      <c r="I79" s="160">
        <v>14</v>
      </c>
      <c r="J79" s="169" t="s">
        <v>712</v>
      </c>
      <c r="K79" s="160">
        <v>15</v>
      </c>
      <c r="L79" s="160"/>
      <c r="M79" s="166" t="s">
        <v>1056</v>
      </c>
      <c r="N79" s="161" t="s">
        <v>1057</v>
      </c>
      <c r="O79" s="160"/>
      <c r="P79" s="160"/>
      <c r="Q79" s="157"/>
      <c r="R79" s="157"/>
      <c r="S79" s="68" t="s">
        <v>1031</v>
      </c>
      <c r="T79" s="68" t="s">
        <v>1032</v>
      </c>
      <c r="U79" s="68" t="s">
        <v>1098</v>
      </c>
      <c r="V79" s="155" t="s">
        <v>1099</v>
      </c>
      <c r="W79" s="66"/>
      <c r="X79" s="78" t="s">
        <v>721</v>
      </c>
      <c r="Y79" s="82" t="s">
        <v>722</v>
      </c>
      <c r="Z79" s="82" t="s">
        <v>1100</v>
      </c>
      <c r="AA79" s="80" t="s">
        <v>724</v>
      </c>
    </row>
    <row r="80" spans="2:27" ht="39.75" customHeight="1" x14ac:dyDescent="0.25">
      <c r="B80" s="156" t="s">
        <v>4</v>
      </c>
      <c r="C80" s="78" t="s">
        <v>1030</v>
      </c>
      <c r="D80" s="163" t="s">
        <v>5</v>
      </c>
      <c r="E80" s="164">
        <v>0</v>
      </c>
      <c r="F80" s="156" t="s">
        <v>1101</v>
      </c>
      <c r="G80" s="156" t="s">
        <v>1102</v>
      </c>
      <c r="H80" s="66" t="s">
        <v>881</v>
      </c>
      <c r="I80" s="160">
        <v>15</v>
      </c>
      <c r="J80" s="169" t="s">
        <v>712</v>
      </c>
      <c r="K80" s="160">
        <v>15</v>
      </c>
      <c r="L80" s="160"/>
      <c r="M80" s="166" t="s">
        <v>1056</v>
      </c>
      <c r="N80" s="161" t="s">
        <v>1057</v>
      </c>
      <c r="O80" s="160"/>
      <c r="P80" s="160"/>
      <c r="Q80" s="157"/>
      <c r="R80" s="157"/>
      <c r="S80" s="68" t="s">
        <v>1031</v>
      </c>
      <c r="T80" s="68" t="s">
        <v>1032</v>
      </c>
      <c r="U80" s="68" t="s">
        <v>1103</v>
      </c>
      <c r="V80" s="155" t="s">
        <v>1104</v>
      </c>
      <c r="W80" s="66"/>
      <c r="X80" s="78" t="s">
        <v>721</v>
      </c>
      <c r="Y80" s="82" t="s">
        <v>722</v>
      </c>
      <c r="Z80" s="82" t="s">
        <v>1105</v>
      </c>
      <c r="AA80" s="80" t="s">
        <v>724</v>
      </c>
    </row>
    <row r="81" spans="2:27" ht="39.75" customHeight="1" x14ac:dyDescent="0.25">
      <c r="B81" s="156" t="s">
        <v>4</v>
      </c>
      <c r="C81" s="78" t="s">
        <v>1030</v>
      </c>
      <c r="D81" s="163" t="s">
        <v>5</v>
      </c>
      <c r="E81" s="164">
        <v>0</v>
      </c>
      <c r="F81" s="156" t="s">
        <v>1106</v>
      </c>
      <c r="G81" s="156" t="s">
        <v>1107</v>
      </c>
      <c r="H81" s="66" t="s">
        <v>881</v>
      </c>
      <c r="I81" s="160">
        <v>16</v>
      </c>
      <c r="J81" s="169" t="s">
        <v>712</v>
      </c>
      <c r="K81" s="160">
        <v>15</v>
      </c>
      <c r="L81" s="160"/>
      <c r="M81" s="166" t="s">
        <v>1056</v>
      </c>
      <c r="N81" s="161" t="s">
        <v>1057</v>
      </c>
      <c r="O81" s="160"/>
      <c r="P81" s="160"/>
      <c r="Q81" s="157"/>
      <c r="R81" s="157"/>
      <c r="S81" s="68" t="s">
        <v>1031</v>
      </c>
      <c r="T81" s="68" t="s">
        <v>1032</v>
      </c>
      <c r="U81" s="68" t="s">
        <v>1108</v>
      </c>
      <c r="V81" s="155" t="s">
        <v>1109</v>
      </c>
      <c r="W81" s="66"/>
      <c r="X81" s="78" t="s">
        <v>721</v>
      </c>
      <c r="Y81" s="82" t="s">
        <v>722</v>
      </c>
      <c r="Z81" s="82" t="s">
        <v>1110</v>
      </c>
      <c r="AA81" s="80" t="s">
        <v>724</v>
      </c>
    </row>
    <row r="82" spans="2:27" ht="39.75" customHeight="1" x14ac:dyDescent="0.25">
      <c r="B82" s="156" t="s">
        <v>4</v>
      </c>
      <c r="C82" s="78" t="s">
        <v>1030</v>
      </c>
      <c r="D82" s="163" t="s">
        <v>5</v>
      </c>
      <c r="E82" s="164">
        <v>0</v>
      </c>
      <c r="F82" s="156" t="s">
        <v>1111</v>
      </c>
      <c r="G82" s="156" t="s">
        <v>1112</v>
      </c>
      <c r="H82" s="66" t="s">
        <v>881</v>
      </c>
      <c r="I82" s="160">
        <v>17</v>
      </c>
      <c r="J82" s="169" t="s">
        <v>712</v>
      </c>
      <c r="K82" s="160">
        <v>15</v>
      </c>
      <c r="L82" s="160"/>
      <c r="M82" s="161" t="s">
        <v>1056</v>
      </c>
      <c r="N82" s="161" t="s">
        <v>1057</v>
      </c>
      <c r="O82" s="160"/>
      <c r="P82" s="160"/>
      <c r="Q82" s="157"/>
      <c r="R82" s="157"/>
      <c r="S82" s="68" t="s">
        <v>1031</v>
      </c>
      <c r="T82" s="68" t="s">
        <v>1032</v>
      </c>
      <c r="U82" s="68" t="s">
        <v>1113</v>
      </c>
      <c r="V82" s="155" t="s">
        <v>1114</v>
      </c>
      <c r="W82" s="66"/>
      <c r="X82" s="78" t="s">
        <v>721</v>
      </c>
      <c r="Y82" s="82" t="s">
        <v>722</v>
      </c>
      <c r="Z82" s="82" t="s">
        <v>1115</v>
      </c>
      <c r="AA82" s="80" t="s">
        <v>724</v>
      </c>
    </row>
    <row r="83" spans="2:27" ht="39.75" customHeight="1" x14ac:dyDescent="0.25">
      <c r="B83" s="156" t="s">
        <v>4</v>
      </c>
      <c r="C83" s="78" t="s">
        <v>1030</v>
      </c>
      <c r="D83" s="163" t="s">
        <v>5</v>
      </c>
      <c r="E83" s="164">
        <v>0</v>
      </c>
      <c r="F83" s="163" t="s">
        <v>1116</v>
      </c>
      <c r="G83" s="156" t="s">
        <v>1117</v>
      </c>
      <c r="H83" s="78" t="s">
        <v>881</v>
      </c>
      <c r="I83" s="160">
        <v>18</v>
      </c>
      <c r="J83" s="165" t="s">
        <v>712</v>
      </c>
      <c r="K83" s="160">
        <v>15</v>
      </c>
      <c r="L83" s="160"/>
      <c r="M83" s="166" t="s">
        <v>1056</v>
      </c>
      <c r="N83" s="161" t="s">
        <v>1057</v>
      </c>
      <c r="O83" s="160"/>
      <c r="P83" s="160"/>
      <c r="Q83" s="157"/>
      <c r="R83" s="157"/>
      <c r="S83" s="68" t="s">
        <v>1031</v>
      </c>
      <c r="T83" s="68" t="s">
        <v>1032</v>
      </c>
      <c r="U83" s="68" t="s">
        <v>1118</v>
      </c>
      <c r="V83" s="155" t="s">
        <v>1119</v>
      </c>
      <c r="W83" s="66"/>
      <c r="X83" s="78" t="s">
        <v>721</v>
      </c>
      <c r="Y83" s="82" t="s">
        <v>722</v>
      </c>
      <c r="Z83" s="82" t="s">
        <v>1120</v>
      </c>
      <c r="AA83" s="80" t="s">
        <v>724</v>
      </c>
    </row>
    <row r="84" spans="2:27" ht="39.75" customHeight="1" x14ac:dyDescent="0.25">
      <c r="B84" s="156" t="s">
        <v>4</v>
      </c>
      <c r="C84" s="78" t="s">
        <v>1030</v>
      </c>
      <c r="D84" s="163" t="s">
        <v>5</v>
      </c>
      <c r="E84" s="164">
        <v>0</v>
      </c>
      <c r="F84" s="163" t="s">
        <v>1121</v>
      </c>
      <c r="G84" s="163" t="s">
        <v>1122</v>
      </c>
      <c r="H84" s="66" t="s">
        <v>881</v>
      </c>
      <c r="I84" s="164">
        <v>19</v>
      </c>
      <c r="J84" s="165" t="s">
        <v>712</v>
      </c>
      <c r="K84" s="164">
        <v>15</v>
      </c>
      <c r="L84" s="164"/>
      <c r="M84" s="166" t="s">
        <v>1056</v>
      </c>
      <c r="N84" s="166" t="s">
        <v>1057</v>
      </c>
      <c r="O84" s="164"/>
      <c r="P84" s="164"/>
      <c r="Q84" s="167"/>
      <c r="R84" s="167"/>
      <c r="S84" s="68" t="s">
        <v>1031</v>
      </c>
      <c r="T84" s="68" t="s">
        <v>1032</v>
      </c>
      <c r="U84" s="85" t="s">
        <v>1123</v>
      </c>
      <c r="V84" s="155" t="s">
        <v>1124</v>
      </c>
      <c r="W84" s="78"/>
      <c r="X84" s="78" t="s">
        <v>721</v>
      </c>
      <c r="Y84" s="82" t="s">
        <v>722</v>
      </c>
      <c r="Z84" s="82" t="s">
        <v>1125</v>
      </c>
      <c r="AA84" s="80" t="s">
        <v>724</v>
      </c>
    </row>
    <row r="85" spans="2:27" ht="39.75" customHeight="1" x14ac:dyDescent="0.25">
      <c r="B85" s="156" t="s">
        <v>4</v>
      </c>
      <c r="C85" s="78" t="s">
        <v>1030</v>
      </c>
      <c r="D85" s="163" t="s">
        <v>5</v>
      </c>
      <c r="E85" s="164">
        <v>0</v>
      </c>
      <c r="F85" s="156" t="s">
        <v>1126</v>
      </c>
      <c r="G85" s="156" t="s">
        <v>1127</v>
      </c>
      <c r="H85" s="66" t="s">
        <v>881</v>
      </c>
      <c r="I85" s="160">
        <v>20</v>
      </c>
      <c r="J85" s="169" t="s">
        <v>712</v>
      </c>
      <c r="K85" s="160">
        <v>15</v>
      </c>
      <c r="L85" s="160"/>
      <c r="M85" s="161" t="s">
        <v>1056</v>
      </c>
      <c r="N85" s="166" t="s">
        <v>1057</v>
      </c>
      <c r="O85" s="164"/>
      <c r="P85" s="164"/>
      <c r="Q85" s="167"/>
      <c r="R85" s="167"/>
      <c r="S85" s="68" t="s">
        <v>1031</v>
      </c>
      <c r="T85" s="68" t="s">
        <v>1032</v>
      </c>
      <c r="U85" s="85" t="s">
        <v>1128</v>
      </c>
      <c r="V85" s="155" t="s">
        <v>1129</v>
      </c>
      <c r="W85" s="78"/>
      <c r="X85" s="78" t="s">
        <v>721</v>
      </c>
      <c r="Y85" s="70" t="s">
        <v>722</v>
      </c>
      <c r="Z85" s="70" t="s">
        <v>1130</v>
      </c>
      <c r="AA85" s="80" t="s">
        <v>724</v>
      </c>
    </row>
    <row r="86" spans="2:27" ht="39.75" customHeight="1" x14ac:dyDescent="0.25">
      <c r="B86" s="156" t="s">
        <v>4</v>
      </c>
      <c r="C86" s="78" t="s">
        <v>1030</v>
      </c>
      <c r="D86" s="163" t="s">
        <v>5</v>
      </c>
      <c r="E86" s="164">
        <v>0</v>
      </c>
      <c r="F86" s="156" t="s">
        <v>1131</v>
      </c>
      <c r="G86" s="156" t="s">
        <v>1132</v>
      </c>
      <c r="H86" s="66" t="s">
        <v>881</v>
      </c>
      <c r="I86" s="160">
        <v>21</v>
      </c>
      <c r="J86" s="169" t="s">
        <v>712</v>
      </c>
      <c r="K86" s="160">
        <v>15</v>
      </c>
      <c r="L86" s="160"/>
      <c r="M86" s="161" t="s">
        <v>1056</v>
      </c>
      <c r="N86" s="161" t="s">
        <v>1057</v>
      </c>
      <c r="O86" s="160"/>
      <c r="P86" s="164"/>
      <c r="Q86" s="157"/>
      <c r="R86" s="157"/>
      <c r="S86" s="68" t="s">
        <v>1031</v>
      </c>
      <c r="T86" s="68" t="s">
        <v>1032</v>
      </c>
      <c r="U86" s="68" t="s">
        <v>1133</v>
      </c>
      <c r="V86" s="155" t="s">
        <v>1134</v>
      </c>
      <c r="W86" s="66"/>
      <c r="X86" s="78" t="s">
        <v>721</v>
      </c>
      <c r="Y86" s="70" t="s">
        <v>722</v>
      </c>
      <c r="Z86" s="70" t="s">
        <v>1135</v>
      </c>
      <c r="AA86" s="80" t="s">
        <v>724</v>
      </c>
    </row>
    <row r="87" spans="2:27" ht="39.75" customHeight="1" x14ac:dyDescent="0.25">
      <c r="B87" s="156" t="s">
        <v>4</v>
      </c>
      <c r="C87" s="78" t="s">
        <v>1030</v>
      </c>
      <c r="D87" s="163" t="s">
        <v>5</v>
      </c>
      <c r="E87" s="164">
        <v>0</v>
      </c>
      <c r="F87" s="156" t="s">
        <v>1136</v>
      </c>
      <c r="G87" s="156" t="s">
        <v>1137</v>
      </c>
      <c r="H87" s="66" t="s">
        <v>881</v>
      </c>
      <c r="I87" s="160">
        <v>22</v>
      </c>
      <c r="J87" s="169" t="s">
        <v>712</v>
      </c>
      <c r="K87" s="160">
        <v>15</v>
      </c>
      <c r="L87" s="160"/>
      <c r="M87" s="161" t="s">
        <v>1056</v>
      </c>
      <c r="N87" s="161" t="s">
        <v>1057</v>
      </c>
      <c r="O87" s="160"/>
      <c r="P87" s="164"/>
      <c r="Q87" s="157"/>
      <c r="R87" s="157"/>
      <c r="S87" s="68" t="s">
        <v>1031</v>
      </c>
      <c r="T87" s="68" t="s">
        <v>1032</v>
      </c>
      <c r="U87" s="68" t="s">
        <v>1138</v>
      </c>
      <c r="V87" s="155" t="s">
        <v>1139</v>
      </c>
      <c r="W87" s="66"/>
      <c r="X87" s="78" t="s">
        <v>721</v>
      </c>
      <c r="Y87" s="70" t="s">
        <v>722</v>
      </c>
      <c r="Z87" s="70" t="s">
        <v>1140</v>
      </c>
      <c r="AA87" s="80" t="s">
        <v>724</v>
      </c>
    </row>
    <row r="88" spans="2:27" ht="39.75" customHeight="1" x14ac:dyDescent="0.25">
      <c r="B88" s="156" t="s">
        <v>4</v>
      </c>
      <c r="C88" s="78" t="s">
        <v>1030</v>
      </c>
      <c r="D88" s="163" t="s">
        <v>5</v>
      </c>
      <c r="E88" s="164">
        <v>0</v>
      </c>
      <c r="F88" s="156" t="s">
        <v>1141</v>
      </c>
      <c r="G88" s="156" t="s">
        <v>1142</v>
      </c>
      <c r="H88" s="66" t="s">
        <v>881</v>
      </c>
      <c r="I88" s="160">
        <v>23</v>
      </c>
      <c r="J88" s="169" t="s">
        <v>712</v>
      </c>
      <c r="K88" s="160">
        <v>15</v>
      </c>
      <c r="L88" s="160"/>
      <c r="M88" s="171" t="s">
        <v>1056</v>
      </c>
      <c r="N88" s="161" t="s">
        <v>1057</v>
      </c>
      <c r="O88" s="160"/>
      <c r="P88" s="160"/>
      <c r="Q88" s="167"/>
      <c r="R88" s="167"/>
      <c r="S88" s="68" t="s">
        <v>1031</v>
      </c>
      <c r="T88" s="68" t="s">
        <v>1032</v>
      </c>
      <c r="U88" s="85" t="s">
        <v>1143</v>
      </c>
      <c r="V88" s="155" t="s">
        <v>1144</v>
      </c>
      <c r="W88" s="78"/>
      <c r="X88" s="78" t="s">
        <v>721</v>
      </c>
      <c r="Y88" s="70" t="s">
        <v>722</v>
      </c>
      <c r="Z88" s="82" t="s">
        <v>1145</v>
      </c>
      <c r="AA88" s="80" t="s">
        <v>724</v>
      </c>
    </row>
    <row r="89" spans="2:27" ht="39.75" customHeight="1" x14ac:dyDescent="0.25">
      <c r="B89" s="156" t="s">
        <v>4</v>
      </c>
      <c r="C89" s="78" t="s">
        <v>1030</v>
      </c>
      <c r="D89" s="163" t="s">
        <v>5</v>
      </c>
      <c r="E89" s="164">
        <v>0</v>
      </c>
      <c r="F89" s="156" t="s">
        <v>1146</v>
      </c>
      <c r="G89" s="156" t="s">
        <v>1147</v>
      </c>
      <c r="H89" s="66" t="s">
        <v>881</v>
      </c>
      <c r="I89" s="160">
        <v>24</v>
      </c>
      <c r="J89" s="169" t="s">
        <v>712</v>
      </c>
      <c r="K89" s="160">
        <v>15</v>
      </c>
      <c r="L89" s="160"/>
      <c r="M89" s="171" t="s">
        <v>1056</v>
      </c>
      <c r="N89" s="161" t="s">
        <v>1057</v>
      </c>
      <c r="O89" s="160"/>
      <c r="P89" s="160"/>
      <c r="Q89" s="167"/>
      <c r="R89" s="167"/>
      <c r="S89" s="68" t="s">
        <v>1031</v>
      </c>
      <c r="T89" s="68" t="s">
        <v>1032</v>
      </c>
      <c r="U89" s="85" t="s">
        <v>1148</v>
      </c>
      <c r="V89" s="155" t="s">
        <v>1149</v>
      </c>
      <c r="W89" s="78"/>
      <c r="X89" s="78" t="s">
        <v>721</v>
      </c>
      <c r="Y89" s="70" t="s">
        <v>722</v>
      </c>
      <c r="Z89" s="82" t="s">
        <v>1150</v>
      </c>
      <c r="AA89" s="80" t="s">
        <v>724</v>
      </c>
    </row>
    <row r="90" spans="2:27" ht="39.75" customHeight="1" x14ac:dyDescent="0.25">
      <c r="B90" s="156" t="s">
        <v>4</v>
      </c>
      <c r="C90" s="78" t="s">
        <v>1030</v>
      </c>
      <c r="D90" s="163" t="s">
        <v>5</v>
      </c>
      <c r="E90" s="164">
        <v>0</v>
      </c>
      <c r="F90" s="156" t="s">
        <v>1151</v>
      </c>
      <c r="G90" s="156" t="s">
        <v>1152</v>
      </c>
      <c r="H90" s="66" t="s">
        <v>881</v>
      </c>
      <c r="I90" s="160">
        <v>25</v>
      </c>
      <c r="J90" s="169" t="s">
        <v>712</v>
      </c>
      <c r="K90" s="160">
        <v>15</v>
      </c>
      <c r="L90" s="160"/>
      <c r="M90" s="171" t="s">
        <v>1056</v>
      </c>
      <c r="N90" s="161" t="s">
        <v>1057</v>
      </c>
      <c r="O90" s="160"/>
      <c r="P90" s="160"/>
      <c r="Q90" s="157"/>
      <c r="R90" s="157"/>
      <c r="S90" s="68" t="s">
        <v>1031</v>
      </c>
      <c r="T90" s="68" t="s">
        <v>1032</v>
      </c>
      <c r="U90" s="68" t="s">
        <v>1153</v>
      </c>
      <c r="V90" s="155" t="s">
        <v>1154</v>
      </c>
      <c r="W90" s="66"/>
      <c r="X90" s="78" t="s">
        <v>721</v>
      </c>
      <c r="Y90" s="70" t="s">
        <v>722</v>
      </c>
      <c r="Z90" s="70" t="s">
        <v>1155</v>
      </c>
      <c r="AA90" s="80" t="s">
        <v>724</v>
      </c>
    </row>
    <row r="91" spans="2:27" ht="39.75" customHeight="1" x14ac:dyDescent="0.25">
      <c r="B91" s="156" t="s">
        <v>4</v>
      </c>
      <c r="C91" s="78" t="s">
        <v>1030</v>
      </c>
      <c r="D91" s="156" t="s">
        <v>5</v>
      </c>
      <c r="E91" s="160">
        <v>0</v>
      </c>
      <c r="F91" s="66" t="s">
        <v>799</v>
      </c>
      <c r="G91" s="66" t="s">
        <v>800</v>
      </c>
      <c r="H91" s="66" t="s">
        <v>801</v>
      </c>
      <c r="I91" s="67">
        <v>27</v>
      </c>
      <c r="J91" s="69" t="s">
        <v>712</v>
      </c>
      <c r="K91" s="67">
        <v>10</v>
      </c>
      <c r="L91" s="67"/>
      <c r="M91" s="148" t="s">
        <v>802</v>
      </c>
      <c r="N91" s="159" t="s">
        <v>803</v>
      </c>
      <c r="O91" s="67" t="s">
        <v>715</v>
      </c>
      <c r="P91" s="67"/>
      <c r="Q91" s="156"/>
      <c r="R91" s="156"/>
      <c r="S91" s="68" t="s">
        <v>1031</v>
      </c>
      <c r="T91" s="68" t="s">
        <v>1032</v>
      </c>
      <c r="U91" s="68" t="s">
        <v>1156</v>
      </c>
      <c r="V91" s="155" t="s">
        <v>1157</v>
      </c>
      <c r="W91" s="66"/>
      <c r="X91" s="66" t="s">
        <v>724</v>
      </c>
      <c r="Y91" s="66" t="s">
        <v>724</v>
      </c>
      <c r="Z91" s="66" t="s">
        <v>724</v>
      </c>
      <c r="AA91" s="80" t="s">
        <v>724</v>
      </c>
    </row>
    <row r="92" spans="2:27" ht="39.75" customHeight="1" x14ac:dyDescent="0.25">
      <c r="B92" s="156" t="s">
        <v>4</v>
      </c>
      <c r="C92" s="78" t="s">
        <v>1030</v>
      </c>
      <c r="D92" s="163" t="s">
        <v>5</v>
      </c>
      <c r="E92" s="164">
        <v>0</v>
      </c>
      <c r="F92" s="66" t="s">
        <v>806</v>
      </c>
      <c r="G92" s="66" t="s">
        <v>807</v>
      </c>
      <c r="H92" s="66" t="s">
        <v>808</v>
      </c>
      <c r="I92" s="67">
        <v>28</v>
      </c>
      <c r="J92" s="69" t="s">
        <v>809</v>
      </c>
      <c r="K92" s="67">
        <v>23</v>
      </c>
      <c r="L92" s="158"/>
      <c r="M92" s="148" t="s">
        <v>810</v>
      </c>
      <c r="N92" s="159" t="s">
        <v>811</v>
      </c>
      <c r="O92" s="160"/>
      <c r="P92" s="160"/>
      <c r="Q92" s="156"/>
      <c r="R92" s="156"/>
      <c r="S92" s="68" t="s">
        <v>1031</v>
      </c>
      <c r="T92" s="68" t="s">
        <v>1032</v>
      </c>
      <c r="U92" s="68" t="s">
        <v>1158</v>
      </c>
      <c r="V92" s="155" t="s">
        <v>1159</v>
      </c>
      <c r="W92" s="66"/>
      <c r="X92" s="78" t="s">
        <v>724</v>
      </c>
      <c r="Y92" s="66" t="s">
        <v>724</v>
      </c>
      <c r="Z92" s="66" t="s">
        <v>724</v>
      </c>
      <c r="AA92" s="80" t="s">
        <v>724</v>
      </c>
    </row>
    <row r="93" spans="2:27" ht="39.75" customHeight="1" x14ac:dyDescent="0.25">
      <c r="B93" s="156" t="s">
        <v>4</v>
      </c>
      <c r="C93" s="163" t="s">
        <v>1160</v>
      </c>
      <c r="D93" s="163" t="s">
        <v>7</v>
      </c>
      <c r="E93" s="164">
        <v>1</v>
      </c>
      <c r="F93" s="156" t="s">
        <v>975</v>
      </c>
      <c r="G93" s="169" t="s">
        <v>976</v>
      </c>
      <c r="H93" s="66" t="s">
        <v>826</v>
      </c>
      <c r="I93" s="160">
        <v>1</v>
      </c>
      <c r="J93" s="169" t="s">
        <v>712</v>
      </c>
      <c r="K93" s="160">
        <v>5</v>
      </c>
      <c r="L93" s="160"/>
      <c r="M93" s="161" t="s">
        <v>977</v>
      </c>
      <c r="N93" s="159" t="s">
        <v>978</v>
      </c>
      <c r="O93" s="160" t="s">
        <v>715</v>
      </c>
      <c r="P93" s="160"/>
      <c r="Q93" s="66"/>
      <c r="R93" s="66"/>
      <c r="S93" s="131" t="s">
        <v>1161</v>
      </c>
      <c r="T93" s="131" t="s">
        <v>1162</v>
      </c>
      <c r="U93" s="131" t="s">
        <v>981</v>
      </c>
      <c r="V93" s="136" t="s">
        <v>1163</v>
      </c>
      <c r="W93" s="66"/>
      <c r="X93" s="78" t="s">
        <v>721</v>
      </c>
      <c r="Y93" s="70" t="s">
        <v>1164</v>
      </c>
      <c r="Z93" s="66" t="s">
        <v>984</v>
      </c>
      <c r="AA93" s="67" t="s">
        <v>724</v>
      </c>
    </row>
    <row r="94" spans="2:27" ht="39.75" customHeight="1" x14ac:dyDescent="0.25">
      <c r="B94" s="156" t="s">
        <v>4</v>
      </c>
      <c r="C94" s="163" t="s">
        <v>1160</v>
      </c>
      <c r="D94" s="163" t="s">
        <v>7</v>
      </c>
      <c r="E94" s="164">
        <v>1</v>
      </c>
      <c r="F94" s="156" t="s">
        <v>1165</v>
      </c>
      <c r="G94" s="169" t="s">
        <v>1166</v>
      </c>
      <c r="H94" s="66" t="s">
        <v>881</v>
      </c>
      <c r="I94" s="160">
        <v>2</v>
      </c>
      <c r="J94" s="169" t="s">
        <v>712</v>
      </c>
      <c r="K94" s="160">
        <v>80</v>
      </c>
      <c r="L94" s="160"/>
      <c r="M94" s="161" t="s">
        <v>1167</v>
      </c>
      <c r="N94" s="161" t="s">
        <v>1168</v>
      </c>
      <c r="O94" s="160"/>
      <c r="P94" s="160"/>
      <c r="Q94" s="167"/>
      <c r="R94" s="167"/>
      <c r="S94" s="131" t="s">
        <v>1161</v>
      </c>
      <c r="T94" s="131" t="s">
        <v>1162</v>
      </c>
      <c r="U94" s="132" t="s">
        <v>1169</v>
      </c>
      <c r="V94" s="133" t="s">
        <v>1170</v>
      </c>
      <c r="W94" s="82"/>
      <c r="X94" s="78" t="s">
        <v>721</v>
      </c>
      <c r="Y94" s="70" t="s">
        <v>1164</v>
      </c>
      <c r="Z94" s="78" t="s">
        <v>1171</v>
      </c>
      <c r="AA94" s="67" t="s">
        <v>724</v>
      </c>
    </row>
    <row r="95" spans="2:27" ht="39.75" customHeight="1" x14ac:dyDescent="0.25">
      <c r="B95" s="156" t="s">
        <v>4</v>
      </c>
      <c r="C95" s="163" t="s">
        <v>1160</v>
      </c>
      <c r="D95" s="163" t="s">
        <v>7</v>
      </c>
      <c r="E95" s="164">
        <v>1</v>
      </c>
      <c r="F95" s="156" t="s">
        <v>890</v>
      </c>
      <c r="G95" s="156" t="s">
        <v>891</v>
      </c>
      <c r="H95" s="66" t="s">
        <v>908</v>
      </c>
      <c r="I95" s="160">
        <v>3</v>
      </c>
      <c r="J95" s="169" t="s">
        <v>712</v>
      </c>
      <c r="K95" s="160">
        <v>2</v>
      </c>
      <c r="L95" s="160"/>
      <c r="M95" s="146" t="s">
        <v>892</v>
      </c>
      <c r="N95" s="159" t="s">
        <v>893</v>
      </c>
      <c r="O95" s="160"/>
      <c r="P95" s="160"/>
      <c r="Q95" s="157"/>
      <c r="R95" s="157"/>
      <c r="S95" s="131" t="s">
        <v>1161</v>
      </c>
      <c r="T95" s="131" t="s">
        <v>1162</v>
      </c>
      <c r="U95" s="131" t="s">
        <v>1172</v>
      </c>
      <c r="V95" s="133" t="s">
        <v>1173</v>
      </c>
      <c r="W95" s="70"/>
      <c r="X95" s="66" t="s">
        <v>721</v>
      </c>
      <c r="Y95" s="70" t="s">
        <v>1164</v>
      </c>
      <c r="Z95" s="66" t="s">
        <v>546</v>
      </c>
      <c r="AA95" s="67" t="s">
        <v>724</v>
      </c>
    </row>
    <row r="96" spans="2:27" ht="39.75" customHeight="1" x14ac:dyDescent="0.25">
      <c r="B96" s="156" t="s">
        <v>4</v>
      </c>
      <c r="C96" s="163" t="s">
        <v>1160</v>
      </c>
      <c r="D96" s="163" t="s">
        <v>7</v>
      </c>
      <c r="E96" s="164">
        <v>1</v>
      </c>
      <c r="F96" s="163" t="s">
        <v>799</v>
      </c>
      <c r="G96" s="78" t="s">
        <v>800</v>
      </c>
      <c r="H96" s="78" t="s">
        <v>801</v>
      </c>
      <c r="I96" s="81">
        <v>4</v>
      </c>
      <c r="J96" s="84" t="s">
        <v>712</v>
      </c>
      <c r="K96" s="81">
        <v>10</v>
      </c>
      <c r="L96" s="81"/>
      <c r="M96" s="85" t="s">
        <v>802</v>
      </c>
      <c r="N96" s="159" t="s">
        <v>803</v>
      </c>
      <c r="O96" s="81" t="s">
        <v>715</v>
      </c>
      <c r="P96" s="81"/>
      <c r="Q96" s="167"/>
      <c r="R96" s="167"/>
      <c r="S96" s="131" t="s">
        <v>1161</v>
      </c>
      <c r="T96" s="131" t="s">
        <v>1162</v>
      </c>
      <c r="U96" s="130" t="s">
        <v>886</v>
      </c>
      <c r="V96" s="134" t="s">
        <v>1174</v>
      </c>
      <c r="W96" s="82"/>
      <c r="X96" s="66" t="s">
        <v>724</v>
      </c>
      <c r="Y96" s="66" t="s">
        <v>724</v>
      </c>
      <c r="Z96" s="66" t="s">
        <v>724</v>
      </c>
      <c r="AA96" s="67" t="s">
        <v>724</v>
      </c>
    </row>
    <row r="97" spans="2:27" ht="39.75" customHeight="1" x14ac:dyDescent="0.25">
      <c r="B97" s="156" t="s">
        <v>4</v>
      </c>
      <c r="C97" s="163" t="s">
        <v>1160</v>
      </c>
      <c r="D97" s="163" t="s">
        <v>7</v>
      </c>
      <c r="E97" s="164">
        <v>1</v>
      </c>
      <c r="F97" s="163" t="s">
        <v>806</v>
      </c>
      <c r="G97" s="78" t="s">
        <v>807</v>
      </c>
      <c r="H97" s="78" t="s">
        <v>808</v>
      </c>
      <c r="I97" s="81">
        <v>5</v>
      </c>
      <c r="J97" s="84" t="s">
        <v>809</v>
      </c>
      <c r="K97" s="81">
        <v>23</v>
      </c>
      <c r="L97" s="168"/>
      <c r="M97" s="85" t="s">
        <v>810</v>
      </c>
      <c r="N97" s="170" t="s">
        <v>811</v>
      </c>
      <c r="O97" s="164"/>
      <c r="P97" s="164"/>
      <c r="Q97" s="167"/>
      <c r="R97" s="167"/>
      <c r="S97" s="131" t="s">
        <v>1161</v>
      </c>
      <c r="T97" s="131" t="s">
        <v>1162</v>
      </c>
      <c r="U97" s="130" t="s">
        <v>724</v>
      </c>
      <c r="V97" s="135" t="s">
        <v>888</v>
      </c>
      <c r="W97" s="82"/>
      <c r="X97" s="78" t="s">
        <v>724</v>
      </c>
      <c r="Y97" s="78" t="s">
        <v>724</v>
      </c>
      <c r="Z97" s="78" t="s">
        <v>724</v>
      </c>
      <c r="AA97" s="67" t="s">
        <v>724</v>
      </c>
    </row>
    <row r="98" spans="2:27" ht="39.75" customHeight="1" x14ac:dyDescent="0.25">
      <c r="B98" s="167" t="s">
        <v>17</v>
      </c>
      <c r="C98" s="167" t="s">
        <v>1175</v>
      </c>
      <c r="D98" s="167" t="s">
        <v>24</v>
      </c>
      <c r="E98" s="168">
        <v>0</v>
      </c>
      <c r="F98" s="167" t="s">
        <v>890</v>
      </c>
      <c r="G98" s="167" t="s">
        <v>891</v>
      </c>
      <c r="H98" s="66" t="s">
        <v>908</v>
      </c>
      <c r="I98" s="168">
        <v>1</v>
      </c>
      <c r="J98" s="167" t="s">
        <v>712</v>
      </c>
      <c r="K98" s="168">
        <v>2</v>
      </c>
      <c r="L98" s="168"/>
      <c r="M98" s="147" t="s">
        <v>892</v>
      </c>
      <c r="N98" s="170" t="s">
        <v>893</v>
      </c>
      <c r="O98" s="164" t="s">
        <v>715</v>
      </c>
      <c r="P98" s="164"/>
      <c r="Q98" s="167"/>
      <c r="R98" s="167"/>
      <c r="S98" s="82"/>
      <c r="T98" s="82"/>
      <c r="U98" s="82"/>
      <c r="V98" s="82"/>
      <c r="W98" s="82"/>
      <c r="X98" s="78" t="s">
        <v>724</v>
      </c>
      <c r="Y98" s="78" t="s">
        <v>724</v>
      </c>
      <c r="Z98" s="78" t="s">
        <v>724</v>
      </c>
      <c r="AA98" s="80" t="s">
        <v>724</v>
      </c>
    </row>
    <row r="99" spans="2:27" ht="39.75" customHeight="1" x14ac:dyDescent="0.25">
      <c r="B99" s="167" t="s">
        <v>17</v>
      </c>
      <c r="C99" s="167" t="s">
        <v>1175</v>
      </c>
      <c r="D99" s="167" t="s">
        <v>24</v>
      </c>
      <c r="E99" s="168">
        <v>0</v>
      </c>
      <c r="F99" s="157" t="s">
        <v>895</v>
      </c>
      <c r="G99" s="157" t="s">
        <v>896</v>
      </c>
      <c r="H99" s="66" t="s">
        <v>908</v>
      </c>
      <c r="I99" s="158">
        <v>2</v>
      </c>
      <c r="J99" s="167" t="s">
        <v>712</v>
      </c>
      <c r="K99" s="158"/>
      <c r="L99" s="158"/>
      <c r="M99" s="170" t="s">
        <v>897</v>
      </c>
      <c r="N99" s="170" t="s">
        <v>898</v>
      </c>
      <c r="O99" s="160" t="s">
        <v>715</v>
      </c>
      <c r="P99" s="160"/>
      <c r="Q99" s="157"/>
      <c r="R99" s="157"/>
      <c r="S99" s="70"/>
      <c r="T99" s="70"/>
      <c r="U99" s="70"/>
      <c r="V99" s="70"/>
      <c r="W99" s="70"/>
      <c r="X99" s="78" t="s">
        <v>724</v>
      </c>
      <c r="Y99" s="78" t="s">
        <v>724</v>
      </c>
      <c r="Z99" s="78" t="s">
        <v>724</v>
      </c>
      <c r="AA99" s="80" t="s">
        <v>724</v>
      </c>
    </row>
    <row r="100" spans="2:27" ht="39.75" customHeight="1" x14ac:dyDescent="0.25">
      <c r="B100" s="167" t="s">
        <v>17</v>
      </c>
      <c r="C100" s="167" t="s">
        <v>1175</v>
      </c>
      <c r="D100" s="167" t="s">
        <v>24</v>
      </c>
      <c r="E100" s="168">
        <v>0</v>
      </c>
      <c r="F100" s="157" t="s">
        <v>899</v>
      </c>
      <c r="G100" s="157" t="s">
        <v>900</v>
      </c>
      <c r="H100" s="66" t="s">
        <v>881</v>
      </c>
      <c r="I100" s="158">
        <v>3</v>
      </c>
      <c r="J100" s="167" t="s">
        <v>712</v>
      </c>
      <c r="K100" s="158"/>
      <c r="L100" s="158"/>
      <c r="M100" s="159" t="s">
        <v>901</v>
      </c>
      <c r="N100" s="159" t="s">
        <v>902</v>
      </c>
      <c r="O100" s="160" t="s">
        <v>715</v>
      </c>
      <c r="P100" s="160"/>
      <c r="Q100" s="157"/>
      <c r="R100" s="157"/>
      <c r="S100" s="70"/>
      <c r="T100" s="70"/>
      <c r="U100" s="70"/>
      <c r="V100" s="70"/>
      <c r="W100" s="70"/>
      <c r="X100" s="78" t="s">
        <v>724</v>
      </c>
      <c r="Y100" s="78" t="s">
        <v>724</v>
      </c>
      <c r="Z100" s="66" t="s">
        <v>724</v>
      </c>
      <c r="AA100" s="80" t="s">
        <v>724</v>
      </c>
    </row>
    <row r="101" spans="2:27" ht="39.75" customHeight="1" x14ac:dyDescent="0.25">
      <c r="B101" s="167" t="s">
        <v>17</v>
      </c>
      <c r="C101" s="167" t="s">
        <v>1175</v>
      </c>
      <c r="D101" s="167" t="s">
        <v>24</v>
      </c>
      <c r="E101" s="168">
        <v>0</v>
      </c>
      <c r="F101" s="167" t="s">
        <v>903</v>
      </c>
      <c r="G101" s="167" t="s">
        <v>904</v>
      </c>
      <c r="H101" s="66" t="s">
        <v>881</v>
      </c>
      <c r="I101" s="168">
        <v>4</v>
      </c>
      <c r="J101" s="167" t="s">
        <v>712</v>
      </c>
      <c r="K101" s="168"/>
      <c r="L101" s="168"/>
      <c r="M101" s="170" t="s">
        <v>905</v>
      </c>
      <c r="N101" s="170" t="s">
        <v>1176</v>
      </c>
      <c r="O101" s="168"/>
      <c r="P101" s="168"/>
      <c r="Q101" s="167"/>
      <c r="R101" s="167"/>
      <c r="S101" s="82"/>
      <c r="T101" s="82"/>
      <c r="U101" s="82"/>
      <c r="V101" s="82"/>
      <c r="W101" s="82"/>
      <c r="X101" s="78" t="s">
        <v>724</v>
      </c>
      <c r="Y101" s="78" t="s">
        <v>724</v>
      </c>
      <c r="Z101" s="78" t="s">
        <v>724</v>
      </c>
      <c r="AA101" s="80" t="s">
        <v>724</v>
      </c>
    </row>
    <row r="102" spans="2:27" ht="39.75" customHeight="1" x14ac:dyDescent="0.25">
      <c r="B102" s="167" t="s">
        <v>17</v>
      </c>
      <c r="C102" s="167" t="s">
        <v>1175</v>
      </c>
      <c r="D102" s="167" t="s">
        <v>24</v>
      </c>
      <c r="E102" s="168">
        <v>0</v>
      </c>
      <c r="F102" s="156" t="s">
        <v>799</v>
      </c>
      <c r="G102" s="156" t="s">
        <v>800</v>
      </c>
      <c r="H102" s="66" t="s">
        <v>801</v>
      </c>
      <c r="I102" s="164">
        <v>5</v>
      </c>
      <c r="J102" s="156" t="s">
        <v>712</v>
      </c>
      <c r="K102" s="160">
        <v>10</v>
      </c>
      <c r="L102" s="160"/>
      <c r="M102" s="161" t="s">
        <v>802</v>
      </c>
      <c r="N102" s="170" t="s">
        <v>803</v>
      </c>
      <c r="O102" s="164" t="s">
        <v>715</v>
      </c>
      <c r="P102" s="164"/>
      <c r="Q102" s="167"/>
      <c r="R102" s="167"/>
      <c r="S102" s="78"/>
      <c r="T102" s="78"/>
      <c r="U102" s="78"/>
      <c r="V102" s="78"/>
      <c r="W102" s="78"/>
      <c r="X102" s="66" t="s">
        <v>724</v>
      </c>
      <c r="Y102" s="66" t="s">
        <v>724</v>
      </c>
      <c r="Z102" s="66" t="s">
        <v>724</v>
      </c>
      <c r="AA102" s="80" t="s">
        <v>724</v>
      </c>
    </row>
    <row r="103" spans="2:27" ht="39.75" customHeight="1" x14ac:dyDescent="0.25">
      <c r="B103" s="167" t="s">
        <v>17</v>
      </c>
      <c r="C103" s="167" t="s">
        <v>1175</v>
      </c>
      <c r="D103" s="167" t="s">
        <v>24</v>
      </c>
      <c r="E103" s="168">
        <v>0</v>
      </c>
      <c r="F103" s="163" t="s">
        <v>806</v>
      </c>
      <c r="G103" s="163" t="s">
        <v>807</v>
      </c>
      <c r="H103" s="78" t="s">
        <v>808</v>
      </c>
      <c r="I103" s="164">
        <v>6</v>
      </c>
      <c r="J103" s="163" t="s">
        <v>809</v>
      </c>
      <c r="K103" s="164">
        <v>23</v>
      </c>
      <c r="L103" s="168"/>
      <c r="M103" s="85" t="s">
        <v>810</v>
      </c>
      <c r="N103" s="170" t="s">
        <v>811</v>
      </c>
      <c r="O103" s="164"/>
      <c r="P103" s="164"/>
      <c r="Q103" s="167"/>
      <c r="R103" s="167"/>
      <c r="S103" s="78"/>
      <c r="T103" s="78"/>
      <c r="U103" s="78"/>
      <c r="V103" s="78"/>
      <c r="W103" s="78"/>
      <c r="X103" s="66" t="s">
        <v>724</v>
      </c>
      <c r="Y103" s="66" t="s">
        <v>724</v>
      </c>
      <c r="Z103" s="66" t="s">
        <v>724</v>
      </c>
      <c r="AA103" s="80" t="s">
        <v>724</v>
      </c>
    </row>
    <row r="104" spans="2:27" ht="20.100000000000001" customHeight="1" x14ac:dyDescent="0.25">
      <c r="B104" s="167" t="s">
        <v>17</v>
      </c>
      <c r="C104" s="167" t="s">
        <v>1177</v>
      </c>
      <c r="D104" s="167" t="s">
        <v>28</v>
      </c>
      <c r="E104" s="168">
        <v>0</v>
      </c>
      <c r="F104" s="163" t="s">
        <v>975</v>
      </c>
      <c r="G104" s="165" t="s">
        <v>976</v>
      </c>
      <c r="H104" s="66" t="s">
        <v>826</v>
      </c>
      <c r="I104" s="164">
        <v>1</v>
      </c>
      <c r="J104" s="165" t="s">
        <v>712</v>
      </c>
      <c r="K104" s="164">
        <v>5</v>
      </c>
      <c r="L104" s="164"/>
      <c r="M104" s="170"/>
      <c r="N104" s="170"/>
      <c r="O104" s="168" t="s">
        <v>715</v>
      </c>
      <c r="P104" s="168"/>
      <c r="Q104" s="167"/>
      <c r="R104" s="167"/>
      <c r="S104" s="82" t="s">
        <v>724</v>
      </c>
      <c r="T104" s="82" t="s">
        <v>724</v>
      </c>
      <c r="U104" s="82" t="s">
        <v>724</v>
      </c>
      <c r="V104" s="82" t="s">
        <v>724</v>
      </c>
      <c r="W104" s="82"/>
      <c r="X104" s="82" t="s">
        <v>724</v>
      </c>
      <c r="Y104" s="82" t="s">
        <v>724</v>
      </c>
      <c r="Z104" s="82" t="s">
        <v>724</v>
      </c>
      <c r="AA104" s="82" t="s">
        <v>724</v>
      </c>
    </row>
    <row r="105" spans="2:27" ht="20.100000000000001" customHeight="1" x14ac:dyDescent="0.25">
      <c r="B105" s="167" t="s">
        <v>17</v>
      </c>
      <c r="C105" s="167" t="s">
        <v>1177</v>
      </c>
      <c r="D105" s="167" t="s">
        <v>28</v>
      </c>
      <c r="E105" s="168">
        <v>0</v>
      </c>
      <c r="F105" s="163" t="s">
        <v>985</v>
      </c>
      <c r="G105" s="163" t="s">
        <v>986</v>
      </c>
      <c r="H105" s="66" t="s">
        <v>908</v>
      </c>
      <c r="I105" s="164">
        <v>3</v>
      </c>
      <c r="J105" s="163" t="s">
        <v>712</v>
      </c>
      <c r="K105" s="164">
        <v>2</v>
      </c>
      <c r="L105" s="164"/>
      <c r="M105" s="159"/>
      <c r="N105" s="159"/>
      <c r="O105" s="168" t="s">
        <v>715</v>
      </c>
      <c r="P105" s="158"/>
      <c r="Q105" s="157"/>
      <c r="R105" s="157"/>
      <c r="S105" s="82" t="s">
        <v>724</v>
      </c>
      <c r="T105" s="82" t="s">
        <v>724</v>
      </c>
      <c r="U105" s="82" t="s">
        <v>724</v>
      </c>
      <c r="V105" s="82" t="s">
        <v>724</v>
      </c>
      <c r="W105" s="70"/>
      <c r="X105" s="82" t="s">
        <v>724</v>
      </c>
      <c r="Y105" s="82" t="s">
        <v>724</v>
      </c>
      <c r="Z105" s="82" t="s">
        <v>724</v>
      </c>
      <c r="AA105" s="82" t="s">
        <v>724</v>
      </c>
    </row>
    <row r="106" spans="2:27" ht="20.100000000000001" customHeight="1" x14ac:dyDescent="0.25">
      <c r="B106" s="167" t="s">
        <v>17</v>
      </c>
      <c r="C106" s="167" t="s">
        <v>1177</v>
      </c>
      <c r="D106" s="167" t="s">
        <v>28</v>
      </c>
      <c r="E106" s="168">
        <v>0</v>
      </c>
      <c r="F106" s="156" t="s">
        <v>992</v>
      </c>
      <c r="G106" s="156" t="s">
        <v>993</v>
      </c>
      <c r="H106" s="66" t="s">
        <v>881</v>
      </c>
      <c r="I106" s="160">
        <v>4</v>
      </c>
      <c r="J106" s="169" t="s">
        <v>712</v>
      </c>
      <c r="K106" s="160"/>
      <c r="L106" s="158"/>
      <c r="M106" s="159"/>
      <c r="N106" s="159"/>
      <c r="O106" s="158"/>
      <c r="P106" s="158"/>
      <c r="Q106" s="157"/>
      <c r="R106" s="157"/>
      <c r="S106" s="82" t="s">
        <v>724</v>
      </c>
      <c r="T106" s="82" t="s">
        <v>724</v>
      </c>
      <c r="U106" s="82" t="s">
        <v>724</v>
      </c>
      <c r="V106" s="82" t="s">
        <v>724</v>
      </c>
      <c r="W106" s="70"/>
      <c r="X106" s="82" t="s">
        <v>724</v>
      </c>
      <c r="Y106" s="82" t="s">
        <v>724</v>
      </c>
      <c r="Z106" s="82" t="s">
        <v>724</v>
      </c>
      <c r="AA106" s="82" t="s">
        <v>724</v>
      </c>
    </row>
    <row r="107" spans="2:27" ht="20.100000000000001" customHeight="1" x14ac:dyDescent="0.25">
      <c r="B107" s="167" t="s">
        <v>17</v>
      </c>
      <c r="C107" s="167" t="s">
        <v>1177</v>
      </c>
      <c r="D107" s="167" t="s">
        <v>28</v>
      </c>
      <c r="E107" s="168">
        <v>0</v>
      </c>
      <c r="F107" s="167" t="s">
        <v>999</v>
      </c>
      <c r="G107" s="167" t="s">
        <v>1000</v>
      </c>
      <c r="H107" s="78" t="s">
        <v>1001</v>
      </c>
      <c r="I107" s="168">
        <v>5</v>
      </c>
      <c r="J107" s="165" t="s">
        <v>712</v>
      </c>
      <c r="K107" s="168">
        <v>4</v>
      </c>
      <c r="L107" s="168"/>
      <c r="M107" s="159"/>
      <c r="N107" s="159"/>
      <c r="O107" s="168"/>
      <c r="P107" s="158"/>
      <c r="Q107" s="157"/>
      <c r="R107" s="157"/>
      <c r="S107" s="82" t="s">
        <v>724</v>
      </c>
      <c r="T107" s="82" t="s">
        <v>724</v>
      </c>
      <c r="U107" s="82" t="s">
        <v>724</v>
      </c>
      <c r="V107" s="82" t="s">
        <v>724</v>
      </c>
      <c r="W107" s="70"/>
      <c r="X107" s="82" t="s">
        <v>724</v>
      </c>
      <c r="Y107" s="82" t="s">
        <v>724</v>
      </c>
      <c r="Z107" s="82" t="s">
        <v>724</v>
      </c>
      <c r="AA107" s="82" t="s">
        <v>724</v>
      </c>
    </row>
    <row r="108" spans="2:27" ht="20.100000000000001" customHeight="1" x14ac:dyDescent="0.25">
      <c r="B108" s="167" t="s">
        <v>17</v>
      </c>
      <c r="C108" s="167" t="s">
        <v>1177</v>
      </c>
      <c r="D108" s="167" t="s">
        <v>28</v>
      </c>
      <c r="E108" s="168">
        <v>0</v>
      </c>
      <c r="F108" s="167" t="s">
        <v>1007</v>
      </c>
      <c r="G108" s="167" t="s">
        <v>1008</v>
      </c>
      <c r="H108" s="66" t="s">
        <v>881</v>
      </c>
      <c r="I108" s="168">
        <v>6</v>
      </c>
      <c r="J108" s="167" t="s">
        <v>841</v>
      </c>
      <c r="K108" s="168"/>
      <c r="L108" s="168"/>
      <c r="M108" s="159"/>
      <c r="N108" s="159"/>
      <c r="O108" s="158" t="s">
        <v>715</v>
      </c>
      <c r="P108" s="158"/>
      <c r="Q108" s="157"/>
      <c r="R108" s="157"/>
      <c r="S108" s="82" t="s">
        <v>724</v>
      </c>
      <c r="T108" s="82" t="s">
        <v>724</v>
      </c>
      <c r="U108" s="82" t="s">
        <v>724</v>
      </c>
      <c r="V108" s="82" t="s">
        <v>724</v>
      </c>
      <c r="W108" s="70"/>
      <c r="X108" s="82" t="s">
        <v>724</v>
      </c>
      <c r="Y108" s="82" t="s">
        <v>724</v>
      </c>
      <c r="Z108" s="82" t="s">
        <v>724</v>
      </c>
      <c r="AA108" s="82" t="s">
        <v>724</v>
      </c>
    </row>
    <row r="109" spans="2:27" ht="20.100000000000001" customHeight="1" x14ac:dyDescent="0.25">
      <c r="B109" s="167" t="s">
        <v>17</v>
      </c>
      <c r="C109" s="167" t="s">
        <v>1177</v>
      </c>
      <c r="D109" s="167" t="s">
        <v>28</v>
      </c>
      <c r="E109" s="168">
        <v>0</v>
      </c>
      <c r="F109" s="167" t="s">
        <v>1014</v>
      </c>
      <c r="G109" s="167" t="s">
        <v>1015</v>
      </c>
      <c r="H109" s="66" t="s">
        <v>881</v>
      </c>
      <c r="I109" s="168">
        <v>7</v>
      </c>
      <c r="J109" s="167" t="s">
        <v>917</v>
      </c>
      <c r="K109" s="168"/>
      <c r="L109" s="168"/>
      <c r="M109" s="159"/>
      <c r="N109" s="159"/>
      <c r="O109" s="158"/>
      <c r="P109" s="158"/>
      <c r="Q109" s="157"/>
      <c r="R109" s="157"/>
      <c r="S109" s="82" t="s">
        <v>724</v>
      </c>
      <c r="T109" s="82" t="s">
        <v>724</v>
      </c>
      <c r="U109" s="82" t="s">
        <v>724</v>
      </c>
      <c r="V109" s="82" t="s">
        <v>724</v>
      </c>
      <c r="W109" s="70"/>
      <c r="X109" s="82" t="s">
        <v>724</v>
      </c>
      <c r="Y109" s="82" t="s">
        <v>724</v>
      </c>
      <c r="Z109" s="82" t="s">
        <v>724</v>
      </c>
      <c r="AA109" s="82" t="s">
        <v>724</v>
      </c>
    </row>
    <row r="110" spans="2:27" ht="20.100000000000001" customHeight="1" x14ac:dyDescent="0.25">
      <c r="B110" s="167" t="s">
        <v>17</v>
      </c>
      <c r="C110" s="167" t="s">
        <v>1177</v>
      </c>
      <c r="D110" s="167" t="s">
        <v>28</v>
      </c>
      <c r="E110" s="168">
        <v>0</v>
      </c>
      <c r="F110" s="167" t="s">
        <v>1021</v>
      </c>
      <c r="G110" s="167" t="s">
        <v>1022</v>
      </c>
      <c r="H110" s="66" t="s">
        <v>881</v>
      </c>
      <c r="I110" s="168">
        <v>8</v>
      </c>
      <c r="J110" s="167" t="s">
        <v>917</v>
      </c>
      <c r="K110" s="168"/>
      <c r="L110" s="168"/>
      <c r="M110" s="159"/>
      <c r="N110" s="159"/>
      <c r="O110" s="158"/>
      <c r="P110" s="158"/>
      <c r="Q110" s="157"/>
      <c r="R110" s="157"/>
      <c r="S110" s="82" t="s">
        <v>724</v>
      </c>
      <c r="T110" s="82" t="s">
        <v>724</v>
      </c>
      <c r="U110" s="82" t="s">
        <v>724</v>
      </c>
      <c r="V110" s="82" t="s">
        <v>724</v>
      </c>
      <c r="W110" s="70"/>
      <c r="X110" s="82" t="s">
        <v>724</v>
      </c>
      <c r="Y110" s="82" t="s">
        <v>724</v>
      </c>
      <c r="Z110" s="82" t="s">
        <v>724</v>
      </c>
      <c r="AA110" s="82" t="s">
        <v>724</v>
      </c>
    </row>
    <row r="111" spans="2:27" ht="20.100000000000001" customHeight="1" x14ac:dyDescent="0.25">
      <c r="B111" s="167" t="s">
        <v>17</v>
      </c>
      <c r="C111" s="167" t="s">
        <v>1177</v>
      </c>
      <c r="D111" s="167" t="s">
        <v>28</v>
      </c>
      <c r="E111" s="168">
        <v>0</v>
      </c>
      <c r="F111" s="163" t="s">
        <v>799</v>
      </c>
      <c r="G111" s="163" t="s">
        <v>800</v>
      </c>
      <c r="H111" s="66" t="s">
        <v>801</v>
      </c>
      <c r="I111" s="164">
        <v>9</v>
      </c>
      <c r="J111" s="163" t="s">
        <v>712</v>
      </c>
      <c r="K111" s="164">
        <v>10</v>
      </c>
      <c r="L111" s="164"/>
      <c r="M111" s="159"/>
      <c r="N111" s="159"/>
      <c r="O111" s="164" t="s">
        <v>715</v>
      </c>
      <c r="P111" s="158"/>
      <c r="Q111" s="157"/>
      <c r="R111" s="157"/>
      <c r="S111" s="82" t="s">
        <v>724</v>
      </c>
      <c r="T111" s="82" t="s">
        <v>724</v>
      </c>
      <c r="U111" s="82" t="s">
        <v>724</v>
      </c>
      <c r="V111" s="82" t="s">
        <v>724</v>
      </c>
      <c r="W111" s="70"/>
      <c r="X111" s="82" t="s">
        <v>724</v>
      </c>
      <c r="Y111" s="82" t="s">
        <v>724</v>
      </c>
      <c r="Z111" s="82" t="s">
        <v>724</v>
      </c>
      <c r="AA111" s="82" t="s">
        <v>724</v>
      </c>
    </row>
    <row r="112" spans="2:27" ht="20.100000000000001" customHeight="1" x14ac:dyDescent="0.25">
      <c r="B112" s="167" t="s">
        <v>17</v>
      </c>
      <c r="C112" s="167" t="s">
        <v>1177</v>
      </c>
      <c r="D112" s="167" t="s">
        <v>28</v>
      </c>
      <c r="E112" s="168">
        <v>0</v>
      </c>
      <c r="F112" s="156" t="s">
        <v>806</v>
      </c>
      <c r="G112" s="156" t="s">
        <v>807</v>
      </c>
      <c r="H112" s="66" t="s">
        <v>808</v>
      </c>
      <c r="I112" s="160">
        <v>10</v>
      </c>
      <c r="J112" s="156" t="s">
        <v>809</v>
      </c>
      <c r="K112" s="160">
        <v>23</v>
      </c>
      <c r="L112" s="158"/>
      <c r="M112" s="159"/>
      <c r="N112" s="159"/>
      <c r="O112" s="160"/>
      <c r="P112" s="158"/>
      <c r="Q112" s="157"/>
      <c r="R112" s="157"/>
      <c r="S112" s="82" t="s">
        <v>724</v>
      </c>
      <c r="T112" s="82" t="s">
        <v>724</v>
      </c>
      <c r="U112" s="82" t="s">
        <v>724</v>
      </c>
      <c r="V112" s="82" t="s">
        <v>724</v>
      </c>
      <c r="W112" s="70"/>
      <c r="X112" s="82" t="s">
        <v>724</v>
      </c>
      <c r="Y112" s="82" t="s">
        <v>724</v>
      </c>
      <c r="Z112" s="82" t="s">
        <v>724</v>
      </c>
      <c r="AA112" s="82" t="s">
        <v>724</v>
      </c>
    </row>
    <row r="113" spans="2:27" ht="20.100000000000001" customHeight="1" x14ac:dyDescent="0.25">
      <c r="B113" s="167" t="s">
        <v>17</v>
      </c>
      <c r="C113" s="156" t="s">
        <v>1178</v>
      </c>
      <c r="D113" s="156" t="s">
        <v>26</v>
      </c>
      <c r="E113" s="160">
        <v>0</v>
      </c>
      <c r="F113" s="156" t="s">
        <v>975</v>
      </c>
      <c r="G113" s="156" t="s">
        <v>976</v>
      </c>
      <c r="H113" s="66" t="s">
        <v>826</v>
      </c>
      <c r="I113" s="160">
        <v>1</v>
      </c>
      <c r="J113" s="156" t="s">
        <v>712</v>
      </c>
      <c r="K113" s="160">
        <v>3</v>
      </c>
      <c r="L113" s="158"/>
      <c r="M113" s="159"/>
      <c r="N113" s="159"/>
      <c r="O113" s="158"/>
      <c r="P113" s="158"/>
      <c r="Q113" s="157"/>
      <c r="R113" s="157"/>
      <c r="S113" s="82" t="s">
        <v>724</v>
      </c>
      <c r="T113" s="82" t="s">
        <v>724</v>
      </c>
      <c r="U113" s="82" t="s">
        <v>724</v>
      </c>
      <c r="V113" s="82" t="s">
        <v>724</v>
      </c>
      <c r="W113" s="70"/>
      <c r="X113" s="82" t="s">
        <v>724</v>
      </c>
      <c r="Y113" s="82" t="s">
        <v>724</v>
      </c>
      <c r="Z113" s="82" t="s">
        <v>724</v>
      </c>
      <c r="AA113" s="82" t="s">
        <v>724</v>
      </c>
    </row>
    <row r="114" spans="2:27" ht="20.100000000000001" customHeight="1" x14ac:dyDescent="0.25">
      <c r="B114" s="167" t="s">
        <v>17</v>
      </c>
      <c r="C114" s="156" t="s">
        <v>1178</v>
      </c>
      <c r="D114" s="156" t="s">
        <v>26</v>
      </c>
      <c r="E114" s="160">
        <v>0</v>
      </c>
      <c r="F114" s="156" t="s">
        <v>1035</v>
      </c>
      <c r="G114" s="156" t="s">
        <v>1036</v>
      </c>
      <c r="H114" s="66" t="s">
        <v>826</v>
      </c>
      <c r="I114" s="160">
        <v>2</v>
      </c>
      <c r="J114" s="156" t="s">
        <v>712</v>
      </c>
      <c r="K114" s="160">
        <v>20</v>
      </c>
      <c r="L114" s="158"/>
      <c r="M114" s="159"/>
      <c r="N114" s="159"/>
      <c r="O114" s="158"/>
      <c r="P114" s="158"/>
      <c r="Q114" s="157"/>
      <c r="R114" s="157"/>
      <c r="S114" s="82" t="s">
        <v>724</v>
      </c>
      <c r="T114" s="82" t="s">
        <v>724</v>
      </c>
      <c r="U114" s="82" t="s">
        <v>724</v>
      </c>
      <c r="V114" s="82" t="s">
        <v>724</v>
      </c>
      <c r="W114" s="70"/>
      <c r="X114" s="82" t="s">
        <v>724</v>
      </c>
      <c r="Y114" s="82" t="s">
        <v>724</v>
      </c>
      <c r="Z114" s="82" t="s">
        <v>724</v>
      </c>
      <c r="AA114" s="82" t="s">
        <v>724</v>
      </c>
    </row>
    <row r="115" spans="2:27" ht="20.100000000000001" customHeight="1" x14ac:dyDescent="0.25">
      <c r="B115" s="167" t="s">
        <v>17</v>
      </c>
      <c r="C115" s="156" t="s">
        <v>1178</v>
      </c>
      <c r="D115" s="156" t="s">
        <v>26</v>
      </c>
      <c r="E115" s="160">
        <v>0</v>
      </c>
      <c r="F115" s="156" t="s">
        <v>879</v>
      </c>
      <c r="G115" s="156" t="s">
        <v>880</v>
      </c>
      <c r="H115" s="66" t="s">
        <v>881</v>
      </c>
      <c r="I115" s="160">
        <v>3</v>
      </c>
      <c r="J115" s="156" t="s">
        <v>712</v>
      </c>
      <c r="K115" s="160">
        <v>2</v>
      </c>
      <c r="L115" s="158"/>
      <c r="M115" s="159"/>
      <c r="N115" s="159"/>
      <c r="O115" s="158"/>
      <c r="P115" s="158"/>
      <c r="Q115" s="157"/>
      <c r="R115" s="157"/>
      <c r="S115" s="82" t="s">
        <v>724</v>
      </c>
      <c r="T115" s="82" t="s">
        <v>724</v>
      </c>
      <c r="U115" s="82" t="s">
        <v>724</v>
      </c>
      <c r="V115" s="82" t="s">
        <v>724</v>
      </c>
      <c r="W115" s="70"/>
      <c r="X115" s="82" t="s">
        <v>724</v>
      </c>
      <c r="Y115" s="82" t="s">
        <v>724</v>
      </c>
      <c r="Z115" s="82" t="s">
        <v>724</v>
      </c>
      <c r="AA115" s="82" t="s">
        <v>724</v>
      </c>
    </row>
    <row r="116" spans="2:27" ht="20.100000000000001" customHeight="1" x14ac:dyDescent="0.25">
      <c r="B116" s="167" t="s">
        <v>17</v>
      </c>
      <c r="C116" s="156" t="s">
        <v>1178</v>
      </c>
      <c r="D116" s="156" t="s">
        <v>26</v>
      </c>
      <c r="E116" s="160">
        <v>0</v>
      </c>
      <c r="F116" s="156" t="s">
        <v>992</v>
      </c>
      <c r="G116" s="156" t="s">
        <v>993</v>
      </c>
      <c r="H116" s="66" t="s">
        <v>881</v>
      </c>
      <c r="I116" s="160">
        <v>4</v>
      </c>
      <c r="J116" s="156" t="s">
        <v>712</v>
      </c>
      <c r="K116" s="160"/>
      <c r="L116" s="158"/>
      <c r="M116" s="159"/>
      <c r="N116" s="159"/>
      <c r="O116" s="158"/>
      <c r="P116" s="158"/>
      <c r="Q116" s="157"/>
      <c r="R116" s="157"/>
      <c r="S116" s="82" t="s">
        <v>724</v>
      </c>
      <c r="T116" s="82" t="s">
        <v>724</v>
      </c>
      <c r="U116" s="82" t="s">
        <v>724</v>
      </c>
      <c r="V116" s="82" t="s">
        <v>724</v>
      </c>
      <c r="W116" s="70"/>
      <c r="X116" s="82" t="s">
        <v>724</v>
      </c>
      <c r="Y116" s="82" t="s">
        <v>724</v>
      </c>
      <c r="Z116" s="82" t="s">
        <v>724</v>
      </c>
      <c r="AA116" s="82" t="s">
        <v>724</v>
      </c>
    </row>
    <row r="117" spans="2:27" ht="20.100000000000001" customHeight="1" x14ac:dyDescent="0.25">
      <c r="B117" s="167" t="s">
        <v>17</v>
      </c>
      <c r="C117" s="156" t="s">
        <v>1178</v>
      </c>
      <c r="D117" s="156" t="s">
        <v>26</v>
      </c>
      <c r="E117" s="160">
        <v>0</v>
      </c>
      <c r="F117" s="156" t="s">
        <v>1047</v>
      </c>
      <c r="G117" s="156" t="s">
        <v>1048</v>
      </c>
      <c r="H117" s="66" t="s">
        <v>881</v>
      </c>
      <c r="I117" s="160">
        <v>5</v>
      </c>
      <c r="J117" s="156" t="s">
        <v>712</v>
      </c>
      <c r="K117" s="160">
        <v>30</v>
      </c>
      <c r="L117" s="158"/>
      <c r="M117" s="159"/>
      <c r="N117" s="159"/>
      <c r="O117" s="158"/>
      <c r="P117" s="158"/>
      <c r="Q117" s="157"/>
      <c r="R117" s="157"/>
      <c r="S117" s="82" t="s">
        <v>724</v>
      </c>
      <c r="T117" s="82" t="s">
        <v>724</v>
      </c>
      <c r="U117" s="82" t="s">
        <v>724</v>
      </c>
      <c r="V117" s="82" t="s">
        <v>724</v>
      </c>
      <c r="W117" s="70"/>
      <c r="X117" s="82" t="s">
        <v>724</v>
      </c>
      <c r="Y117" s="82" t="s">
        <v>724</v>
      </c>
      <c r="Z117" s="82" t="s">
        <v>724</v>
      </c>
      <c r="AA117" s="82" t="s">
        <v>724</v>
      </c>
    </row>
    <row r="118" spans="2:27" ht="20.100000000000001" customHeight="1" x14ac:dyDescent="0.25">
      <c r="B118" s="167" t="s">
        <v>17</v>
      </c>
      <c r="C118" s="156" t="s">
        <v>1178</v>
      </c>
      <c r="D118" s="156" t="s">
        <v>26</v>
      </c>
      <c r="E118" s="160">
        <v>0</v>
      </c>
      <c r="F118" s="156" t="s">
        <v>1054</v>
      </c>
      <c r="G118" s="156" t="s">
        <v>1055</v>
      </c>
      <c r="H118" s="66" t="s">
        <v>881</v>
      </c>
      <c r="I118" s="160">
        <v>6</v>
      </c>
      <c r="J118" s="156" t="s">
        <v>712</v>
      </c>
      <c r="K118" s="160">
        <v>15</v>
      </c>
      <c r="L118" s="158"/>
      <c r="M118" s="159"/>
      <c r="N118" s="159"/>
      <c r="O118" s="158"/>
      <c r="P118" s="158"/>
      <c r="Q118" s="157"/>
      <c r="R118" s="157"/>
      <c r="S118" s="82" t="s">
        <v>724</v>
      </c>
      <c r="T118" s="82" t="s">
        <v>724</v>
      </c>
      <c r="U118" s="82" t="s">
        <v>724</v>
      </c>
      <c r="V118" s="82" t="s">
        <v>724</v>
      </c>
      <c r="W118" s="70"/>
      <c r="X118" s="82" t="s">
        <v>724</v>
      </c>
      <c r="Y118" s="82" t="s">
        <v>724</v>
      </c>
      <c r="Z118" s="82" t="s">
        <v>724</v>
      </c>
      <c r="AA118" s="82" t="s">
        <v>724</v>
      </c>
    </row>
    <row r="119" spans="2:27" ht="20.100000000000001" customHeight="1" x14ac:dyDescent="0.25">
      <c r="B119" s="167" t="s">
        <v>17</v>
      </c>
      <c r="C119" s="156" t="s">
        <v>1178</v>
      </c>
      <c r="D119" s="156" t="s">
        <v>26</v>
      </c>
      <c r="E119" s="160">
        <v>0</v>
      </c>
      <c r="F119" s="156" t="s">
        <v>1061</v>
      </c>
      <c r="G119" s="156" t="s">
        <v>1062</v>
      </c>
      <c r="H119" s="66" t="s">
        <v>881</v>
      </c>
      <c r="I119" s="160">
        <v>7</v>
      </c>
      <c r="J119" s="156" t="s">
        <v>712</v>
      </c>
      <c r="K119" s="160">
        <v>15</v>
      </c>
      <c r="L119" s="158"/>
      <c r="M119" s="159"/>
      <c r="N119" s="159"/>
      <c r="O119" s="158"/>
      <c r="P119" s="158"/>
      <c r="Q119" s="157"/>
      <c r="R119" s="157"/>
      <c r="S119" s="82" t="s">
        <v>724</v>
      </c>
      <c r="T119" s="82" t="s">
        <v>724</v>
      </c>
      <c r="U119" s="82" t="s">
        <v>724</v>
      </c>
      <c r="V119" s="82" t="s">
        <v>724</v>
      </c>
      <c r="W119" s="70"/>
      <c r="X119" s="82" t="s">
        <v>724</v>
      </c>
      <c r="Y119" s="82" t="s">
        <v>724</v>
      </c>
      <c r="Z119" s="82" t="s">
        <v>724</v>
      </c>
      <c r="AA119" s="82" t="s">
        <v>724</v>
      </c>
    </row>
    <row r="120" spans="2:27" ht="20.100000000000001" customHeight="1" x14ac:dyDescent="0.25">
      <c r="B120" s="167" t="s">
        <v>17</v>
      </c>
      <c r="C120" s="156" t="s">
        <v>1178</v>
      </c>
      <c r="D120" s="156" t="s">
        <v>26</v>
      </c>
      <c r="E120" s="160">
        <v>0</v>
      </c>
      <c r="F120" s="156" t="s">
        <v>1066</v>
      </c>
      <c r="G120" s="156" t="s">
        <v>1067</v>
      </c>
      <c r="H120" s="66" t="s">
        <v>881</v>
      </c>
      <c r="I120" s="160">
        <v>8</v>
      </c>
      <c r="J120" s="156" t="s">
        <v>712</v>
      </c>
      <c r="K120" s="160">
        <v>15</v>
      </c>
      <c r="L120" s="158"/>
      <c r="M120" s="159"/>
      <c r="N120" s="159"/>
      <c r="O120" s="158"/>
      <c r="P120" s="158"/>
      <c r="Q120" s="157"/>
      <c r="R120" s="157"/>
      <c r="S120" s="82" t="s">
        <v>724</v>
      </c>
      <c r="T120" s="82" t="s">
        <v>724</v>
      </c>
      <c r="U120" s="82" t="s">
        <v>724</v>
      </c>
      <c r="V120" s="82" t="s">
        <v>724</v>
      </c>
      <c r="W120" s="70"/>
      <c r="X120" s="82" t="s">
        <v>724</v>
      </c>
      <c r="Y120" s="82" t="s">
        <v>724</v>
      </c>
      <c r="Z120" s="82" t="s">
        <v>724</v>
      </c>
      <c r="AA120" s="82" t="s">
        <v>724</v>
      </c>
    </row>
    <row r="121" spans="2:27" ht="20.100000000000001" customHeight="1" x14ac:dyDescent="0.25">
      <c r="B121" s="167" t="s">
        <v>17</v>
      </c>
      <c r="C121" s="156" t="s">
        <v>1178</v>
      </c>
      <c r="D121" s="156" t="s">
        <v>26</v>
      </c>
      <c r="E121" s="160">
        <v>0</v>
      </c>
      <c r="F121" s="156" t="s">
        <v>1071</v>
      </c>
      <c r="G121" s="156" t="s">
        <v>1072</v>
      </c>
      <c r="H121" s="66" t="s">
        <v>881</v>
      </c>
      <c r="I121" s="160">
        <v>9</v>
      </c>
      <c r="J121" s="156" t="s">
        <v>712</v>
      </c>
      <c r="K121" s="160">
        <v>15</v>
      </c>
      <c r="L121" s="158"/>
      <c r="M121" s="159"/>
      <c r="N121" s="159"/>
      <c r="O121" s="158"/>
      <c r="P121" s="158"/>
      <c r="Q121" s="157"/>
      <c r="R121" s="157"/>
      <c r="S121" s="82" t="s">
        <v>724</v>
      </c>
      <c r="T121" s="82" t="s">
        <v>724</v>
      </c>
      <c r="U121" s="82" t="s">
        <v>724</v>
      </c>
      <c r="V121" s="82" t="s">
        <v>724</v>
      </c>
      <c r="W121" s="70"/>
      <c r="X121" s="82" t="s">
        <v>724</v>
      </c>
      <c r="Y121" s="82" t="s">
        <v>724</v>
      </c>
      <c r="Z121" s="82" t="s">
        <v>724</v>
      </c>
      <c r="AA121" s="82" t="s">
        <v>724</v>
      </c>
    </row>
    <row r="122" spans="2:27" ht="20.100000000000001" customHeight="1" x14ac:dyDescent="0.25">
      <c r="B122" s="167" t="s">
        <v>17</v>
      </c>
      <c r="C122" s="156" t="s">
        <v>1178</v>
      </c>
      <c r="D122" s="156" t="s">
        <v>26</v>
      </c>
      <c r="E122" s="160">
        <v>0</v>
      </c>
      <c r="F122" s="156" t="s">
        <v>1076</v>
      </c>
      <c r="G122" s="156" t="s">
        <v>1077</v>
      </c>
      <c r="H122" s="66" t="s">
        <v>881</v>
      </c>
      <c r="I122" s="160">
        <v>10</v>
      </c>
      <c r="J122" s="156" t="s">
        <v>712</v>
      </c>
      <c r="K122" s="160">
        <v>15</v>
      </c>
      <c r="L122" s="158"/>
      <c r="M122" s="159"/>
      <c r="N122" s="159"/>
      <c r="O122" s="158"/>
      <c r="P122" s="158"/>
      <c r="Q122" s="157"/>
      <c r="R122" s="157"/>
      <c r="S122" s="82" t="s">
        <v>724</v>
      </c>
      <c r="T122" s="82" t="s">
        <v>724</v>
      </c>
      <c r="U122" s="82" t="s">
        <v>724</v>
      </c>
      <c r="V122" s="82" t="s">
        <v>724</v>
      </c>
      <c r="W122" s="70"/>
      <c r="X122" s="82" t="s">
        <v>724</v>
      </c>
      <c r="Y122" s="82" t="s">
        <v>724</v>
      </c>
      <c r="Z122" s="82" t="s">
        <v>724</v>
      </c>
      <c r="AA122" s="82" t="s">
        <v>724</v>
      </c>
    </row>
    <row r="123" spans="2:27" ht="20.100000000000001" customHeight="1" x14ac:dyDescent="0.25">
      <c r="B123" s="167" t="s">
        <v>17</v>
      </c>
      <c r="C123" s="156" t="s">
        <v>1178</v>
      </c>
      <c r="D123" s="156" t="s">
        <v>26</v>
      </c>
      <c r="E123" s="160">
        <v>0</v>
      </c>
      <c r="F123" s="156" t="s">
        <v>1081</v>
      </c>
      <c r="G123" s="156" t="s">
        <v>1082</v>
      </c>
      <c r="H123" s="66" t="s">
        <v>881</v>
      </c>
      <c r="I123" s="160">
        <v>11</v>
      </c>
      <c r="J123" s="156" t="s">
        <v>712</v>
      </c>
      <c r="K123" s="160">
        <v>15</v>
      </c>
      <c r="L123" s="158"/>
      <c r="M123" s="159"/>
      <c r="N123" s="159"/>
      <c r="O123" s="158"/>
      <c r="P123" s="158"/>
      <c r="Q123" s="157"/>
      <c r="R123" s="157"/>
      <c r="S123" s="82" t="s">
        <v>724</v>
      </c>
      <c r="T123" s="82" t="s">
        <v>724</v>
      </c>
      <c r="U123" s="82" t="s">
        <v>724</v>
      </c>
      <c r="V123" s="82" t="s">
        <v>724</v>
      </c>
      <c r="W123" s="70"/>
      <c r="X123" s="82" t="s">
        <v>724</v>
      </c>
      <c r="Y123" s="82" t="s">
        <v>724</v>
      </c>
      <c r="Z123" s="82" t="s">
        <v>724</v>
      </c>
      <c r="AA123" s="82" t="s">
        <v>724</v>
      </c>
    </row>
    <row r="124" spans="2:27" ht="20.100000000000001" customHeight="1" x14ac:dyDescent="0.25">
      <c r="B124" s="167" t="s">
        <v>17</v>
      </c>
      <c r="C124" s="156" t="s">
        <v>1178</v>
      </c>
      <c r="D124" s="156" t="s">
        <v>26</v>
      </c>
      <c r="E124" s="160">
        <v>0</v>
      </c>
      <c r="F124" s="156" t="s">
        <v>1086</v>
      </c>
      <c r="G124" s="156" t="s">
        <v>1087</v>
      </c>
      <c r="H124" s="66" t="s">
        <v>881</v>
      </c>
      <c r="I124" s="160">
        <v>12</v>
      </c>
      <c r="J124" s="156" t="s">
        <v>712</v>
      </c>
      <c r="K124" s="160">
        <v>15</v>
      </c>
      <c r="L124" s="158"/>
      <c r="M124" s="159"/>
      <c r="N124" s="159"/>
      <c r="O124" s="158"/>
      <c r="P124" s="158"/>
      <c r="Q124" s="157"/>
      <c r="R124" s="157"/>
      <c r="S124" s="82" t="s">
        <v>724</v>
      </c>
      <c r="T124" s="82" t="s">
        <v>724</v>
      </c>
      <c r="U124" s="82" t="s">
        <v>724</v>
      </c>
      <c r="V124" s="82" t="s">
        <v>724</v>
      </c>
      <c r="W124" s="70"/>
      <c r="X124" s="82" t="s">
        <v>724</v>
      </c>
      <c r="Y124" s="82" t="s">
        <v>724</v>
      </c>
      <c r="Z124" s="82" t="s">
        <v>724</v>
      </c>
      <c r="AA124" s="82" t="s">
        <v>724</v>
      </c>
    </row>
    <row r="125" spans="2:27" ht="20.100000000000001" customHeight="1" x14ac:dyDescent="0.25">
      <c r="B125" s="167" t="s">
        <v>17</v>
      </c>
      <c r="C125" s="156" t="s">
        <v>1178</v>
      </c>
      <c r="D125" s="156" t="s">
        <v>26</v>
      </c>
      <c r="E125" s="160">
        <v>0</v>
      </c>
      <c r="F125" s="156" t="s">
        <v>1091</v>
      </c>
      <c r="G125" s="156" t="s">
        <v>1092</v>
      </c>
      <c r="H125" s="66" t="s">
        <v>881</v>
      </c>
      <c r="I125" s="160">
        <v>13</v>
      </c>
      <c r="J125" s="156" t="s">
        <v>712</v>
      </c>
      <c r="K125" s="160">
        <v>15</v>
      </c>
      <c r="L125" s="158"/>
      <c r="M125" s="159"/>
      <c r="N125" s="159"/>
      <c r="O125" s="158"/>
      <c r="P125" s="158"/>
      <c r="Q125" s="157"/>
      <c r="R125" s="157"/>
      <c r="S125" s="82" t="s">
        <v>724</v>
      </c>
      <c r="T125" s="82" t="s">
        <v>724</v>
      </c>
      <c r="U125" s="82" t="s">
        <v>724</v>
      </c>
      <c r="V125" s="82" t="s">
        <v>724</v>
      </c>
      <c r="W125" s="70"/>
      <c r="X125" s="82" t="s">
        <v>724</v>
      </c>
      <c r="Y125" s="82" t="s">
        <v>724</v>
      </c>
      <c r="Z125" s="82" t="s">
        <v>724</v>
      </c>
      <c r="AA125" s="82" t="s">
        <v>724</v>
      </c>
    </row>
    <row r="126" spans="2:27" ht="20.100000000000001" customHeight="1" x14ac:dyDescent="0.25">
      <c r="B126" s="167" t="s">
        <v>17</v>
      </c>
      <c r="C126" s="156" t="s">
        <v>1178</v>
      </c>
      <c r="D126" s="156" t="s">
        <v>26</v>
      </c>
      <c r="E126" s="160">
        <v>0</v>
      </c>
      <c r="F126" s="156" t="s">
        <v>1096</v>
      </c>
      <c r="G126" s="156" t="s">
        <v>1097</v>
      </c>
      <c r="H126" s="66" t="s">
        <v>881</v>
      </c>
      <c r="I126" s="160">
        <v>14</v>
      </c>
      <c r="J126" s="156" t="s">
        <v>712</v>
      </c>
      <c r="K126" s="160">
        <v>15</v>
      </c>
      <c r="L126" s="158"/>
      <c r="M126" s="159"/>
      <c r="N126" s="159"/>
      <c r="O126" s="158"/>
      <c r="P126" s="158"/>
      <c r="Q126" s="157"/>
      <c r="R126" s="157"/>
      <c r="S126" s="82" t="s">
        <v>724</v>
      </c>
      <c r="T126" s="82" t="s">
        <v>724</v>
      </c>
      <c r="U126" s="82" t="s">
        <v>724</v>
      </c>
      <c r="V126" s="82" t="s">
        <v>724</v>
      </c>
      <c r="W126" s="70"/>
      <c r="X126" s="82" t="s">
        <v>724</v>
      </c>
      <c r="Y126" s="82" t="s">
        <v>724</v>
      </c>
      <c r="Z126" s="82" t="s">
        <v>724</v>
      </c>
      <c r="AA126" s="82" t="s">
        <v>724</v>
      </c>
    </row>
    <row r="127" spans="2:27" ht="20.100000000000001" customHeight="1" x14ac:dyDescent="0.25">
      <c r="B127" s="167" t="s">
        <v>17</v>
      </c>
      <c r="C127" s="156" t="s">
        <v>1178</v>
      </c>
      <c r="D127" s="156" t="s">
        <v>26</v>
      </c>
      <c r="E127" s="160">
        <v>0</v>
      </c>
      <c r="F127" s="156" t="s">
        <v>1101</v>
      </c>
      <c r="G127" s="156" t="s">
        <v>1102</v>
      </c>
      <c r="H127" s="66" t="s">
        <v>881</v>
      </c>
      <c r="I127" s="160">
        <v>15</v>
      </c>
      <c r="J127" s="156" t="s">
        <v>712</v>
      </c>
      <c r="K127" s="160">
        <v>15</v>
      </c>
      <c r="L127" s="158"/>
      <c r="M127" s="159"/>
      <c r="N127" s="159"/>
      <c r="O127" s="158"/>
      <c r="P127" s="158"/>
      <c r="Q127" s="157"/>
      <c r="R127" s="157"/>
      <c r="S127" s="82" t="s">
        <v>724</v>
      </c>
      <c r="T127" s="82" t="s">
        <v>724</v>
      </c>
      <c r="U127" s="82" t="s">
        <v>724</v>
      </c>
      <c r="V127" s="82" t="s">
        <v>724</v>
      </c>
      <c r="W127" s="70"/>
      <c r="X127" s="82" t="s">
        <v>724</v>
      </c>
      <c r="Y127" s="82" t="s">
        <v>724</v>
      </c>
      <c r="Z127" s="82" t="s">
        <v>724</v>
      </c>
      <c r="AA127" s="82" t="s">
        <v>724</v>
      </c>
    </row>
    <row r="128" spans="2:27" ht="20.100000000000001" customHeight="1" x14ac:dyDescent="0.25">
      <c r="B128" s="167" t="s">
        <v>17</v>
      </c>
      <c r="C128" s="156" t="s">
        <v>1178</v>
      </c>
      <c r="D128" s="156" t="s">
        <v>26</v>
      </c>
      <c r="E128" s="160">
        <v>0</v>
      </c>
      <c r="F128" s="156" t="s">
        <v>1106</v>
      </c>
      <c r="G128" s="156" t="s">
        <v>1107</v>
      </c>
      <c r="H128" s="66" t="s">
        <v>881</v>
      </c>
      <c r="I128" s="160">
        <v>16</v>
      </c>
      <c r="J128" s="156" t="s">
        <v>712</v>
      </c>
      <c r="K128" s="160">
        <v>15</v>
      </c>
      <c r="L128" s="158"/>
      <c r="M128" s="159"/>
      <c r="N128" s="159"/>
      <c r="O128" s="158"/>
      <c r="P128" s="158"/>
      <c r="Q128" s="157"/>
      <c r="R128" s="157"/>
      <c r="S128" s="82" t="s">
        <v>724</v>
      </c>
      <c r="T128" s="82" t="s">
        <v>724</v>
      </c>
      <c r="U128" s="82" t="s">
        <v>724</v>
      </c>
      <c r="V128" s="82" t="s">
        <v>724</v>
      </c>
      <c r="W128" s="70"/>
      <c r="X128" s="82" t="s">
        <v>724</v>
      </c>
      <c r="Y128" s="82" t="s">
        <v>724</v>
      </c>
      <c r="Z128" s="82" t="s">
        <v>724</v>
      </c>
      <c r="AA128" s="82" t="s">
        <v>724</v>
      </c>
    </row>
    <row r="129" spans="2:27" ht="20.100000000000001" customHeight="1" x14ac:dyDescent="0.25">
      <c r="B129" s="167" t="s">
        <v>17</v>
      </c>
      <c r="C129" s="156" t="s">
        <v>1178</v>
      </c>
      <c r="D129" s="156" t="s">
        <v>26</v>
      </c>
      <c r="E129" s="160">
        <v>0</v>
      </c>
      <c r="F129" s="156" t="s">
        <v>1111</v>
      </c>
      <c r="G129" s="156" t="s">
        <v>1112</v>
      </c>
      <c r="H129" s="66" t="s">
        <v>881</v>
      </c>
      <c r="I129" s="160">
        <v>17</v>
      </c>
      <c r="J129" s="156" t="s">
        <v>712</v>
      </c>
      <c r="K129" s="160">
        <v>15</v>
      </c>
      <c r="L129" s="158"/>
      <c r="M129" s="159"/>
      <c r="N129" s="159"/>
      <c r="O129" s="158"/>
      <c r="P129" s="158"/>
      <c r="Q129" s="157"/>
      <c r="R129" s="157"/>
      <c r="S129" s="82" t="s">
        <v>724</v>
      </c>
      <c r="T129" s="82" t="s">
        <v>724</v>
      </c>
      <c r="U129" s="82" t="s">
        <v>724</v>
      </c>
      <c r="V129" s="82" t="s">
        <v>724</v>
      </c>
      <c r="W129" s="70"/>
      <c r="X129" s="82" t="s">
        <v>724</v>
      </c>
      <c r="Y129" s="82" t="s">
        <v>724</v>
      </c>
      <c r="Z129" s="82" t="s">
        <v>724</v>
      </c>
      <c r="AA129" s="82" t="s">
        <v>724</v>
      </c>
    </row>
    <row r="130" spans="2:27" ht="20.100000000000001" customHeight="1" x14ac:dyDescent="0.25">
      <c r="B130" s="167" t="s">
        <v>17</v>
      </c>
      <c r="C130" s="156" t="s">
        <v>1178</v>
      </c>
      <c r="D130" s="156" t="s">
        <v>26</v>
      </c>
      <c r="E130" s="160">
        <v>0</v>
      </c>
      <c r="F130" s="156" t="s">
        <v>1116</v>
      </c>
      <c r="G130" s="156" t="s">
        <v>1117</v>
      </c>
      <c r="H130" s="66" t="s">
        <v>881</v>
      </c>
      <c r="I130" s="160">
        <v>18</v>
      </c>
      <c r="J130" s="156" t="s">
        <v>712</v>
      </c>
      <c r="K130" s="160">
        <v>15</v>
      </c>
      <c r="L130" s="158"/>
      <c r="M130" s="159"/>
      <c r="N130" s="159"/>
      <c r="O130" s="158"/>
      <c r="P130" s="158"/>
      <c r="Q130" s="157"/>
      <c r="R130" s="157"/>
      <c r="S130" s="82" t="s">
        <v>724</v>
      </c>
      <c r="T130" s="82" t="s">
        <v>724</v>
      </c>
      <c r="U130" s="82" t="s">
        <v>724</v>
      </c>
      <c r="V130" s="82" t="s">
        <v>724</v>
      </c>
      <c r="W130" s="70"/>
      <c r="X130" s="82" t="s">
        <v>724</v>
      </c>
      <c r="Y130" s="82" t="s">
        <v>724</v>
      </c>
      <c r="Z130" s="82" t="s">
        <v>724</v>
      </c>
      <c r="AA130" s="82" t="s">
        <v>724</v>
      </c>
    </row>
    <row r="131" spans="2:27" ht="20.100000000000001" customHeight="1" x14ac:dyDescent="0.25">
      <c r="B131" s="167" t="s">
        <v>17</v>
      </c>
      <c r="C131" s="156" t="s">
        <v>1178</v>
      </c>
      <c r="D131" s="156" t="s">
        <v>26</v>
      </c>
      <c r="E131" s="160">
        <v>0</v>
      </c>
      <c r="F131" s="156" t="s">
        <v>1121</v>
      </c>
      <c r="G131" s="156" t="s">
        <v>1122</v>
      </c>
      <c r="H131" s="66" t="s">
        <v>881</v>
      </c>
      <c r="I131" s="160">
        <v>19</v>
      </c>
      <c r="J131" s="156" t="s">
        <v>712</v>
      </c>
      <c r="K131" s="160">
        <v>15</v>
      </c>
      <c r="L131" s="158"/>
      <c r="M131" s="159"/>
      <c r="N131" s="159"/>
      <c r="O131" s="158"/>
      <c r="P131" s="158"/>
      <c r="Q131" s="157"/>
      <c r="R131" s="157"/>
      <c r="S131" s="82" t="s">
        <v>724</v>
      </c>
      <c r="T131" s="82" t="s">
        <v>724</v>
      </c>
      <c r="U131" s="82" t="s">
        <v>724</v>
      </c>
      <c r="V131" s="82" t="s">
        <v>724</v>
      </c>
      <c r="W131" s="70"/>
      <c r="X131" s="82" t="s">
        <v>724</v>
      </c>
      <c r="Y131" s="82" t="s">
        <v>724</v>
      </c>
      <c r="Z131" s="82" t="s">
        <v>724</v>
      </c>
      <c r="AA131" s="82" t="s">
        <v>724</v>
      </c>
    </row>
    <row r="132" spans="2:27" ht="20.100000000000001" customHeight="1" x14ac:dyDescent="0.25">
      <c r="B132" s="167" t="s">
        <v>17</v>
      </c>
      <c r="C132" s="156" t="s">
        <v>1178</v>
      </c>
      <c r="D132" s="156" t="s">
        <v>26</v>
      </c>
      <c r="E132" s="160">
        <v>0</v>
      </c>
      <c r="F132" s="156" t="s">
        <v>1126</v>
      </c>
      <c r="G132" s="156" t="s">
        <v>1127</v>
      </c>
      <c r="H132" s="66" t="s">
        <v>881</v>
      </c>
      <c r="I132" s="160">
        <v>20</v>
      </c>
      <c r="J132" s="156" t="s">
        <v>712</v>
      </c>
      <c r="K132" s="160">
        <v>15</v>
      </c>
      <c r="L132" s="158"/>
      <c r="M132" s="159"/>
      <c r="N132" s="159"/>
      <c r="O132" s="158"/>
      <c r="P132" s="158"/>
      <c r="Q132" s="157"/>
      <c r="R132" s="157"/>
      <c r="S132" s="82" t="s">
        <v>724</v>
      </c>
      <c r="T132" s="82" t="s">
        <v>724</v>
      </c>
      <c r="U132" s="82" t="s">
        <v>724</v>
      </c>
      <c r="V132" s="82" t="s">
        <v>724</v>
      </c>
      <c r="W132" s="70"/>
      <c r="X132" s="82" t="s">
        <v>724</v>
      </c>
      <c r="Y132" s="82" t="s">
        <v>724</v>
      </c>
      <c r="Z132" s="82" t="s">
        <v>724</v>
      </c>
      <c r="AA132" s="82" t="s">
        <v>724</v>
      </c>
    </row>
    <row r="133" spans="2:27" ht="20.100000000000001" customHeight="1" x14ac:dyDescent="0.25">
      <c r="B133" s="167" t="s">
        <v>17</v>
      </c>
      <c r="C133" s="156" t="s">
        <v>1178</v>
      </c>
      <c r="D133" s="156" t="s">
        <v>26</v>
      </c>
      <c r="E133" s="160">
        <v>0</v>
      </c>
      <c r="F133" s="156" t="s">
        <v>1131</v>
      </c>
      <c r="G133" s="156" t="s">
        <v>1132</v>
      </c>
      <c r="H133" s="66" t="s">
        <v>881</v>
      </c>
      <c r="I133" s="160">
        <v>21</v>
      </c>
      <c r="J133" s="156" t="s">
        <v>712</v>
      </c>
      <c r="K133" s="160">
        <v>15</v>
      </c>
      <c r="L133" s="158"/>
      <c r="M133" s="159"/>
      <c r="N133" s="159"/>
      <c r="O133" s="158"/>
      <c r="P133" s="158"/>
      <c r="Q133" s="157"/>
      <c r="R133" s="157"/>
      <c r="S133" s="82" t="s">
        <v>724</v>
      </c>
      <c r="T133" s="82" t="s">
        <v>724</v>
      </c>
      <c r="U133" s="82" t="s">
        <v>724</v>
      </c>
      <c r="V133" s="82" t="s">
        <v>724</v>
      </c>
      <c r="W133" s="70"/>
      <c r="X133" s="82" t="s">
        <v>724</v>
      </c>
      <c r="Y133" s="82" t="s">
        <v>724</v>
      </c>
      <c r="Z133" s="82" t="s">
        <v>724</v>
      </c>
      <c r="AA133" s="82" t="s">
        <v>724</v>
      </c>
    </row>
    <row r="134" spans="2:27" ht="20.100000000000001" customHeight="1" x14ac:dyDescent="0.25">
      <c r="B134" s="167" t="s">
        <v>17</v>
      </c>
      <c r="C134" s="156" t="s">
        <v>1178</v>
      </c>
      <c r="D134" s="156" t="s">
        <v>26</v>
      </c>
      <c r="E134" s="160">
        <v>0</v>
      </c>
      <c r="F134" s="156" t="s">
        <v>1136</v>
      </c>
      <c r="G134" s="156" t="s">
        <v>1137</v>
      </c>
      <c r="H134" s="66" t="s">
        <v>881</v>
      </c>
      <c r="I134" s="160">
        <v>22</v>
      </c>
      <c r="J134" s="156" t="s">
        <v>712</v>
      </c>
      <c r="K134" s="160">
        <v>15</v>
      </c>
      <c r="L134" s="158"/>
      <c r="M134" s="159"/>
      <c r="N134" s="159"/>
      <c r="O134" s="158"/>
      <c r="P134" s="158"/>
      <c r="Q134" s="157"/>
      <c r="R134" s="157"/>
      <c r="S134" s="82" t="s">
        <v>724</v>
      </c>
      <c r="T134" s="82" t="s">
        <v>724</v>
      </c>
      <c r="U134" s="82" t="s">
        <v>724</v>
      </c>
      <c r="V134" s="82" t="s">
        <v>724</v>
      </c>
      <c r="W134" s="70"/>
      <c r="X134" s="82" t="s">
        <v>724</v>
      </c>
      <c r="Y134" s="82" t="s">
        <v>724</v>
      </c>
      <c r="Z134" s="82" t="s">
        <v>724</v>
      </c>
      <c r="AA134" s="82" t="s">
        <v>724</v>
      </c>
    </row>
    <row r="135" spans="2:27" ht="20.100000000000001" customHeight="1" x14ac:dyDescent="0.25">
      <c r="B135" s="167" t="s">
        <v>17</v>
      </c>
      <c r="C135" s="156" t="s">
        <v>1178</v>
      </c>
      <c r="D135" s="156" t="s">
        <v>26</v>
      </c>
      <c r="E135" s="160">
        <v>0</v>
      </c>
      <c r="F135" s="156" t="s">
        <v>1141</v>
      </c>
      <c r="G135" s="156" t="s">
        <v>1142</v>
      </c>
      <c r="H135" s="66" t="s">
        <v>881</v>
      </c>
      <c r="I135" s="160">
        <v>23</v>
      </c>
      <c r="J135" s="156" t="s">
        <v>712</v>
      </c>
      <c r="K135" s="160">
        <v>15</v>
      </c>
      <c r="L135" s="158"/>
      <c r="M135" s="159"/>
      <c r="N135" s="159"/>
      <c r="O135" s="158"/>
      <c r="P135" s="158"/>
      <c r="Q135" s="157"/>
      <c r="R135" s="157"/>
      <c r="S135" s="82" t="s">
        <v>724</v>
      </c>
      <c r="T135" s="82" t="s">
        <v>724</v>
      </c>
      <c r="U135" s="82" t="s">
        <v>724</v>
      </c>
      <c r="V135" s="82" t="s">
        <v>724</v>
      </c>
      <c r="W135" s="70"/>
      <c r="X135" s="82" t="s">
        <v>724</v>
      </c>
      <c r="Y135" s="82" t="s">
        <v>724</v>
      </c>
      <c r="Z135" s="82" t="s">
        <v>724</v>
      </c>
      <c r="AA135" s="82" t="s">
        <v>724</v>
      </c>
    </row>
    <row r="136" spans="2:27" ht="20.100000000000001" customHeight="1" x14ac:dyDescent="0.25">
      <c r="B136" s="167" t="s">
        <v>17</v>
      </c>
      <c r="C136" s="156" t="s">
        <v>1178</v>
      </c>
      <c r="D136" s="156" t="s">
        <v>26</v>
      </c>
      <c r="E136" s="160">
        <v>0</v>
      </c>
      <c r="F136" s="156" t="s">
        <v>1146</v>
      </c>
      <c r="G136" s="156" t="s">
        <v>1147</v>
      </c>
      <c r="H136" s="66" t="s">
        <v>881</v>
      </c>
      <c r="I136" s="160">
        <v>24</v>
      </c>
      <c r="J136" s="156" t="s">
        <v>712</v>
      </c>
      <c r="K136" s="160">
        <v>15</v>
      </c>
      <c r="L136" s="158"/>
      <c r="M136" s="159"/>
      <c r="N136" s="159"/>
      <c r="O136" s="158"/>
      <c r="P136" s="158"/>
      <c r="Q136" s="157"/>
      <c r="R136" s="157"/>
      <c r="S136" s="82" t="s">
        <v>724</v>
      </c>
      <c r="T136" s="82" t="s">
        <v>724</v>
      </c>
      <c r="U136" s="82" t="s">
        <v>724</v>
      </c>
      <c r="V136" s="82" t="s">
        <v>724</v>
      </c>
      <c r="W136" s="70"/>
      <c r="X136" s="82" t="s">
        <v>724</v>
      </c>
      <c r="Y136" s="82" t="s">
        <v>724</v>
      </c>
      <c r="Z136" s="82" t="s">
        <v>724</v>
      </c>
      <c r="AA136" s="82" t="s">
        <v>724</v>
      </c>
    </row>
    <row r="137" spans="2:27" ht="20.100000000000001" customHeight="1" x14ac:dyDescent="0.25">
      <c r="B137" s="167" t="s">
        <v>17</v>
      </c>
      <c r="C137" s="156" t="s">
        <v>1178</v>
      </c>
      <c r="D137" s="156" t="s">
        <v>26</v>
      </c>
      <c r="E137" s="160">
        <v>0</v>
      </c>
      <c r="F137" s="156" t="s">
        <v>1151</v>
      </c>
      <c r="G137" s="156" t="s">
        <v>1152</v>
      </c>
      <c r="H137" s="66" t="s">
        <v>881</v>
      </c>
      <c r="I137" s="160">
        <v>25</v>
      </c>
      <c r="J137" s="156" t="s">
        <v>712</v>
      </c>
      <c r="K137" s="160">
        <v>15</v>
      </c>
      <c r="L137" s="158"/>
      <c r="M137" s="159"/>
      <c r="N137" s="159"/>
      <c r="O137" s="158"/>
      <c r="P137" s="158"/>
      <c r="Q137" s="157"/>
      <c r="R137" s="157"/>
      <c r="S137" s="82" t="s">
        <v>724</v>
      </c>
      <c r="T137" s="82" t="s">
        <v>724</v>
      </c>
      <c r="U137" s="82" t="s">
        <v>724</v>
      </c>
      <c r="V137" s="82" t="s">
        <v>724</v>
      </c>
      <c r="W137" s="70"/>
      <c r="X137" s="82" t="s">
        <v>724</v>
      </c>
      <c r="Y137" s="82" t="s">
        <v>724</v>
      </c>
      <c r="Z137" s="82" t="s">
        <v>724</v>
      </c>
      <c r="AA137" s="82" t="s">
        <v>724</v>
      </c>
    </row>
    <row r="138" spans="2:27" ht="20.100000000000001" customHeight="1" x14ac:dyDescent="0.25">
      <c r="B138" s="167" t="s">
        <v>17</v>
      </c>
      <c r="C138" s="156" t="s">
        <v>1178</v>
      </c>
      <c r="D138" s="156" t="s">
        <v>26</v>
      </c>
      <c r="E138" s="160">
        <v>0</v>
      </c>
      <c r="F138" s="156" t="s">
        <v>799</v>
      </c>
      <c r="G138" s="156" t="s">
        <v>800</v>
      </c>
      <c r="H138" s="66" t="s">
        <v>801</v>
      </c>
      <c r="I138" s="160">
        <v>27</v>
      </c>
      <c r="J138" s="156" t="s">
        <v>712</v>
      </c>
      <c r="K138" s="160">
        <v>10</v>
      </c>
      <c r="L138" s="158"/>
      <c r="M138" s="159"/>
      <c r="N138" s="159"/>
      <c r="O138" s="158"/>
      <c r="P138" s="158"/>
      <c r="Q138" s="157"/>
      <c r="R138" s="157"/>
      <c r="S138" s="82" t="s">
        <v>724</v>
      </c>
      <c r="T138" s="82" t="s">
        <v>724</v>
      </c>
      <c r="U138" s="82" t="s">
        <v>724</v>
      </c>
      <c r="V138" s="82" t="s">
        <v>724</v>
      </c>
      <c r="W138" s="70"/>
      <c r="X138" s="82" t="s">
        <v>724</v>
      </c>
      <c r="Y138" s="82" t="s">
        <v>724</v>
      </c>
      <c r="Z138" s="82" t="s">
        <v>724</v>
      </c>
      <c r="AA138" s="82" t="s">
        <v>724</v>
      </c>
    </row>
    <row r="139" spans="2:27" ht="20.100000000000001" customHeight="1" x14ac:dyDescent="0.25">
      <c r="B139" s="167" t="s">
        <v>17</v>
      </c>
      <c r="C139" s="156" t="s">
        <v>1178</v>
      </c>
      <c r="D139" s="156" t="s">
        <v>26</v>
      </c>
      <c r="E139" s="164">
        <v>0</v>
      </c>
      <c r="F139" s="163" t="s">
        <v>806</v>
      </c>
      <c r="G139" s="163" t="s">
        <v>807</v>
      </c>
      <c r="H139" s="78" t="s">
        <v>808</v>
      </c>
      <c r="I139" s="164">
        <v>28</v>
      </c>
      <c r="J139" s="163" t="s">
        <v>809</v>
      </c>
      <c r="K139" s="164">
        <v>23</v>
      </c>
      <c r="L139" s="168"/>
      <c r="M139" s="170"/>
      <c r="N139" s="170"/>
      <c r="O139" s="168"/>
      <c r="P139" s="168"/>
      <c r="Q139" s="167"/>
      <c r="R139" s="167"/>
      <c r="S139" s="82" t="s">
        <v>724</v>
      </c>
      <c r="T139" s="82" t="s">
        <v>724</v>
      </c>
      <c r="U139" s="82" t="s">
        <v>724</v>
      </c>
      <c r="V139" s="82" t="s">
        <v>724</v>
      </c>
      <c r="W139" s="82"/>
      <c r="X139" s="82" t="s">
        <v>724</v>
      </c>
      <c r="Y139" s="82" t="s">
        <v>724</v>
      </c>
      <c r="Z139" s="82" t="s">
        <v>724</v>
      </c>
      <c r="AA139" s="82" t="s">
        <v>724</v>
      </c>
    </row>
    <row r="140" spans="2:27" ht="20.100000000000001" customHeight="1" x14ac:dyDescent="0.25">
      <c r="B140" s="156" t="s">
        <v>17</v>
      </c>
      <c r="C140" s="156" t="s">
        <v>1179</v>
      </c>
      <c r="D140" s="156" t="s">
        <v>27</v>
      </c>
      <c r="E140" s="164">
        <v>0</v>
      </c>
      <c r="F140" s="156" t="s">
        <v>975</v>
      </c>
      <c r="G140" s="156" t="s">
        <v>976</v>
      </c>
      <c r="H140" s="66" t="s">
        <v>826</v>
      </c>
      <c r="I140" s="160">
        <v>1</v>
      </c>
      <c r="J140" s="156" t="s">
        <v>712</v>
      </c>
      <c r="K140" s="160">
        <v>5</v>
      </c>
      <c r="L140" s="158"/>
      <c r="M140" s="159"/>
      <c r="N140" s="159"/>
      <c r="O140" s="158"/>
      <c r="P140" s="158"/>
      <c r="Q140" s="157"/>
      <c r="R140" s="157"/>
      <c r="S140" s="82" t="s">
        <v>724</v>
      </c>
      <c r="T140" s="82" t="s">
        <v>724</v>
      </c>
      <c r="U140" s="82" t="s">
        <v>724</v>
      </c>
      <c r="V140" s="82" t="s">
        <v>724</v>
      </c>
      <c r="W140" s="70"/>
      <c r="X140" s="82" t="s">
        <v>724</v>
      </c>
      <c r="Y140" s="82" t="s">
        <v>724</v>
      </c>
      <c r="Z140" s="82" t="s">
        <v>724</v>
      </c>
      <c r="AA140" s="82" t="s">
        <v>724</v>
      </c>
    </row>
    <row r="141" spans="2:27" ht="20.100000000000001" customHeight="1" x14ac:dyDescent="0.25">
      <c r="B141" s="156" t="s">
        <v>17</v>
      </c>
      <c r="C141" s="156" t="s">
        <v>1179</v>
      </c>
      <c r="D141" s="156" t="s">
        <v>27</v>
      </c>
      <c r="E141" s="164">
        <v>0</v>
      </c>
      <c r="F141" s="156" t="s">
        <v>1165</v>
      </c>
      <c r="G141" s="156" t="s">
        <v>1166</v>
      </c>
      <c r="H141" s="66" t="s">
        <v>881</v>
      </c>
      <c r="I141" s="160">
        <v>2</v>
      </c>
      <c r="J141" s="156" t="s">
        <v>712</v>
      </c>
      <c r="K141" s="160">
        <v>80</v>
      </c>
      <c r="L141" s="158"/>
      <c r="M141" s="159"/>
      <c r="N141" s="159"/>
      <c r="O141" s="158"/>
      <c r="P141" s="158"/>
      <c r="Q141" s="157"/>
      <c r="R141" s="157"/>
      <c r="S141" s="82" t="s">
        <v>724</v>
      </c>
      <c r="T141" s="82" t="s">
        <v>724</v>
      </c>
      <c r="U141" s="82" t="s">
        <v>724</v>
      </c>
      <c r="V141" s="82" t="s">
        <v>724</v>
      </c>
      <c r="W141" s="70"/>
      <c r="X141" s="82" t="s">
        <v>724</v>
      </c>
      <c r="Y141" s="82" t="s">
        <v>724</v>
      </c>
      <c r="Z141" s="82" t="s">
        <v>724</v>
      </c>
      <c r="AA141" s="82" t="s">
        <v>724</v>
      </c>
    </row>
    <row r="142" spans="2:27" ht="20.100000000000001" customHeight="1" x14ac:dyDescent="0.25">
      <c r="B142" s="156" t="s">
        <v>17</v>
      </c>
      <c r="C142" s="156" t="s">
        <v>1179</v>
      </c>
      <c r="D142" s="156" t="s">
        <v>27</v>
      </c>
      <c r="E142" s="164">
        <v>0</v>
      </c>
      <c r="F142" s="156" t="s">
        <v>890</v>
      </c>
      <c r="G142" s="156" t="s">
        <v>891</v>
      </c>
      <c r="H142" s="66" t="s">
        <v>908</v>
      </c>
      <c r="I142" s="160">
        <v>3</v>
      </c>
      <c r="J142" s="156" t="s">
        <v>712</v>
      </c>
      <c r="K142" s="160">
        <v>2</v>
      </c>
      <c r="L142" s="158"/>
      <c r="M142" s="159"/>
      <c r="N142" s="159"/>
      <c r="O142" s="158"/>
      <c r="P142" s="158"/>
      <c r="Q142" s="157"/>
      <c r="R142" s="157"/>
      <c r="S142" s="82" t="s">
        <v>724</v>
      </c>
      <c r="T142" s="82" t="s">
        <v>724</v>
      </c>
      <c r="U142" s="82" t="s">
        <v>724</v>
      </c>
      <c r="V142" s="82" t="s">
        <v>724</v>
      </c>
      <c r="W142" s="70"/>
      <c r="X142" s="82" t="s">
        <v>724</v>
      </c>
      <c r="Y142" s="82" t="s">
        <v>724</v>
      </c>
      <c r="Z142" s="82" t="s">
        <v>724</v>
      </c>
      <c r="AA142" s="82" t="s">
        <v>724</v>
      </c>
    </row>
    <row r="143" spans="2:27" ht="20.100000000000001" customHeight="1" x14ac:dyDescent="0.25">
      <c r="B143" s="156" t="s">
        <v>17</v>
      </c>
      <c r="C143" s="156" t="s">
        <v>1179</v>
      </c>
      <c r="D143" s="156" t="s">
        <v>27</v>
      </c>
      <c r="E143" s="164">
        <v>0</v>
      </c>
      <c r="F143" s="156" t="s">
        <v>799</v>
      </c>
      <c r="G143" s="156" t="s">
        <v>800</v>
      </c>
      <c r="H143" s="66" t="s">
        <v>801</v>
      </c>
      <c r="I143" s="160">
        <v>4</v>
      </c>
      <c r="J143" s="156" t="s">
        <v>712</v>
      </c>
      <c r="K143" s="160">
        <v>10</v>
      </c>
      <c r="L143" s="158"/>
      <c r="M143" s="159"/>
      <c r="N143" s="159"/>
      <c r="O143" s="158"/>
      <c r="P143" s="158"/>
      <c r="Q143" s="157"/>
      <c r="R143" s="157"/>
      <c r="S143" s="82" t="s">
        <v>724</v>
      </c>
      <c r="T143" s="82" t="s">
        <v>724</v>
      </c>
      <c r="U143" s="82" t="s">
        <v>724</v>
      </c>
      <c r="V143" s="82" t="s">
        <v>724</v>
      </c>
      <c r="W143" s="70"/>
      <c r="X143" s="82" t="s">
        <v>724</v>
      </c>
      <c r="Y143" s="82" t="s">
        <v>724</v>
      </c>
      <c r="Z143" s="82" t="s">
        <v>724</v>
      </c>
      <c r="AA143" s="82" t="s">
        <v>724</v>
      </c>
    </row>
    <row r="144" spans="2:27" ht="20.100000000000001" customHeight="1" x14ac:dyDescent="0.25">
      <c r="B144" s="156" t="s">
        <v>17</v>
      </c>
      <c r="C144" s="156" t="s">
        <v>1179</v>
      </c>
      <c r="D144" s="156" t="s">
        <v>27</v>
      </c>
      <c r="E144" s="164">
        <v>0</v>
      </c>
      <c r="F144" s="163" t="s">
        <v>806</v>
      </c>
      <c r="G144" s="163" t="s">
        <v>807</v>
      </c>
      <c r="H144" s="78" t="s">
        <v>808</v>
      </c>
      <c r="I144" s="164">
        <v>5</v>
      </c>
      <c r="J144" s="163" t="s">
        <v>809</v>
      </c>
      <c r="K144" s="164">
        <v>23</v>
      </c>
      <c r="L144" s="168"/>
      <c r="M144" s="170"/>
      <c r="N144" s="170"/>
      <c r="O144" s="168"/>
      <c r="P144" s="168"/>
      <c r="Q144" s="167"/>
      <c r="R144" s="167"/>
      <c r="S144" s="82" t="s">
        <v>724</v>
      </c>
      <c r="T144" s="82" t="s">
        <v>724</v>
      </c>
      <c r="U144" s="82" t="s">
        <v>724</v>
      </c>
      <c r="V144" s="82" t="s">
        <v>724</v>
      </c>
      <c r="W144" s="82"/>
      <c r="X144" s="82" t="s">
        <v>724</v>
      </c>
      <c r="Y144" s="82" t="s">
        <v>724</v>
      </c>
      <c r="Z144" s="82" t="s">
        <v>724</v>
      </c>
      <c r="AA144" s="82" t="s">
        <v>724</v>
      </c>
    </row>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sheetData>
  <sortState xmlns:xlrd2="http://schemas.microsoft.com/office/spreadsheetml/2017/richdata2" ref="B8:Z161">
    <sortCondition ref="C8:C161"/>
    <sortCondition ref="G8:G161"/>
  </sortState>
  <mergeCells count="8">
    <mergeCell ref="X5:AA5"/>
    <mergeCell ref="X6:AA6"/>
    <mergeCell ref="B5:P5"/>
    <mergeCell ref="B6:P6"/>
    <mergeCell ref="Q5:R5"/>
    <mergeCell ref="Q6:R6"/>
    <mergeCell ref="S5:W5"/>
    <mergeCell ref="S6:V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6F57A-0256-480D-A89D-2AA80E43D6ED}">
  <dimension ref="B1:I583"/>
  <sheetViews>
    <sheetView showGridLines="0" workbookViewId="0">
      <selection activeCell="F63" sqref="F63"/>
    </sheetView>
  </sheetViews>
  <sheetFormatPr defaultRowHeight="15" x14ac:dyDescent="0.25"/>
  <cols>
    <col min="2" max="2" width="39.28515625" style="137" bestFit="1" customWidth="1"/>
    <col min="3" max="4" width="43.7109375" style="54" customWidth="1"/>
    <col min="5" max="5" width="34" style="54" customWidth="1"/>
    <col min="6" max="6" width="50.42578125" style="54" customWidth="1"/>
    <col min="7" max="7" width="37.28515625" customWidth="1"/>
    <col min="8" max="8" width="125.5703125" style="24" customWidth="1"/>
    <col min="9" max="9" width="32.5703125" customWidth="1"/>
  </cols>
  <sheetData>
    <row r="1" spans="2:9" ht="40.5" customHeight="1" x14ac:dyDescent="0.25"/>
    <row r="2" spans="2:9" x14ac:dyDescent="0.25">
      <c r="B2" s="142" t="s">
        <v>1180</v>
      </c>
      <c r="C2" s="142" t="s">
        <v>684</v>
      </c>
      <c r="D2" s="142" t="s">
        <v>1181</v>
      </c>
      <c r="E2" s="142" t="s">
        <v>1182</v>
      </c>
      <c r="F2" s="142" t="s">
        <v>1183</v>
      </c>
      <c r="G2" s="142" t="s">
        <v>1184</v>
      </c>
      <c r="H2" s="143" t="s">
        <v>1185</v>
      </c>
      <c r="I2" s="138" t="s">
        <v>1186</v>
      </c>
    </row>
    <row r="3" spans="2:9" ht="15" hidden="1" customHeight="1" x14ac:dyDescent="0.25">
      <c r="B3" s="69"/>
      <c r="C3" s="69"/>
      <c r="D3" s="69"/>
      <c r="E3" s="69"/>
      <c r="F3" s="69"/>
      <c r="G3" s="69"/>
      <c r="H3" s="83"/>
      <c r="I3" s="83"/>
    </row>
    <row r="4" spans="2:9" ht="15" hidden="1" customHeight="1" x14ac:dyDescent="0.25">
      <c r="B4" s="69"/>
      <c r="C4" s="69"/>
      <c r="D4" s="69"/>
      <c r="E4" s="69"/>
      <c r="F4" s="69"/>
      <c r="G4" s="69"/>
      <c r="H4" s="83"/>
      <c r="I4" s="83"/>
    </row>
    <row r="5" spans="2:9" ht="15" hidden="1" customHeight="1" x14ac:dyDescent="0.25">
      <c r="B5" s="69"/>
      <c r="C5" s="69"/>
      <c r="D5" s="69"/>
      <c r="E5" s="69"/>
      <c r="F5" s="69"/>
      <c r="G5" s="69"/>
      <c r="H5" s="83"/>
      <c r="I5" s="83"/>
    </row>
    <row r="6" spans="2:9" ht="15" hidden="1" customHeight="1" x14ac:dyDescent="0.25">
      <c r="B6" s="69"/>
      <c r="C6" s="69"/>
      <c r="D6" s="69"/>
      <c r="E6" s="69"/>
      <c r="F6" s="69"/>
      <c r="G6" s="69"/>
      <c r="H6" s="83"/>
      <c r="I6" s="83"/>
    </row>
    <row r="7" spans="2:9" ht="15" hidden="1" customHeight="1" x14ac:dyDescent="0.25">
      <c r="B7" s="69"/>
      <c r="C7" s="69"/>
      <c r="D7" s="69"/>
      <c r="E7" s="69"/>
      <c r="F7" s="69"/>
      <c r="G7" s="69"/>
      <c r="H7" s="83"/>
      <c r="I7" s="83"/>
    </row>
    <row r="8" spans="2:9" ht="15" hidden="1" customHeight="1" x14ac:dyDescent="0.25">
      <c r="B8" s="69"/>
      <c r="C8" s="69"/>
      <c r="D8" s="69"/>
      <c r="E8" s="69"/>
      <c r="F8" s="69"/>
      <c r="G8" s="69"/>
      <c r="H8" s="83"/>
      <c r="I8" s="83"/>
    </row>
    <row r="9" spans="2:9" ht="15" hidden="1" customHeight="1" x14ac:dyDescent="0.25">
      <c r="B9" s="69"/>
      <c r="C9" s="69"/>
      <c r="D9" s="69"/>
      <c r="E9" s="69"/>
      <c r="F9" s="69"/>
      <c r="G9" s="69"/>
      <c r="H9" s="83"/>
      <c r="I9" s="83"/>
    </row>
    <row r="10" spans="2:9" ht="15" hidden="1" customHeight="1" x14ac:dyDescent="0.25">
      <c r="B10" s="69"/>
      <c r="C10" s="69"/>
      <c r="D10" s="69"/>
      <c r="E10" s="139"/>
      <c r="F10" s="69"/>
      <c r="G10" s="69"/>
      <c r="H10" s="83"/>
      <c r="I10" s="83"/>
    </row>
    <row r="11" spans="2:9" ht="15" hidden="1" customHeight="1" x14ac:dyDescent="0.25">
      <c r="B11" s="69"/>
      <c r="C11" s="69"/>
      <c r="D11" s="69"/>
      <c r="E11" s="69"/>
      <c r="F11" s="69"/>
      <c r="G11" s="69"/>
      <c r="H11" s="83"/>
      <c r="I11" s="83"/>
    </row>
    <row r="12" spans="2:9" ht="15" hidden="1" customHeight="1" x14ac:dyDescent="0.25">
      <c r="B12" s="69"/>
      <c r="C12" s="69"/>
      <c r="D12" s="69"/>
      <c r="E12" s="69"/>
      <c r="F12" s="69"/>
      <c r="G12" s="69"/>
      <c r="H12" s="83"/>
      <c r="I12" s="83"/>
    </row>
    <row r="13" spans="2:9" ht="15" hidden="1" customHeight="1" x14ac:dyDescent="0.25">
      <c r="B13" s="69"/>
      <c r="C13" s="69"/>
      <c r="D13" s="69"/>
      <c r="E13" s="88"/>
      <c r="F13" s="69"/>
      <c r="G13" s="69"/>
      <c r="H13" s="83"/>
      <c r="I13" s="83"/>
    </row>
    <row r="14" spans="2:9" ht="15" hidden="1" customHeight="1" x14ac:dyDescent="0.25">
      <c r="B14" s="69"/>
      <c r="C14" s="69"/>
      <c r="D14" s="84"/>
      <c r="E14" s="84"/>
      <c r="F14" s="84"/>
      <c r="G14" s="84"/>
      <c r="H14" s="122"/>
      <c r="I14" s="83"/>
    </row>
    <row r="15" spans="2:9" ht="15" hidden="1" customHeight="1" x14ac:dyDescent="0.25">
      <c r="B15" s="69"/>
      <c r="C15" s="69"/>
      <c r="D15" s="84"/>
      <c r="E15" s="84"/>
      <c r="F15" s="84"/>
      <c r="G15" s="84"/>
      <c r="H15" s="122"/>
      <c r="I15" s="122"/>
    </row>
    <row r="16" spans="2:9" ht="15" hidden="1" customHeight="1" x14ac:dyDescent="0.25">
      <c r="B16" s="69"/>
      <c r="C16" s="69"/>
      <c r="D16" s="69"/>
      <c r="E16" s="69"/>
      <c r="F16" s="69"/>
      <c r="G16" s="69"/>
      <c r="H16" s="83"/>
      <c r="I16" s="122"/>
    </row>
    <row r="17" spans="2:9" ht="15" hidden="1" customHeight="1" x14ac:dyDescent="0.25">
      <c r="B17" s="69"/>
      <c r="C17" s="69"/>
      <c r="D17" s="69"/>
      <c r="E17" s="69"/>
      <c r="F17" s="69"/>
      <c r="G17" s="69"/>
      <c r="H17" s="83"/>
      <c r="I17" s="122"/>
    </row>
    <row r="18" spans="2:9" ht="15" hidden="1" customHeight="1" x14ac:dyDescent="0.25">
      <c r="B18" s="69"/>
      <c r="C18" s="69"/>
      <c r="D18" s="83"/>
      <c r="E18" s="69"/>
      <c r="F18" s="83"/>
      <c r="G18" s="69"/>
      <c r="H18" s="83"/>
      <c r="I18" s="140"/>
    </row>
    <row r="19" spans="2:9" ht="15" hidden="1" customHeight="1" x14ac:dyDescent="0.25">
      <c r="B19" s="69"/>
      <c r="C19" s="69"/>
      <c r="D19" s="83"/>
      <c r="E19" s="83"/>
      <c r="F19" s="69"/>
      <c r="G19" s="69"/>
      <c r="H19" s="141"/>
      <c r="I19" s="140"/>
    </row>
    <row r="20" spans="2:9" ht="15" hidden="1" customHeight="1" x14ac:dyDescent="0.25">
      <c r="B20" s="69"/>
      <c r="C20" s="69"/>
      <c r="D20" s="83"/>
      <c r="E20" s="83"/>
      <c r="F20" s="83"/>
      <c r="G20" s="69"/>
      <c r="H20" s="141"/>
      <c r="I20" s="140"/>
    </row>
    <row r="21" spans="2:9" ht="15" hidden="1" customHeight="1" x14ac:dyDescent="0.25">
      <c r="B21" s="69"/>
      <c r="C21" s="69"/>
      <c r="D21" s="83"/>
      <c r="E21" s="83"/>
      <c r="F21" s="83"/>
      <c r="G21" s="69"/>
      <c r="H21" s="83"/>
      <c r="I21" s="140"/>
    </row>
    <row r="22" spans="2:9" ht="15" hidden="1" customHeight="1" x14ac:dyDescent="0.25">
      <c r="B22" s="84"/>
      <c r="C22" s="69"/>
      <c r="D22" s="69"/>
      <c r="E22" s="69"/>
      <c r="F22" s="69"/>
      <c r="G22" s="84"/>
      <c r="H22" s="122"/>
      <c r="I22" s="140"/>
    </row>
    <row r="23" spans="2:9" ht="15" hidden="1" customHeight="1" x14ac:dyDescent="0.25">
      <c r="B23" s="69"/>
      <c r="C23" s="69"/>
      <c r="D23" s="69"/>
      <c r="E23" s="69"/>
      <c r="F23" s="69"/>
      <c r="G23" s="69"/>
      <c r="H23" s="84"/>
      <c r="I23" s="69"/>
    </row>
    <row r="24" spans="2:9" ht="15" hidden="1" customHeight="1" x14ac:dyDescent="0.25">
      <c r="B24" s="84"/>
      <c r="C24" s="84"/>
      <c r="D24" s="84"/>
      <c r="E24" s="84"/>
      <c r="F24" s="84"/>
      <c r="G24" s="84"/>
      <c r="H24" s="122"/>
      <c r="I24" s="83"/>
    </row>
    <row r="25" spans="2:9" ht="15" hidden="1" customHeight="1" x14ac:dyDescent="0.25">
      <c r="B25" s="84"/>
      <c r="C25" s="84"/>
      <c r="D25" s="84"/>
      <c r="E25" s="84"/>
      <c r="F25" s="84"/>
      <c r="G25" s="69"/>
      <c r="H25" s="83"/>
      <c r="I25" s="83"/>
    </row>
    <row r="26" spans="2:9" ht="15" hidden="1" customHeight="1" x14ac:dyDescent="0.25">
      <c r="B26" s="84"/>
      <c r="C26" s="84"/>
      <c r="D26" s="84"/>
      <c r="E26" s="84"/>
      <c r="F26" s="69"/>
      <c r="G26" s="69"/>
      <c r="H26" s="83"/>
      <c r="I26" s="83"/>
    </row>
    <row r="27" spans="2:9" ht="15" hidden="1" customHeight="1" x14ac:dyDescent="0.25">
      <c r="B27" s="84"/>
      <c r="C27" s="84"/>
      <c r="D27" s="69"/>
      <c r="E27" s="69"/>
      <c r="F27" s="69"/>
      <c r="G27" s="69"/>
      <c r="H27" s="83"/>
      <c r="I27" s="83"/>
    </row>
    <row r="28" spans="2:9" ht="15" hidden="1" customHeight="1" x14ac:dyDescent="0.25">
      <c r="B28" s="84"/>
      <c r="C28" s="84"/>
      <c r="D28" s="69"/>
      <c r="E28" s="69"/>
      <c r="F28" s="69"/>
      <c r="G28" s="69"/>
      <c r="H28" s="83"/>
      <c r="I28" s="83"/>
    </row>
    <row r="29" spans="2:9" ht="15" hidden="1" customHeight="1" x14ac:dyDescent="0.25">
      <c r="B29" s="84"/>
      <c r="C29" s="84"/>
      <c r="D29" s="69"/>
      <c r="E29" s="69"/>
      <c r="F29" s="69"/>
      <c r="G29" s="69"/>
      <c r="H29" s="122"/>
      <c r="I29" s="83"/>
    </row>
    <row r="30" spans="2:9" ht="15" hidden="1" customHeight="1" x14ac:dyDescent="0.25">
      <c r="B30" s="84"/>
      <c r="C30" s="84"/>
      <c r="D30" s="84"/>
      <c r="E30" s="84"/>
      <c r="F30" s="69"/>
      <c r="G30" s="69"/>
      <c r="H30" s="83"/>
      <c r="I30" s="83"/>
    </row>
    <row r="31" spans="2:9" ht="15" hidden="1" customHeight="1" x14ac:dyDescent="0.25">
      <c r="B31" s="84"/>
      <c r="C31" s="84"/>
      <c r="D31" s="84"/>
      <c r="E31" s="84"/>
      <c r="F31" s="84"/>
      <c r="G31" s="84"/>
      <c r="H31" s="84"/>
      <c r="I31" s="84"/>
    </row>
    <row r="32" spans="2:9" ht="15" hidden="1" customHeight="1" x14ac:dyDescent="0.25">
      <c r="B32" s="84"/>
      <c r="C32" s="84"/>
      <c r="D32" s="84"/>
      <c r="E32" s="84"/>
      <c r="F32" s="84"/>
      <c r="G32" s="84"/>
      <c r="H32" s="122"/>
      <c r="I32" s="83"/>
    </row>
    <row r="33" spans="2:9" ht="15" hidden="1" customHeight="1" x14ac:dyDescent="0.25">
      <c r="B33" s="84"/>
      <c r="C33" s="84"/>
      <c r="D33" s="84"/>
      <c r="E33" s="84"/>
      <c r="F33" s="84"/>
      <c r="G33" s="84"/>
      <c r="H33" s="122"/>
      <c r="I33" s="83"/>
    </row>
    <row r="34" spans="2:9" ht="15" hidden="1" customHeight="1" x14ac:dyDescent="0.25">
      <c r="B34" s="84"/>
      <c r="C34" s="84"/>
      <c r="D34" s="84"/>
      <c r="E34" s="84"/>
      <c r="F34" s="84"/>
      <c r="G34" s="84"/>
      <c r="H34" s="122"/>
      <c r="I34" s="83"/>
    </row>
    <row r="35" spans="2:9" ht="15" hidden="1" customHeight="1" x14ac:dyDescent="0.25">
      <c r="B35" s="84"/>
      <c r="C35" s="84"/>
      <c r="D35" s="84"/>
      <c r="E35" s="84"/>
      <c r="F35" s="69"/>
      <c r="G35" s="69"/>
      <c r="H35" s="122"/>
      <c r="I35" s="83"/>
    </row>
    <row r="36" spans="2:9" ht="15" hidden="1" customHeight="1" x14ac:dyDescent="0.25">
      <c r="B36" s="84"/>
      <c r="C36" s="84"/>
      <c r="D36" s="69"/>
      <c r="E36" s="69"/>
      <c r="F36" s="69"/>
      <c r="G36" s="69"/>
      <c r="H36" s="122"/>
      <c r="I36" s="83"/>
    </row>
    <row r="37" spans="2:9" ht="15" hidden="1" customHeight="1" x14ac:dyDescent="0.25">
      <c r="B37" s="84"/>
      <c r="C37" s="84"/>
      <c r="D37" s="84"/>
      <c r="E37" s="84"/>
      <c r="F37" s="84"/>
      <c r="G37" s="84"/>
      <c r="H37" s="122"/>
      <c r="I37" s="83"/>
    </row>
    <row r="38" spans="2:9" ht="15" hidden="1" customHeight="1" x14ac:dyDescent="0.25">
      <c r="B38" s="84"/>
      <c r="C38" s="84"/>
      <c r="D38" s="84"/>
      <c r="E38" s="84"/>
      <c r="F38" s="84"/>
      <c r="G38" s="84"/>
      <c r="H38" s="122"/>
      <c r="I38" s="83"/>
    </row>
    <row r="39" spans="2:9" ht="15" hidden="1" customHeight="1" x14ac:dyDescent="0.25">
      <c r="B39" s="84"/>
      <c r="C39" s="84"/>
      <c r="D39" s="84"/>
      <c r="E39" s="84"/>
      <c r="F39" s="84"/>
      <c r="G39" s="84"/>
      <c r="H39" s="122"/>
      <c r="I39" s="83"/>
    </row>
    <row r="40" spans="2:9" ht="15" hidden="1" customHeight="1" x14ac:dyDescent="0.25">
      <c r="B40" s="84"/>
      <c r="C40" s="84"/>
      <c r="D40" s="84"/>
      <c r="E40" s="84"/>
      <c r="F40" s="84"/>
      <c r="G40" s="84"/>
      <c r="H40" s="122"/>
      <c r="I40" s="83"/>
    </row>
    <row r="41" spans="2:9" ht="15" hidden="1" customHeight="1" x14ac:dyDescent="0.25">
      <c r="B41" s="84"/>
      <c r="C41" s="84"/>
      <c r="D41" s="84"/>
      <c r="E41" s="84"/>
      <c r="F41" s="165"/>
      <c r="G41" s="84"/>
      <c r="H41" s="122"/>
      <c r="I41" s="83"/>
    </row>
    <row r="42" spans="2:9" ht="15" hidden="1" customHeight="1" x14ac:dyDescent="0.25">
      <c r="B42" s="84"/>
      <c r="C42" s="84"/>
      <c r="D42" s="84"/>
      <c r="E42" s="84"/>
      <c r="F42" s="69"/>
      <c r="G42" s="69"/>
      <c r="H42" s="162"/>
      <c r="I42" s="69"/>
    </row>
    <row r="43" spans="2:9" ht="15" hidden="1" customHeight="1" x14ac:dyDescent="0.25">
      <c r="B43" s="69"/>
      <c r="C43" s="69"/>
      <c r="D43" s="69"/>
      <c r="E43" s="69"/>
      <c r="F43" s="69"/>
      <c r="G43" s="69"/>
      <c r="H43" s="83"/>
      <c r="I43" s="69"/>
    </row>
    <row r="44" spans="2:9" ht="15" hidden="1" customHeight="1" x14ac:dyDescent="0.25">
      <c r="B44" s="69"/>
      <c r="C44" s="69"/>
      <c r="D44" s="69"/>
      <c r="E44" s="69"/>
      <c r="F44" s="69"/>
      <c r="G44" s="69"/>
      <c r="H44" s="83"/>
      <c r="I44" s="69"/>
    </row>
    <row r="45" spans="2:9" ht="15" hidden="1" customHeight="1" x14ac:dyDescent="0.25">
      <c r="B45" s="69"/>
      <c r="C45" s="69"/>
      <c r="D45" s="69"/>
      <c r="E45" s="69"/>
      <c r="F45" s="69"/>
      <c r="G45" s="69"/>
      <c r="H45" s="162"/>
      <c r="I45" s="69"/>
    </row>
    <row r="46" spans="2:9" ht="15" hidden="1" customHeight="1" x14ac:dyDescent="0.25">
      <c r="B46" s="69"/>
      <c r="C46" s="69"/>
      <c r="D46" s="84"/>
      <c r="E46" s="84"/>
      <c r="F46" s="84"/>
      <c r="G46" s="84"/>
      <c r="H46" s="122"/>
      <c r="I46" s="84"/>
    </row>
    <row r="47" spans="2:9" ht="15" hidden="1" customHeight="1" x14ac:dyDescent="0.25">
      <c r="B47" s="69"/>
      <c r="C47" s="69"/>
      <c r="D47" s="69"/>
      <c r="E47" s="69"/>
      <c r="F47" s="69"/>
      <c r="G47" s="69"/>
      <c r="H47" s="162"/>
      <c r="I47" s="69"/>
    </row>
    <row r="48" spans="2:9" ht="15" hidden="1" customHeight="1" x14ac:dyDescent="0.25">
      <c r="B48" s="69"/>
      <c r="C48" s="69"/>
      <c r="D48" s="69"/>
      <c r="E48" s="69"/>
      <c r="F48" s="69"/>
      <c r="G48" s="69"/>
      <c r="H48" s="83"/>
      <c r="I48" s="69"/>
    </row>
    <row r="49" spans="2:9" ht="15" hidden="1" customHeight="1" x14ac:dyDescent="0.25">
      <c r="B49" s="69"/>
      <c r="C49" s="69"/>
      <c r="D49" s="69"/>
      <c r="E49" s="69"/>
      <c r="F49" s="69"/>
      <c r="G49" s="69"/>
      <c r="H49" s="83"/>
      <c r="I49" s="69"/>
    </row>
    <row r="50" spans="2:9" ht="15" hidden="1" customHeight="1" x14ac:dyDescent="0.25">
      <c r="B50" s="69"/>
      <c r="C50" s="69"/>
      <c r="D50" s="69"/>
      <c r="E50" s="69"/>
      <c r="F50" s="69"/>
      <c r="G50" s="69"/>
      <c r="H50" s="83"/>
      <c r="I50" s="69"/>
    </row>
    <row r="51" spans="2:9" ht="15" hidden="1" customHeight="1" x14ac:dyDescent="0.25">
      <c r="B51" s="69"/>
      <c r="C51" s="69"/>
      <c r="D51" s="84"/>
      <c r="E51" s="84"/>
      <c r="F51" s="84"/>
      <c r="G51" s="84"/>
      <c r="H51" s="122"/>
      <c r="I51" s="84"/>
    </row>
    <row r="52" spans="2:9" ht="15" hidden="1" customHeight="1" x14ac:dyDescent="0.25">
      <c r="B52" s="84"/>
      <c r="C52" s="84"/>
      <c r="D52" s="84"/>
      <c r="E52" s="84"/>
      <c r="F52" s="84"/>
      <c r="G52" s="84"/>
      <c r="H52" s="122"/>
      <c r="I52" s="84"/>
    </row>
    <row r="53" spans="2:9" ht="15" hidden="1" customHeight="1" x14ac:dyDescent="0.25">
      <c r="B53" s="84"/>
      <c r="C53" s="84"/>
      <c r="D53" s="84"/>
      <c r="E53" s="84"/>
      <c r="F53" s="84"/>
      <c r="G53" s="84"/>
      <c r="H53" s="122"/>
      <c r="I53" s="69"/>
    </row>
    <row r="54" spans="2:9" ht="15" hidden="1" customHeight="1" x14ac:dyDescent="0.25">
      <c r="B54" s="84"/>
      <c r="C54" s="84"/>
      <c r="D54" s="84"/>
      <c r="E54" s="84"/>
      <c r="F54" s="165"/>
      <c r="G54" s="84"/>
      <c r="H54" s="122"/>
      <c r="I54" s="69"/>
    </row>
    <row r="55" spans="2:9" ht="15" hidden="1" customHeight="1" x14ac:dyDescent="0.25">
      <c r="B55" s="84"/>
      <c r="C55" s="69"/>
      <c r="D55" s="84"/>
      <c r="E55" s="84"/>
      <c r="F55" s="84"/>
      <c r="G55" s="84"/>
      <c r="H55" s="122"/>
      <c r="I55" s="84"/>
    </row>
    <row r="56" spans="2:9" ht="15" hidden="1" customHeight="1" x14ac:dyDescent="0.25">
      <c r="B56" s="84"/>
      <c r="C56" s="84"/>
      <c r="D56" s="84"/>
      <c r="E56" s="84"/>
      <c r="F56" s="84"/>
      <c r="G56" s="84"/>
      <c r="H56" s="122"/>
      <c r="I56" s="69"/>
    </row>
    <row r="57" spans="2:9" ht="15" hidden="1" customHeight="1" x14ac:dyDescent="0.25">
      <c r="B57" s="84"/>
      <c r="C57" s="84"/>
      <c r="D57" s="84"/>
      <c r="E57" s="84"/>
      <c r="F57" s="84"/>
      <c r="G57" s="84"/>
      <c r="H57" s="122"/>
      <c r="I57" s="84"/>
    </row>
    <row r="58" spans="2:9" ht="15" hidden="1" customHeight="1" x14ac:dyDescent="0.25">
      <c r="B58" s="84"/>
      <c r="C58" s="84"/>
      <c r="D58" s="84"/>
      <c r="E58" s="84"/>
      <c r="F58" s="84"/>
      <c r="G58" s="84"/>
      <c r="H58" s="122"/>
      <c r="I58" s="84"/>
    </row>
    <row r="59" spans="2:9" ht="15" hidden="1" customHeight="1" x14ac:dyDescent="0.25">
      <c r="B59" s="84"/>
      <c r="C59" s="84"/>
      <c r="D59" s="84"/>
      <c r="E59" s="84"/>
      <c r="F59" s="84"/>
      <c r="G59" s="84"/>
      <c r="H59" s="122"/>
      <c r="I59" s="84"/>
    </row>
    <row r="60" spans="2:9" ht="15" hidden="1" customHeight="1" x14ac:dyDescent="0.25">
      <c r="B60" s="84"/>
      <c r="C60" s="84"/>
      <c r="D60" s="84"/>
      <c r="E60" s="84"/>
      <c r="F60" s="84"/>
      <c r="G60" s="84"/>
      <c r="H60" s="83"/>
      <c r="I60" s="84"/>
    </row>
    <row r="61" spans="2:9" ht="30" customHeight="1" x14ac:dyDescent="0.25">
      <c r="B61" s="144" t="s">
        <v>4</v>
      </c>
      <c r="C61" s="144" t="s">
        <v>11</v>
      </c>
      <c r="D61" s="144" t="s">
        <v>1187</v>
      </c>
      <c r="E61" s="144" t="s">
        <v>1188</v>
      </c>
      <c r="F61" s="144" t="s">
        <v>1187</v>
      </c>
      <c r="G61" s="144" t="s">
        <v>1189</v>
      </c>
      <c r="H61" s="144" t="s">
        <v>1190</v>
      </c>
      <c r="I61" s="144" t="s">
        <v>1191</v>
      </c>
    </row>
    <row r="62" spans="2:9" ht="30" customHeight="1" x14ac:dyDescent="0.25">
      <c r="B62" s="144" t="s">
        <v>4</v>
      </c>
      <c r="C62" s="144" t="s">
        <v>15</v>
      </c>
      <c r="D62" s="144" t="s">
        <v>1192</v>
      </c>
      <c r="E62" s="144" t="s">
        <v>1193</v>
      </c>
      <c r="F62" s="144" t="s">
        <v>1187</v>
      </c>
      <c r="G62" s="144" t="s">
        <v>1194</v>
      </c>
      <c r="H62" s="144" t="s">
        <v>1195</v>
      </c>
      <c r="I62" s="144" t="s">
        <v>1191</v>
      </c>
    </row>
    <row r="63" spans="2:9" ht="30" customHeight="1" x14ac:dyDescent="0.25">
      <c r="B63" s="144" t="s">
        <v>4</v>
      </c>
      <c r="C63" s="144" t="s">
        <v>15</v>
      </c>
      <c r="D63" s="144" t="s">
        <v>1192</v>
      </c>
      <c r="E63" s="144" t="s">
        <v>1193</v>
      </c>
      <c r="F63" s="144" t="s">
        <v>1192</v>
      </c>
      <c r="G63" s="144" t="s">
        <v>1196</v>
      </c>
      <c r="H63" s="144" t="s">
        <v>1197</v>
      </c>
      <c r="I63" s="144" t="s">
        <v>1191</v>
      </c>
    </row>
    <row r="64" spans="2:9" ht="15" customHeight="1" x14ac:dyDescent="0.25">
      <c r="B64" s="24"/>
      <c r="C64" s="24"/>
      <c r="D64" s="24"/>
      <c r="E64" s="24"/>
      <c r="F64" s="24"/>
      <c r="G64" s="24"/>
      <c r="I64" s="24"/>
    </row>
    <row r="65" spans="2:9" ht="15" customHeight="1" x14ac:dyDescent="0.25">
      <c r="B65" s="24"/>
      <c r="C65" s="24"/>
      <c r="D65" s="24"/>
      <c r="E65" s="24"/>
      <c r="F65" s="24"/>
      <c r="G65" s="24"/>
      <c r="I65" s="24"/>
    </row>
    <row r="66" spans="2:9" ht="15" customHeight="1" x14ac:dyDescent="0.25">
      <c r="B66" s="24"/>
      <c r="C66" s="24"/>
      <c r="D66" s="24"/>
      <c r="E66" s="24"/>
      <c r="F66" s="24"/>
      <c r="G66" s="24"/>
      <c r="I66" s="24"/>
    </row>
    <row r="67" spans="2:9" ht="15" hidden="1" customHeight="1" x14ac:dyDescent="0.25">
      <c r="B67" s="84"/>
      <c r="C67" s="84"/>
      <c r="D67" s="84"/>
      <c r="E67" s="84"/>
      <c r="F67" s="84"/>
      <c r="G67" s="84"/>
      <c r="H67" s="122"/>
      <c r="I67" s="69"/>
    </row>
    <row r="68" spans="2:9" ht="15" hidden="1" customHeight="1" x14ac:dyDescent="0.25">
      <c r="B68" s="84"/>
      <c r="C68" s="84"/>
      <c r="D68" s="84"/>
      <c r="E68" s="84"/>
      <c r="F68" s="84"/>
      <c r="G68" s="84"/>
      <c r="H68" s="122"/>
      <c r="I68" s="69"/>
    </row>
    <row r="69" spans="2:9" ht="15" hidden="1" customHeight="1" x14ac:dyDescent="0.25">
      <c r="B69" s="84"/>
      <c r="C69" s="84"/>
      <c r="D69" s="165"/>
      <c r="E69" s="165"/>
      <c r="F69" s="84"/>
      <c r="G69" s="84"/>
      <c r="H69" s="172"/>
      <c r="I69" s="169"/>
    </row>
    <row r="70" spans="2:9" ht="15" hidden="1" customHeight="1" x14ac:dyDescent="0.25">
      <c r="B70" s="84"/>
      <c r="C70" s="84"/>
      <c r="D70" s="165"/>
      <c r="E70" s="165"/>
      <c r="F70" s="84"/>
      <c r="G70" s="84"/>
      <c r="H70" s="172"/>
      <c r="I70" s="169"/>
    </row>
    <row r="71" spans="2:9" ht="15" hidden="1" customHeight="1" x14ac:dyDescent="0.25">
      <c r="B71" s="84"/>
      <c r="C71" s="84"/>
      <c r="D71" s="84"/>
      <c r="E71" s="84"/>
      <c r="F71" s="84"/>
      <c r="G71" s="84"/>
      <c r="H71" s="122"/>
      <c r="I71" s="69"/>
    </row>
    <row r="72" spans="2:9" ht="15" hidden="1" customHeight="1" x14ac:dyDescent="0.25">
      <c r="B72" s="84"/>
      <c r="C72" s="84"/>
      <c r="D72" s="84"/>
      <c r="E72" s="84"/>
      <c r="F72" s="84"/>
      <c r="G72" s="84"/>
      <c r="H72" s="122"/>
      <c r="I72" s="69"/>
    </row>
    <row r="73" spans="2:9" ht="15" hidden="1" customHeight="1" x14ac:dyDescent="0.25">
      <c r="B73" s="84"/>
      <c r="C73" s="84"/>
      <c r="D73" s="84"/>
      <c r="E73" s="84"/>
      <c r="F73" s="84"/>
      <c r="G73" s="84"/>
      <c r="H73" s="122"/>
      <c r="I73" s="69"/>
    </row>
    <row r="74" spans="2:9" ht="15" hidden="1" customHeight="1" x14ac:dyDescent="0.25">
      <c r="B74" s="84"/>
      <c r="C74" s="84"/>
      <c r="D74" s="84"/>
      <c r="E74" s="84"/>
      <c r="F74" s="84"/>
      <c r="G74" s="84"/>
      <c r="H74" s="122"/>
      <c r="I74" s="69"/>
    </row>
    <row r="75" spans="2:9" ht="15" hidden="1" customHeight="1" x14ac:dyDescent="0.25">
      <c r="B75" s="84"/>
      <c r="C75" s="84"/>
      <c r="D75" s="84"/>
      <c r="E75" s="84"/>
      <c r="F75" s="84"/>
      <c r="G75" s="84"/>
      <c r="H75" s="122"/>
      <c r="I75" s="69"/>
    </row>
    <row r="76" spans="2:9" ht="15" hidden="1" customHeight="1" x14ac:dyDescent="0.25">
      <c r="B76" s="84"/>
      <c r="C76" s="84"/>
      <c r="D76" s="84"/>
      <c r="E76" s="84"/>
      <c r="F76" s="84"/>
      <c r="G76" s="84"/>
      <c r="H76" s="122"/>
      <c r="I76" s="69"/>
    </row>
    <row r="77" spans="2:9" ht="15" hidden="1" customHeight="1" x14ac:dyDescent="0.25">
      <c r="B77" s="84"/>
      <c r="C77" s="84"/>
      <c r="D77" s="84"/>
      <c r="E77" s="84"/>
      <c r="F77" s="84"/>
      <c r="G77" s="169"/>
      <c r="H77" s="162"/>
      <c r="I77" s="69"/>
    </row>
    <row r="78" spans="2:9" ht="15" hidden="1" customHeight="1" x14ac:dyDescent="0.25">
      <c r="B78" s="84"/>
      <c r="C78" s="84"/>
      <c r="D78" s="84"/>
      <c r="E78" s="84"/>
      <c r="F78" s="84"/>
      <c r="G78" s="84"/>
      <c r="H78" s="122"/>
      <c r="I78" s="69"/>
    </row>
    <row r="79" spans="2:9" ht="15" hidden="1" customHeight="1" x14ac:dyDescent="0.25">
      <c r="B79" s="84"/>
      <c r="C79" s="84"/>
      <c r="D79" s="165"/>
      <c r="E79" s="165"/>
      <c r="F79" s="165"/>
      <c r="G79" s="165"/>
      <c r="H79" s="172"/>
      <c r="I79" s="169"/>
    </row>
    <row r="80" spans="2:9" ht="15" hidden="1" customHeight="1" x14ac:dyDescent="0.25">
      <c r="B80" s="84"/>
      <c r="C80" s="84"/>
      <c r="D80" s="169"/>
      <c r="E80" s="169"/>
      <c r="F80" s="169"/>
      <c r="G80" s="169"/>
      <c r="H80" s="162"/>
      <c r="I80" s="169"/>
    </row>
    <row r="81" spans="2:9" ht="15" hidden="1" customHeight="1" x14ac:dyDescent="0.25">
      <c r="B81" s="84"/>
      <c r="C81" s="84"/>
      <c r="D81" s="69"/>
      <c r="E81" s="69"/>
      <c r="F81" s="84"/>
      <c r="G81" s="84"/>
      <c r="H81" s="83"/>
      <c r="I81" s="169"/>
    </row>
    <row r="82" spans="2:9" ht="15" hidden="1" customHeight="1" x14ac:dyDescent="0.25">
      <c r="B82" s="84"/>
      <c r="C82" s="84"/>
      <c r="D82" s="69"/>
      <c r="E82" s="69"/>
      <c r="F82" s="69"/>
      <c r="G82" s="69"/>
      <c r="H82" s="83"/>
      <c r="I82" s="69"/>
    </row>
    <row r="83" spans="2:9" ht="15" hidden="1" customHeight="1" x14ac:dyDescent="0.25">
      <c r="B83" s="84"/>
      <c r="C83" s="84"/>
      <c r="D83" s="69"/>
      <c r="E83" s="69"/>
      <c r="F83" s="84"/>
      <c r="G83" s="84"/>
      <c r="H83" s="83"/>
      <c r="I83" s="69"/>
    </row>
    <row r="84" spans="2:9" ht="15" hidden="1" customHeight="1" x14ac:dyDescent="0.25">
      <c r="B84" s="84"/>
      <c r="C84" s="84"/>
      <c r="D84" s="84"/>
      <c r="E84" s="84"/>
      <c r="F84" s="84"/>
      <c r="G84" s="84"/>
      <c r="H84" s="122"/>
      <c r="I84" s="69"/>
    </row>
    <row r="85" spans="2:9" ht="15" hidden="1" customHeight="1" x14ac:dyDescent="0.25">
      <c r="B85" s="84"/>
      <c r="C85" s="69"/>
      <c r="D85" s="84"/>
      <c r="E85" s="84"/>
      <c r="F85" s="84"/>
      <c r="G85" s="84"/>
      <c r="H85" s="122"/>
      <c r="I85" s="69"/>
    </row>
    <row r="86" spans="2:9" ht="15" hidden="1" customHeight="1" x14ac:dyDescent="0.25">
      <c r="B86" s="84"/>
      <c r="C86" s="84"/>
      <c r="D86" s="84"/>
      <c r="E86" s="84"/>
      <c r="F86" s="84"/>
      <c r="G86" s="84"/>
      <c r="H86" s="122"/>
      <c r="I86" s="69"/>
    </row>
    <row r="87" spans="2:9" ht="15" hidden="1" customHeight="1" x14ac:dyDescent="0.25">
      <c r="B87" s="84"/>
      <c r="C87" s="84"/>
      <c r="D87" s="84"/>
      <c r="E87" s="84"/>
      <c r="F87" s="84"/>
      <c r="G87" s="84"/>
      <c r="H87" s="122"/>
      <c r="I87" s="69"/>
    </row>
    <row r="88" spans="2:9" ht="15" hidden="1" customHeight="1" x14ac:dyDescent="0.25">
      <c r="B88" s="84"/>
      <c r="C88" s="84"/>
      <c r="D88" s="84"/>
      <c r="E88" s="84"/>
      <c r="F88" s="84"/>
      <c r="G88" s="84"/>
      <c r="H88" s="122"/>
      <c r="I88" s="69"/>
    </row>
    <row r="89" spans="2:9" ht="15" hidden="1" customHeight="1" x14ac:dyDescent="0.25">
      <c r="B89" s="84"/>
      <c r="C89" s="84"/>
      <c r="D89" s="84"/>
      <c r="E89" s="84"/>
      <c r="F89" s="84"/>
      <c r="G89" s="84"/>
      <c r="H89" s="122"/>
      <c r="I89" s="69"/>
    </row>
    <row r="90" spans="2:9" ht="15" hidden="1" customHeight="1" x14ac:dyDescent="0.25">
      <c r="B90" s="84"/>
      <c r="C90" s="84"/>
      <c r="D90" s="84"/>
      <c r="E90" s="84"/>
      <c r="F90" s="84"/>
      <c r="G90" s="84"/>
      <c r="H90" s="122"/>
      <c r="I90" s="69"/>
    </row>
    <row r="91" spans="2:9" ht="15" hidden="1" customHeight="1" x14ac:dyDescent="0.25">
      <c r="B91" s="84"/>
      <c r="C91" s="84"/>
      <c r="D91" s="84"/>
      <c r="E91" s="84"/>
      <c r="F91" s="84"/>
      <c r="G91" s="69"/>
      <c r="H91" s="83"/>
      <c r="I91" s="69"/>
    </row>
    <row r="92" spans="2:9" ht="15" hidden="1" customHeight="1" x14ac:dyDescent="0.25">
      <c r="B92" s="84"/>
      <c r="C92" s="84"/>
      <c r="D92" s="84"/>
      <c r="E92" s="84"/>
      <c r="F92" s="84"/>
      <c r="G92" s="84"/>
      <c r="H92" s="122"/>
      <c r="I92" s="69"/>
    </row>
    <row r="93" spans="2:9" ht="15" hidden="1" customHeight="1" x14ac:dyDescent="0.25">
      <c r="B93" s="84"/>
      <c r="C93" s="84"/>
      <c r="D93" s="84"/>
      <c r="E93" s="84"/>
      <c r="F93" s="84"/>
      <c r="G93" s="84"/>
      <c r="H93" s="122"/>
      <c r="I93" s="69"/>
    </row>
    <row r="94" spans="2:9" ht="15" hidden="1" customHeight="1" x14ac:dyDescent="0.25">
      <c r="B94" s="84"/>
      <c r="C94" s="84"/>
      <c r="D94" s="84"/>
      <c r="E94" s="84"/>
      <c r="F94" s="84"/>
      <c r="G94" s="84"/>
      <c r="H94" s="122"/>
      <c r="I94" s="69"/>
    </row>
    <row r="95" spans="2:9" ht="15" hidden="1" customHeight="1" x14ac:dyDescent="0.25">
      <c r="B95" s="84"/>
      <c r="C95" s="84"/>
      <c r="D95" s="84"/>
      <c r="E95" s="84"/>
      <c r="F95" s="84"/>
      <c r="G95" s="84"/>
      <c r="H95" s="122"/>
      <c r="I95" s="69"/>
    </row>
    <row r="96" spans="2:9" ht="15" hidden="1" customHeight="1" x14ac:dyDescent="0.25">
      <c r="B96" s="84"/>
      <c r="C96" s="84"/>
      <c r="D96" s="84"/>
      <c r="E96" s="84"/>
      <c r="F96" s="84"/>
      <c r="G96" s="84"/>
      <c r="H96" s="122"/>
      <c r="I96" s="69"/>
    </row>
    <row r="97" spans="2:9" ht="15" hidden="1" customHeight="1" x14ac:dyDescent="0.25">
      <c r="B97" s="84"/>
      <c r="C97" s="84"/>
      <c r="D97" s="84"/>
      <c r="E97" s="84"/>
      <c r="F97" s="84"/>
      <c r="G97" s="84"/>
      <c r="H97" s="122"/>
      <c r="I97" s="69"/>
    </row>
    <row r="98" spans="2:9" ht="15" hidden="1" customHeight="1" x14ac:dyDescent="0.25">
      <c r="B98" s="84"/>
      <c r="C98" s="84"/>
      <c r="D98" s="84"/>
      <c r="E98" s="84"/>
      <c r="F98" s="84"/>
      <c r="G98" s="84"/>
      <c r="H98" s="122"/>
      <c r="I98" s="69"/>
    </row>
    <row r="99" spans="2:9" ht="15" hidden="1" customHeight="1" x14ac:dyDescent="0.25">
      <c r="B99" s="84"/>
      <c r="C99" s="84"/>
      <c r="D99" s="84"/>
      <c r="E99" s="84"/>
      <c r="F99" s="84"/>
      <c r="G99" s="84"/>
      <c r="H99" s="122"/>
      <c r="I99" s="69"/>
    </row>
    <row r="100" spans="2:9" ht="15" hidden="1" customHeight="1" x14ac:dyDescent="0.25">
      <c r="B100" s="84"/>
      <c r="C100" s="84"/>
      <c r="D100" s="84"/>
      <c r="E100" s="84"/>
      <c r="F100" s="84"/>
      <c r="G100" s="84"/>
      <c r="H100" s="122"/>
      <c r="I100" s="69"/>
    </row>
    <row r="101" spans="2:9" ht="15" hidden="1" customHeight="1" x14ac:dyDescent="0.25">
      <c r="B101" s="84"/>
      <c r="C101" s="84"/>
      <c r="D101" s="84"/>
      <c r="E101" s="84"/>
      <c r="F101" s="84"/>
      <c r="G101" s="84"/>
      <c r="H101" s="122"/>
      <c r="I101" s="69"/>
    </row>
    <row r="102" spans="2:9" ht="15" hidden="1" customHeight="1" x14ac:dyDescent="0.25">
      <c r="B102" s="84"/>
      <c r="C102" s="84"/>
      <c r="D102" s="84"/>
      <c r="E102" s="84"/>
      <c r="F102" s="84"/>
      <c r="G102" s="84"/>
      <c r="H102" s="122"/>
      <c r="I102" s="69"/>
    </row>
    <row r="103" spans="2:9" ht="15" hidden="1" customHeight="1" x14ac:dyDescent="0.25">
      <c r="B103" s="84"/>
      <c r="C103" s="84"/>
      <c r="D103" s="84"/>
      <c r="E103" s="84"/>
      <c r="F103" s="84"/>
      <c r="G103" s="84"/>
      <c r="H103" s="122"/>
      <c r="I103" s="69"/>
    </row>
    <row r="104" spans="2:9" ht="15" hidden="1" customHeight="1" x14ac:dyDescent="0.25">
      <c r="B104" s="84"/>
      <c r="C104" s="84"/>
      <c r="D104" s="84"/>
      <c r="E104" s="84"/>
      <c r="F104" s="84"/>
      <c r="G104" s="84"/>
      <c r="H104" s="122"/>
      <c r="I104" s="69"/>
    </row>
    <row r="105" spans="2:9" ht="15" hidden="1" customHeight="1" x14ac:dyDescent="0.25">
      <c r="B105" s="84"/>
      <c r="C105" s="84"/>
      <c r="D105" s="84"/>
      <c r="E105" s="84"/>
      <c r="F105" s="84"/>
      <c r="G105" s="84"/>
      <c r="H105" s="122"/>
      <c r="I105" s="69"/>
    </row>
    <row r="106" spans="2:9" ht="15" hidden="1" customHeight="1" x14ac:dyDescent="0.25">
      <c r="B106" s="84"/>
      <c r="C106" s="84"/>
      <c r="D106" s="84"/>
      <c r="E106" s="84"/>
      <c r="F106" s="84"/>
      <c r="G106" s="84"/>
      <c r="H106" s="122"/>
      <c r="I106" s="69"/>
    </row>
    <row r="107" spans="2:9" ht="15" hidden="1" customHeight="1" x14ac:dyDescent="0.25">
      <c r="B107" s="84"/>
      <c r="C107" s="84"/>
      <c r="D107" s="84"/>
      <c r="E107" s="84"/>
      <c r="F107" s="84"/>
      <c r="G107" s="84"/>
      <c r="H107" s="122"/>
      <c r="I107" s="69"/>
    </row>
    <row r="108" spans="2:9" ht="15" hidden="1" customHeight="1" x14ac:dyDescent="0.25">
      <c r="B108" s="84"/>
      <c r="C108" s="84"/>
      <c r="D108" s="84"/>
      <c r="E108" s="84"/>
      <c r="F108" s="84"/>
      <c r="G108" s="84"/>
      <c r="H108" s="122"/>
      <c r="I108" s="69"/>
    </row>
    <row r="109" spans="2:9" ht="15" hidden="1" customHeight="1" x14ac:dyDescent="0.25">
      <c r="B109" s="84"/>
      <c r="C109" s="84"/>
      <c r="D109" s="84"/>
      <c r="E109" s="84"/>
      <c r="F109" s="84"/>
      <c r="G109" s="84"/>
      <c r="H109" s="122"/>
      <c r="I109" s="69"/>
    </row>
    <row r="110" spans="2:9" ht="15" hidden="1" customHeight="1" x14ac:dyDescent="0.25">
      <c r="B110" s="84"/>
      <c r="C110" s="84"/>
      <c r="D110" s="84"/>
      <c r="E110" s="84"/>
      <c r="F110" s="84"/>
      <c r="G110" s="84"/>
      <c r="H110" s="122"/>
      <c r="I110" s="69"/>
    </row>
    <row r="111" spans="2:9" ht="15" hidden="1" customHeight="1" x14ac:dyDescent="0.25">
      <c r="B111" s="84"/>
      <c r="C111" s="84"/>
      <c r="D111" s="84"/>
      <c r="E111" s="84"/>
      <c r="F111" s="84"/>
      <c r="G111" s="84"/>
      <c r="H111" s="122"/>
      <c r="I111" s="69"/>
    </row>
    <row r="112" spans="2:9" ht="15" hidden="1" customHeight="1" x14ac:dyDescent="0.25">
      <c r="B112" s="84"/>
      <c r="C112" s="84"/>
      <c r="D112" s="84"/>
      <c r="E112" s="84"/>
      <c r="F112" s="84"/>
      <c r="G112" s="84"/>
      <c r="H112" s="122"/>
      <c r="I112" s="69"/>
    </row>
    <row r="113" spans="2:9" ht="15" hidden="1" customHeight="1" x14ac:dyDescent="0.25">
      <c r="B113" s="84"/>
      <c r="C113" s="84"/>
      <c r="D113" s="84"/>
      <c r="E113" s="84"/>
      <c r="F113" s="84"/>
      <c r="G113" s="84"/>
      <c r="H113" s="122"/>
      <c r="I113" s="69"/>
    </row>
    <row r="114" spans="2:9" ht="15" hidden="1" customHeight="1" x14ac:dyDescent="0.25">
      <c r="B114" s="84"/>
      <c r="C114" s="84"/>
      <c r="D114" s="84"/>
      <c r="E114" s="84"/>
      <c r="F114" s="69"/>
      <c r="G114" s="84"/>
      <c r="H114" s="122"/>
      <c r="I114" s="83"/>
    </row>
    <row r="115" spans="2:9" ht="15" hidden="1" customHeight="1" x14ac:dyDescent="0.25">
      <c r="B115" s="84"/>
      <c r="C115" s="84"/>
      <c r="D115" s="84"/>
      <c r="E115" s="84"/>
      <c r="F115" s="84"/>
      <c r="G115" s="84"/>
      <c r="H115" s="122"/>
      <c r="I115" s="84"/>
    </row>
    <row r="116" spans="2:9" ht="15" hidden="1" customHeight="1" x14ac:dyDescent="0.25">
      <c r="B116" s="84"/>
      <c r="C116" s="69"/>
      <c r="D116" s="84"/>
      <c r="E116" s="84"/>
      <c r="F116" s="69"/>
      <c r="G116" s="69"/>
      <c r="H116" s="122"/>
      <c r="I116" s="83"/>
    </row>
    <row r="117" spans="2:9" ht="15" hidden="1" customHeight="1" x14ac:dyDescent="0.25">
      <c r="B117" s="84"/>
      <c r="C117" s="84"/>
      <c r="D117" s="84"/>
      <c r="E117" s="84"/>
      <c r="F117" s="84"/>
      <c r="G117" s="84"/>
      <c r="H117" s="122"/>
      <c r="I117" s="83"/>
    </row>
    <row r="118" spans="2:9" ht="15" hidden="1" customHeight="1" x14ac:dyDescent="0.25">
      <c r="B118" s="84"/>
      <c r="C118" s="84"/>
      <c r="D118" s="84"/>
      <c r="E118" s="84"/>
      <c r="F118" s="84"/>
      <c r="G118" s="84"/>
      <c r="H118" s="122"/>
      <c r="I118" s="83"/>
    </row>
    <row r="119" spans="2:9" hidden="1" x14ac:dyDescent="0.25">
      <c r="B119" s="84"/>
      <c r="C119" s="84"/>
      <c r="D119" s="84"/>
      <c r="E119" s="84"/>
      <c r="F119" s="84"/>
      <c r="G119" s="84"/>
      <c r="H119" s="122"/>
      <c r="I119" s="83"/>
    </row>
    <row r="120" spans="2:9" ht="15" hidden="1" customHeight="1" x14ac:dyDescent="0.25">
      <c r="B120" s="84"/>
      <c r="C120" s="69"/>
      <c r="D120" s="84"/>
      <c r="E120" s="84"/>
      <c r="F120" s="69"/>
      <c r="G120" s="69"/>
      <c r="H120" s="122"/>
      <c r="I120" s="83"/>
    </row>
    <row r="121" spans="2:9" hidden="1" x14ac:dyDescent="0.25">
      <c r="B121" s="84"/>
      <c r="C121" s="69"/>
      <c r="D121" s="84"/>
      <c r="E121" s="84"/>
      <c r="F121" s="84"/>
      <c r="G121" s="84"/>
      <c r="H121" s="122"/>
      <c r="I121" s="84"/>
    </row>
    <row r="122" spans="2:9" ht="15" hidden="1" customHeight="1" x14ac:dyDescent="0.25">
      <c r="B122" s="84"/>
      <c r="C122" s="69"/>
      <c r="D122" s="84"/>
      <c r="E122" s="84"/>
      <c r="F122" s="84"/>
      <c r="G122" s="84"/>
      <c r="H122" s="122"/>
      <c r="I122" s="88"/>
    </row>
    <row r="123" spans="2:9" hidden="1" x14ac:dyDescent="0.25">
      <c r="B123" s="84"/>
      <c r="C123" s="84"/>
      <c r="D123" s="69"/>
      <c r="E123" s="69"/>
      <c r="F123" s="84"/>
      <c r="G123" s="84"/>
      <c r="H123" s="122"/>
      <c r="I123" s="83"/>
    </row>
    <row r="124" spans="2:9" hidden="1" x14ac:dyDescent="0.25">
      <c r="B124" s="84"/>
      <c r="C124" s="84"/>
      <c r="D124" s="84"/>
      <c r="E124" s="84"/>
      <c r="F124" s="84"/>
      <c r="G124" s="84"/>
      <c r="H124" s="122"/>
      <c r="I124" s="83"/>
    </row>
    <row r="125" spans="2:9" hidden="1" x14ac:dyDescent="0.25">
      <c r="B125" s="84"/>
      <c r="C125" s="69"/>
      <c r="D125" s="84"/>
      <c r="E125" s="84"/>
      <c r="F125" s="84"/>
      <c r="G125" s="84"/>
      <c r="H125" s="122"/>
      <c r="I125" s="83"/>
    </row>
    <row r="126" spans="2:9" hidden="1" x14ac:dyDescent="0.25">
      <c r="B126" s="84"/>
      <c r="C126" s="69"/>
      <c r="D126" s="84"/>
      <c r="E126" s="84"/>
      <c r="F126" s="84"/>
      <c r="G126" s="84"/>
      <c r="H126" s="122"/>
      <c r="I126" s="83"/>
    </row>
    <row r="127" spans="2:9" hidden="1" x14ac:dyDescent="0.25">
      <c r="B127" s="84"/>
      <c r="C127" s="84"/>
      <c r="D127" s="84"/>
      <c r="E127" s="84"/>
      <c r="F127" s="84"/>
      <c r="G127" s="84"/>
      <c r="H127" s="122"/>
      <c r="I127" s="83"/>
    </row>
    <row r="128" spans="2:9" hidden="1" x14ac:dyDescent="0.25">
      <c r="B128" s="84"/>
      <c r="C128" s="84"/>
      <c r="D128" s="84"/>
      <c r="E128" s="84"/>
      <c r="F128" s="84"/>
      <c r="G128" s="84"/>
      <c r="H128" s="122"/>
      <c r="I128" s="83"/>
    </row>
    <row r="129" spans="2:9" hidden="1" x14ac:dyDescent="0.25">
      <c r="B129" s="84"/>
      <c r="C129" s="84"/>
      <c r="D129" s="84"/>
      <c r="E129" s="84"/>
      <c r="F129" s="84"/>
      <c r="G129" s="84"/>
      <c r="H129" s="122"/>
      <c r="I129" s="83"/>
    </row>
    <row r="130" spans="2:9" hidden="1" x14ac:dyDescent="0.25">
      <c r="B130" s="84"/>
      <c r="C130" s="84"/>
      <c r="D130" s="84"/>
      <c r="E130" s="84"/>
      <c r="F130" s="84"/>
      <c r="G130" s="84"/>
      <c r="H130" s="122"/>
      <c r="I130" s="83"/>
    </row>
    <row r="131" spans="2:9" hidden="1" x14ac:dyDescent="0.25">
      <c r="B131" s="84"/>
      <c r="C131" s="84"/>
      <c r="D131" s="84"/>
      <c r="E131" s="84"/>
      <c r="F131" s="84"/>
      <c r="G131" s="84"/>
      <c r="H131" s="122"/>
      <c r="I131" s="83"/>
    </row>
    <row r="132" spans="2:9" hidden="1" x14ac:dyDescent="0.25">
      <c r="B132" s="84"/>
      <c r="C132" s="84"/>
      <c r="D132" s="84"/>
      <c r="E132" s="84"/>
      <c r="F132" s="84"/>
      <c r="G132" s="84"/>
      <c r="H132" s="122"/>
      <c r="I132" s="83"/>
    </row>
    <row r="133" spans="2:9" hidden="1" x14ac:dyDescent="0.25">
      <c r="B133" s="84"/>
      <c r="C133" s="84"/>
      <c r="D133" s="84"/>
      <c r="E133" s="84"/>
      <c r="F133" s="84"/>
      <c r="G133" s="84"/>
      <c r="H133" s="122"/>
      <c r="I133" s="83"/>
    </row>
    <row r="134" spans="2:9" x14ac:dyDescent="0.25">
      <c r="B134"/>
      <c r="C134"/>
      <c r="D134"/>
      <c r="E134"/>
      <c r="F134"/>
    </row>
    <row r="135" spans="2:9" x14ac:dyDescent="0.25">
      <c r="B135"/>
      <c r="C135"/>
      <c r="D135"/>
      <c r="E135"/>
      <c r="F135"/>
    </row>
    <row r="136" spans="2:9" x14ac:dyDescent="0.25">
      <c r="B136"/>
      <c r="C136"/>
      <c r="D136"/>
      <c r="E136"/>
      <c r="F136"/>
    </row>
    <row r="137" spans="2:9" x14ac:dyDescent="0.25">
      <c r="B137"/>
      <c r="C137"/>
      <c r="D137"/>
      <c r="E137"/>
      <c r="F137"/>
    </row>
    <row r="138" spans="2:9" x14ac:dyDescent="0.25">
      <c r="B138"/>
      <c r="C138"/>
      <c r="D138"/>
      <c r="E138"/>
      <c r="F138"/>
    </row>
    <row r="139" spans="2:9" x14ac:dyDescent="0.25">
      <c r="B139"/>
      <c r="C139"/>
      <c r="D139"/>
      <c r="E139"/>
      <c r="F139"/>
    </row>
    <row r="140" spans="2:9" x14ac:dyDescent="0.25">
      <c r="B140"/>
      <c r="C140"/>
      <c r="D140"/>
      <c r="E140"/>
      <c r="F140"/>
    </row>
    <row r="141" spans="2:9" x14ac:dyDescent="0.25">
      <c r="B141"/>
      <c r="C141"/>
      <c r="D141"/>
      <c r="E141"/>
      <c r="F141"/>
    </row>
    <row r="142" spans="2:9" x14ac:dyDescent="0.25">
      <c r="B142"/>
      <c r="C142"/>
      <c r="D142"/>
      <c r="E142"/>
      <c r="F142"/>
    </row>
    <row r="143" spans="2:9" x14ac:dyDescent="0.25">
      <c r="B143"/>
      <c r="C143"/>
      <c r="D143"/>
      <c r="E143"/>
      <c r="F143"/>
    </row>
    <row r="144" spans="2:9" x14ac:dyDescent="0.25">
      <c r="B144"/>
      <c r="C144"/>
      <c r="D144"/>
      <c r="E144"/>
      <c r="F144"/>
    </row>
    <row r="145" spans="2:6" x14ac:dyDescent="0.25">
      <c r="B145"/>
      <c r="C145"/>
      <c r="D145"/>
      <c r="E145"/>
      <c r="F145"/>
    </row>
    <row r="146" spans="2:6" x14ac:dyDescent="0.25">
      <c r="B146"/>
      <c r="C146"/>
      <c r="D146"/>
      <c r="E146"/>
      <c r="F146"/>
    </row>
    <row r="147" spans="2:6" x14ac:dyDescent="0.25">
      <c r="B147"/>
      <c r="C147"/>
      <c r="D147"/>
      <c r="E147"/>
      <c r="F147"/>
    </row>
    <row r="148" spans="2:6" x14ac:dyDescent="0.25">
      <c r="B148"/>
      <c r="C148"/>
      <c r="D148"/>
      <c r="E148"/>
      <c r="F148"/>
    </row>
    <row r="149" spans="2:6" x14ac:dyDescent="0.25">
      <c r="B149"/>
      <c r="C149"/>
      <c r="D149"/>
      <c r="E149"/>
      <c r="F149"/>
    </row>
    <row r="150" spans="2:6" x14ac:dyDescent="0.25">
      <c r="B150"/>
      <c r="C150"/>
      <c r="D150"/>
      <c r="E150"/>
      <c r="F150"/>
    </row>
    <row r="151" spans="2:6" x14ac:dyDescent="0.25">
      <c r="B151"/>
      <c r="C151"/>
      <c r="D151"/>
      <c r="E151"/>
      <c r="F151"/>
    </row>
    <row r="152" spans="2:6" x14ac:dyDescent="0.25">
      <c r="B152"/>
      <c r="C152"/>
      <c r="D152"/>
      <c r="E152"/>
      <c r="F152"/>
    </row>
    <row r="153" spans="2:6" x14ac:dyDescent="0.25">
      <c r="B153"/>
      <c r="C153"/>
      <c r="D153"/>
      <c r="E153"/>
      <c r="F153"/>
    </row>
    <row r="154" spans="2:6" x14ac:dyDescent="0.25">
      <c r="B154"/>
      <c r="C154"/>
      <c r="D154"/>
      <c r="E154"/>
      <c r="F154"/>
    </row>
    <row r="155" spans="2:6" x14ac:dyDescent="0.25">
      <c r="B155"/>
      <c r="C155"/>
      <c r="D155"/>
      <c r="E155"/>
      <c r="F155"/>
    </row>
    <row r="156" spans="2:6" x14ac:dyDescent="0.25">
      <c r="B156"/>
      <c r="C156"/>
      <c r="D156"/>
      <c r="E156"/>
      <c r="F156"/>
    </row>
    <row r="157" spans="2:6" x14ac:dyDescent="0.25">
      <c r="B157"/>
      <c r="C157"/>
      <c r="D157"/>
      <c r="E157"/>
      <c r="F157"/>
    </row>
    <row r="158" spans="2:6" x14ac:dyDescent="0.25">
      <c r="B158"/>
      <c r="C158"/>
      <c r="D158"/>
      <c r="E158"/>
      <c r="F158"/>
    </row>
    <row r="159" spans="2:6" x14ac:dyDescent="0.25">
      <c r="B159"/>
      <c r="C159"/>
      <c r="D159"/>
      <c r="E159"/>
      <c r="F159"/>
    </row>
    <row r="160" spans="2:6" x14ac:dyDescent="0.25">
      <c r="B160"/>
      <c r="C160"/>
      <c r="D160"/>
      <c r="E160"/>
      <c r="F160"/>
    </row>
    <row r="161" spans="2:6" x14ac:dyDescent="0.25">
      <c r="B161"/>
      <c r="C161"/>
      <c r="D161"/>
      <c r="E161"/>
      <c r="F161"/>
    </row>
    <row r="162" spans="2:6" x14ac:dyDescent="0.25">
      <c r="B162"/>
      <c r="C162"/>
      <c r="D162"/>
      <c r="E162"/>
      <c r="F162"/>
    </row>
    <row r="163" spans="2:6" x14ac:dyDescent="0.25">
      <c r="B163"/>
      <c r="C163"/>
      <c r="D163"/>
      <c r="E163"/>
      <c r="F163"/>
    </row>
    <row r="164" spans="2:6" x14ac:dyDescent="0.25">
      <c r="B164"/>
      <c r="C164"/>
      <c r="D164"/>
      <c r="E164"/>
      <c r="F164"/>
    </row>
    <row r="165" spans="2:6" x14ac:dyDescent="0.25">
      <c r="B165"/>
      <c r="C165"/>
      <c r="D165"/>
      <c r="E165"/>
      <c r="F165"/>
    </row>
    <row r="166" spans="2:6" x14ac:dyDescent="0.25">
      <c r="B166"/>
      <c r="C166"/>
      <c r="D166"/>
      <c r="E166"/>
      <c r="F166"/>
    </row>
    <row r="167" spans="2:6" x14ac:dyDescent="0.25">
      <c r="B167"/>
      <c r="C167"/>
      <c r="D167"/>
      <c r="E167"/>
      <c r="F167"/>
    </row>
    <row r="168" spans="2:6" x14ac:dyDescent="0.25">
      <c r="B168"/>
      <c r="C168"/>
      <c r="D168"/>
      <c r="E168"/>
      <c r="F168"/>
    </row>
    <row r="169" spans="2:6" x14ac:dyDescent="0.25">
      <c r="B169"/>
      <c r="C169"/>
      <c r="D169"/>
      <c r="E169"/>
      <c r="F169"/>
    </row>
    <row r="170" spans="2:6" x14ac:dyDescent="0.25">
      <c r="B170"/>
      <c r="C170"/>
      <c r="D170"/>
      <c r="E170"/>
      <c r="F170"/>
    </row>
    <row r="171" spans="2:6" x14ac:dyDescent="0.25">
      <c r="B171"/>
      <c r="C171"/>
      <c r="D171"/>
      <c r="E171"/>
      <c r="F171"/>
    </row>
    <row r="172" spans="2:6" x14ac:dyDescent="0.25">
      <c r="B172"/>
      <c r="C172"/>
      <c r="D172"/>
      <c r="E172"/>
      <c r="F172"/>
    </row>
    <row r="173" spans="2:6" x14ac:dyDescent="0.25">
      <c r="B173"/>
      <c r="C173"/>
      <c r="D173"/>
      <c r="E173"/>
      <c r="F173"/>
    </row>
    <row r="174" spans="2:6" x14ac:dyDescent="0.25">
      <c r="B174"/>
      <c r="C174"/>
      <c r="D174"/>
      <c r="E174"/>
      <c r="F174"/>
    </row>
    <row r="175" spans="2:6" x14ac:dyDescent="0.25">
      <c r="B175"/>
      <c r="C175"/>
      <c r="D175"/>
      <c r="E175"/>
      <c r="F175"/>
    </row>
    <row r="176" spans="2:6" x14ac:dyDescent="0.25">
      <c r="B176"/>
      <c r="C176"/>
      <c r="D176"/>
      <c r="E176"/>
      <c r="F176"/>
    </row>
    <row r="177" spans="2:6" x14ac:dyDescent="0.25">
      <c r="B177"/>
      <c r="C177"/>
      <c r="D177"/>
      <c r="E177"/>
      <c r="F177"/>
    </row>
    <row r="178" spans="2:6" x14ac:dyDescent="0.25">
      <c r="B178"/>
      <c r="C178"/>
      <c r="D178"/>
      <c r="E178"/>
      <c r="F178"/>
    </row>
    <row r="179" spans="2:6" x14ac:dyDescent="0.25">
      <c r="B179"/>
      <c r="C179"/>
      <c r="D179"/>
      <c r="E179"/>
      <c r="F179"/>
    </row>
    <row r="180" spans="2:6" x14ac:dyDescent="0.25">
      <c r="B180"/>
      <c r="C180"/>
      <c r="D180"/>
      <c r="E180"/>
      <c r="F180"/>
    </row>
    <row r="181" spans="2:6" x14ac:dyDescent="0.25">
      <c r="B181"/>
      <c r="C181"/>
      <c r="D181"/>
      <c r="E181"/>
      <c r="F181"/>
    </row>
    <row r="182" spans="2:6" x14ac:dyDescent="0.25">
      <c r="B182"/>
      <c r="C182"/>
      <c r="D182"/>
      <c r="E182"/>
      <c r="F182"/>
    </row>
    <row r="183" spans="2:6" x14ac:dyDescent="0.25">
      <c r="B183"/>
      <c r="C183"/>
      <c r="D183"/>
      <c r="E183"/>
      <c r="F183"/>
    </row>
    <row r="184" spans="2:6" x14ac:dyDescent="0.25">
      <c r="B184"/>
      <c r="C184"/>
      <c r="D184"/>
      <c r="E184"/>
      <c r="F184"/>
    </row>
    <row r="185" spans="2:6" x14ac:dyDescent="0.25">
      <c r="B185"/>
      <c r="C185"/>
      <c r="D185"/>
      <c r="E185"/>
      <c r="F185"/>
    </row>
    <row r="186" spans="2:6" x14ac:dyDescent="0.25">
      <c r="B186"/>
      <c r="C186"/>
      <c r="D186"/>
      <c r="E186"/>
      <c r="F186"/>
    </row>
    <row r="187" spans="2:6" x14ac:dyDescent="0.25">
      <c r="B187"/>
      <c r="C187"/>
      <c r="D187"/>
      <c r="E187"/>
      <c r="F187"/>
    </row>
    <row r="188" spans="2:6" x14ac:dyDescent="0.25">
      <c r="B188"/>
      <c r="C188"/>
      <c r="D188"/>
      <c r="E188"/>
      <c r="F188"/>
    </row>
    <row r="189" spans="2:6" x14ac:dyDescent="0.25">
      <c r="B189"/>
      <c r="C189"/>
      <c r="D189"/>
      <c r="E189"/>
      <c r="F189"/>
    </row>
    <row r="190" spans="2:6" x14ac:dyDescent="0.25">
      <c r="B190"/>
      <c r="C190"/>
      <c r="D190"/>
      <c r="E190"/>
      <c r="F190"/>
    </row>
    <row r="191" spans="2:6" x14ac:dyDescent="0.25">
      <c r="B191"/>
      <c r="C191"/>
      <c r="D191"/>
      <c r="E191"/>
      <c r="F191"/>
    </row>
    <row r="192" spans="2:6" x14ac:dyDescent="0.25">
      <c r="B192"/>
      <c r="C192"/>
      <c r="D192"/>
      <c r="E192"/>
      <c r="F192"/>
    </row>
    <row r="193" spans="2:6" x14ac:dyDescent="0.25">
      <c r="B193"/>
      <c r="C193"/>
      <c r="D193"/>
      <c r="E193"/>
      <c r="F193"/>
    </row>
    <row r="194" spans="2:6" x14ac:dyDescent="0.25">
      <c r="B194"/>
      <c r="C194"/>
      <c r="D194"/>
      <c r="E194"/>
      <c r="F194"/>
    </row>
    <row r="195" spans="2:6" x14ac:dyDescent="0.25">
      <c r="B195"/>
      <c r="C195"/>
      <c r="D195"/>
      <c r="E195"/>
      <c r="F195"/>
    </row>
    <row r="196" spans="2:6" x14ac:dyDescent="0.25">
      <c r="B196"/>
      <c r="C196"/>
      <c r="D196"/>
      <c r="E196"/>
      <c r="F196"/>
    </row>
    <row r="197" spans="2:6" x14ac:dyDescent="0.25">
      <c r="B197"/>
      <c r="C197"/>
      <c r="D197"/>
      <c r="E197"/>
      <c r="F197"/>
    </row>
    <row r="198" spans="2:6" x14ac:dyDescent="0.25">
      <c r="B198"/>
      <c r="C198"/>
      <c r="D198"/>
      <c r="E198"/>
      <c r="F198"/>
    </row>
    <row r="199" spans="2:6" x14ac:dyDescent="0.25">
      <c r="B199"/>
      <c r="C199"/>
      <c r="D199"/>
      <c r="E199"/>
      <c r="F199"/>
    </row>
    <row r="200" spans="2:6" x14ac:dyDescent="0.25">
      <c r="B200"/>
      <c r="C200"/>
      <c r="D200"/>
      <c r="E200"/>
      <c r="F200"/>
    </row>
    <row r="201" spans="2:6" x14ac:dyDescent="0.25">
      <c r="B201"/>
      <c r="C201"/>
      <c r="D201"/>
      <c r="E201"/>
      <c r="F201"/>
    </row>
    <row r="202" spans="2:6" x14ac:dyDescent="0.25">
      <c r="B202"/>
      <c r="C202"/>
      <c r="D202"/>
      <c r="E202"/>
      <c r="F202"/>
    </row>
    <row r="203" spans="2:6" x14ac:dyDescent="0.25">
      <c r="B203"/>
      <c r="C203"/>
      <c r="D203"/>
      <c r="E203"/>
      <c r="F203"/>
    </row>
    <row r="204" spans="2:6" x14ac:dyDescent="0.25">
      <c r="B204"/>
      <c r="C204"/>
      <c r="D204"/>
      <c r="E204"/>
      <c r="F204"/>
    </row>
    <row r="205" spans="2:6" x14ac:dyDescent="0.25">
      <c r="B205"/>
      <c r="C205"/>
      <c r="D205"/>
      <c r="E205"/>
      <c r="F205"/>
    </row>
    <row r="206" spans="2:6" x14ac:dyDescent="0.25">
      <c r="B206"/>
      <c r="C206"/>
      <c r="D206"/>
      <c r="E206"/>
      <c r="F206"/>
    </row>
    <row r="207" spans="2:6" x14ac:dyDescent="0.25">
      <c r="B207"/>
      <c r="C207"/>
      <c r="D207"/>
      <c r="E207"/>
      <c r="F207"/>
    </row>
    <row r="208" spans="2:6" x14ac:dyDescent="0.25">
      <c r="B208"/>
      <c r="C208"/>
      <c r="D208"/>
      <c r="E208"/>
      <c r="F208"/>
    </row>
    <row r="209" spans="2:6" x14ac:dyDescent="0.25">
      <c r="B209"/>
      <c r="C209"/>
      <c r="D209"/>
      <c r="E209"/>
      <c r="F209"/>
    </row>
    <row r="210" spans="2:6" x14ac:dyDescent="0.25">
      <c r="B210"/>
      <c r="C210"/>
      <c r="D210"/>
      <c r="E210"/>
      <c r="F210"/>
    </row>
    <row r="211" spans="2:6" x14ac:dyDescent="0.25">
      <c r="B211"/>
      <c r="C211"/>
      <c r="D211"/>
      <c r="E211"/>
      <c r="F211"/>
    </row>
    <row r="212" spans="2:6" x14ac:dyDescent="0.25">
      <c r="B212"/>
      <c r="C212"/>
      <c r="D212"/>
      <c r="E212"/>
      <c r="F212"/>
    </row>
    <row r="213" spans="2:6" x14ac:dyDescent="0.25">
      <c r="B213"/>
      <c r="C213"/>
      <c r="D213"/>
      <c r="E213"/>
      <c r="F213"/>
    </row>
    <row r="214" spans="2:6" x14ac:dyDescent="0.25">
      <c r="B214"/>
      <c r="C214"/>
      <c r="D214"/>
      <c r="E214"/>
      <c r="F214"/>
    </row>
    <row r="215" spans="2:6" x14ac:dyDescent="0.25">
      <c r="B215"/>
      <c r="C215"/>
      <c r="D215"/>
      <c r="E215"/>
      <c r="F215"/>
    </row>
    <row r="216" spans="2:6" x14ac:dyDescent="0.25">
      <c r="B216"/>
      <c r="C216"/>
      <c r="D216"/>
      <c r="E216"/>
      <c r="F216"/>
    </row>
    <row r="217" spans="2:6" x14ac:dyDescent="0.25">
      <c r="B217"/>
      <c r="C217"/>
      <c r="D217"/>
      <c r="E217"/>
      <c r="F217"/>
    </row>
    <row r="218" spans="2:6" x14ac:dyDescent="0.25">
      <c r="B218"/>
      <c r="C218"/>
      <c r="D218"/>
      <c r="E218"/>
      <c r="F218"/>
    </row>
    <row r="219" spans="2:6" x14ac:dyDescent="0.25">
      <c r="B219"/>
      <c r="C219"/>
      <c r="D219"/>
      <c r="E219"/>
      <c r="F219"/>
    </row>
    <row r="220" spans="2:6" x14ac:dyDescent="0.25">
      <c r="B220"/>
      <c r="C220"/>
      <c r="D220"/>
      <c r="E220"/>
      <c r="F220"/>
    </row>
    <row r="221" spans="2:6" x14ac:dyDescent="0.25">
      <c r="B221"/>
      <c r="C221"/>
      <c r="D221"/>
      <c r="E221"/>
      <c r="F221"/>
    </row>
    <row r="222" spans="2:6" x14ac:dyDescent="0.25">
      <c r="B222"/>
      <c r="C222"/>
      <c r="D222"/>
      <c r="E222"/>
      <c r="F222"/>
    </row>
    <row r="223" spans="2:6" x14ac:dyDescent="0.25">
      <c r="B223"/>
      <c r="C223"/>
      <c r="D223"/>
      <c r="E223"/>
      <c r="F223"/>
    </row>
    <row r="224" spans="2:6" x14ac:dyDescent="0.25">
      <c r="B224"/>
      <c r="C224"/>
      <c r="D224"/>
      <c r="E224"/>
      <c r="F224"/>
    </row>
    <row r="225" spans="2:6" x14ac:dyDescent="0.25">
      <c r="B225"/>
      <c r="C225"/>
      <c r="D225"/>
      <c r="E225"/>
      <c r="F225"/>
    </row>
    <row r="226" spans="2:6" x14ac:dyDescent="0.25">
      <c r="B226"/>
      <c r="C226"/>
      <c r="D226"/>
      <c r="E226"/>
      <c r="F226"/>
    </row>
    <row r="227" spans="2:6" x14ac:dyDescent="0.25">
      <c r="B227"/>
      <c r="C227"/>
      <c r="D227"/>
      <c r="E227"/>
      <c r="F227"/>
    </row>
    <row r="228" spans="2:6" x14ac:dyDescent="0.25">
      <c r="B228"/>
      <c r="C228"/>
      <c r="D228"/>
      <c r="E228"/>
      <c r="F228"/>
    </row>
    <row r="229" spans="2:6" x14ac:dyDescent="0.25">
      <c r="B229"/>
      <c r="C229"/>
      <c r="D229"/>
      <c r="E229"/>
      <c r="F229"/>
    </row>
    <row r="230" spans="2:6" x14ac:dyDescent="0.25">
      <c r="B230"/>
      <c r="C230"/>
      <c r="D230"/>
      <c r="E230"/>
      <c r="F230"/>
    </row>
    <row r="231" spans="2:6" x14ac:dyDescent="0.25">
      <c r="B231"/>
      <c r="C231"/>
      <c r="D231"/>
      <c r="E231"/>
      <c r="F231"/>
    </row>
    <row r="232" spans="2:6" x14ac:dyDescent="0.25">
      <c r="B232"/>
      <c r="C232"/>
      <c r="D232"/>
      <c r="E232"/>
      <c r="F232"/>
    </row>
    <row r="233" spans="2:6" x14ac:dyDescent="0.25">
      <c r="B233"/>
      <c r="C233"/>
      <c r="D233"/>
      <c r="E233"/>
      <c r="F233"/>
    </row>
    <row r="234" spans="2:6" x14ac:dyDescent="0.25">
      <c r="B234"/>
      <c r="C234"/>
      <c r="D234"/>
      <c r="E234"/>
      <c r="F234"/>
    </row>
    <row r="235" spans="2:6" x14ac:dyDescent="0.25">
      <c r="B235"/>
      <c r="C235"/>
      <c r="D235"/>
      <c r="E235"/>
      <c r="F235"/>
    </row>
    <row r="236" spans="2:6" x14ac:dyDescent="0.25">
      <c r="B236"/>
      <c r="C236"/>
      <c r="D236"/>
      <c r="E236"/>
      <c r="F236"/>
    </row>
    <row r="237" spans="2:6" x14ac:dyDescent="0.25">
      <c r="B237"/>
      <c r="C237"/>
      <c r="D237"/>
      <c r="E237"/>
      <c r="F237"/>
    </row>
    <row r="238" spans="2:6" x14ac:dyDescent="0.25">
      <c r="B238"/>
      <c r="C238"/>
      <c r="D238"/>
      <c r="E238"/>
      <c r="F238"/>
    </row>
    <row r="239" spans="2:6" x14ac:dyDescent="0.25">
      <c r="B239"/>
      <c r="C239"/>
      <c r="D239"/>
      <c r="E239"/>
      <c r="F239"/>
    </row>
    <row r="240" spans="2:6" x14ac:dyDescent="0.25">
      <c r="B240"/>
      <c r="C240"/>
      <c r="D240"/>
      <c r="E240"/>
      <c r="F240"/>
    </row>
    <row r="241" spans="2:6" x14ac:dyDescent="0.25">
      <c r="B241"/>
      <c r="C241"/>
      <c r="D241"/>
      <c r="E241"/>
      <c r="F241"/>
    </row>
    <row r="242" spans="2:6" x14ac:dyDescent="0.25">
      <c r="B242"/>
      <c r="C242"/>
      <c r="D242"/>
      <c r="E242"/>
      <c r="F242"/>
    </row>
    <row r="243" spans="2:6" x14ac:dyDescent="0.25">
      <c r="B243"/>
      <c r="C243"/>
      <c r="D243"/>
      <c r="E243"/>
      <c r="F243"/>
    </row>
    <row r="244" spans="2:6" x14ac:dyDescent="0.25">
      <c r="B244"/>
      <c r="C244"/>
      <c r="D244"/>
      <c r="E244"/>
      <c r="F244"/>
    </row>
    <row r="245" spans="2:6" x14ac:dyDescent="0.25">
      <c r="B245"/>
      <c r="C245"/>
      <c r="D245"/>
      <c r="E245"/>
      <c r="F245"/>
    </row>
    <row r="246" spans="2:6" x14ac:dyDescent="0.25">
      <c r="B246"/>
      <c r="C246"/>
      <c r="D246"/>
      <c r="E246"/>
      <c r="F246"/>
    </row>
    <row r="247" spans="2:6" x14ac:dyDescent="0.25">
      <c r="B247"/>
      <c r="C247"/>
      <c r="D247"/>
      <c r="E247"/>
      <c r="F247"/>
    </row>
    <row r="248" spans="2:6" x14ac:dyDescent="0.25">
      <c r="B248"/>
      <c r="C248"/>
      <c r="D248"/>
      <c r="E248"/>
      <c r="F248"/>
    </row>
    <row r="249" spans="2:6" x14ac:dyDescent="0.25">
      <c r="B249"/>
      <c r="C249"/>
      <c r="D249"/>
      <c r="E249"/>
      <c r="F249"/>
    </row>
    <row r="250" spans="2:6" x14ac:dyDescent="0.25">
      <c r="B250"/>
      <c r="C250"/>
      <c r="D250"/>
      <c r="E250"/>
      <c r="F250"/>
    </row>
    <row r="251" spans="2:6" x14ac:dyDescent="0.25">
      <c r="B251"/>
      <c r="C251"/>
      <c r="D251"/>
      <c r="E251"/>
      <c r="F251"/>
    </row>
    <row r="252" spans="2:6" x14ac:dyDescent="0.25">
      <c r="B252"/>
      <c r="C252"/>
      <c r="D252"/>
      <c r="E252"/>
      <c r="F252"/>
    </row>
    <row r="253" spans="2:6" x14ac:dyDescent="0.25">
      <c r="B253"/>
      <c r="C253"/>
      <c r="D253"/>
      <c r="E253"/>
      <c r="F253"/>
    </row>
    <row r="254" spans="2:6" x14ac:dyDescent="0.25">
      <c r="B254"/>
      <c r="C254"/>
      <c r="D254"/>
      <c r="E254"/>
      <c r="F254"/>
    </row>
    <row r="255" spans="2:6" x14ac:dyDescent="0.25">
      <c r="B255"/>
      <c r="C255"/>
      <c r="D255"/>
      <c r="E255"/>
      <c r="F255"/>
    </row>
    <row r="256" spans="2:6" x14ac:dyDescent="0.25">
      <c r="B256"/>
      <c r="C256"/>
      <c r="D256"/>
      <c r="E256"/>
      <c r="F256"/>
    </row>
    <row r="257" spans="2:6" x14ac:dyDescent="0.25">
      <c r="B257"/>
      <c r="C257"/>
      <c r="D257"/>
      <c r="E257"/>
      <c r="F257"/>
    </row>
    <row r="258" spans="2:6" x14ac:dyDescent="0.25">
      <c r="B258"/>
      <c r="C258"/>
      <c r="D258"/>
      <c r="E258"/>
      <c r="F258"/>
    </row>
    <row r="259" spans="2:6" x14ac:dyDescent="0.25">
      <c r="B259"/>
      <c r="C259"/>
      <c r="D259"/>
      <c r="E259"/>
      <c r="F259"/>
    </row>
    <row r="260" spans="2:6" x14ac:dyDescent="0.25">
      <c r="B260"/>
      <c r="C260"/>
      <c r="D260"/>
      <c r="E260"/>
      <c r="F260"/>
    </row>
    <row r="261" spans="2:6" x14ac:dyDescent="0.25">
      <c r="B261"/>
      <c r="C261"/>
      <c r="D261"/>
      <c r="E261"/>
      <c r="F261"/>
    </row>
    <row r="262" spans="2:6" x14ac:dyDescent="0.25">
      <c r="B262"/>
      <c r="C262"/>
      <c r="D262"/>
      <c r="E262"/>
      <c r="F262"/>
    </row>
    <row r="263" spans="2:6" x14ac:dyDescent="0.25">
      <c r="B263"/>
      <c r="C263"/>
      <c r="D263"/>
      <c r="E263"/>
      <c r="F263"/>
    </row>
    <row r="264" spans="2:6" x14ac:dyDescent="0.25">
      <c r="B264"/>
      <c r="C264"/>
      <c r="D264"/>
      <c r="E264"/>
      <c r="F264"/>
    </row>
    <row r="265" spans="2:6" x14ac:dyDescent="0.25">
      <c r="B265"/>
      <c r="C265"/>
      <c r="D265"/>
      <c r="E265"/>
      <c r="F265"/>
    </row>
    <row r="266" spans="2:6" x14ac:dyDescent="0.25">
      <c r="B266"/>
      <c r="C266"/>
      <c r="D266"/>
      <c r="E266"/>
      <c r="F266"/>
    </row>
    <row r="267" spans="2:6" x14ac:dyDescent="0.25">
      <c r="B267"/>
      <c r="C267"/>
      <c r="D267"/>
      <c r="E267"/>
      <c r="F267"/>
    </row>
    <row r="268" spans="2:6" x14ac:dyDescent="0.25">
      <c r="B268"/>
      <c r="C268"/>
      <c r="D268"/>
      <c r="E268"/>
      <c r="F268"/>
    </row>
    <row r="269" spans="2:6" x14ac:dyDescent="0.25">
      <c r="B269"/>
      <c r="C269"/>
      <c r="D269"/>
      <c r="E269"/>
      <c r="F269"/>
    </row>
    <row r="270" spans="2:6" x14ac:dyDescent="0.25">
      <c r="B270"/>
      <c r="C270"/>
      <c r="D270"/>
      <c r="E270"/>
      <c r="F270"/>
    </row>
    <row r="271" spans="2:6" x14ac:dyDescent="0.25">
      <c r="B271"/>
      <c r="C271"/>
      <c r="D271"/>
      <c r="E271"/>
      <c r="F271"/>
    </row>
    <row r="272" spans="2:6" x14ac:dyDescent="0.25">
      <c r="B272"/>
      <c r="C272"/>
      <c r="D272"/>
      <c r="E272"/>
      <c r="F272"/>
    </row>
    <row r="273" spans="2:6" x14ac:dyDescent="0.25">
      <c r="B273"/>
      <c r="C273"/>
      <c r="D273"/>
      <c r="E273"/>
      <c r="F273"/>
    </row>
    <row r="274" spans="2:6" x14ac:dyDescent="0.25">
      <c r="B274"/>
      <c r="C274"/>
      <c r="D274"/>
      <c r="E274"/>
      <c r="F274"/>
    </row>
    <row r="275" spans="2:6" x14ac:dyDescent="0.25">
      <c r="B275"/>
      <c r="C275"/>
      <c r="D275"/>
      <c r="E275"/>
      <c r="F275"/>
    </row>
    <row r="276" spans="2:6" x14ac:dyDescent="0.25">
      <c r="B276"/>
      <c r="C276"/>
      <c r="D276"/>
      <c r="E276"/>
      <c r="F276"/>
    </row>
    <row r="277" spans="2:6" x14ac:dyDescent="0.25">
      <c r="B277"/>
      <c r="C277"/>
      <c r="D277"/>
      <c r="E277"/>
      <c r="F277"/>
    </row>
    <row r="278" spans="2:6" x14ac:dyDescent="0.25">
      <c r="B278"/>
      <c r="C278"/>
      <c r="D278"/>
      <c r="E278"/>
      <c r="F278"/>
    </row>
    <row r="279" spans="2:6" x14ac:dyDescent="0.25">
      <c r="B279"/>
      <c r="C279"/>
      <c r="D279"/>
      <c r="E279"/>
      <c r="F279"/>
    </row>
    <row r="280" spans="2:6" x14ac:dyDescent="0.25">
      <c r="B280"/>
      <c r="C280"/>
      <c r="D280"/>
      <c r="E280"/>
      <c r="F280"/>
    </row>
    <row r="281" spans="2:6" x14ac:dyDescent="0.25">
      <c r="B281"/>
      <c r="C281"/>
      <c r="D281"/>
      <c r="E281"/>
      <c r="F281"/>
    </row>
    <row r="282" spans="2:6" x14ac:dyDescent="0.25">
      <c r="B282"/>
      <c r="C282"/>
      <c r="D282"/>
      <c r="E282"/>
      <c r="F282"/>
    </row>
    <row r="283" spans="2:6" x14ac:dyDescent="0.25">
      <c r="B283"/>
      <c r="C283"/>
      <c r="D283"/>
      <c r="E283"/>
      <c r="F283"/>
    </row>
    <row r="284" spans="2:6" x14ac:dyDescent="0.25">
      <c r="B284"/>
      <c r="C284"/>
      <c r="D284"/>
      <c r="E284"/>
      <c r="F284"/>
    </row>
    <row r="285" spans="2:6" x14ac:dyDescent="0.25">
      <c r="B285"/>
      <c r="C285"/>
      <c r="D285"/>
      <c r="E285"/>
      <c r="F285"/>
    </row>
    <row r="286" spans="2:6" x14ac:dyDescent="0.25">
      <c r="B286"/>
      <c r="C286"/>
      <c r="D286"/>
      <c r="E286"/>
      <c r="F286"/>
    </row>
    <row r="287" spans="2:6" x14ac:dyDescent="0.25">
      <c r="B287"/>
      <c r="C287"/>
      <c r="D287"/>
      <c r="E287"/>
      <c r="F287"/>
    </row>
    <row r="288" spans="2:6" x14ac:dyDescent="0.25">
      <c r="B288"/>
      <c r="C288"/>
      <c r="D288"/>
      <c r="E288"/>
      <c r="F288"/>
    </row>
    <row r="289" spans="2:6" x14ac:dyDescent="0.25">
      <c r="B289"/>
      <c r="C289"/>
      <c r="D289"/>
      <c r="E289"/>
      <c r="F289"/>
    </row>
    <row r="290" spans="2:6" x14ac:dyDescent="0.25">
      <c r="B290"/>
      <c r="C290"/>
      <c r="D290"/>
      <c r="E290"/>
      <c r="F290"/>
    </row>
    <row r="291" spans="2:6" x14ac:dyDescent="0.25">
      <c r="B291"/>
      <c r="C291"/>
      <c r="D291"/>
      <c r="E291"/>
      <c r="F291"/>
    </row>
    <row r="292" spans="2:6" x14ac:dyDescent="0.25">
      <c r="B292"/>
      <c r="C292"/>
      <c r="D292"/>
      <c r="E292"/>
      <c r="F292"/>
    </row>
    <row r="293" spans="2:6" x14ac:dyDescent="0.25">
      <c r="B293"/>
      <c r="C293"/>
      <c r="D293"/>
      <c r="E293"/>
      <c r="F293"/>
    </row>
    <row r="294" spans="2:6" x14ac:dyDescent="0.25">
      <c r="B294"/>
      <c r="C294"/>
      <c r="D294"/>
      <c r="E294"/>
      <c r="F294"/>
    </row>
    <row r="295" spans="2:6" x14ac:dyDescent="0.25">
      <c r="B295"/>
      <c r="C295"/>
      <c r="D295"/>
      <c r="E295"/>
      <c r="F295"/>
    </row>
    <row r="296" spans="2:6" x14ac:dyDescent="0.25">
      <c r="B296"/>
      <c r="C296"/>
      <c r="D296"/>
      <c r="E296"/>
      <c r="F296"/>
    </row>
    <row r="297" spans="2:6" x14ac:dyDescent="0.25">
      <c r="B297"/>
      <c r="C297"/>
      <c r="D297"/>
      <c r="E297"/>
      <c r="F297"/>
    </row>
    <row r="298" spans="2:6" x14ac:dyDescent="0.25">
      <c r="B298"/>
      <c r="C298"/>
      <c r="D298"/>
      <c r="E298"/>
      <c r="F298"/>
    </row>
    <row r="299" spans="2:6" x14ac:dyDescent="0.25">
      <c r="B299"/>
      <c r="C299"/>
      <c r="D299"/>
      <c r="E299"/>
      <c r="F299"/>
    </row>
    <row r="300" spans="2:6" x14ac:dyDescent="0.25">
      <c r="B300"/>
      <c r="C300"/>
      <c r="D300"/>
      <c r="E300"/>
      <c r="F300"/>
    </row>
    <row r="301" spans="2:6" x14ac:dyDescent="0.25">
      <c r="B301"/>
      <c r="C301"/>
      <c r="D301"/>
      <c r="E301"/>
      <c r="F301"/>
    </row>
    <row r="302" spans="2:6" x14ac:dyDescent="0.25">
      <c r="B302"/>
      <c r="C302"/>
      <c r="D302"/>
      <c r="E302"/>
      <c r="F302"/>
    </row>
    <row r="303" spans="2:6" x14ac:dyDescent="0.25">
      <c r="B303"/>
      <c r="C303"/>
      <c r="D303"/>
      <c r="E303"/>
      <c r="F303"/>
    </row>
    <row r="304" spans="2:6" x14ac:dyDescent="0.25">
      <c r="B304"/>
      <c r="C304"/>
      <c r="D304"/>
      <c r="E304"/>
      <c r="F304"/>
    </row>
    <row r="305" spans="2:6" x14ac:dyDescent="0.25">
      <c r="B305"/>
      <c r="C305"/>
      <c r="D305"/>
      <c r="E305"/>
      <c r="F305"/>
    </row>
    <row r="306" spans="2:6" x14ac:dyDescent="0.25">
      <c r="B306"/>
      <c r="C306"/>
      <c r="D306"/>
      <c r="E306"/>
      <c r="F306"/>
    </row>
    <row r="307" spans="2:6" x14ac:dyDescent="0.25">
      <c r="B307"/>
      <c r="C307"/>
      <c r="D307"/>
      <c r="E307"/>
      <c r="F307"/>
    </row>
    <row r="308" spans="2:6" x14ac:dyDescent="0.25">
      <c r="B308"/>
      <c r="C308"/>
      <c r="D308"/>
      <c r="E308"/>
      <c r="F308"/>
    </row>
    <row r="309" spans="2:6" x14ac:dyDescent="0.25">
      <c r="B309"/>
      <c r="C309"/>
      <c r="D309"/>
      <c r="E309"/>
      <c r="F309"/>
    </row>
    <row r="310" spans="2:6" x14ac:dyDescent="0.25">
      <c r="B310"/>
      <c r="C310"/>
      <c r="D310"/>
      <c r="E310"/>
      <c r="F310"/>
    </row>
    <row r="311" spans="2:6" x14ac:dyDescent="0.25">
      <c r="B311"/>
      <c r="C311"/>
      <c r="D311"/>
      <c r="E311"/>
      <c r="F311"/>
    </row>
    <row r="312" spans="2:6" x14ac:dyDescent="0.25">
      <c r="B312"/>
      <c r="C312"/>
      <c r="D312"/>
      <c r="E312"/>
      <c r="F312"/>
    </row>
    <row r="313" spans="2:6" x14ac:dyDescent="0.25">
      <c r="B313"/>
      <c r="C313"/>
      <c r="D313"/>
      <c r="E313"/>
      <c r="F313"/>
    </row>
    <row r="314" spans="2:6" x14ac:dyDescent="0.25">
      <c r="B314"/>
      <c r="C314"/>
      <c r="D314"/>
      <c r="E314"/>
      <c r="F314"/>
    </row>
    <row r="315" spans="2:6" x14ac:dyDescent="0.25">
      <c r="B315"/>
      <c r="C315"/>
      <c r="D315"/>
      <c r="E315"/>
      <c r="F315"/>
    </row>
    <row r="316" spans="2:6" x14ac:dyDescent="0.25">
      <c r="B316"/>
      <c r="C316"/>
      <c r="D316"/>
      <c r="E316"/>
      <c r="F316"/>
    </row>
    <row r="317" spans="2:6" x14ac:dyDescent="0.25">
      <c r="B317"/>
      <c r="C317"/>
      <c r="D317"/>
      <c r="E317"/>
      <c r="F317"/>
    </row>
    <row r="318" spans="2:6" x14ac:dyDescent="0.25">
      <c r="B318"/>
      <c r="C318"/>
      <c r="D318"/>
      <c r="E318"/>
      <c r="F318"/>
    </row>
    <row r="319" spans="2:6" x14ac:dyDescent="0.25">
      <c r="B319"/>
      <c r="C319"/>
      <c r="D319"/>
      <c r="E319"/>
      <c r="F319"/>
    </row>
    <row r="320" spans="2:6" x14ac:dyDescent="0.25">
      <c r="B320"/>
      <c r="C320"/>
      <c r="D320"/>
      <c r="E320"/>
      <c r="F320"/>
    </row>
    <row r="321" spans="2:6" x14ac:dyDescent="0.25">
      <c r="B321"/>
      <c r="C321"/>
      <c r="D321"/>
      <c r="E321"/>
      <c r="F321"/>
    </row>
    <row r="322" spans="2:6" x14ac:dyDescent="0.25">
      <c r="B322"/>
      <c r="C322"/>
      <c r="D322"/>
      <c r="E322"/>
      <c r="F322"/>
    </row>
    <row r="323" spans="2:6" x14ac:dyDescent="0.25">
      <c r="B323"/>
      <c r="C323"/>
      <c r="D323"/>
      <c r="E323"/>
      <c r="F323"/>
    </row>
    <row r="324" spans="2:6" x14ac:dyDescent="0.25">
      <c r="B324"/>
      <c r="C324"/>
      <c r="D324"/>
      <c r="E324"/>
      <c r="F324"/>
    </row>
    <row r="325" spans="2:6" x14ac:dyDescent="0.25">
      <c r="B325"/>
      <c r="C325"/>
      <c r="D325"/>
      <c r="E325"/>
      <c r="F325"/>
    </row>
    <row r="326" spans="2:6" x14ac:dyDescent="0.25">
      <c r="B326"/>
      <c r="C326"/>
      <c r="D326"/>
      <c r="E326"/>
      <c r="F326"/>
    </row>
    <row r="327" spans="2:6" x14ac:dyDescent="0.25">
      <c r="B327"/>
      <c r="C327"/>
      <c r="D327"/>
      <c r="E327"/>
      <c r="F327"/>
    </row>
    <row r="328" spans="2:6" x14ac:dyDescent="0.25">
      <c r="B328"/>
      <c r="C328"/>
      <c r="D328"/>
      <c r="E328"/>
      <c r="F328"/>
    </row>
    <row r="329" spans="2:6" x14ac:dyDescent="0.25">
      <c r="B329"/>
      <c r="C329"/>
      <c r="D329"/>
      <c r="E329"/>
      <c r="F329"/>
    </row>
    <row r="330" spans="2:6" x14ac:dyDescent="0.25">
      <c r="B330"/>
      <c r="C330"/>
      <c r="D330"/>
      <c r="E330"/>
      <c r="F330"/>
    </row>
    <row r="331" spans="2:6" x14ac:dyDescent="0.25">
      <c r="B331"/>
      <c r="C331"/>
      <c r="D331"/>
      <c r="E331"/>
      <c r="F331"/>
    </row>
    <row r="332" spans="2:6" x14ac:dyDescent="0.25">
      <c r="B332"/>
      <c r="C332"/>
      <c r="D332"/>
      <c r="E332"/>
      <c r="F332"/>
    </row>
    <row r="333" spans="2:6" x14ac:dyDescent="0.25">
      <c r="B333"/>
      <c r="C333"/>
      <c r="D333"/>
      <c r="E333"/>
      <c r="F333"/>
    </row>
    <row r="334" spans="2:6" x14ac:dyDescent="0.25">
      <c r="B334"/>
      <c r="C334"/>
      <c r="D334"/>
      <c r="E334"/>
      <c r="F334"/>
    </row>
    <row r="335" spans="2:6" x14ac:dyDescent="0.25">
      <c r="B335"/>
      <c r="C335"/>
      <c r="D335"/>
      <c r="E335"/>
      <c r="F335"/>
    </row>
    <row r="336" spans="2:6" x14ac:dyDescent="0.25">
      <c r="B336"/>
      <c r="C336"/>
      <c r="D336"/>
      <c r="E336"/>
      <c r="F336"/>
    </row>
    <row r="337" spans="2:6" x14ac:dyDescent="0.25">
      <c r="B337"/>
      <c r="C337"/>
      <c r="D337"/>
      <c r="E337"/>
      <c r="F337"/>
    </row>
    <row r="338" spans="2:6" x14ac:dyDescent="0.25">
      <c r="B338"/>
      <c r="C338"/>
      <c r="D338"/>
      <c r="E338"/>
      <c r="F338"/>
    </row>
    <row r="339" spans="2:6" x14ac:dyDescent="0.25">
      <c r="B339"/>
      <c r="C339"/>
      <c r="D339"/>
      <c r="E339"/>
      <c r="F339"/>
    </row>
    <row r="340" spans="2:6" x14ac:dyDescent="0.25">
      <c r="B340"/>
      <c r="C340"/>
      <c r="D340"/>
      <c r="E340"/>
      <c r="F340"/>
    </row>
    <row r="341" spans="2:6" x14ac:dyDescent="0.25">
      <c r="B341"/>
      <c r="C341"/>
      <c r="D341"/>
      <c r="E341"/>
      <c r="F341"/>
    </row>
    <row r="342" spans="2:6" x14ac:dyDescent="0.25">
      <c r="B342"/>
      <c r="C342"/>
      <c r="D342"/>
      <c r="E342"/>
      <c r="F342"/>
    </row>
    <row r="343" spans="2:6" x14ac:dyDescent="0.25">
      <c r="B343"/>
      <c r="C343"/>
      <c r="D343"/>
      <c r="E343"/>
      <c r="F343"/>
    </row>
    <row r="344" spans="2:6" x14ac:dyDescent="0.25">
      <c r="B344"/>
      <c r="C344"/>
      <c r="D344"/>
      <c r="E344"/>
      <c r="F344"/>
    </row>
    <row r="345" spans="2:6" x14ac:dyDescent="0.25">
      <c r="B345"/>
      <c r="C345"/>
      <c r="D345"/>
      <c r="E345"/>
      <c r="F345"/>
    </row>
    <row r="346" spans="2:6" x14ac:dyDescent="0.25">
      <c r="B346"/>
      <c r="C346"/>
      <c r="D346"/>
      <c r="E346"/>
      <c r="F346"/>
    </row>
    <row r="347" spans="2:6" x14ac:dyDescent="0.25">
      <c r="B347"/>
      <c r="C347"/>
      <c r="D347"/>
      <c r="E347"/>
      <c r="F347"/>
    </row>
    <row r="348" spans="2:6" x14ac:dyDescent="0.25">
      <c r="B348"/>
      <c r="C348"/>
      <c r="D348"/>
      <c r="E348"/>
      <c r="F348"/>
    </row>
    <row r="349" spans="2:6" x14ac:dyDescent="0.25">
      <c r="B349"/>
      <c r="C349"/>
      <c r="D349"/>
      <c r="E349"/>
      <c r="F349"/>
    </row>
    <row r="350" spans="2:6" x14ac:dyDescent="0.25">
      <c r="B350"/>
      <c r="C350"/>
      <c r="D350"/>
      <c r="E350"/>
      <c r="F350"/>
    </row>
    <row r="351" spans="2:6" x14ac:dyDescent="0.25">
      <c r="B351"/>
      <c r="C351"/>
      <c r="D351"/>
      <c r="E351"/>
      <c r="F351"/>
    </row>
    <row r="352" spans="2:6" x14ac:dyDescent="0.25">
      <c r="B352"/>
      <c r="C352"/>
      <c r="D352"/>
      <c r="E352"/>
      <c r="F352"/>
    </row>
    <row r="353" spans="2:6" x14ac:dyDescent="0.25">
      <c r="B353"/>
      <c r="C353"/>
      <c r="D353"/>
      <c r="E353"/>
      <c r="F353"/>
    </row>
    <row r="354" spans="2:6" x14ac:dyDescent="0.25">
      <c r="B354"/>
      <c r="C354"/>
      <c r="D354"/>
      <c r="E354"/>
      <c r="F354"/>
    </row>
    <row r="355" spans="2:6" x14ac:dyDescent="0.25">
      <c r="B355"/>
      <c r="C355"/>
      <c r="D355"/>
      <c r="E355"/>
      <c r="F355"/>
    </row>
    <row r="356" spans="2:6" x14ac:dyDescent="0.25">
      <c r="B356"/>
      <c r="C356"/>
      <c r="D356"/>
      <c r="E356"/>
      <c r="F356"/>
    </row>
    <row r="357" spans="2:6" x14ac:dyDescent="0.25">
      <c r="B357"/>
      <c r="C357"/>
      <c r="D357"/>
      <c r="E357"/>
      <c r="F357"/>
    </row>
    <row r="358" spans="2:6" x14ac:dyDescent="0.25">
      <c r="B358"/>
      <c r="C358"/>
      <c r="D358"/>
      <c r="E358"/>
      <c r="F358"/>
    </row>
    <row r="359" spans="2:6" x14ac:dyDescent="0.25">
      <c r="B359"/>
      <c r="C359"/>
      <c r="D359"/>
      <c r="E359"/>
      <c r="F359"/>
    </row>
    <row r="360" spans="2:6" x14ac:dyDescent="0.25">
      <c r="B360"/>
      <c r="C360"/>
      <c r="D360"/>
      <c r="E360"/>
      <c r="F360"/>
    </row>
    <row r="361" spans="2:6" x14ac:dyDescent="0.25">
      <c r="B361"/>
      <c r="C361"/>
      <c r="D361"/>
      <c r="E361"/>
      <c r="F361"/>
    </row>
    <row r="362" spans="2:6" x14ac:dyDescent="0.25">
      <c r="B362"/>
      <c r="C362"/>
      <c r="D362"/>
      <c r="E362"/>
      <c r="F362"/>
    </row>
    <row r="363" spans="2:6" x14ac:dyDescent="0.25">
      <c r="B363"/>
      <c r="C363"/>
      <c r="D363"/>
      <c r="E363"/>
      <c r="F363"/>
    </row>
    <row r="364" spans="2:6" x14ac:dyDescent="0.25">
      <c r="B364"/>
      <c r="C364"/>
      <c r="D364"/>
      <c r="E364"/>
      <c r="F364"/>
    </row>
    <row r="365" spans="2:6" x14ac:dyDescent="0.25">
      <c r="B365"/>
      <c r="C365"/>
      <c r="D365"/>
      <c r="E365"/>
      <c r="F365"/>
    </row>
    <row r="366" spans="2:6" x14ac:dyDescent="0.25">
      <c r="B366"/>
      <c r="C366"/>
      <c r="D366"/>
      <c r="E366"/>
      <c r="F366"/>
    </row>
    <row r="367" spans="2:6" x14ac:dyDescent="0.25">
      <c r="B367"/>
      <c r="C367"/>
      <c r="D367"/>
      <c r="E367"/>
      <c r="F367"/>
    </row>
    <row r="368" spans="2:6" x14ac:dyDescent="0.25">
      <c r="B368"/>
      <c r="C368"/>
      <c r="D368"/>
      <c r="E368"/>
      <c r="F368"/>
    </row>
    <row r="369" spans="2:6" x14ac:dyDescent="0.25">
      <c r="B369"/>
      <c r="C369"/>
      <c r="D369"/>
      <c r="E369"/>
      <c r="F369"/>
    </row>
    <row r="370" spans="2:6" x14ac:dyDescent="0.25">
      <c r="B370"/>
      <c r="C370"/>
      <c r="D370"/>
      <c r="E370"/>
      <c r="F370"/>
    </row>
    <row r="371" spans="2:6" x14ac:dyDescent="0.25">
      <c r="B371"/>
      <c r="C371"/>
      <c r="D371"/>
      <c r="E371"/>
      <c r="F371"/>
    </row>
    <row r="372" spans="2:6" x14ac:dyDescent="0.25">
      <c r="B372"/>
      <c r="C372"/>
      <c r="D372"/>
      <c r="E372"/>
      <c r="F372"/>
    </row>
    <row r="373" spans="2:6" x14ac:dyDescent="0.25">
      <c r="B373"/>
      <c r="C373"/>
      <c r="D373"/>
      <c r="E373"/>
      <c r="F373"/>
    </row>
    <row r="374" spans="2:6" x14ac:dyDescent="0.25">
      <c r="B374"/>
      <c r="C374"/>
      <c r="D374"/>
      <c r="E374"/>
      <c r="F374"/>
    </row>
    <row r="375" spans="2:6" x14ac:dyDescent="0.25">
      <c r="B375"/>
      <c r="C375"/>
      <c r="D375"/>
      <c r="E375"/>
      <c r="F375"/>
    </row>
    <row r="376" spans="2:6" x14ac:dyDescent="0.25">
      <c r="B376"/>
      <c r="C376"/>
      <c r="D376"/>
      <c r="E376"/>
      <c r="F376"/>
    </row>
    <row r="377" spans="2:6" x14ac:dyDescent="0.25">
      <c r="B377"/>
      <c r="C377"/>
      <c r="D377"/>
      <c r="E377"/>
      <c r="F377"/>
    </row>
    <row r="378" spans="2:6" x14ac:dyDescent="0.25">
      <c r="B378"/>
      <c r="C378"/>
      <c r="D378"/>
      <c r="E378"/>
      <c r="F378"/>
    </row>
    <row r="379" spans="2:6" x14ac:dyDescent="0.25">
      <c r="B379"/>
      <c r="C379"/>
      <c r="D379"/>
      <c r="E379"/>
      <c r="F379"/>
    </row>
    <row r="380" spans="2:6" x14ac:dyDescent="0.25">
      <c r="B380"/>
      <c r="C380"/>
      <c r="D380"/>
      <c r="E380"/>
      <c r="F380"/>
    </row>
    <row r="381" spans="2:6" x14ac:dyDescent="0.25">
      <c r="B381"/>
      <c r="C381"/>
      <c r="D381"/>
      <c r="E381"/>
      <c r="F381"/>
    </row>
    <row r="382" spans="2:6" x14ac:dyDescent="0.25">
      <c r="B382"/>
      <c r="C382"/>
      <c r="D382"/>
      <c r="E382"/>
      <c r="F382"/>
    </row>
    <row r="383" spans="2:6" x14ac:dyDescent="0.25">
      <c r="B383"/>
      <c r="C383"/>
      <c r="D383"/>
      <c r="E383"/>
      <c r="F383"/>
    </row>
    <row r="384" spans="2:6" x14ac:dyDescent="0.25">
      <c r="B384"/>
      <c r="C384"/>
      <c r="D384"/>
      <c r="E384"/>
      <c r="F384"/>
    </row>
    <row r="385" spans="2:6" x14ac:dyDescent="0.25">
      <c r="B385"/>
      <c r="C385"/>
      <c r="D385"/>
      <c r="E385"/>
      <c r="F385"/>
    </row>
    <row r="386" spans="2:6" x14ac:dyDescent="0.25">
      <c r="B386"/>
      <c r="C386"/>
      <c r="D386"/>
      <c r="E386"/>
      <c r="F386"/>
    </row>
    <row r="387" spans="2:6" x14ac:dyDescent="0.25">
      <c r="B387"/>
      <c r="C387"/>
      <c r="D387"/>
      <c r="E387"/>
      <c r="F387"/>
    </row>
    <row r="388" spans="2:6" x14ac:dyDescent="0.25">
      <c r="B388"/>
      <c r="C388"/>
      <c r="D388"/>
      <c r="E388"/>
      <c r="F388"/>
    </row>
    <row r="389" spans="2:6" x14ac:dyDescent="0.25">
      <c r="B389"/>
      <c r="C389"/>
      <c r="D389"/>
      <c r="E389"/>
      <c r="F389"/>
    </row>
    <row r="390" spans="2:6" x14ac:dyDescent="0.25">
      <c r="B390"/>
      <c r="C390"/>
      <c r="D390"/>
      <c r="E390"/>
      <c r="F390"/>
    </row>
    <row r="391" spans="2:6" x14ac:dyDescent="0.25">
      <c r="B391"/>
      <c r="C391"/>
      <c r="D391"/>
      <c r="E391"/>
      <c r="F391"/>
    </row>
    <row r="392" spans="2:6" x14ac:dyDescent="0.25">
      <c r="B392"/>
      <c r="C392"/>
      <c r="D392"/>
      <c r="E392"/>
      <c r="F392"/>
    </row>
    <row r="393" spans="2:6" x14ac:dyDescent="0.25">
      <c r="B393"/>
      <c r="C393"/>
      <c r="D393"/>
      <c r="E393"/>
      <c r="F393"/>
    </row>
    <row r="394" spans="2:6" x14ac:dyDescent="0.25">
      <c r="B394"/>
      <c r="C394"/>
      <c r="D394"/>
      <c r="E394"/>
      <c r="F394"/>
    </row>
    <row r="395" spans="2:6" x14ac:dyDescent="0.25">
      <c r="B395"/>
      <c r="C395"/>
      <c r="D395"/>
      <c r="E395"/>
      <c r="F395"/>
    </row>
    <row r="396" spans="2:6" x14ac:dyDescent="0.25">
      <c r="B396"/>
      <c r="C396"/>
      <c r="D396"/>
      <c r="E396"/>
      <c r="F396"/>
    </row>
    <row r="397" spans="2:6" x14ac:dyDescent="0.25">
      <c r="B397"/>
      <c r="C397"/>
      <c r="D397"/>
      <c r="E397"/>
      <c r="F397"/>
    </row>
    <row r="398" spans="2:6" x14ac:dyDescent="0.25">
      <c r="B398"/>
      <c r="C398"/>
      <c r="D398"/>
      <c r="E398"/>
      <c r="F398"/>
    </row>
    <row r="399" spans="2:6" x14ac:dyDescent="0.25">
      <c r="B399"/>
      <c r="C399"/>
      <c r="D399"/>
      <c r="E399"/>
      <c r="F399"/>
    </row>
    <row r="400" spans="2:6" x14ac:dyDescent="0.25">
      <c r="B400"/>
      <c r="C400"/>
      <c r="D400"/>
      <c r="E400"/>
      <c r="F400"/>
    </row>
    <row r="401" spans="2:6" x14ac:dyDescent="0.25">
      <c r="B401"/>
      <c r="C401"/>
      <c r="D401"/>
      <c r="E401"/>
      <c r="F401"/>
    </row>
    <row r="402" spans="2:6" x14ac:dyDescent="0.25">
      <c r="B402"/>
      <c r="C402"/>
      <c r="D402"/>
      <c r="E402"/>
      <c r="F402"/>
    </row>
    <row r="403" spans="2:6" x14ac:dyDescent="0.25">
      <c r="B403"/>
      <c r="C403"/>
      <c r="D403"/>
      <c r="E403"/>
      <c r="F403"/>
    </row>
    <row r="404" spans="2:6" x14ac:dyDescent="0.25">
      <c r="B404"/>
      <c r="C404"/>
      <c r="D404"/>
      <c r="E404"/>
      <c r="F404"/>
    </row>
    <row r="405" spans="2:6" x14ac:dyDescent="0.25">
      <c r="B405"/>
      <c r="C405"/>
      <c r="D405"/>
      <c r="E405"/>
      <c r="F405"/>
    </row>
    <row r="406" spans="2:6" x14ac:dyDescent="0.25">
      <c r="B406"/>
      <c r="C406"/>
      <c r="D406"/>
      <c r="E406"/>
      <c r="F406"/>
    </row>
    <row r="407" spans="2:6" x14ac:dyDescent="0.25">
      <c r="B407"/>
      <c r="C407"/>
      <c r="D407"/>
      <c r="E407"/>
      <c r="F407"/>
    </row>
    <row r="408" spans="2:6" x14ac:dyDescent="0.25">
      <c r="B408"/>
      <c r="C408"/>
      <c r="D408"/>
      <c r="E408"/>
      <c r="F408"/>
    </row>
    <row r="409" spans="2:6" x14ac:dyDescent="0.25">
      <c r="B409"/>
      <c r="C409"/>
      <c r="D409"/>
      <c r="E409"/>
      <c r="F409"/>
    </row>
    <row r="410" spans="2:6" x14ac:dyDescent="0.25">
      <c r="B410"/>
      <c r="C410"/>
      <c r="D410"/>
      <c r="E410"/>
      <c r="F410"/>
    </row>
    <row r="411" spans="2:6" x14ac:dyDescent="0.25">
      <c r="B411"/>
      <c r="C411"/>
      <c r="D411"/>
      <c r="E411"/>
      <c r="F411"/>
    </row>
    <row r="412" spans="2:6" x14ac:dyDescent="0.25">
      <c r="B412"/>
      <c r="C412"/>
      <c r="D412"/>
      <c r="E412"/>
      <c r="F412"/>
    </row>
    <row r="413" spans="2:6" x14ac:dyDescent="0.25">
      <c r="B413"/>
      <c r="C413"/>
      <c r="D413"/>
      <c r="E413"/>
      <c r="F413"/>
    </row>
    <row r="414" spans="2:6" x14ac:dyDescent="0.25">
      <c r="B414"/>
      <c r="C414"/>
      <c r="D414"/>
      <c r="E414"/>
      <c r="F414"/>
    </row>
    <row r="415" spans="2:6" x14ac:dyDescent="0.25">
      <c r="B415"/>
      <c r="C415"/>
      <c r="D415"/>
      <c r="E415"/>
      <c r="F415"/>
    </row>
    <row r="416" spans="2:6" x14ac:dyDescent="0.25">
      <c r="B416"/>
      <c r="C416"/>
      <c r="D416"/>
      <c r="E416"/>
      <c r="F416"/>
    </row>
    <row r="417" spans="2:6" x14ac:dyDescent="0.25">
      <c r="B417"/>
      <c r="C417"/>
      <c r="D417"/>
      <c r="E417"/>
      <c r="F417"/>
    </row>
    <row r="418" spans="2:6" x14ac:dyDescent="0.25">
      <c r="B418"/>
      <c r="C418"/>
      <c r="D418"/>
      <c r="E418"/>
      <c r="F418"/>
    </row>
    <row r="419" spans="2:6" x14ac:dyDescent="0.25">
      <c r="B419"/>
      <c r="C419"/>
      <c r="D419"/>
      <c r="E419"/>
      <c r="F419"/>
    </row>
    <row r="420" spans="2:6" x14ac:dyDescent="0.25">
      <c r="B420"/>
      <c r="C420"/>
      <c r="D420"/>
      <c r="E420"/>
      <c r="F420"/>
    </row>
    <row r="421" spans="2:6" x14ac:dyDescent="0.25">
      <c r="B421"/>
      <c r="C421"/>
      <c r="D421"/>
      <c r="E421"/>
      <c r="F421"/>
    </row>
    <row r="422" spans="2:6" x14ac:dyDescent="0.25">
      <c r="B422"/>
      <c r="C422"/>
      <c r="D422"/>
      <c r="E422"/>
      <c r="F422"/>
    </row>
    <row r="423" spans="2:6" x14ac:dyDescent="0.25">
      <c r="B423"/>
      <c r="C423"/>
      <c r="D423"/>
      <c r="E423"/>
      <c r="F423"/>
    </row>
    <row r="424" spans="2:6" x14ac:dyDescent="0.25">
      <c r="B424"/>
      <c r="C424"/>
      <c r="D424"/>
      <c r="E424"/>
      <c r="F424"/>
    </row>
    <row r="425" spans="2:6" x14ac:dyDescent="0.25">
      <c r="B425"/>
      <c r="C425"/>
      <c r="D425"/>
      <c r="E425"/>
      <c r="F425"/>
    </row>
    <row r="426" spans="2:6" x14ac:dyDescent="0.25">
      <c r="B426"/>
      <c r="C426"/>
      <c r="D426"/>
      <c r="E426"/>
      <c r="F426"/>
    </row>
    <row r="427" spans="2:6" x14ac:dyDescent="0.25">
      <c r="B427"/>
      <c r="C427"/>
      <c r="D427"/>
      <c r="E427"/>
      <c r="F427"/>
    </row>
    <row r="428" spans="2:6" x14ac:dyDescent="0.25">
      <c r="B428"/>
      <c r="C428"/>
      <c r="D428"/>
      <c r="E428"/>
      <c r="F428"/>
    </row>
    <row r="429" spans="2:6" x14ac:dyDescent="0.25">
      <c r="B429"/>
      <c r="C429"/>
      <c r="D429"/>
      <c r="E429"/>
      <c r="F429"/>
    </row>
    <row r="430" spans="2:6" x14ac:dyDescent="0.25">
      <c r="B430"/>
      <c r="C430"/>
      <c r="D430"/>
      <c r="E430"/>
      <c r="F430"/>
    </row>
    <row r="431" spans="2:6" x14ac:dyDescent="0.25">
      <c r="B431"/>
      <c r="C431"/>
      <c r="D431"/>
      <c r="E431"/>
      <c r="F431"/>
    </row>
    <row r="432" spans="2:6" x14ac:dyDescent="0.25">
      <c r="B432"/>
      <c r="C432"/>
      <c r="D432"/>
      <c r="E432"/>
      <c r="F432"/>
    </row>
    <row r="433" spans="2:6" x14ac:dyDescent="0.25">
      <c r="B433"/>
      <c r="C433"/>
      <c r="D433"/>
      <c r="E433"/>
      <c r="F433"/>
    </row>
    <row r="434" spans="2:6" x14ac:dyDescent="0.25">
      <c r="B434"/>
      <c r="C434"/>
      <c r="D434"/>
      <c r="E434"/>
      <c r="F434"/>
    </row>
    <row r="435" spans="2:6" x14ac:dyDescent="0.25">
      <c r="B435"/>
      <c r="C435"/>
      <c r="D435"/>
      <c r="E435"/>
      <c r="F435"/>
    </row>
    <row r="436" spans="2:6" x14ac:dyDescent="0.25">
      <c r="B436"/>
      <c r="C436"/>
      <c r="D436"/>
      <c r="E436"/>
      <c r="F436"/>
    </row>
    <row r="437" spans="2:6" x14ac:dyDescent="0.25">
      <c r="B437"/>
      <c r="C437"/>
      <c r="D437"/>
      <c r="E437"/>
      <c r="F437"/>
    </row>
    <row r="438" spans="2:6" x14ac:dyDescent="0.25">
      <c r="B438"/>
      <c r="C438"/>
      <c r="D438"/>
      <c r="E438"/>
      <c r="F438"/>
    </row>
    <row r="439" spans="2:6" x14ac:dyDescent="0.25">
      <c r="B439"/>
      <c r="C439"/>
      <c r="D439"/>
      <c r="E439"/>
      <c r="F439"/>
    </row>
    <row r="440" spans="2:6" x14ac:dyDescent="0.25">
      <c r="B440"/>
      <c r="C440"/>
      <c r="D440"/>
      <c r="E440"/>
      <c r="F440"/>
    </row>
    <row r="441" spans="2:6" x14ac:dyDescent="0.25">
      <c r="B441"/>
      <c r="C441"/>
      <c r="D441"/>
      <c r="E441"/>
      <c r="F441"/>
    </row>
    <row r="442" spans="2:6" x14ac:dyDescent="0.25">
      <c r="B442"/>
      <c r="C442"/>
      <c r="D442"/>
      <c r="E442"/>
      <c r="F442"/>
    </row>
    <row r="443" spans="2:6" x14ac:dyDescent="0.25">
      <c r="B443"/>
      <c r="C443"/>
      <c r="D443"/>
      <c r="E443"/>
      <c r="F443"/>
    </row>
    <row r="444" spans="2:6" x14ac:dyDescent="0.25">
      <c r="B444"/>
      <c r="C444"/>
      <c r="D444"/>
      <c r="E444"/>
      <c r="F444"/>
    </row>
    <row r="445" spans="2:6" x14ac:dyDescent="0.25">
      <c r="B445"/>
      <c r="C445"/>
      <c r="D445"/>
      <c r="E445"/>
      <c r="F445"/>
    </row>
    <row r="446" spans="2:6" x14ac:dyDescent="0.25">
      <c r="B446"/>
      <c r="C446"/>
      <c r="D446"/>
      <c r="E446"/>
      <c r="F446"/>
    </row>
    <row r="447" spans="2:6" x14ac:dyDescent="0.25">
      <c r="B447"/>
      <c r="C447"/>
      <c r="D447"/>
      <c r="E447"/>
      <c r="F447"/>
    </row>
    <row r="448" spans="2:6" x14ac:dyDescent="0.25">
      <c r="B448"/>
      <c r="C448"/>
      <c r="D448"/>
      <c r="E448"/>
      <c r="F448"/>
    </row>
    <row r="449" spans="2:6" x14ac:dyDescent="0.25">
      <c r="B449"/>
      <c r="C449"/>
      <c r="D449"/>
      <c r="E449"/>
      <c r="F449"/>
    </row>
    <row r="450" spans="2:6" x14ac:dyDescent="0.25">
      <c r="B450"/>
      <c r="C450"/>
      <c r="D450"/>
      <c r="E450"/>
      <c r="F450"/>
    </row>
    <row r="451" spans="2:6" x14ac:dyDescent="0.25">
      <c r="B451"/>
      <c r="C451"/>
      <c r="D451"/>
      <c r="E451"/>
      <c r="F451"/>
    </row>
    <row r="452" spans="2:6" x14ac:dyDescent="0.25">
      <c r="B452"/>
      <c r="C452"/>
      <c r="D452"/>
      <c r="E452"/>
      <c r="F452"/>
    </row>
    <row r="453" spans="2:6" x14ac:dyDescent="0.25">
      <c r="B453"/>
      <c r="C453"/>
      <c r="D453"/>
      <c r="E453"/>
      <c r="F453"/>
    </row>
    <row r="454" spans="2:6" x14ac:dyDescent="0.25">
      <c r="B454"/>
      <c r="C454"/>
      <c r="D454"/>
      <c r="E454"/>
      <c r="F454"/>
    </row>
    <row r="455" spans="2:6" x14ac:dyDescent="0.25">
      <c r="B455"/>
      <c r="C455"/>
      <c r="D455"/>
      <c r="E455"/>
      <c r="F455"/>
    </row>
    <row r="456" spans="2:6" x14ac:dyDescent="0.25">
      <c r="B456"/>
      <c r="C456"/>
      <c r="D456"/>
      <c r="E456"/>
      <c r="F456"/>
    </row>
    <row r="457" spans="2:6" x14ac:dyDescent="0.25">
      <c r="B457"/>
      <c r="C457"/>
      <c r="D457"/>
      <c r="E457"/>
      <c r="F457"/>
    </row>
    <row r="458" spans="2:6" x14ac:dyDescent="0.25">
      <c r="B458"/>
      <c r="C458"/>
      <c r="D458"/>
      <c r="E458"/>
      <c r="F458"/>
    </row>
    <row r="459" spans="2:6" x14ac:dyDescent="0.25">
      <c r="B459"/>
      <c r="C459"/>
      <c r="D459"/>
      <c r="E459"/>
      <c r="F459"/>
    </row>
    <row r="460" spans="2:6" x14ac:dyDescent="0.25">
      <c r="B460"/>
      <c r="C460"/>
      <c r="D460"/>
      <c r="E460"/>
      <c r="F460"/>
    </row>
    <row r="461" spans="2:6" x14ac:dyDescent="0.25">
      <c r="B461"/>
      <c r="C461"/>
      <c r="D461"/>
      <c r="E461"/>
      <c r="F461"/>
    </row>
    <row r="462" spans="2:6" x14ac:dyDescent="0.25">
      <c r="B462"/>
      <c r="C462"/>
      <c r="D462"/>
      <c r="E462"/>
      <c r="F462"/>
    </row>
    <row r="463" spans="2:6" x14ac:dyDescent="0.25">
      <c r="B463"/>
      <c r="C463"/>
      <c r="D463"/>
      <c r="E463"/>
      <c r="F463"/>
    </row>
    <row r="464" spans="2:6" x14ac:dyDescent="0.25">
      <c r="B464"/>
      <c r="C464"/>
      <c r="D464"/>
      <c r="E464"/>
      <c r="F464"/>
    </row>
    <row r="465" spans="2:6" x14ac:dyDescent="0.25">
      <c r="B465"/>
      <c r="C465"/>
      <c r="D465"/>
      <c r="E465"/>
      <c r="F465"/>
    </row>
    <row r="466" spans="2:6" x14ac:dyDescent="0.25">
      <c r="B466"/>
      <c r="C466"/>
      <c r="D466"/>
      <c r="E466"/>
      <c r="F466"/>
    </row>
    <row r="467" spans="2:6" x14ac:dyDescent="0.25">
      <c r="B467"/>
      <c r="C467"/>
      <c r="D467"/>
      <c r="E467"/>
      <c r="F467"/>
    </row>
    <row r="468" spans="2:6" x14ac:dyDescent="0.25">
      <c r="B468"/>
      <c r="C468"/>
      <c r="D468"/>
      <c r="E468"/>
      <c r="F468"/>
    </row>
    <row r="469" spans="2:6" x14ac:dyDescent="0.25">
      <c r="B469"/>
      <c r="C469"/>
      <c r="D469"/>
      <c r="E469"/>
      <c r="F469"/>
    </row>
    <row r="470" spans="2:6" x14ac:dyDescent="0.25">
      <c r="B470"/>
      <c r="C470"/>
      <c r="D470"/>
      <c r="E470"/>
      <c r="F470"/>
    </row>
    <row r="471" spans="2:6" x14ac:dyDescent="0.25">
      <c r="B471"/>
      <c r="C471"/>
      <c r="D471"/>
      <c r="E471"/>
      <c r="F471"/>
    </row>
    <row r="472" spans="2:6" x14ac:dyDescent="0.25">
      <c r="B472"/>
      <c r="C472"/>
      <c r="D472"/>
      <c r="E472"/>
      <c r="F472"/>
    </row>
    <row r="473" spans="2:6" x14ac:dyDescent="0.25">
      <c r="B473"/>
      <c r="C473"/>
      <c r="D473"/>
      <c r="E473"/>
      <c r="F473"/>
    </row>
    <row r="474" spans="2:6" x14ac:dyDescent="0.25">
      <c r="B474"/>
      <c r="C474"/>
      <c r="D474"/>
      <c r="E474"/>
      <c r="F474"/>
    </row>
    <row r="475" spans="2:6" x14ac:dyDescent="0.25">
      <c r="B475"/>
      <c r="C475"/>
      <c r="D475"/>
      <c r="E475"/>
      <c r="F475"/>
    </row>
    <row r="476" spans="2:6" x14ac:dyDescent="0.25">
      <c r="B476"/>
      <c r="C476"/>
      <c r="D476"/>
      <c r="E476"/>
      <c r="F476"/>
    </row>
    <row r="477" spans="2:6" x14ac:dyDescent="0.25">
      <c r="B477"/>
      <c r="C477"/>
      <c r="D477"/>
      <c r="E477"/>
      <c r="F477"/>
    </row>
    <row r="478" spans="2:6" x14ac:dyDescent="0.25">
      <c r="B478"/>
      <c r="C478"/>
      <c r="D478"/>
      <c r="E478"/>
      <c r="F478"/>
    </row>
    <row r="479" spans="2:6" x14ac:dyDescent="0.25">
      <c r="B479"/>
      <c r="C479"/>
      <c r="D479"/>
      <c r="E479"/>
      <c r="F479"/>
    </row>
    <row r="480" spans="2:6" x14ac:dyDescent="0.25">
      <c r="B480"/>
      <c r="C480"/>
      <c r="D480"/>
      <c r="E480"/>
      <c r="F480"/>
    </row>
    <row r="481" spans="2:6" x14ac:dyDescent="0.25">
      <c r="B481"/>
      <c r="C481"/>
      <c r="D481"/>
      <c r="E481"/>
      <c r="F481"/>
    </row>
    <row r="482" spans="2:6" x14ac:dyDescent="0.25">
      <c r="B482"/>
      <c r="C482"/>
      <c r="D482"/>
      <c r="E482"/>
      <c r="F482"/>
    </row>
    <row r="483" spans="2:6" x14ac:dyDescent="0.25">
      <c r="B483"/>
      <c r="C483"/>
      <c r="D483"/>
      <c r="E483"/>
      <c r="F483"/>
    </row>
    <row r="484" spans="2:6" x14ac:dyDescent="0.25">
      <c r="B484"/>
      <c r="C484"/>
      <c r="D484"/>
      <c r="E484"/>
      <c r="F484"/>
    </row>
    <row r="485" spans="2:6" x14ac:dyDescent="0.25">
      <c r="B485"/>
      <c r="C485"/>
      <c r="D485"/>
      <c r="E485"/>
      <c r="F485"/>
    </row>
    <row r="486" spans="2:6" x14ac:dyDescent="0.25">
      <c r="B486"/>
      <c r="C486"/>
      <c r="D486"/>
      <c r="E486"/>
      <c r="F486"/>
    </row>
    <row r="487" spans="2:6" x14ac:dyDescent="0.25">
      <c r="B487"/>
      <c r="C487"/>
      <c r="D487"/>
      <c r="E487"/>
      <c r="F487"/>
    </row>
    <row r="488" spans="2:6" x14ac:dyDescent="0.25">
      <c r="B488"/>
      <c r="C488"/>
      <c r="D488"/>
      <c r="E488"/>
      <c r="F488"/>
    </row>
    <row r="489" spans="2:6" x14ac:dyDescent="0.25">
      <c r="B489"/>
      <c r="C489"/>
      <c r="D489"/>
      <c r="E489"/>
      <c r="F489"/>
    </row>
    <row r="490" spans="2:6" x14ac:dyDescent="0.25">
      <c r="B490"/>
      <c r="C490"/>
      <c r="D490"/>
      <c r="E490"/>
      <c r="F490"/>
    </row>
    <row r="491" spans="2:6" x14ac:dyDescent="0.25">
      <c r="B491"/>
      <c r="C491"/>
      <c r="D491"/>
      <c r="E491"/>
      <c r="F491"/>
    </row>
    <row r="492" spans="2:6" x14ac:dyDescent="0.25">
      <c r="B492"/>
      <c r="C492"/>
      <c r="D492"/>
      <c r="E492"/>
      <c r="F492"/>
    </row>
    <row r="493" spans="2:6" x14ac:dyDescent="0.25">
      <c r="B493"/>
      <c r="C493"/>
      <c r="D493"/>
      <c r="E493"/>
      <c r="F493"/>
    </row>
    <row r="494" spans="2:6" x14ac:dyDescent="0.25">
      <c r="B494"/>
      <c r="C494"/>
      <c r="D494"/>
      <c r="E494"/>
      <c r="F494"/>
    </row>
    <row r="495" spans="2:6" x14ac:dyDescent="0.25">
      <c r="B495"/>
      <c r="C495"/>
      <c r="D495"/>
      <c r="E495"/>
      <c r="F495"/>
    </row>
    <row r="496" spans="2:6" x14ac:dyDescent="0.25">
      <c r="B496"/>
      <c r="C496"/>
      <c r="D496"/>
      <c r="E496"/>
      <c r="F496"/>
    </row>
    <row r="497" spans="2:6" x14ac:dyDescent="0.25">
      <c r="B497"/>
      <c r="C497"/>
      <c r="D497"/>
      <c r="E497"/>
      <c r="F497"/>
    </row>
    <row r="498" spans="2:6" x14ac:dyDescent="0.25">
      <c r="B498"/>
      <c r="C498"/>
      <c r="D498"/>
      <c r="E498"/>
      <c r="F498"/>
    </row>
    <row r="499" spans="2:6" x14ac:dyDescent="0.25">
      <c r="B499"/>
      <c r="C499"/>
      <c r="D499"/>
      <c r="E499"/>
      <c r="F499"/>
    </row>
    <row r="500" spans="2:6" x14ac:dyDescent="0.25">
      <c r="B500"/>
      <c r="C500"/>
      <c r="D500"/>
      <c r="E500"/>
      <c r="F500"/>
    </row>
    <row r="501" spans="2:6" x14ac:dyDescent="0.25">
      <c r="B501"/>
      <c r="C501"/>
      <c r="D501"/>
      <c r="E501"/>
      <c r="F501"/>
    </row>
    <row r="502" spans="2:6" x14ac:dyDescent="0.25">
      <c r="B502"/>
      <c r="C502"/>
      <c r="D502"/>
      <c r="E502"/>
      <c r="F502"/>
    </row>
    <row r="503" spans="2:6" x14ac:dyDescent="0.25">
      <c r="B503"/>
      <c r="C503"/>
      <c r="D503"/>
      <c r="E503"/>
      <c r="F503"/>
    </row>
    <row r="504" spans="2:6" x14ac:dyDescent="0.25">
      <c r="B504"/>
      <c r="C504"/>
      <c r="D504"/>
      <c r="E504"/>
      <c r="F504"/>
    </row>
    <row r="505" spans="2:6" x14ac:dyDescent="0.25">
      <c r="B505"/>
      <c r="C505"/>
      <c r="D505"/>
      <c r="E505"/>
      <c r="F505"/>
    </row>
    <row r="506" spans="2:6" x14ac:dyDescent="0.25">
      <c r="B506"/>
      <c r="C506"/>
      <c r="D506"/>
      <c r="E506"/>
      <c r="F506"/>
    </row>
    <row r="507" spans="2:6" x14ac:dyDescent="0.25">
      <c r="B507"/>
      <c r="C507"/>
      <c r="D507"/>
      <c r="E507"/>
      <c r="F507"/>
    </row>
    <row r="508" spans="2:6" x14ac:dyDescent="0.25">
      <c r="B508"/>
      <c r="C508"/>
      <c r="D508"/>
      <c r="E508"/>
      <c r="F508"/>
    </row>
    <row r="509" spans="2:6" x14ac:dyDescent="0.25">
      <c r="B509"/>
      <c r="C509"/>
      <c r="D509"/>
      <c r="E509"/>
      <c r="F509"/>
    </row>
    <row r="510" spans="2:6" x14ac:dyDescent="0.25">
      <c r="B510"/>
      <c r="C510"/>
      <c r="D510"/>
      <c r="E510"/>
      <c r="F510"/>
    </row>
    <row r="511" spans="2:6" x14ac:dyDescent="0.25">
      <c r="B511"/>
      <c r="C511"/>
      <c r="D511"/>
      <c r="E511"/>
      <c r="F511"/>
    </row>
    <row r="512" spans="2:6" x14ac:dyDescent="0.25">
      <c r="B512"/>
      <c r="C512"/>
      <c r="D512"/>
      <c r="E512"/>
      <c r="F512"/>
    </row>
    <row r="513" spans="2:6" x14ac:dyDescent="0.25">
      <c r="B513"/>
      <c r="C513"/>
      <c r="D513"/>
      <c r="E513"/>
      <c r="F513"/>
    </row>
    <row r="514" spans="2:6" x14ac:dyDescent="0.25">
      <c r="B514"/>
      <c r="C514"/>
      <c r="D514"/>
      <c r="E514"/>
      <c r="F514"/>
    </row>
    <row r="515" spans="2:6" x14ac:dyDescent="0.25">
      <c r="B515"/>
      <c r="C515"/>
      <c r="D515"/>
      <c r="E515"/>
      <c r="F515"/>
    </row>
    <row r="516" spans="2:6" x14ac:dyDescent="0.25">
      <c r="B516"/>
      <c r="C516"/>
      <c r="D516"/>
      <c r="E516"/>
      <c r="F516"/>
    </row>
    <row r="517" spans="2:6" x14ac:dyDescent="0.25">
      <c r="B517"/>
      <c r="C517"/>
      <c r="D517"/>
      <c r="E517"/>
      <c r="F517"/>
    </row>
    <row r="518" spans="2:6" x14ac:dyDescent="0.25">
      <c r="B518"/>
      <c r="C518"/>
      <c r="D518"/>
      <c r="E518"/>
      <c r="F518"/>
    </row>
    <row r="519" spans="2:6" x14ac:dyDescent="0.25">
      <c r="B519"/>
      <c r="C519"/>
      <c r="D519"/>
      <c r="E519"/>
      <c r="F519"/>
    </row>
    <row r="520" spans="2:6" x14ac:dyDescent="0.25">
      <c r="B520"/>
      <c r="C520"/>
      <c r="D520"/>
      <c r="E520"/>
      <c r="F520"/>
    </row>
    <row r="521" spans="2:6" x14ac:dyDescent="0.25">
      <c r="B521"/>
      <c r="C521"/>
      <c r="D521"/>
      <c r="E521"/>
      <c r="F521"/>
    </row>
    <row r="522" spans="2:6" x14ac:dyDescent="0.25">
      <c r="B522"/>
      <c r="C522"/>
      <c r="D522"/>
      <c r="E522"/>
      <c r="F522"/>
    </row>
    <row r="523" spans="2:6" x14ac:dyDescent="0.25">
      <c r="B523"/>
      <c r="C523"/>
      <c r="D523"/>
      <c r="E523"/>
      <c r="F523"/>
    </row>
    <row r="524" spans="2:6" x14ac:dyDescent="0.25">
      <c r="B524"/>
      <c r="C524"/>
      <c r="D524"/>
      <c r="E524"/>
      <c r="F524"/>
    </row>
    <row r="525" spans="2:6" x14ac:dyDescent="0.25">
      <c r="B525"/>
      <c r="C525"/>
      <c r="D525"/>
      <c r="E525"/>
      <c r="F525"/>
    </row>
    <row r="526" spans="2:6" x14ac:dyDescent="0.25">
      <c r="B526"/>
      <c r="C526"/>
      <c r="D526"/>
      <c r="E526"/>
      <c r="F526"/>
    </row>
    <row r="527" spans="2:6" x14ac:dyDescent="0.25">
      <c r="B527"/>
      <c r="C527"/>
      <c r="D527"/>
      <c r="E527"/>
      <c r="F527"/>
    </row>
    <row r="528" spans="2:6" x14ac:dyDescent="0.25">
      <c r="B528"/>
      <c r="C528"/>
      <c r="D528"/>
      <c r="E528"/>
      <c r="F528"/>
    </row>
    <row r="529" spans="2:6" x14ac:dyDescent="0.25">
      <c r="B529"/>
      <c r="C529"/>
      <c r="D529"/>
      <c r="E529"/>
      <c r="F529"/>
    </row>
    <row r="530" spans="2:6" x14ac:dyDescent="0.25">
      <c r="B530"/>
      <c r="C530"/>
      <c r="D530"/>
      <c r="E530"/>
      <c r="F530"/>
    </row>
    <row r="531" spans="2:6" x14ac:dyDescent="0.25">
      <c r="B531"/>
      <c r="C531"/>
      <c r="D531"/>
      <c r="E531"/>
      <c r="F531"/>
    </row>
    <row r="532" spans="2:6" x14ac:dyDescent="0.25">
      <c r="B532"/>
      <c r="C532"/>
      <c r="D532"/>
      <c r="E532"/>
      <c r="F532"/>
    </row>
    <row r="533" spans="2:6" x14ac:dyDescent="0.25">
      <c r="B533"/>
      <c r="C533"/>
      <c r="D533"/>
      <c r="E533"/>
      <c r="F533"/>
    </row>
    <row r="534" spans="2:6" x14ac:dyDescent="0.25">
      <c r="B534"/>
      <c r="C534"/>
      <c r="D534"/>
      <c r="E534"/>
      <c r="F534"/>
    </row>
    <row r="535" spans="2:6" x14ac:dyDescent="0.25">
      <c r="B535"/>
      <c r="C535"/>
      <c r="D535"/>
      <c r="E535"/>
      <c r="F535"/>
    </row>
    <row r="536" spans="2:6" x14ac:dyDescent="0.25">
      <c r="B536"/>
      <c r="C536"/>
      <c r="D536"/>
      <c r="E536"/>
      <c r="F536"/>
    </row>
    <row r="537" spans="2:6" x14ac:dyDescent="0.25">
      <c r="B537"/>
      <c r="C537"/>
      <c r="D537"/>
      <c r="E537"/>
      <c r="F537"/>
    </row>
    <row r="538" spans="2:6" x14ac:dyDescent="0.25">
      <c r="B538"/>
      <c r="C538"/>
      <c r="D538"/>
      <c r="E538"/>
      <c r="F538"/>
    </row>
    <row r="539" spans="2:6" x14ac:dyDescent="0.25">
      <c r="B539"/>
      <c r="C539"/>
      <c r="D539"/>
      <c r="E539"/>
      <c r="F539"/>
    </row>
    <row r="540" spans="2:6" x14ac:dyDescent="0.25">
      <c r="B540"/>
      <c r="C540"/>
      <c r="D540"/>
      <c r="E540"/>
      <c r="F540"/>
    </row>
    <row r="541" spans="2:6" x14ac:dyDescent="0.25">
      <c r="B541"/>
      <c r="C541"/>
      <c r="D541"/>
      <c r="E541"/>
      <c r="F541"/>
    </row>
    <row r="542" spans="2:6" x14ac:dyDescent="0.25">
      <c r="B542"/>
      <c r="C542"/>
      <c r="D542"/>
      <c r="E542"/>
      <c r="F542"/>
    </row>
    <row r="543" spans="2:6" x14ac:dyDescent="0.25">
      <c r="B543"/>
      <c r="C543"/>
      <c r="D543"/>
      <c r="E543"/>
      <c r="F543"/>
    </row>
    <row r="544" spans="2:6" x14ac:dyDescent="0.25">
      <c r="B544"/>
      <c r="C544"/>
      <c r="D544"/>
      <c r="E544"/>
      <c r="F544"/>
    </row>
    <row r="545" spans="2:6" x14ac:dyDescent="0.25">
      <c r="B545"/>
      <c r="C545"/>
      <c r="D545"/>
      <c r="E545"/>
      <c r="F545"/>
    </row>
    <row r="546" spans="2:6" x14ac:dyDescent="0.25">
      <c r="B546"/>
      <c r="C546"/>
      <c r="D546"/>
      <c r="E546"/>
      <c r="F546"/>
    </row>
    <row r="547" spans="2:6" x14ac:dyDescent="0.25">
      <c r="B547"/>
      <c r="C547"/>
      <c r="D547"/>
      <c r="E547"/>
      <c r="F547"/>
    </row>
    <row r="548" spans="2:6" x14ac:dyDescent="0.25">
      <c r="B548"/>
      <c r="C548"/>
      <c r="D548"/>
      <c r="E548"/>
      <c r="F548"/>
    </row>
    <row r="549" spans="2:6" x14ac:dyDescent="0.25">
      <c r="B549"/>
      <c r="C549"/>
      <c r="D549"/>
      <c r="E549"/>
      <c r="F549"/>
    </row>
    <row r="550" spans="2:6" x14ac:dyDescent="0.25">
      <c r="B550"/>
      <c r="C550"/>
      <c r="D550"/>
      <c r="E550"/>
      <c r="F550"/>
    </row>
    <row r="551" spans="2:6" x14ac:dyDescent="0.25">
      <c r="B551"/>
      <c r="C551"/>
      <c r="D551"/>
      <c r="E551"/>
      <c r="F551"/>
    </row>
    <row r="552" spans="2:6" x14ac:dyDescent="0.25">
      <c r="B552"/>
      <c r="C552"/>
      <c r="D552"/>
      <c r="E552"/>
      <c r="F552"/>
    </row>
    <row r="553" spans="2:6" x14ac:dyDescent="0.25">
      <c r="B553"/>
      <c r="C553"/>
      <c r="D553"/>
      <c r="E553"/>
      <c r="F553"/>
    </row>
    <row r="554" spans="2:6" x14ac:dyDescent="0.25">
      <c r="B554"/>
      <c r="C554"/>
      <c r="D554"/>
      <c r="E554"/>
      <c r="F554"/>
    </row>
    <row r="555" spans="2:6" x14ac:dyDescent="0.25">
      <c r="B555"/>
      <c r="C555"/>
      <c r="D555"/>
      <c r="E555"/>
      <c r="F555"/>
    </row>
    <row r="556" spans="2:6" x14ac:dyDescent="0.25">
      <c r="B556"/>
      <c r="C556"/>
      <c r="D556"/>
      <c r="E556"/>
      <c r="F556"/>
    </row>
    <row r="557" spans="2:6" x14ac:dyDescent="0.25">
      <c r="B557"/>
      <c r="C557"/>
      <c r="D557"/>
      <c r="E557"/>
      <c r="F557"/>
    </row>
    <row r="558" spans="2:6" x14ac:dyDescent="0.25">
      <c r="B558"/>
      <c r="C558"/>
      <c r="D558"/>
      <c r="E558"/>
      <c r="F558"/>
    </row>
    <row r="559" spans="2:6" x14ac:dyDescent="0.25">
      <c r="B559"/>
      <c r="C559"/>
      <c r="D559"/>
      <c r="E559"/>
      <c r="F559"/>
    </row>
    <row r="560" spans="2:6" x14ac:dyDescent="0.25">
      <c r="B560"/>
      <c r="C560"/>
      <c r="D560"/>
      <c r="E560"/>
      <c r="F560"/>
    </row>
    <row r="561" spans="2:6" x14ac:dyDescent="0.25">
      <c r="B561"/>
      <c r="C561"/>
      <c r="D561"/>
      <c r="E561"/>
      <c r="F561"/>
    </row>
    <row r="562" spans="2:6" x14ac:dyDescent="0.25">
      <c r="B562"/>
      <c r="C562"/>
      <c r="D562"/>
      <c r="E562"/>
      <c r="F562"/>
    </row>
    <row r="563" spans="2:6" x14ac:dyDescent="0.25">
      <c r="B563"/>
      <c r="C563"/>
      <c r="D563"/>
      <c r="E563"/>
      <c r="F563"/>
    </row>
    <row r="564" spans="2:6" x14ac:dyDescent="0.25">
      <c r="B564"/>
      <c r="C564"/>
      <c r="D564"/>
      <c r="E564"/>
      <c r="F564"/>
    </row>
    <row r="565" spans="2:6" x14ac:dyDescent="0.25">
      <c r="B565"/>
      <c r="C565"/>
      <c r="D565"/>
      <c r="E565"/>
      <c r="F565"/>
    </row>
    <row r="566" spans="2:6" x14ac:dyDescent="0.25">
      <c r="B566"/>
      <c r="C566"/>
      <c r="D566"/>
      <c r="E566"/>
      <c r="F566"/>
    </row>
    <row r="567" spans="2:6" x14ac:dyDescent="0.25">
      <c r="B567"/>
      <c r="C567"/>
      <c r="D567"/>
      <c r="E567"/>
      <c r="F567"/>
    </row>
    <row r="568" spans="2:6" x14ac:dyDescent="0.25">
      <c r="B568"/>
      <c r="C568"/>
      <c r="D568"/>
      <c r="E568"/>
      <c r="F568"/>
    </row>
    <row r="569" spans="2:6" x14ac:dyDescent="0.25">
      <c r="B569"/>
      <c r="C569"/>
      <c r="D569"/>
      <c r="E569"/>
      <c r="F569"/>
    </row>
    <row r="570" spans="2:6" x14ac:dyDescent="0.25">
      <c r="B570"/>
      <c r="C570"/>
      <c r="D570"/>
      <c r="E570"/>
      <c r="F570"/>
    </row>
    <row r="571" spans="2:6" x14ac:dyDescent="0.25">
      <c r="B571"/>
      <c r="C571"/>
      <c r="D571"/>
      <c r="E571"/>
      <c r="F571"/>
    </row>
    <row r="572" spans="2:6" x14ac:dyDescent="0.25">
      <c r="B572"/>
      <c r="C572"/>
      <c r="D572"/>
      <c r="E572"/>
      <c r="F572"/>
    </row>
    <row r="573" spans="2:6" x14ac:dyDescent="0.25">
      <c r="B573"/>
      <c r="C573"/>
      <c r="D573"/>
      <c r="E573"/>
      <c r="F573"/>
    </row>
    <row r="574" spans="2:6" x14ac:dyDescent="0.25">
      <c r="B574"/>
      <c r="C574"/>
      <c r="D574"/>
      <c r="E574"/>
      <c r="F574"/>
    </row>
    <row r="575" spans="2:6" x14ac:dyDescent="0.25">
      <c r="B575"/>
      <c r="C575"/>
      <c r="D575"/>
      <c r="E575"/>
      <c r="F575"/>
    </row>
    <row r="576" spans="2:6" x14ac:dyDescent="0.25">
      <c r="B576"/>
      <c r="C576"/>
      <c r="D576"/>
      <c r="E576"/>
      <c r="F576"/>
    </row>
    <row r="577" spans="2:6" x14ac:dyDescent="0.25">
      <c r="B577"/>
      <c r="C577"/>
      <c r="D577"/>
      <c r="E577"/>
      <c r="F577"/>
    </row>
    <row r="578" spans="2:6" x14ac:dyDescent="0.25">
      <c r="B578"/>
      <c r="C578"/>
      <c r="D578"/>
      <c r="E578"/>
      <c r="F578"/>
    </row>
    <row r="579" spans="2:6" x14ac:dyDescent="0.25">
      <c r="B579"/>
      <c r="C579"/>
      <c r="D579"/>
      <c r="E579"/>
      <c r="F579"/>
    </row>
    <row r="580" spans="2:6" x14ac:dyDescent="0.25">
      <c r="B580"/>
      <c r="C580"/>
      <c r="D580"/>
      <c r="E580"/>
      <c r="F580"/>
    </row>
    <row r="581" spans="2:6" x14ac:dyDescent="0.25">
      <c r="B581"/>
      <c r="C581"/>
      <c r="D581"/>
      <c r="E581"/>
      <c r="F581"/>
    </row>
    <row r="582" spans="2:6" x14ac:dyDescent="0.25">
      <c r="B582"/>
      <c r="C582"/>
      <c r="D582"/>
      <c r="E582"/>
      <c r="F582"/>
    </row>
    <row r="583" spans="2:6" x14ac:dyDescent="0.25">
      <c r="C583"/>
      <c r="D583"/>
      <c r="E583"/>
      <c r="F583"/>
    </row>
  </sheetData>
  <autoFilter ref="B2:I61" xr:uid="{0036F57A-0256-480D-A89D-2AA80E43D6ED}"/>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9E786-6C56-4C38-AE40-036E1629C556}">
  <dimension ref="B1:V34"/>
  <sheetViews>
    <sheetView topLeftCell="F4" workbookViewId="0">
      <selection activeCell="B4" sqref="B4"/>
    </sheetView>
  </sheetViews>
  <sheetFormatPr defaultRowHeight="15" x14ac:dyDescent="0.2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1" width="30.7109375" bestFit="1" customWidth="1"/>
    <col min="22" max="22" width="35.7109375" customWidth="1"/>
  </cols>
  <sheetData>
    <row r="1" spans="2:20" ht="15" customHeight="1" x14ac:dyDescent="0.25"/>
    <row r="2" spans="2:20" x14ac:dyDescent="0.25">
      <c r="B2" s="63" t="s">
        <v>1198</v>
      </c>
      <c r="C2" s="63" t="s">
        <v>1199</v>
      </c>
      <c r="D2" s="63" t="s">
        <v>1200</v>
      </c>
      <c r="E2" s="63" t="s">
        <v>1201</v>
      </c>
      <c r="F2" s="63" t="s">
        <v>1202</v>
      </c>
      <c r="G2" s="63" t="s">
        <v>1203</v>
      </c>
      <c r="H2" s="63" t="s">
        <v>1204</v>
      </c>
      <c r="I2" s="63" t="s">
        <v>710</v>
      </c>
      <c r="J2" s="96" t="s">
        <v>726</v>
      </c>
      <c r="K2" s="63" t="s">
        <v>738</v>
      </c>
      <c r="L2" s="63" t="s">
        <v>745</v>
      </c>
      <c r="M2" s="63" t="s">
        <v>752</v>
      </c>
      <c r="N2" s="63" t="s">
        <v>762</v>
      </c>
      <c r="O2" s="63" t="s">
        <v>771</v>
      </c>
      <c r="P2" s="63" t="s">
        <v>778</v>
      </c>
      <c r="Q2" s="63" t="s">
        <v>786</v>
      </c>
      <c r="R2" s="63" t="s">
        <v>793</v>
      </c>
      <c r="S2" s="63" t="s">
        <v>800</v>
      </c>
      <c r="T2" s="63" t="s">
        <v>807</v>
      </c>
    </row>
    <row r="3" spans="2:20" x14ac:dyDescent="0.25">
      <c r="B3" s="88" t="s">
        <v>1205</v>
      </c>
      <c r="C3" s="88">
        <v>1</v>
      </c>
      <c r="D3" s="88" t="s">
        <v>1206</v>
      </c>
      <c r="E3" s="89">
        <v>45534</v>
      </c>
      <c r="F3" s="88">
        <v>1</v>
      </c>
      <c r="G3" s="90">
        <v>1</v>
      </c>
      <c r="H3" s="88" t="s">
        <v>1207</v>
      </c>
      <c r="I3" s="88" t="s">
        <v>1208</v>
      </c>
      <c r="J3" s="88" t="s">
        <v>1208</v>
      </c>
      <c r="K3" s="88" t="s">
        <v>1208</v>
      </c>
      <c r="L3" s="88" t="s">
        <v>1208</v>
      </c>
      <c r="M3" s="88" t="s">
        <v>1208</v>
      </c>
      <c r="N3" s="88" t="s">
        <v>1208</v>
      </c>
      <c r="O3" s="88" t="s">
        <v>1208</v>
      </c>
      <c r="P3" s="88" t="s">
        <v>1208</v>
      </c>
      <c r="Q3" s="88" t="s">
        <v>1208</v>
      </c>
      <c r="R3" s="88" t="s">
        <v>1208</v>
      </c>
      <c r="S3" s="88" t="s">
        <v>1208</v>
      </c>
      <c r="T3" s="88" t="s">
        <v>1208</v>
      </c>
    </row>
    <row r="4" spans="2:20" x14ac:dyDescent="0.25">
      <c r="B4" s="88" t="s">
        <v>1209</v>
      </c>
      <c r="C4" s="88">
        <v>2</v>
      </c>
      <c r="D4" s="88" t="s">
        <v>1210</v>
      </c>
      <c r="E4" s="89">
        <v>45534</v>
      </c>
      <c r="F4" s="88">
        <v>1</v>
      </c>
      <c r="G4" s="90">
        <v>1</v>
      </c>
      <c r="H4" s="88" t="s">
        <v>1211</v>
      </c>
      <c r="I4" s="88" t="s">
        <v>1208</v>
      </c>
      <c r="J4" s="88" t="s">
        <v>1208</v>
      </c>
      <c r="K4" s="88" t="s">
        <v>1208</v>
      </c>
      <c r="L4" s="88" t="s">
        <v>1208</v>
      </c>
      <c r="M4" s="88" t="s">
        <v>1208</v>
      </c>
      <c r="N4" s="88" t="s">
        <v>1208</v>
      </c>
      <c r="O4" s="88" t="s">
        <v>1208</v>
      </c>
      <c r="P4" s="88" t="s">
        <v>1208</v>
      </c>
      <c r="Q4" s="88" t="s">
        <v>1208</v>
      </c>
      <c r="R4" s="88" t="s">
        <v>1208</v>
      </c>
      <c r="S4" s="88" t="s">
        <v>1208</v>
      </c>
      <c r="T4" s="88" t="s">
        <v>1208</v>
      </c>
    </row>
    <row r="5" spans="2:20" x14ac:dyDescent="0.25">
      <c r="B5" s="88" t="s">
        <v>1212</v>
      </c>
      <c r="C5" s="88">
        <v>3</v>
      </c>
      <c r="D5" s="88" t="s">
        <v>1213</v>
      </c>
      <c r="E5" s="89">
        <v>45534</v>
      </c>
      <c r="F5" s="88">
        <v>1</v>
      </c>
      <c r="G5" s="90">
        <v>0.5</v>
      </c>
      <c r="H5" s="88" t="s">
        <v>1214</v>
      </c>
      <c r="I5" s="88">
        <v>0</v>
      </c>
      <c r="J5" s="88" t="s">
        <v>1208</v>
      </c>
      <c r="K5" s="88" t="s">
        <v>1208</v>
      </c>
      <c r="L5" s="88" t="s">
        <v>1208</v>
      </c>
      <c r="M5" s="88" t="s">
        <v>1208</v>
      </c>
      <c r="N5" s="88" t="s">
        <v>1208</v>
      </c>
      <c r="O5" s="88" t="s">
        <v>1208</v>
      </c>
      <c r="P5" s="88" t="s">
        <v>1208</v>
      </c>
      <c r="Q5" s="88" t="s">
        <v>1208</v>
      </c>
      <c r="R5" s="88" t="s">
        <v>1208</v>
      </c>
      <c r="S5" s="88">
        <v>3</v>
      </c>
      <c r="T5" s="88" t="s">
        <v>1208</v>
      </c>
    </row>
    <row r="6" spans="2:20" x14ac:dyDescent="0.25">
      <c r="B6" s="91" t="s">
        <v>1215</v>
      </c>
      <c r="C6" s="88">
        <v>4</v>
      </c>
      <c r="D6" s="88" t="s">
        <v>1216</v>
      </c>
      <c r="E6" s="89" t="s">
        <v>1208</v>
      </c>
      <c r="F6" s="88">
        <v>1</v>
      </c>
      <c r="G6" s="90" t="s">
        <v>1208</v>
      </c>
      <c r="H6" s="88" t="s">
        <v>1208</v>
      </c>
      <c r="I6" s="88" t="s">
        <v>1208</v>
      </c>
      <c r="J6" s="88" t="s">
        <v>1208</v>
      </c>
      <c r="K6" s="88" t="s">
        <v>1208</v>
      </c>
      <c r="L6" s="88" t="s">
        <v>1208</v>
      </c>
      <c r="M6" s="88" t="s">
        <v>1208</v>
      </c>
      <c r="N6" s="88" t="s">
        <v>1208</v>
      </c>
      <c r="O6" s="88" t="s">
        <v>1208</v>
      </c>
      <c r="P6" s="88" t="s">
        <v>1208</v>
      </c>
      <c r="Q6" s="88" t="s">
        <v>1208</v>
      </c>
      <c r="R6" s="88" t="s">
        <v>1208</v>
      </c>
      <c r="S6" s="88" t="s">
        <v>1208</v>
      </c>
      <c r="T6" s="88" t="s">
        <v>1208</v>
      </c>
    </row>
    <row r="7" spans="2:20" x14ac:dyDescent="0.25">
      <c r="B7" s="88" t="s">
        <v>1217</v>
      </c>
      <c r="C7" s="88">
        <v>5</v>
      </c>
      <c r="D7" s="88" t="s">
        <v>1216</v>
      </c>
      <c r="E7" s="89" t="s">
        <v>1208</v>
      </c>
      <c r="F7" s="88">
        <v>1</v>
      </c>
      <c r="G7" s="90" t="s">
        <v>1208</v>
      </c>
      <c r="H7" s="88" t="s">
        <v>1208</v>
      </c>
      <c r="I7" s="88" t="s">
        <v>1208</v>
      </c>
      <c r="J7" s="88" t="s">
        <v>1208</v>
      </c>
      <c r="K7" s="88" t="s">
        <v>1208</v>
      </c>
      <c r="L7" s="88" t="s">
        <v>1208</v>
      </c>
      <c r="M7" s="88" t="s">
        <v>1208</v>
      </c>
      <c r="N7" s="88" t="s">
        <v>1208</v>
      </c>
      <c r="O7" s="88" t="s">
        <v>1208</v>
      </c>
      <c r="P7" s="88" t="s">
        <v>1208</v>
      </c>
      <c r="Q7" s="88" t="s">
        <v>1208</v>
      </c>
      <c r="R7" s="88" t="s">
        <v>1208</v>
      </c>
      <c r="S7" s="88" t="s">
        <v>1208</v>
      </c>
      <c r="T7" s="88" t="s">
        <v>1208</v>
      </c>
    </row>
    <row r="8" spans="2:20" x14ac:dyDescent="0.25">
      <c r="B8" s="88" t="s">
        <v>1218</v>
      </c>
      <c r="C8" s="88">
        <v>6</v>
      </c>
      <c r="D8" s="88" t="s">
        <v>1219</v>
      </c>
      <c r="E8" s="89">
        <v>45534</v>
      </c>
      <c r="F8" s="88">
        <v>1</v>
      </c>
      <c r="G8" s="90" cm="1">
        <f t="array" ref="G8">SUMPRODUCT(--(I8:T8&gt;0))/COUNTA(I8:T8)</f>
        <v>1</v>
      </c>
      <c r="H8" s="88" t="s">
        <v>1211</v>
      </c>
      <c r="I8" s="88">
        <v>3</v>
      </c>
      <c r="J8" s="88">
        <v>6</v>
      </c>
      <c r="K8" s="88">
        <v>4</v>
      </c>
      <c r="L8" s="88">
        <v>4</v>
      </c>
      <c r="M8" s="88">
        <v>8</v>
      </c>
      <c r="N8" s="88">
        <v>1</v>
      </c>
      <c r="O8" s="88">
        <v>1</v>
      </c>
      <c r="P8" s="88" t="s">
        <v>1220</v>
      </c>
      <c r="Q8" s="88">
        <v>1</v>
      </c>
      <c r="R8" s="88">
        <v>1</v>
      </c>
      <c r="S8" s="88">
        <v>10</v>
      </c>
      <c r="T8" s="88">
        <v>23</v>
      </c>
    </row>
    <row r="9" spans="2:20" x14ac:dyDescent="0.25">
      <c r="B9" s="88" t="s">
        <v>1221</v>
      </c>
      <c r="C9" s="88">
        <v>7</v>
      </c>
      <c r="D9" s="88" t="s">
        <v>1222</v>
      </c>
      <c r="E9" s="89">
        <v>45534</v>
      </c>
      <c r="F9" s="88">
        <v>1</v>
      </c>
      <c r="G9" s="90" cm="1">
        <f t="array" ref="G9">SUMPRODUCT(--(I9:T9 &lt;= I25:T25))/COUNTA(I25:T25)</f>
        <v>0.75</v>
      </c>
      <c r="H9" s="88" t="s">
        <v>1211</v>
      </c>
      <c r="I9" s="88">
        <v>4</v>
      </c>
      <c r="J9" s="88">
        <v>6</v>
      </c>
      <c r="K9" s="88">
        <v>6</v>
      </c>
      <c r="L9" s="88">
        <v>6</v>
      </c>
      <c r="M9" s="88">
        <v>8</v>
      </c>
      <c r="N9" s="88">
        <v>6</v>
      </c>
      <c r="O9" s="88">
        <v>65</v>
      </c>
      <c r="P9" s="88" t="s">
        <v>1220</v>
      </c>
      <c r="Q9" s="88">
        <v>5</v>
      </c>
      <c r="R9" s="88">
        <v>20</v>
      </c>
      <c r="S9" s="88">
        <v>10</v>
      </c>
      <c r="T9" s="88">
        <v>23</v>
      </c>
    </row>
    <row r="10" spans="2:20" x14ac:dyDescent="0.25">
      <c r="B10" s="91" t="s">
        <v>1223</v>
      </c>
      <c r="C10" s="88">
        <v>8</v>
      </c>
      <c r="D10" s="88" t="s">
        <v>1224</v>
      </c>
      <c r="E10" s="89">
        <v>45534</v>
      </c>
      <c r="F10" s="88">
        <v>1</v>
      </c>
      <c r="G10" s="90" t="s">
        <v>1208</v>
      </c>
      <c r="H10" s="88" t="s">
        <v>1211</v>
      </c>
      <c r="I10" s="88">
        <v>0</v>
      </c>
      <c r="J10" s="88">
        <v>10000</v>
      </c>
      <c r="K10" s="88">
        <v>10100</v>
      </c>
      <c r="L10" s="88">
        <v>10121</v>
      </c>
      <c r="M10" s="88" t="s">
        <v>1225</v>
      </c>
      <c r="N10" s="88" t="s">
        <v>1226</v>
      </c>
      <c r="O10" s="89">
        <v>1</v>
      </c>
      <c r="P10" s="89" t="s">
        <v>1220</v>
      </c>
      <c r="Q10" s="92">
        <v>1</v>
      </c>
      <c r="R10" s="88" t="s">
        <v>1227</v>
      </c>
      <c r="S10" s="89">
        <v>45534</v>
      </c>
      <c r="T10" s="89" t="s">
        <v>1228</v>
      </c>
    </row>
    <row r="11" spans="2:20" x14ac:dyDescent="0.25">
      <c r="B11" s="88" t="s">
        <v>1229</v>
      </c>
      <c r="C11" s="88">
        <v>9</v>
      </c>
      <c r="D11" s="88" t="s">
        <v>1230</v>
      </c>
      <c r="E11" s="89">
        <v>45534</v>
      </c>
      <c r="F11" s="88">
        <v>1</v>
      </c>
      <c r="G11" s="90" t="s">
        <v>1208</v>
      </c>
      <c r="H11" s="88" t="s">
        <v>1211</v>
      </c>
      <c r="I11" s="88">
        <v>0</v>
      </c>
      <c r="J11" s="88">
        <v>10000</v>
      </c>
      <c r="K11" s="88">
        <v>10100</v>
      </c>
      <c r="L11" s="88">
        <v>10121</v>
      </c>
      <c r="M11" s="88" t="s">
        <v>1225</v>
      </c>
      <c r="N11" s="88" t="s">
        <v>1226</v>
      </c>
      <c r="O11" s="89">
        <v>1</v>
      </c>
      <c r="P11" s="89" t="s">
        <v>1220</v>
      </c>
      <c r="Q11" s="88">
        <v>1</v>
      </c>
      <c r="R11" s="88" t="s">
        <v>1227</v>
      </c>
      <c r="S11" s="89">
        <v>45534</v>
      </c>
      <c r="T11" s="89" t="s">
        <v>1228</v>
      </c>
    </row>
    <row r="12" spans="2:20" x14ac:dyDescent="0.25">
      <c r="B12" s="88" t="s">
        <v>1231</v>
      </c>
      <c r="C12" s="88">
        <v>10</v>
      </c>
      <c r="D12" s="88" t="s">
        <v>1232</v>
      </c>
      <c r="E12" s="89">
        <v>45534</v>
      </c>
      <c r="F12" s="88">
        <v>1</v>
      </c>
      <c r="G12" s="90" t="s">
        <v>1208</v>
      </c>
      <c r="H12" s="88" t="s">
        <v>1211</v>
      </c>
      <c r="I12" s="88" t="s">
        <v>1233</v>
      </c>
      <c r="J12" s="88">
        <v>990000</v>
      </c>
      <c r="K12" s="88">
        <v>999900</v>
      </c>
      <c r="L12" s="88">
        <v>999999</v>
      </c>
      <c r="M12" s="88" t="s">
        <v>1234</v>
      </c>
      <c r="N12" s="88" t="s">
        <v>1235</v>
      </c>
      <c r="O12" s="93" t="s">
        <v>1236</v>
      </c>
      <c r="P12" s="89" t="s">
        <v>1220</v>
      </c>
      <c r="Q12" s="89" t="s">
        <v>1237</v>
      </c>
      <c r="R12" s="88" t="s">
        <v>1238</v>
      </c>
      <c r="S12" s="89">
        <v>45534</v>
      </c>
      <c r="T12" s="93" t="s">
        <v>1228</v>
      </c>
    </row>
    <row r="13" spans="2:20" x14ac:dyDescent="0.25">
      <c r="B13" s="88" t="s">
        <v>1239</v>
      </c>
      <c r="C13" s="88">
        <v>11</v>
      </c>
      <c r="D13" s="88" t="s">
        <v>1240</v>
      </c>
      <c r="E13" s="89">
        <v>45534</v>
      </c>
      <c r="F13" s="88">
        <v>1</v>
      </c>
      <c r="G13" s="90" t="s">
        <v>1208</v>
      </c>
      <c r="H13" s="88" t="s">
        <v>1211</v>
      </c>
      <c r="I13" s="88" t="s">
        <v>1233</v>
      </c>
      <c r="J13" s="88">
        <v>990000</v>
      </c>
      <c r="K13" s="88">
        <v>999900</v>
      </c>
      <c r="L13" s="88">
        <v>999999</v>
      </c>
      <c r="M13" s="88" t="s">
        <v>1234</v>
      </c>
      <c r="N13" s="88" t="s">
        <v>1235</v>
      </c>
      <c r="O13" s="93" t="s">
        <v>1236</v>
      </c>
      <c r="P13" s="89" t="s">
        <v>1220</v>
      </c>
      <c r="Q13" s="89" t="s">
        <v>1237</v>
      </c>
      <c r="R13" s="88" t="s">
        <v>1238</v>
      </c>
      <c r="S13" s="89">
        <v>45534</v>
      </c>
      <c r="T13" s="93" t="s">
        <v>1228</v>
      </c>
    </row>
    <row r="14" spans="2:20" x14ac:dyDescent="0.25">
      <c r="B14" s="88" t="s">
        <v>1241</v>
      </c>
      <c r="C14" s="88">
        <v>12</v>
      </c>
      <c r="D14" s="88" t="s">
        <v>1242</v>
      </c>
      <c r="E14" s="89">
        <v>45534</v>
      </c>
      <c r="F14" s="88">
        <v>1</v>
      </c>
      <c r="G14" s="90">
        <v>0.17</v>
      </c>
      <c r="H14" s="88" t="s">
        <v>1211</v>
      </c>
      <c r="I14" s="88">
        <v>0</v>
      </c>
      <c r="J14" s="88">
        <v>3</v>
      </c>
      <c r="K14" s="88">
        <v>3</v>
      </c>
      <c r="L14" s="88">
        <v>3</v>
      </c>
      <c r="M14" s="88">
        <v>27</v>
      </c>
      <c r="N14" s="88">
        <v>55</v>
      </c>
      <c r="O14" s="88">
        <v>25</v>
      </c>
      <c r="P14" s="88">
        <v>4306</v>
      </c>
      <c r="Q14" s="88">
        <v>220</v>
      </c>
      <c r="R14" s="88">
        <v>1167</v>
      </c>
      <c r="S14" s="88">
        <v>3</v>
      </c>
      <c r="T14" s="88">
        <v>0</v>
      </c>
    </row>
    <row r="15" spans="2:20" x14ac:dyDescent="0.25">
      <c r="B15" s="88" t="s">
        <v>1243</v>
      </c>
      <c r="C15" s="88">
        <v>13</v>
      </c>
      <c r="D15" s="88" t="s">
        <v>1242</v>
      </c>
      <c r="E15" s="89">
        <v>45439</v>
      </c>
      <c r="F15" s="88">
        <v>2</v>
      </c>
      <c r="G15" s="90">
        <v>1</v>
      </c>
      <c r="H15" s="88">
        <v>0</v>
      </c>
      <c r="I15" s="88" t="s">
        <v>1208</v>
      </c>
      <c r="J15" s="88" t="s">
        <v>1208</v>
      </c>
      <c r="K15" s="88" t="s">
        <v>1208</v>
      </c>
      <c r="L15" s="88" t="s">
        <v>1208</v>
      </c>
      <c r="M15" s="88" t="s">
        <v>1208</v>
      </c>
      <c r="N15" s="88" t="s">
        <v>1208</v>
      </c>
      <c r="O15" s="91" t="s">
        <v>1208</v>
      </c>
      <c r="P15" s="91">
        <v>0</v>
      </c>
      <c r="Q15" s="91">
        <v>0</v>
      </c>
      <c r="R15" s="88" t="s">
        <v>1208</v>
      </c>
      <c r="S15" s="88" t="s">
        <v>1208</v>
      </c>
      <c r="T15" s="91" t="s">
        <v>1208</v>
      </c>
    </row>
    <row r="16" spans="2:20" x14ac:dyDescent="0.25">
      <c r="B16" s="88" t="s">
        <v>1244</v>
      </c>
      <c r="C16" s="88">
        <v>14</v>
      </c>
      <c r="D16" s="88" t="s">
        <v>1245</v>
      </c>
      <c r="E16" s="89">
        <v>45534</v>
      </c>
      <c r="F16" s="88">
        <v>1</v>
      </c>
      <c r="G16" s="90">
        <v>1</v>
      </c>
      <c r="H16" s="88" t="s">
        <v>1211</v>
      </c>
      <c r="I16" s="88">
        <v>0</v>
      </c>
      <c r="J16" s="88">
        <v>0</v>
      </c>
      <c r="K16" s="88">
        <v>0</v>
      </c>
      <c r="L16" s="88">
        <v>0</v>
      </c>
      <c r="M16" s="88">
        <v>0</v>
      </c>
      <c r="N16" s="88">
        <v>0</v>
      </c>
      <c r="O16" s="88" t="s">
        <v>1208</v>
      </c>
      <c r="P16" s="88">
        <v>0</v>
      </c>
      <c r="Q16" s="88">
        <v>0</v>
      </c>
      <c r="R16" s="88" t="s">
        <v>1208</v>
      </c>
      <c r="S16" s="91" t="s">
        <v>1208</v>
      </c>
      <c r="T16" s="88" t="s">
        <v>1208</v>
      </c>
    </row>
    <row r="17" spans="2:22" x14ac:dyDescent="0.25">
      <c r="B17" s="88" t="s">
        <v>1246</v>
      </c>
      <c r="C17" s="88">
        <v>15</v>
      </c>
      <c r="D17" s="88" t="s">
        <v>1247</v>
      </c>
      <c r="E17" s="89">
        <v>45534</v>
      </c>
      <c r="F17" s="88">
        <v>1</v>
      </c>
      <c r="G17" s="90">
        <v>1</v>
      </c>
      <c r="H17" s="88" t="s">
        <v>1214</v>
      </c>
      <c r="I17" s="88" t="s">
        <v>1208</v>
      </c>
      <c r="J17" s="88" t="s">
        <v>1208</v>
      </c>
      <c r="K17" s="88" t="s">
        <v>1208</v>
      </c>
      <c r="L17" s="88" t="s">
        <v>1208</v>
      </c>
      <c r="M17" s="88" t="s">
        <v>1208</v>
      </c>
      <c r="N17" s="88" t="s">
        <v>1208</v>
      </c>
      <c r="O17" s="88" t="s">
        <v>1208</v>
      </c>
      <c r="P17" s="88" t="s">
        <v>1208</v>
      </c>
      <c r="Q17" s="88" t="s">
        <v>1208</v>
      </c>
      <c r="R17" s="88" t="s">
        <v>1208</v>
      </c>
      <c r="S17" s="91" t="s">
        <v>1208</v>
      </c>
      <c r="T17" s="88" t="s">
        <v>1208</v>
      </c>
    </row>
    <row r="18" spans="2:22" x14ac:dyDescent="0.25">
      <c r="B18" s="88" t="s">
        <v>1248</v>
      </c>
      <c r="C18" s="88">
        <v>16</v>
      </c>
      <c r="D18" s="88" t="s">
        <v>1247</v>
      </c>
      <c r="E18" s="89">
        <v>45534</v>
      </c>
      <c r="F18" s="88">
        <v>1</v>
      </c>
      <c r="G18" s="90">
        <v>1</v>
      </c>
      <c r="H18" s="94" t="s">
        <v>1214</v>
      </c>
      <c r="I18" s="88" t="s">
        <v>1208</v>
      </c>
      <c r="J18" s="88" t="s">
        <v>1208</v>
      </c>
      <c r="K18" s="88" t="s">
        <v>1208</v>
      </c>
      <c r="L18" s="88" t="s">
        <v>1208</v>
      </c>
      <c r="M18" s="88" t="s">
        <v>1208</v>
      </c>
      <c r="N18" s="88" t="s">
        <v>1208</v>
      </c>
      <c r="O18" s="88" t="s">
        <v>1208</v>
      </c>
      <c r="P18" s="88" t="s">
        <v>1208</v>
      </c>
      <c r="Q18" s="88" t="s">
        <v>1208</v>
      </c>
      <c r="R18" s="88" t="s">
        <v>1208</v>
      </c>
      <c r="S18" s="88" t="s">
        <v>1208</v>
      </c>
      <c r="T18" s="88" t="s">
        <v>1208</v>
      </c>
    </row>
    <row r="19" spans="2:22" x14ac:dyDescent="0.25">
      <c r="B19" s="88" t="s">
        <v>1249</v>
      </c>
      <c r="C19" s="88">
        <v>19</v>
      </c>
      <c r="D19" s="88" t="s">
        <v>1250</v>
      </c>
      <c r="E19" s="89">
        <v>45534</v>
      </c>
      <c r="F19" s="88">
        <v>1</v>
      </c>
      <c r="G19" s="90" cm="1">
        <f t="array" ref="G19">SUMPRODUCT(--(ISNUMBER((SEARCH(I24:T24,I19:T19)))))/COUNTA(I19:T19)</f>
        <v>1</v>
      </c>
      <c r="H19" s="88" t="s">
        <v>1211</v>
      </c>
      <c r="I19" s="88" t="s">
        <v>1251</v>
      </c>
      <c r="J19" s="88" t="s">
        <v>1251</v>
      </c>
      <c r="K19" s="88" t="s">
        <v>1251</v>
      </c>
      <c r="L19" s="88" t="s">
        <v>1251</v>
      </c>
      <c r="M19" s="88" t="s">
        <v>1251</v>
      </c>
      <c r="N19" s="88" t="s">
        <v>1251</v>
      </c>
      <c r="O19" s="88" t="s">
        <v>1251</v>
      </c>
      <c r="P19" s="88" t="s">
        <v>1251</v>
      </c>
      <c r="Q19" s="88" t="s">
        <v>1251</v>
      </c>
      <c r="R19" s="88" t="s">
        <v>1251</v>
      </c>
      <c r="S19" s="88" t="s">
        <v>1251</v>
      </c>
      <c r="T19" s="88" t="s">
        <v>1252</v>
      </c>
    </row>
    <row r="20" spans="2:22" x14ac:dyDescent="0.25">
      <c r="B20" s="91" t="s">
        <v>1253</v>
      </c>
      <c r="C20" s="88">
        <v>20</v>
      </c>
      <c r="D20" s="88" t="s">
        <v>1242</v>
      </c>
      <c r="E20" s="89">
        <v>45439</v>
      </c>
      <c r="F20" s="88">
        <v>2</v>
      </c>
      <c r="G20" s="90" cm="1">
        <f t="array" ref="G20">SUM(IF(I2:T2 = I23:T23, 1, 0))/ COUNTA(I2:T2)</f>
        <v>1</v>
      </c>
      <c r="H20" s="88" t="s">
        <v>1208</v>
      </c>
      <c r="I20" s="88" t="s">
        <v>1208</v>
      </c>
      <c r="J20" s="88" t="s">
        <v>1208</v>
      </c>
      <c r="K20" s="88" t="s">
        <v>1208</v>
      </c>
      <c r="L20" s="88" t="s">
        <v>1208</v>
      </c>
      <c r="M20" s="88" t="s">
        <v>1208</v>
      </c>
      <c r="N20" s="88" t="s">
        <v>1208</v>
      </c>
      <c r="O20" s="88" t="s">
        <v>1208</v>
      </c>
      <c r="P20" s="88" t="s">
        <v>1208</v>
      </c>
      <c r="Q20" s="88" t="s">
        <v>1208</v>
      </c>
      <c r="R20" s="88" t="s">
        <v>1208</v>
      </c>
      <c r="S20" s="88" t="s">
        <v>1208</v>
      </c>
      <c r="T20" s="88" t="s">
        <v>1208</v>
      </c>
    </row>
    <row r="21" spans="2:22" x14ac:dyDescent="0.25">
      <c r="B21" s="88" t="s">
        <v>1254</v>
      </c>
      <c r="C21" s="88">
        <v>21</v>
      </c>
      <c r="D21" s="88" t="s">
        <v>1242</v>
      </c>
      <c r="E21" s="89">
        <v>45439</v>
      </c>
      <c r="F21" s="88">
        <v>2</v>
      </c>
      <c r="G21" s="90" cm="1">
        <f t="array" ref="G21">SUM(IF(IF(G3:G20="null",1,G3:G20)=1,1,0))/COUNT(IF(G3:G20="null",1,1))</f>
        <v>0.83333333333333337</v>
      </c>
      <c r="H21" s="88" t="s">
        <v>1208</v>
      </c>
      <c r="I21" s="88" t="s">
        <v>1208</v>
      </c>
      <c r="J21" s="88" t="s">
        <v>1208</v>
      </c>
      <c r="K21" s="88" t="s">
        <v>1208</v>
      </c>
      <c r="L21" s="88" t="s">
        <v>1208</v>
      </c>
      <c r="M21" s="88" t="s">
        <v>1208</v>
      </c>
      <c r="N21" s="88" t="s">
        <v>1208</v>
      </c>
      <c r="O21" s="88" t="s">
        <v>1208</v>
      </c>
      <c r="P21" s="88" t="s">
        <v>1208</v>
      </c>
      <c r="Q21" s="88" t="s">
        <v>1208</v>
      </c>
      <c r="R21" s="88" t="s">
        <v>1208</v>
      </c>
      <c r="S21" s="88" t="s">
        <v>1208</v>
      </c>
      <c r="T21" s="88" t="s">
        <v>1208</v>
      </c>
    </row>
    <row r="22" spans="2:22" x14ac:dyDescent="0.25">
      <c r="B22" s="88"/>
      <c r="C22" s="88"/>
      <c r="D22" s="88"/>
      <c r="E22" s="89"/>
      <c r="F22" s="88"/>
      <c r="G22" s="88"/>
      <c r="H22" s="88"/>
      <c r="I22" s="88"/>
      <c r="J22" s="88"/>
      <c r="K22" s="88"/>
      <c r="L22" s="88"/>
      <c r="M22" s="88"/>
      <c r="N22" s="88"/>
      <c r="O22" s="88"/>
      <c r="P22" s="88"/>
      <c r="Q22" s="88"/>
      <c r="R22" s="88"/>
      <c r="S22" s="88"/>
      <c r="T22" s="88"/>
      <c r="U22" s="88"/>
    </row>
    <row r="23" spans="2:22" x14ac:dyDescent="0.25">
      <c r="B23" s="95" t="s">
        <v>1198</v>
      </c>
      <c r="C23" s="96" t="s">
        <v>1199</v>
      </c>
      <c r="D23" s="96" t="s">
        <v>1200</v>
      </c>
      <c r="E23" s="96" t="s">
        <v>1201</v>
      </c>
      <c r="F23" s="96" t="s">
        <v>1202</v>
      </c>
      <c r="G23" s="96" t="s">
        <v>1203</v>
      </c>
      <c r="H23" s="96" t="s">
        <v>1204</v>
      </c>
      <c r="I23" s="96" t="str" cm="1">
        <f t="array" ref="I23:T23">TRANSPOSE(_xlfn.SORTBY(_xlfn._xlws.FILTER(Table2[NOME FÍSICO CAMPO],Table2[NOME FÍSICO TABELA]="branch_address"), _xlfn._xlws.FILTER(Table2[ORDEM],Table2[NOME FÍSICO TABELA]= "branch_address"), 1))</f>
        <v>branch_id</v>
      </c>
      <c r="J23" s="96" t="str">
        <v>district_code</v>
      </c>
      <c r="K23" s="96" t="str">
        <v>municipality_code</v>
      </c>
      <c r="L23" s="96" t="str">
        <v>civil_parish_code</v>
      </c>
      <c r="M23" s="96" t="str">
        <v>postal_code</v>
      </c>
      <c r="N23" s="96" t="str">
        <v>street_type_code</v>
      </c>
      <c r="O23" s="96" t="str">
        <v>street_name</v>
      </c>
      <c r="P23" s="96" t="str">
        <v>building_type_code</v>
      </c>
      <c r="Q23" s="96" t="str">
        <v>building_number</v>
      </c>
      <c r="R23" s="96" t="str">
        <v>building_details</v>
      </c>
      <c r="S23" s="96" t="str">
        <v>data_date_part</v>
      </c>
      <c r="T23" s="96" t="str">
        <v>data_timestamp_part</v>
      </c>
      <c r="U23" s="97"/>
      <c r="V23" s="98"/>
    </row>
    <row r="24" spans="2:22" ht="14.25" customHeight="1" x14ac:dyDescent="0.25">
      <c r="B24" s="99" t="s">
        <v>1255</v>
      </c>
      <c r="C24" s="100">
        <v>21</v>
      </c>
      <c r="D24" s="101" t="s">
        <v>1256</v>
      </c>
      <c r="E24" s="102" t="s">
        <v>1257</v>
      </c>
      <c r="F24" s="102" t="s">
        <v>724</v>
      </c>
      <c r="G24" s="102" t="s">
        <v>724</v>
      </c>
      <c r="H24" s="102" t="s">
        <v>724</v>
      </c>
      <c r="I24" s="123" t="str" cm="1">
        <f t="array" ref="I24:T25">TRANSPOSE(_xlfn.SORTBY(_xlfn._xlws.FILTER(IF(Table2[FORMATO]:Table2[COMP_ CAMPO]&lt;&gt;"",Table2[FORMATO]:Table2[COMP_ CAMPO],9999999),Table2[NOME FÍSICO TABELA]="branch_address"), _xlfn._xlws.FILTER(Table2[ORDEM], Table2[NOME FÍSICO TABELA]="branch_address"), 1))</f>
        <v>STRING</v>
      </c>
      <c r="J24" s="102" t="str">
        <v>STRING</v>
      </c>
      <c r="K24" s="102" t="str">
        <v>STRING</v>
      </c>
      <c r="L24" s="102" t="str">
        <v>STRING</v>
      </c>
      <c r="M24" s="102" t="str">
        <v>STRING</v>
      </c>
      <c r="N24" s="102" t="str">
        <v>STRING</v>
      </c>
      <c r="O24" s="102" t="str">
        <v>STRING</v>
      </c>
      <c r="P24" s="102" t="str">
        <v>STRING</v>
      </c>
      <c r="Q24" s="102" t="str">
        <v>STRING</v>
      </c>
      <c r="R24" s="102" t="str">
        <v>STRING</v>
      </c>
      <c r="S24" s="102" t="str">
        <v>STRING</v>
      </c>
      <c r="T24" s="102" t="str">
        <v>TIMESTAMP</v>
      </c>
      <c r="U24" s="104"/>
    </row>
    <row r="25" spans="2:22" x14ac:dyDescent="0.25">
      <c r="B25" s="99" t="s">
        <v>1258</v>
      </c>
      <c r="C25" s="100">
        <v>7</v>
      </c>
      <c r="D25" s="101" t="s">
        <v>1256</v>
      </c>
      <c r="E25" s="102" t="s">
        <v>1257</v>
      </c>
      <c r="F25" s="105" t="s">
        <v>724</v>
      </c>
      <c r="G25" s="105" t="s">
        <v>724</v>
      </c>
      <c r="H25" s="105" t="s">
        <v>724</v>
      </c>
      <c r="I25" s="103">
        <v>4</v>
      </c>
      <c r="J25" s="103">
        <v>6</v>
      </c>
      <c r="K25" s="103">
        <v>6</v>
      </c>
      <c r="L25" s="103">
        <v>6</v>
      </c>
      <c r="M25" s="103">
        <v>7</v>
      </c>
      <c r="N25" s="103">
        <v>4</v>
      </c>
      <c r="O25" s="103">
        <v>9999999</v>
      </c>
      <c r="P25" s="103">
        <v>4</v>
      </c>
      <c r="Q25" s="103">
        <v>9999999</v>
      </c>
      <c r="R25" s="103">
        <v>9999999</v>
      </c>
      <c r="S25" s="103">
        <v>10</v>
      </c>
      <c r="T25" s="103">
        <v>23</v>
      </c>
      <c r="U25" s="106"/>
      <c r="V25" s="107"/>
    </row>
    <row r="27" spans="2:22" x14ac:dyDescent="0.25">
      <c r="B27" s="108" t="s">
        <v>1259</v>
      </c>
    </row>
    <row r="28" spans="2:22" x14ac:dyDescent="0.25">
      <c r="B28" s="109" t="s">
        <v>1260</v>
      </c>
      <c r="C28" s="109" t="s">
        <v>1261</v>
      </c>
      <c r="D28" s="110" t="s">
        <v>1262</v>
      </c>
      <c r="E28" s="109" t="s">
        <v>1263</v>
      </c>
      <c r="F28" s="109" t="s">
        <v>1264</v>
      </c>
    </row>
    <row r="29" spans="2:22" ht="30" x14ac:dyDescent="0.25">
      <c r="B29" s="111" t="s">
        <v>1265</v>
      </c>
      <c r="C29" s="112" t="s">
        <v>800</v>
      </c>
      <c r="D29" s="85" t="s">
        <v>1266</v>
      </c>
      <c r="E29" s="91" t="s">
        <v>1267</v>
      </c>
      <c r="F29" s="113"/>
    </row>
    <row r="30" spans="2:22" ht="30" x14ac:dyDescent="0.25">
      <c r="B30" s="114"/>
      <c r="C30" s="115" t="s">
        <v>1268</v>
      </c>
      <c r="D30" s="116"/>
      <c r="E30" s="91" t="s">
        <v>1267</v>
      </c>
      <c r="F30" s="118"/>
    </row>
    <row r="31" spans="2:22" ht="30" x14ac:dyDescent="0.25">
      <c r="B31" s="114"/>
      <c r="C31" s="115" t="s">
        <v>738</v>
      </c>
      <c r="D31" s="116"/>
      <c r="E31" s="91" t="s">
        <v>1267</v>
      </c>
      <c r="F31" s="118"/>
    </row>
    <row r="32" spans="2:22" ht="30" x14ac:dyDescent="0.25">
      <c r="B32" s="111"/>
      <c r="C32" s="112" t="s">
        <v>745</v>
      </c>
      <c r="D32" s="85"/>
      <c r="E32" s="91" t="s">
        <v>1267</v>
      </c>
      <c r="F32" s="119"/>
    </row>
    <row r="33" spans="2:6" ht="30" x14ac:dyDescent="0.25">
      <c r="B33" s="111"/>
      <c r="C33" s="112" t="s">
        <v>752</v>
      </c>
      <c r="D33" s="85"/>
      <c r="E33" s="117" t="s">
        <v>1269</v>
      </c>
      <c r="F33" s="119"/>
    </row>
    <row r="34" spans="2:6" x14ac:dyDescent="0.25">
      <c r="B34" s="120"/>
      <c r="C34" s="121"/>
      <c r="D34" s="122"/>
      <c r="E34" s="91"/>
      <c r="F34" s="119"/>
    </row>
  </sheetData>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F38A0-F541-460D-BB6C-5A0B799A451E}">
  <dimension ref="A1:B8"/>
  <sheetViews>
    <sheetView showGridLines="0" workbookViewId="0">
      <selection activeCell="G7" sqref="G7"/>
    </sheetView>
  </sheetViews>
  <sheetFormatPr defaultRowHeight="15" x14ac:dyDescent="0.25"/>
  <cols>
    <col min="1" max="1" width="56.5703125" customWidth="1"/>
    <col min="2" max="2" width="16.42578125" customWidth="1"/>
  </cols>
  <sheetData>
    <row r="1" spans="1:2" x14ac:dyDescent="0.25">
      <c r="A1" s="63" t="s">
        <v>1270</v>
      </c>
      <c r="B1" s="63" t="s">
        <v>1271</v>
      </c>
    </row>
    <row r="2" spans="1:2" x14ac:dyDescent="0.25">
      <c r="A2" s="64" t="s">
        <v>1272</v>
      </c>
      <c r="B2" s="64" t="s">
        <v>1273</v>
      </c>
    </row>
    <row r="3" spans="1:2" x14ac:dyDescent="0.25">
      <c r="A3" s="64" t="s">
        <v>1274</v>
      </c>
      <c r="B3" s="64" t="s">
        <v>1275</v>
      </c>
    </row>
    <row r="4" spans="1:2" x14ac:dyDescent="0.25">
      <c r="A4" s="64" t="s">
        <v>1276</v>
      </c>
      <c r="B4" s="65" t="s">
        <v>1277</v>
      </c>
    </row>
    <row r="5" spans="1:2" x14ac:dyDescent="0.25">
      <c r="A5" s="64" t="s">
        <v>1278</v>
      </c>
      <c r="B5" s="64" t="s">
        <v>1279</v>
      </c>
    </row>
    <row r="6" spans="1:2" x14ac:dyDescent="0.25">
      <c r="A6" s="64" t="s">
        <v>1280</v>
      </c>
      <c r="B6" s="64" t="s">
        <v>1281</v>
      </c>
    </row>
    <row r="7" spans="1:2" x14ac:dyDescent="0.25">
      <c r="A7" s="64" t="s">
        <v>1282</v>
      </c>
      <c r="B7" s="64" t="s">
        <v>1283</v>
      </c>
    </row>
    <row r="8" spans="1:2" x14ac:dyDescent="0.25">
      <c r="A8" s="64" t="s">
        <v>1284</v>
      </c>
      <c r="B8" s="64" t="s">
        <v>1285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EEA89EA7-B573-4B5B-A468-8A24A591180E}"/>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Capa</vt:lpstr>
      <vt:lpstr>Lista</vt:lpstr>
      <vt:lpstr>Sheet1</vt:lpstr>
      <vt:lpstr>Sheet2</vt:lpstr>
      <vt:lpstr>Sheet5</vt:lpstr>
      <vt:lpstr>Sheet3</vt:lpstr>
      <vt:lpstr>Sheet4</vt:lpstr>
      <vt:lpstr>Tabelas</vt:lpstr>
      <vt:lpstr>Regras de Cruzamento</vt:lpstr>
      <vt:lpstr>branch_address</vt:lpstr>
      <vt:lpstr>Sheet6</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2025-01-22T13:16:16Z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2023-12-15T15:34:00Z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056a06f1-8a63-40e3-8688-4ae721e14c6c</vt:lpwstr>
  </property>
  <property fmtid="{D5CDD505-2E9C-101B-9397-08002B2CF9AE}" pid="12" name="MSIP_Label_3c41c091-3cbc-4dba-8b59-ce62f19500db_ContentBits">
    <vt:lpwstr>1</vt:lpwstr>
  </property>
</Properties>
</file>