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09"/>
  <workbookPr saveExternalLinkValues="0"/>
  <mc:AlternateContent xmlns:mc="http://schemas.openxmlformats.org/markup-compatibility/2006">
    <mc:Choice Requires="x15">
      <x15ac:absPath xmlns:x15ac="http://schemas.microsoft.com/office/spreadsheetml/2010/11/ac" url="C:\Users\E807573\Santander Office 365\ACCENTURE Common Data Model - General\03. Modelos\01. Accenture\03. Modelo Físico\02. Common Data Model\02. Structural\"/>
    </mc:Choice>
  </mc:AlternateContent>
  <xr:revisionPtr revIDLastSave="23" documentId="8_{5C17194D-5514-42BC-9FB0-CDD64D70D037}" xr6:coauthVersionLast="47" xr6:coauthVersionMax="47" xr10:uidLastSave="{9ACCA40C-A322-46DE-9779-FE5E2CF653E3}"/>
  <bookViews>
    <workbookView xWindow="-108" yWindow="-108" windowWidth="19308"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branch_address" sheetId="40" r:id="rId9"/>
    <sheet name="Sheet6" sheetId="3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0" l="1" a="1"/>
  <c r="G8" i="40"/>
  <c r="I24" i="40" a="1"/>
  <c r="G9" i="40" s="1" a="1"/>
  <c r="G9" i="40" s="1"/>
  <c r="I24" i="40"/>
  <c r="G19" i="40" s="1" a="1"/>
  <c r="G19" i="40" s="1"/>
  <c r="I23" i="40" a="1"/>
  <c r="I23" i="40"/>
  <c r="G20" i="40" s="1" a="1"/>
  <c r="G20" i="40" s="1"/>
  <c r="G21" i="40" a="1"/>
  <c r="G21" i="40" s="1"/>
  <c r="H54" i="2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<sst xmlns="http://schemas.openxmlformats.org/spreadsheetml/2006/main" count="2599" uniqueCount="1105">
  <si>
    <t>Modelo Comum de Dados - Structural</t>
  </si>
  <si>
    <t>SCHEMA</t>
  </si>
  <si>
    <t>TABELA</t>
  </si>
  <si>
    <t>DESCRIÇÃO</t>
  </si>
  <si>
    <t>common_reference_data</t>
  </si>
  <si>
    <t>common_reference_data_table</t>
  </si>
  <si>
    <t>Holds the reference data information of the Common Data Model.</t>
  </si>
  <si>
    <t>common_reference_data_table_description</t>
  </si>
  <si>
    <t>Holds the functional description of the reference data dimensions recorded in the reference data table.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</si>
  <si>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</si>
  <si>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</si>
  <si>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</si>
  <si>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</si>
  <si>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</si>
  <si>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</si>
  <si>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</si>
  <si>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</si>
  <si>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</si>
  <si>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</si>
  <si>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</si>
  <si>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</si>
  <si>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</si>
  <si>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</si>
  <si>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</si>
  <si>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</si>
  <si>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</si>
  <si>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</si>
  <si>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</si>
  <si>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</si>
  <si>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</si>
  <si>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</si>
  <si>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</si>
  <si>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</si>
  <si>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</si>
  <si>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</si>
  <si>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</si>
  <si>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</si>
  <si>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</si>
  <si>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</si>
  <si>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</si>
  <si>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</si>
  <si>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</si>
  <si>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</si>
  <si>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</si>
  <si>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</si>
  <si>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</si>
  <si>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</si>
  <si>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</si>
  <si>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</si>
  <si>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</si>
  <si>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</si>
  <si>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</si>
  <si>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</si>
  <si>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</si>
  <si>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</si>
  <si>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</si>
  <si>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</si>
  <si>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</si>
  <si>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</si>
  <si>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</si>
  <si>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</si>
  <si>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</si>
  <si>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</si>
  <si>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</si>
  <si>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</si>
  <si>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</si>
  <si>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</si>
  <si>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</si>
  <si>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</si>
  <si>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</si>
  <si>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</si>
  <si>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</si>
  <si>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</si>
  <si>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</si>
  <si>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</si>
  <si>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</si>
  <si>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</si>
  <si>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</si>
  <si>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</si>
  <si>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</si>
  <si>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</si>
  <si>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</si>
  <si>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</si>
  <si>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</si>
  <si>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</si>
  <si>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</si>
  <si>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</si>
  <si>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</si>
  <si>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</si>
  <si>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</si>
  <si>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</si>
  <si>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</si>
  <si>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</si>
  <si>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</si>
  <si>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</si>
  <si>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</si>
  <si>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</si>
  <si>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</si>
  <si>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</si>
  <si>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</si>
  <si>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</si>
  <si>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</si>
  <si>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</si>
  <si>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</si>
  <si>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</si>
  <si>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</si>
  <si>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</si>
  <si>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</si>
  <si>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</si>
  <si>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</si>
  <si>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</si>
  <si>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</si>
  <si>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</si>
  <si>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</si>
  <si>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</si>
  <si>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</si>
  <si>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</si>
  <si>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</si>
  <si>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</si>
  <si>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</si>
  <si>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</si>
  <si>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</si>
  <si>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</si>
  <si>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</si>
  <si>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</si>
  <si>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</si>
  <si>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</si>
  <si>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</si>
  <si>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</si>
  <si>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</si>
  <si>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</si>
  <si>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</si>
  <si>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</si>
  <si>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</si>
  <si>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</si>
  <si>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</si>
  <si>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</si>
  <si>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</si>
  <si>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</si>
  <si>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</si>
  <si>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</si>
  <si>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</si>
  <si>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</si>
  <si>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</si>
  <si>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</si>
  <si>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</si>
  <si>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</si>
  <si>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</si>
  <si>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</si>
  <si>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</si>
  <si>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</si>
  <si>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</si>
  <si>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</si>
  <si>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</si>
  <si>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</si>
  <si>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</si>
  <si>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</si>
  <si>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</si>
  <si>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</si>
  <si>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</si>
  <si>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</si>
  <si>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</si>
  <si>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</si>
  <si>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</si>
  <si>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</si>
  <si>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</si>
  <si>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</si>
  <si>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</si>
  <si>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</si>
  <si>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</si>
  <si>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</si>
  <si>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</si>
  <si>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</si>
  <si>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</si>
  <si>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</si>
  <si>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</si>
  <si>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</si>
  <si>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</si>
  <si>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</si>
  <si>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</si>
  <si>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</si>
  <si>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</si>
  <si>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</si>
  <si>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</si>
  <si>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</si>
  <si>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</si>
  <si>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</si>
  <si>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</si>
  <si>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</si>
  <si>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</si>
  <si>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</si>
  <si>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</si>
  <si>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</si>
  <si>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</si>
  <si>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</si>
  <si>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</si>
  <si>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</si>
  <si>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</si>
  <si>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</si>
  <si>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</si>
  <si>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</si>
  <si>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</si>
  <si>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</si>
  <si>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</si>
  <si>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</si>
  <si>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</si>
  <si>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</si>
  <si>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</si>
  <si>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</si>
  <si>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</si>
  <si>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</si>
  <si>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</si>
  <si>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</si>
  <si>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</si>
  <si>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</si>
  <si>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</si>
  <si>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</si>
  <si>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</si>
  <si>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</si>
  <si>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</si>
  <si>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</si>
  <si>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</si>
  <si>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</si>
  <si>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</si>
  <si>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</si>
  <si>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</si>
  <si>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</si>
  <si>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</si>
  <si>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</si>
  <si>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</si>
  <si>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</si>
  <si>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</si>
  <si>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</si>
  <si>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</si>
  <si>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</si>
  <si>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</si>
  <si>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</si>
  <si>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</si>
  <si>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</si>
  <si>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</si>
  <si>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</si>
  <si>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</si>
  <si>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</si>
  <si>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</si>
  <si>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</si>
  <si>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</si>
  <si>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</si>
  <si>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</si>
  <si>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</si>
  <si>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</si>
  <si>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</si>
  <si>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</si>
  <si>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</si>
  <si>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</si>
  <si>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</si>
  <si>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</si>
  <si>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</si>
  <si>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</si>
  <si>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</si>
  <si>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</si>
  <si>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</si>
  <si>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</si>
  <si>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</si>
  <si>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</si>
  <si>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</si>
  <si>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</si>
  <si>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</si>
  <si>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</si>
  <si>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</si>
  <si>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</si>
  <si>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</si>
  <si>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</si>
  <si>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</si>
  <si>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</si>
  <si>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</si>
  <si>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</si>
  <si>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</si>
  <si>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</si>
  <si>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</si>
  <si>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</si>
  <si>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</si>
  <si>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</si>
  <si>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</si>
  <si>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</si>
  <si>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</si>
  <si>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</si>
  <si>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</si>
  <si>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</si>
  <si>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</si>
  <si>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</si>
  <si>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</si>
  <si>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</si>
  <si>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</si>
  <si>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</si>
  <si>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</si>
  <si>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</si>
  <si>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</si>
  <si>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</si>
  <si>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</si>
  <si>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</si>
  <si>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</si>
  <si>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</si>
  <si>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</si>
  <si>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</si>
  <si>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</si>
  <si>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</si>
  <si>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</si>
  <si>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</si>
  <si>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</si>
  <si>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</si>
  <si>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</si>
  <si>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</si>
  <si>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</si>
  <si>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</si>
  <si>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</si>
  <si>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</si>
  <si>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</si>
  <si>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</si>
  <si>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</si>
  <si>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</si>
  <si>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</si>
  <si>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</si>
  <si>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</si>
  <si>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</si>
  <si>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</si>
  <si>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</si>
  <si>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</si>
  <si>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</si>
  <si>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</si>
  <si>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</si>
  <si>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</si>
  <si>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</si>
  <si>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</si>
  <si>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</si>
  <si>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</si>
  <si>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</si>
  <si>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</si>
  <si>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</si>
  <si>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</si>
  <si>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</si>
  <si>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</si>
  <si>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</si>
  <si>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</si>
  <si>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</si>
  <si>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</si>
  <si>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</si>
  <si>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</si>
  <si>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</si>
  <si>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</si>
  <si>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</si>
  <si>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</si>
  <si>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</si>
  <si>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</si>
  <si>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</si>
  <si>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</si>
  <si>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</si>
  <si>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</si>
  <si>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</si>
  <si>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</si>
  <si>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</si>
  <si>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</si>
  <si>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</si>
  <si>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</si>
  <si>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</si>
  <si>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</si>
  <si>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</si>
  <si>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</si>
  <si>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</si>
  <si>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</si>
  <si>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</si>
  <si>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</si>
  <si>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</si>
  <si>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</si>
  <si>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</si>
  <si>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</si>
  <si>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</si>
  <si>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</si>
  <si>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</si>
  <si>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</si>
  <si>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</si>
  <si>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</si>
  <si>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</si>
  <si>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</si>
  <si>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</si>
  <si>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</si>
  <si>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</si>
  <si>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</si>
  <si>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</si>
  <si>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</si>
  <si>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</si>
  <si>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</si>
  <si>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</si>
  <si>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</si>
  <si>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</si>
  <si>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</si>
  <si>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</si>
  <si>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</si>
  <si>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</si>
  <si>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</si>
  <si>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</si>
  <si>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</si>
  <si>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</si>
  <si>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</si>
  <si>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</si>
  <si>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</si>
  <si>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</si>
  <si>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</si>
  <si>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</si>
  <si>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</si>
  <si>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</si>
  <si>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</si>
  <si>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</si>
  <si>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</si>
  <si>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</si>
  <si>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</si>
  <si>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</si>
  <si>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</si>
  <si>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</si>
  <si>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</si>
  <si>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</si>
  <si>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</si>
  <si>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</si>
  <si>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</si>
  <si>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</si>
  <si>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</si>
  <si>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</si>
  <si>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</si>
  <si>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</si>
  <si>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</si>
  <si>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</si>
  <si>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</si>
  <si>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</si>
  <si>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</si>
  <si>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</si>
  <si>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</si>
  <si>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</si>
  <si>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</si>
  <si>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</si>
  <si>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</si>
  <si>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</si>
  <si>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</si>
  <si>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</si>
  <si>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</si>
  <si>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</si>
  <si>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</si>
  <si>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</si>
  <si>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</si>
  <si>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</si>
  <si>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</si>
  <si>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</si>
  <si>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</si>
  <si>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</si>
  <si>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</si>
  <si>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</si>
  <si>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</si>
  <si>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</si>
  <si>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</si>
  <si>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</si>
  <si>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</si>
  <si>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</si>
  <si>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</si>
  <si>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</si>
  <si>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</si>
  <si>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</si>
  <si>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</si>
  <si>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</si>
  <si>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</si>
  <si>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</si>
  <si>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</si>
  <si>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</si>
  <si>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</si>
  <si>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</si>
  <si>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</si>
  <si>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</si>
  <si>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</si>
  <si>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</si>
  <si>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</si>
  <si>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</si>
  <si>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</si>
  <si>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</si>
  <si>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</si>
  <si>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</si>
  <si>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</si>
  <si>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</si>
  <si>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</si>
  <si>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</si>
  <si>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</si>
  <si>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</si>
  <si>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</si>
  <si>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</si>
  <si>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</si>
  <si>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</si>
  <si>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</si>
  <si>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</si>
  <si>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</si>
  <si>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</si>
  <si>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</si>
  <si>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</si>
  <si>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</si>
  <si>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</si>
  <si>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</si>
  <si>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</si>
  <si>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</si>
  <si>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</si>
  <si>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</si>
  <si>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</si>
  <si>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</si>
  <si>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</si>
  <si>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</si>
  <si>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</si>
  <si>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</si>
  <si>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</si>
  <si>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</si>
  <si>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</si>
  <si>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</si>
  <si>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</si>
  <si>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</si>
  <si>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</si>
  <si>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</si>
  <si>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</si>
  <si>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</si>
  <si>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</si>
  <si>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</si>
  <si>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</si>
  <si>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</si>
  <si>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</si>
  <si>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</si>
  <si>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</si>
  <si>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</si>
  <si>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</si>
  <si>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</si>
  <si>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</si>
  <si>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</si>
  <si>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</si>
  <si>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</si>
  <si>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</si>
  <si>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</si>
  <si>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</si>
  <si>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</si>
  <si>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</si>
  <si>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</si>
  <si>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</si>
  <si>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</si>
  <si>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</si>
  <si>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</si>
  <si>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</si>
  <si>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</si>
  <si>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</si>
  <si>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</si>
  <si>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</si>
  <si>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</si>
  <si>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</si>
  <si>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</si>
  <si>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</si>
  <si>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</si>
  <si>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</si>
  <si>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</si>
  <si>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</si>
  <si>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</si>
  <si>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</si>
  <si>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</si>
  <si>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</si>
  <si>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</si>
  <si>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</si>
  <si>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</si>
  <si>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</si>
  <si>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</si>
  <si>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</si>
  <si>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</si>
  <si>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</si>
  <si>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</si>
  <si>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</si>
  <si>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</si>
  <si>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</si>
  <si>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</si>
  <si>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</si>
  <si>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</si>
  <si>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</si>
  <si>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</si>
  <si>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</si>
  <si>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</si>
  <si>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</si>
  <si>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</si>
  <si>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</si>
  <si>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</si>
  <si>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</si>
  <si>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</si>
  <si>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</si>
  <si>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</si>
  <si>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</si>
  <si>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</si>
  <si>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</si>
  <si>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</si>
  <si>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</si>
  <si>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</si>
  <si>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</si>
  <si>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</si>
  <si>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</si>
  <si>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</si>
  <si>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</si>
  <si>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</si>
  <si>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</si>
  <si>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</si>
  <si>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</si>
  <si>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</si>
  <si>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</si>
  <si>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</si>
  <si>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</si>
  <si>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</si>
  <si>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</si>
  <si>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</si>
  <si>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</si>
  <si>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</si>
  <si>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</si>
  <si>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</si>
  <si>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</si>
  <si>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</si>
  <si>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</si>
  <si>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</si>
  <si>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</si>
  <si>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</si>
  <si>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</si>
  <si>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</si>
  <si>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</si>
  <si>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</si>
  <si>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</si>
  <si>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</si>
  <si>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</si>
  <si>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</si>
  <si>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</si>
  <si>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</si>
  <si>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</si>
  <si>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</si>
  <si>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</si>
  <si>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</si>
  <si>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</si>
  <si>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</si>
  <si>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</si>
  <si>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</si>
  <si>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</si>
  <si>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</si>
  <si>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</si>
  <si>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</si>
  <si>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</si>
  <si>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</si>
  <si>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</si>
  <si>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</si>
  <si>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</si>
  <si>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</si>
  <si>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</si>
  <si>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</si>
  <si>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</si>
  <si>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</si>
  <si>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</si>
  <si>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</si>
  <si>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</si>
  <si>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</si>
  <si>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</si>
  <si>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</si>
  <si>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</si>
  <si>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</si>
  <si>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</si>
  <si>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</si>
  <si>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</si>
  <si>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</si>
  <si>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</si>
  <si>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</si>
  <si>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</si>
  <si>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</si>
  <si>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</si>
  <si>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</si>
  <si>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</si>
  <si>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</si>
  <si>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</si>
  <si>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</si>
  <si>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</si>
  <si>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</si>
  <si>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</si>
  <si>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</si>
  <si>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</si>
  <si>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</si>
  <si>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</si>
  <si>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</si>
  <si>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</si>
  <si>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</si>
  <si>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</si>
  <si>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</si>
  <si>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</si>
  <si>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common_referencedata</t>
  </si>
  <si>
    <t>Branch Address</t>
  </si>
  <si>
    <t>branch_address</t>
  </si>
  <si>
    <t>Branch ID</t>
  </si>
  <si>
    <t>branch_id</t>
  </si>
  <si>
    <t>Key - ID</t>
  </si>
  <si>
    <t>STRING</t>
  </si>
  <si>
    <t>Unique identifier of the branch.</t>
  </si>
  <si>
    <t>X</t>
  </si>
  <si>
    <t>TAT91_TABELAS - CTABELA 091</t>
  </si>
  <si>
    <t>TA - Tabelas Gerais</t>
  </si>
  <si>
    <t>TAT91_TABELAS</t>
  </si>
  <si>
    <t>CELEMTAB</t>
  </si>
  <si>
    <t>N\A</t>
  </si>
  <si>
    <t>District Code</t>
  </si>
  <si>
    <t>district_code</t>
  </si>
  <si>
    <t>Ext inf - Addr Gen Inf - Code</t>
  </si>
  <si>
    <t>Identifies the district to which the address belongs to.</t>
  </si>
  <si>
    <t>TAT91_TABELAS - CTABELA J48</t>
  </si>
  <si>
    <t>CENTROS_PT</t>
  </si>
  <si>
    <t>CONCAT( DISTRIPC, "0000" )</t>
  </si>
  <si>
    <t>Municipality Code</t>
  </si>
  <si>
    <t>municipality_code</t>
  </si>
  <si>
    <t>Identifies the municipality to which the address belongs to.</t>
  </si>
  <si>
    <t>CONCAT( DISTRIPC, CODCON, "00" )</t>
  </si>
  <si>
    <t>Civil Parish Code</t>
  </si>
  <si>
    <t>civil_parish_code</t>
  </si>
  <si>
    <t>Identifies the lowest local adminstrative location of the local government ("freguesia") to which the address belongs to.</t>
  </si>
  <si>
    <t>CONCAT( DISTRIPC, CODCON, FREGNA )</t>
  </si>
  <si>
    <t>Postal Code</t>
  </si>
  <si>
    <t>postal_code</t>
  </si>
  <si>
    <t>Ext inf - Addr Inf - Value</t>
  </si>
  <si>
    <t>Postal code of the adress.</t>
  </si>
  <si>
    <t/>
  </si>
  <si>
    <t>Postal Code:
COD_POSTAL_PT -&gt; TAT91 - CTABELA 020; CURATED_INTERNAL_MAINFRAME_ESTRUTURAIS.TAT91_TABELAS - TAYD91C0_CTABELA 020</t>
  </si>
  <si>
    <t>CONCAT( ZONA, CODCOMP )</t>
  </si>
  <si>
    <t>Street Type Code</t>
  </si>
  <si>
    <t>street_type_code</t>
  </si>
  <si>
    <t>Ext inf - Addr Inf - Code</t>
  </si>
  <si>
    <t>Identifies the type of street of the address, for example, avenue, street, etc.</t>
  </si>
  <si>
    <t>Street Type:
TIPO_VIA_PT -&gt;  TAT91 - CTABELA H91; CURATED_INTERNAL_MAINFRAME_ESTRUTURAIS.TAT91_TABELAS - TAYD91C0_CTABELA H91</t>
  </si>
  <si>
    <t>TIPVIAAC</t>
  </si>
  <si>
    <t>Street Name</t>
  </si>
  <si>
    <t>street_name</t>
  </si>
  <si>
    <t>Address's street name.</t>
  </si>
  <si>
    <t>DESDIREC</t>
  </si>
  <si>
    <t>Building Type Code</t>
  </si>
  <si>
    <t>building_type_code</t>
  </si>
  <si>
    <t>Type of building, for example, if it is a building an estate and so on.</t>
  </si>
  <si>
    <t>Building Type:
TIP_EDIFICIO_PT -&gt; TAT91 - CTABELA H90; CURATED_INTERNAL_MAINFRAME_ESTRUTURAIS.TAT91_TABELAS - TAYD91C0_CTABELA H90</t>
  </si>
  <si>
    <t>TIPOEQI</t>
  </si>
  <si>
    <t>Building Number</t>
  </si>
  <si>
    <t>building_number</t>
  </si>
  <si>
    <t>Address' building number (it also includes homes and other types of houses).</t>
  </si>
  <si>
    <t>NUMPUERT</t>
  </si>
  <si>
    <t>Building Details</t>
  </si>
  <si>
    <t>building_details</t>
  </si>
  <si>
    <t xml:space="preserve">Free text field for details of the building. It can include the number of the house inside of the building and extra details. </t>
  </si>
  <si>
    <t>DOMICN</t>
  </si>
  <si>
    <t>Data Date Part</t>
  </si>
  <si>
    <t>data_date_part</t>
  </si>
  <si>
    <t>Key - Date</t>
  </si>
  <si>
    <t>Information reference date.</t>
  </si>
  <si>
    <t>Data Timestamp Part</t>
  </si>
  <si>
    <t>data_timestamp_part</t>
  </si>
  <si>
    <t>Tec - Date</t>
  </si>
  <si>
    <t>TIMESTAMP</t>
  </si>
  <si>
    <t>Record's load date in common layer.</t>
  </si>
  <si>
    <t>Exchange Rate</t>
  </si>
  <si>
    <t>exchange_rate</t>
  </si>
  <si>
    <t>Exchange Rate Date</t>
  </si>
  <si>
    <t>exchange_rate_date</t>
  </si>
  <si>
    <t>DATE</t>
  </si>
  <si>
    <t>Date of the exchange rate.</t>
  </si>
  <si>
    <t>CB - Cambios</t>
  </si>
  <si>
    <t>CBT02_CAMBIOS</t>
  </si>
  <si>
    <t>DCAMBIO</t>
  </si>
  <si>
    <t>Exchange Type Code</t>
  </si>
  <si>
    <t>exchange_type_code</t>
  </si>
  <si>
    <t>Key - Code</t>
  </si>
  <si>
    <t>Identifies if it is a fixing exchange, a buy exchange or an ibos transfer.</t>
  </si>
  <si>
    <t>TAT91_TABELAS - CTABELA 836</t>
  </si>
  <si>
    <t>CTBCAMB</t>
  </si>
  <si>
    <t>Origin Currency Code</t>
  </si>
  <si>
    <t>origin_currency_code</t>
  </si>
  <si>
    <t>Indicates the currency of the origin of the trade.</t>
  </si>
  <si>
    <t>TAT91_TABELAS - CTABELA 206</t>
  </si>
  <si>
    <t>Order Number</t>
  </si>
  <si>
    <t>order_number</t>
  </si>
  <si>
    <t>Ext Inf - Value</t>
  </si>
  <si>
    <t>BIGINT</t>
  </si>
  <si>
    <t>Represents the position in the sequencial order of exchange rate. In case of exchange rates '99' represents the atual rate.</t>
  </si>
  <si>
    <t>ZSEQCAMB</t>
  </si>
  <si>
    <t>Origin Currency Country Code</t>
  </si>
  <si>
    <t>origin_currency_country_code</t>
  </si>
  <si>
    <t>Ext Inf - Fin Inf - Value</t>
  </si>
  <si>
    <t>Identifies to which country does the origin currency belongs to.</t>
  </si>
  <si>
    <t>TAT91_TABELAS - CTABELA 015</t>
  </si>
  <si>
    <t>CPAISISO</t>
  </si>
  <si>
    <t>Buy Rate</t>
  </si>
  <si>
    <t>buy_rate</t>
  </si>
  <si>
    <t>DECIMAL</t>
  </si>
  <si>
    <t>Indicates the buy exchange rate between the currencies.</t>
  </si>
  <si>
    <t>TCMBCR</t>
  </si>
  <si>
    <t>Sell Rate</t>
  </si>
  <si>
    <t>sell_rate</t>
  </si>
  <si>
    <t>Indicates the sell exchange rate between the currencies.</t>
  </si>
  <si>
    <t>TCMBVN</t>
  </si>
  <si>
    <t>Average Rate</t>
  </si>
  <si>
    <t>average_rate</t>
  </si>
  <si>
    <t>The average rate between sell and buy exchange rates.</t>
  </si>
  <si>
    <t>TCMBME</t>
  </si>
  <si>
    <t>USD Cross Rate</t>
  </si>
  <si>
    <t>usd_cross_rate</t>
  </si>
  <si>
    <t>Indicates the USD cross rate for the cross-currency pair, if applicable.</t>
  </si>
  <si>
    <t>CRSUSD</t>
  </si>
  <si>
    <t>Bank ID Code</t>
  </si>
  <si>
    <t>bank_id_code</t>
  </si>
  <si>
    <t>Int inf - Value</t>
  </si>
  <si>
    <t>Indicates to which bank id does the reference table dimension belongs to.</t>
  </si>
  <si>
    <t>x</t>
  </si>
  <si>
    <t>CMARCA</t>
  </si>
  <si>
    <t>Record's load timestamp in common layer.</t>
  </si>
  <si>
    <t>operations_common_referencedata_core</t>
  </si>
  <si>
    <t>Financial Flow Indicator Converter</t>
  </si>
  <si>
    <t>conf_financial_flow_indicator_converter</t>
  </si>
  <si>
    <t>Source Code</t>
  </si>
  <si>
    <t>source_code</t>
  </si>
  <si>
    <t>Identifies the code's source application.</t>
  </si>
  <si>
    <t>Source Transaction Type Code</t>
  </si>
  <si>
    <t>source_transaction_type_code</t>
  </si>
  <si>
    <t>Identifies the type of transaction identifier used in the source application. For example, coperac, obb, etc.</t>
  </si>
  <si>
    <t>Source Value</t>
  </si>
  <si>
    <t>source_value</t>
  </si>
  <si>
    <t>The value of the transaction type identifier to be converted.</t>
  </si>
  <si>
    <t>CDM Value</t>
  </si>
  <si>
    <t>cdm_value</t>
  </si>
  <si>
    <t>The expected value of the transaction type code in the common data model.</t>
  </si>
  <si>
    <t>General Code Converter</t>
  </si>
  <si>
    <t>conf_general_code_converter</t>
  </si>
  <si>
    <t>Code Category</t>
  </si>
  <si>
    <t>code_category</t>
  </si>
  <si>
    <t>Int inf - Code</t>
  </si>
  <si>
    <t>Identifies the code's category that needs to be converted.</t>
  </si>
  <si>
    <t>The code as it is in the source application.</t>
  </si>
  <si>
    <t>The expected value of the code in the common data model.</t>
  </si>
  <si>
    <t>Priority Level</t>
  </si>
  <si>
    <t>priority_level</t>
  </si>
  <si>
    <t>INT</t>
  </si>
  <si>
    <t>The priority level for each output of a given conversion.</t>
  </si>
  <si>
    <t>Litigation Product</t>
  </si>
  <si>
    <t>conf_litigation_product</t>
  </si>
  <si>
    <t>Source Product ID</t>
  </si>
  <si>
    <t>source_product_id</t>
  </si>
  <si>
    <t>Identifies the source product of the litigation passage account that determines to which contract domain the contract belongs to.</t>
  </si>
  <si>
    <t>Source Subproduct ID</t>
  </si>
  <si>
    <t>source_subproduct_id</t>
  </si>
  <si>
    <t>Identifies the source subproduct of the litigation passage account that determines to which contract domain the contract belongs to.</t>
  </si>
  <si>
    <t>Reference Data Attribute</t>
  </si>
  <si>
    <t>reference_data_attribute</t>
  </si>
  <si>
    <t>Data Table Code</t>
  </si>
  <si>
    <t>data_table_code</t>
  </si>
  <si>
    <t>Unique identifier of a specific reference data dimension in the reference data table's description table.</t>
  </si>
  <si>
    <t>TAT92_PARAMTB</t>
  </si>
  <si>
    <t>CTABELA</t>
  </si>
  <si>
    <t>Configuration Type Code</t>
  </si>
  <si>
    <t>configuration_type_code</t>
  </si>
  <si>
    <t>Describes the configuration type code. If it is CE it corresponds to the definition of an element and not of an element's attribute. If it is 01...20 it represents the configuration of an element's attribute.</t>
  </si>
  <si>
    <t>CCAMPO</t>
  </si>
  <si>
    <t>Element Description</t>
  </si>
  <si>
    <t>element_description</t>
  </si>
  <si>
    <t>Describes the element code.</t>
  </si>
  <si>
    <t>GCAMPO</t>
  </si>
  <si>
    <t>Mandatory Indicator</t>
  </si>
  <si>
    <t>mandatory_ind</t>
  </si>
  <si>
    <t>Int inf - Ind</t>
  </si>
  <si>
    <t>Indicates if the attribute is mandatory to every element of that reference data table's dimension.</t>
  </si>
  <si>
    <t>IOBRIGA</t>
  </si>
  <si>
    <t>Attribute Order Number</t>
  </si>
  <si>
    <t>attribute_order_number</t>
  </si>
  <si>
    <t>Identifies the order number of the attribute within the attribute column that the configuration is associated to.</t>
  </si>
  <si>
    <t>ZORDEM</t>
  </si>
  <si>
    <t>Attribute Start Position</t>
  </si>
  <si>
    <t>attribute_start_position</t>
  </si>
  <si>
    <t>Identifies in which position the attribute starts within the attribute column (an attribute column can have more than one attribute configurated).</t>
  </si>
  <si>
    <t>ZINICIO</t>
  </si>
  <si>
    <t>Attribute Lenght</t>
  </si>
  <si>
    <t>attribute_lenght</t>
  </si>
  <si>
    <t>Defines the lenght of the attribute within the attribute column.</t>
  </si>
  <si>
    <t>ZCOMP</t>
  </si>
  <si>
    <t>Reference Data Table</t>
  </si>
  <si>
    <t>reference_data_table</t>
  </si>
  <si>
    <t>Unique identifier of a specific reference data dimension.</t>
  </si>
  <si>
    <t>CURATED_INTERNAL_MAINFRAME_ESTRUTURAIS</t>
  </si>
  <si>
    <t>TAYD91C0_CTABELA</t>
  </si>
  <si>
    <t>Element Code</t>
  </si>
  <si>
    <t>element_code</t>
  </si>
  <si>
    <t>A code that identifies an element of the reference data dimension.</t>
  </si>
  <si>
    <t>TAYD91C0_CELEMTAB</t>
  </si>
  <si>
    <t>TAYD91C0_CEMPMARC</t>
  </si>
  <si>
    <t>CEMPMARC</t>
  </si>
  <si>
    <t>The actual value of the reference data element.</t>
  </si>
  <si>
    <t>TAYD91C0_GELEMTAB</t>
  </si>
  <si>
    <t>GELEMTAB</t>
  </si>
  <si>
    <t>Element Short Description</t>
  </si>
  <si>
    <t>element_short_description</t>
  </si>
  <si>
    <t>The actual value of the reference data element, but with a maximum lenght of 30.</t>
  </si>
  <si>
    <t>TAYD91C0_GELEM30</t>
  </si>
  <si>
    <t>GELEM30</t>
  </si>
  <si>
    <t>Element Attribute 01</t>
  </si>
  <si>
    <t>element_attribute_01</t>
  </si>
  <si>
    <t>Configurable attributes of the element. For example, if a product is reported, or not, to BCE.</t>
  </si>
  <si>
    <t>TAYD91C0_NELEMC01</t>
  </si>
  <si>
    <t>NELEMC01</t>
  </si>
  <si>
    <t>Element Attribute 02</t>
  </si>
  <si>
    <t>element_attribute_02</t>
  </si>
  <si>
    <t>TAYD91C0_NELEMC02</t>
  </si>
  <si>
    <t>NELEMC02</t>
  </si>
  <si>
    <t>Element Attribute 03</t>
  </si>
  <si>
    <t>element_attribute_03</t>
  </si>
  <si>
    <t>TAYD91C0_NELEMC03</t>
  </si>
  <si>
    <t>NELEMC03</t>
  </si>
  <si>
    <t>Element Attribute 04</t>
  </si>
  <si>
    <t>element_attribute_04</t>
  </si>
  <si>
    <t>TAYD91C0_NELEMC04</t>
  </si>
  <si>
    <t>NELEMC04</t>
  </si>
  <si>
    <t>Element Attribute 05</t>
  </si>
  <si>
    <t>element_attribute_05</t>
  </si>
  <si>
    <t>TAYD91C0_NELEMC05</t>
  </si>
  <si>
    <t>NELEMC05</t>
  </si>
  <si>
    <t>Element Attribute 06</t>
  </si>
  <si>
    <t>element_attribute_06</t>
  </si>
  <si>
    <t>TAYD91C0_NELEMC06</t>
  </si>
  <si>
    <t>NELEMC06</t>
  </si>
  <si>
    <t>Element Attribute 07</t>
  </si>
  <si>
    <t>element_attribute_07</t>
  </si>
  <si>
    <t>TAYD91C0_NELEMC07</t>
  </si>
  <si>
    <t>NELEMC07</t>
  </si>
  <si>
    <t>Element Attribute 08</t>
  </si>
  <si>
    <t>element_attribute_08</t>
  </si>
  <si>
    <t>TAYD91C0_NELEMC08</t>
  </si>
  <si>
    <t>NELEMC08</t>
  </si>
  <si>
    <t>Element Attribute 09</t>
  </si>
  <si>
    <t>element_attribute_09</t>
  </si>
  <si>
    <t>TAYD91C0_NELEMC09</t>
  </si>
  <si>
    <t>NELEMC09</t>
  </si>
  <si>
    <t>Element Attribute 10</t>
  </si>
  <si>
    <t>element_attribute_10</t>
  </si>
  <si>
    <t>TAYD91C0_NELEMC10</t>
  </si>
  <si>
    <t>NELEMC10</t>
  </si>
  <si>
    <t>Element Attribute 11</t>
  </si>
  <si>
    <t>element_attribute_11</t>
  </si>
  <si>
    <t>TAYD91C0_NELEMC11</t>
  </si>
  <si>
    <t>NELEMC11</t>
  </si>
  <si>
    <t>Element Attribute 12</t>
  </si>
  <si>
    <t>element_attribute_12</t>
  </si>
  <si>
    <t>TAYD91C0_NELEMC12</t>
  </si>
  <si>
    <t>NELEMC12</t>
  </si>
  <si>
    <t>Element Attribute 13</t>
  </si>
  <si>
    <t>element_attribute_13</t>
  </si>
  <si>
    <t>TAYD91C0_NELEMC13</t>
  </si>
  <si>
    <t>NELEMC13</t>
  </si>
  <si>
    <t>Element Attribute 14</t>
  </si>
  <si>
    <t>element_attribute_14</t>
  </si>
  <si>
    <t>TAYD91C0_NELEMC14</t>
  </si>
  <si>
    <t>NELEMC14</t>
  </si>
  <si>
    <t>Element Attribute 15</t>
  </si>
  <si>
    <t>element_attribute_15</t>
  </si>
  <si>
    <t>TAYD91C0_NELEMC15</t>
  </si>
  <si>
    <t>NELEMC15</t>
  </si>
  <si>
    <t>Element Attribute 16</t>
  </si>
  <si>
    <t>element_attribute_16</t>
  </si>
  <si>
    <t>TAYD91C0_NELEMC16</t>
  </si>
  <si>
    <t>NELEMC16</t>
  </si>
  <si>
    <t>Element Attribute 17</t>
  </si>
  <si>
    <t>element_attribute_17</t>
  </si>
  <si>
    <t>TAYD91C0_NELEMC17</t>
  </si>
  <si>
    <t>NELEMC17</t>
  </si>
  <si>
    <t>Element Attribute 18</t>
  </si>
  <si>
    <t>element_attribute_18</t>
  </si>
  <si>
    <t>TAYD91C0_NELEMC18</t>
  </si>
  <si>
    <t>NELEMC18</t>
  </si>
  <si>
    <t>Element Attribute 19</t>
  </si>
  <si>
    <t>element_attribute_19</t>
  </si>
  <si>
    <t>TAYD91C0_NELEMC19</t>
  </si>
  <si>
    <t>NELEMC19</t>
  </si>
  <si>
    <t>Element Attribute 20</t>
  </si>
  <si>
    <t>element_attribute_20</t>
  </si>
  <si>
    <t>TAYD91C0_NELEMC20</t>
  </si>
  <si>
    <t>NELEMC20</t>
  </si>
  <si>
    <t>DATA_DATE_PART</t>
  </si>
  <si>
    <t>Reference Data Table Description</t>
  </si>
  <si>
    <t>reference_data_table_description</t>
  </si>
  <si>
    <t>TAT90_INDEXTB</t>
  </si>
  <si>
    <t>Table Description</t>
  </si>
  <si>
    <t>table_description</t>
  </si>
  <si>
    <t>The actual description of the reference data dimension.</t>
  </si>
  <si>
    <t>GTABELA</t>
  </si>
  <si>
    <t>The source that created the reference data table's dimension.</t>
  </si>
  <si>
    <t>Transaction Type</t>
  </si>
  <si>
    <t>conf_transaction_type_converter</t>
  </si>
  <si>
    <t>Organisation</t>
  </si>
  <si>
    <t>organisation</t>
  </si>
  <si>
    <t>IBAN Organization ID</t>
  </si>
  <si>
    <t>iban_organization_id</t>
  </si>
  <si>
    <t>Identifies the financial organization according to the IBAN's account identifiers.</t>
  </si>
  <si>
    <t>ES - Estrangeiro</t>
  </si>
  <si>
    <t>EST02_BANCOS</t>
  </si>
  <si>
    <t>NR_BANCO</t>
  </si>
  <si>
    <t>Name</t>
  </si>
  <si>
    <t>name</t>
  </si>
  <si>
    <t>Organization's name short name.</t>
  </si>
  <si>
    <t>NOME_ABREVIADO</t>
  </si>
  <si>
    <t>Full Name</t>
  </si>
  <si>
    <t>full_name</t>
  </si>
  <si>
    <t>Organization's name full name.</t>
  </si>
  <si>
    <t>NOME_COMPLETO_1</t>
  </si>
  <si>
    <t>Country Code</t>
  </si>
  <si>
    <t>country_code</t>
  </si>
  <si>
    <t>Organization's headquarters country.</t>
  </si>
  <si>
    <t>ES - Estrangeiro -&gt; TA - Tabelas Gerais</t>
  </si>
  <si>
    <t>EST02_BANCOS -&gt; TAT03_PAISES</t>
  </si>
  <si>
    <t>CPAIS -&gt; CPAIS_S</t>
  </si>
  <si>
    <t>N\A -&gt; N\A</t>
  </si>
  <si>
    <t>Main Swift</t>
  </si>
  <si>
    <t>main_swift</t>
  </si>
  <si>
    <t xml:space="preserve">The main swift address of the organization. </t>
  </si>
  <si>
    <t>EST21_SWIFT</t>
  </si>
  <si>
    <t>ENDERECO_SWIFT</t>
  </si>
  <si>
    <t>case_test</t>
  </si>
  <si>
    <t>test_id</t>
  </si>
  <si>
    <t>test_timestamp</t>
  </si>
  <si>
    <t>query_driver_data_date_part</t>
  </si>
  <si>
    <t>test_number</t>
  </si>
  <si>
    <t>score</t>
  </si>
  <si>
    <t>general_result</t>
  </si>
  <si>
    <t>Count</t>
  </si>
  <si>
    <t>2024-09-17T09:38:37.264+00:00</t>
  </si>
  <si>
    <t>4306.00</t>
  </si>
  <si>
    <t>null</t>
  </si>
  <si>
    <t>Duplicates</t>
  </si>
  <si>
    <t>2024-09-17T09:38:45.644+00:00</t>
  </si>
  <si>
    <t>0.00</t>
  </si>
  <si>
    <t>Null PK</t>
  </si>
  <si>
    <t>2024-09-17T09:38:55.776+00:00</t>
  </si>
  <si>
    <t>3.00</t>
  </si>
  <si>
    <t>Manual Check</t>
  </si>
  <si>
    <t>-</t>
  </si>
  <si>
    <t>Manual Check Source</t>
  </si>
  <si>
    <t>Length Min</t>
  </si>
  <si>
    <t>2024-09-17T09:39:17.997+00:00</t>
  </si>
  <si>
    <t>None</t>
  </si>
  <si>
    <t>Length Max</t>
  </si>
  <si>
    <t>2024-09-17T09:39:21.949+00:00</t>
  </si>
  <si>
    <t>Min</t>
  </si>
  <si>
    <t>2024-09-17T09:39:30.159+00:00</t>
  </si>
  <si>
    <t>1000-053</t>
  </si>
  <si>
    <t>AL</t>
  </si>
  <si>
    <t>-3E</t>
  </si>
  <si>
    <t>2024-09-11 17:59:40.282</t>
  </si>
  <si>
    <t>Min Source</t>
  </si>
  <si>
    <t>2024-09-17T09:39:34.005+00:00</t>
  </si>
  <si>
    <t>Max</t>
  </si>
  <si>
    <t>2024-09-17T09:40:11.408+00:00</t>
  </si>
  <si>
    <t>SWF</t>
  </si>
  <si>
    <t>9980-010</t>
  </si>
  <si>
    <t>da</t>
  </si>
  <si>
    <t>Ângelo Freitas Henriques</t>
  </si>
  <si>
    <t>Lt4</t>
  </si>
  <si>
    <t>Urbaniz. Miraparque</t>
  </si>
  <si>
    <t>Max Source</t>
  </si>
  <si>
    <t>2024-09-17T09:40:16.954+00:00</t>
  </si>
  <si>
    <t>Null Count</t>
  </si>
  <si>
    <t>2024-09-17T09:40:24.823+00:00</t>
  </si>
  <si>
    <t>Data Format</t>
  </si>
  <si>
    <t>Empty Space Count</t>
  </si>
  <si>
    <t>2024-09-17T09:40:31.850+00:00</t>
  </si>
  <si>
    <t>Universe Comparison MCD - Source</t>
  </si>
  <si>
    <t>2024-09-17T09:40:38.388+00:00</t>
  </si>
  <si>
    <t>Universe Comparison Source - MCD</t>
  </si>
  <si>
    <t>Data Types Check</t>
  </si>
  <si>
    <t>2024-09-17T09:40:40.634+00:00</t>
  </si>
  <si>
    <t>string</t>
  </si>
  <si>
    <t>timestamp</t>
  </si>
  <si>
    <t>Column Order</t>
  </si>
  <si>
    <t>Total</t>
  </si>
  <si>
    <t>Data Model Data Types</t>
  </si>
  <si>
    <t>now()</t>
  </si>
  <si>
    <t>today()</t>
  </si>
  <si>
    <t>Data Model Lenghts</t>
  </si>
  <si>
    <t>Test Summary</t>
  </si>
  <si>
    <t>Test ID</t>
  </si>
  <si>
    <t>Field</t>
  </si>
  <si>
    <t>Justification</t>
  </si>
  <si>
    <t>Number of Occurences</t>
  </si>
  <si>
    <t>Justification State</t>
  </si>
  <si>
    <t>Test 3</t>
  </si>
  <si>
    <t>1 - Nulls resultantes de não encontrar correspondencia no left join entre tat91 e centro_pt</t>
  </si>
  <si>
    <t>Total: 3
1 - 3</t>
  </si>
  <si>
    <t>dristinct_code</t>
  </si>
  <si>
    <t>Total: 27
1 - 27</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</si>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</sst>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b/>
      <sz val="11"/>
      <color theme="0"/>
      <name val="Calibri"/>
      <family val="2"/>
      <scheme val="minor"/>
    </font>
    <font>
      <sz val="11"/>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64">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6" xfId="0" applyBorder="1" applyAlignment="1">
      <alignment vertical="center"/>
    </xf>
    <xf numFmtId="0" fontId="31" fillId="5" borderId="4" xfId="0" applyFont="1" applyFill="1" applyBorder="1" applyAlignment="1" applyProtection="1">
      <alignment horizontal="center" vertical="center" wrapText="1"/>
      <protection locked="0"/>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wrapText="1"/>
    </xf>
    <xf numFmtId="0" fontId="0" fillId="0" borderId="15"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0" fillId="2" borderId="0" xfId="0" applyFill="1" applyAlignment="1">
      <alignment horizontal="left" vertical="center"/>
    </xf>
    <xf numFmtId="0" fontId="32" fillId="14" borderId="22" xfId="0" applyFont="1" applyFill="1" applyBorder="1" applyAlignment="1">
      <alignment horizontal="center" vertical="center"/>
    </xf>
    <xf numFmtId="0" fontId="32" fillId="14" borderId="12" xfId="0" applyFont="1" applyFill="1" applyBorder="1" applyAlignment="1">
      <alignment horizontal="center" vertical="center"/>
    </xf>
    <xf numFmtId="0" fontId="32" fillId="0" borderId="23" xfId="0" applyFont="1" applyBorder="1" applyAlignment="1">
      <alignment horizontal="center" vertical="center"/>
    </xf>
    <xf numFmtId="0" fontId="32" fillId="0" borderId="0" xfId="0" applyFont="1" applyAlignment="1">
      <alignment horizontal="center" vertical="center"/>
    </xf>
    <xf numFmtId="0" fontId="0" fillId="0" borderId="22" xfId="0" applyBorder="1"/>
    <xf numFmtId="0" fontId="0" fillId="0" borderId="24" xfId="0" applyBorder="1" applyAlignment="1">
      <alignment horizontal="left"/>
    </xf>
    <xf numFmtId="22" fontId="0" fillId="0" borderId="24" xfId="0" applyNumberFormat="1" applyBorder="1"/>
    <xf numFmtId="0" fontId="0" fillId="0" borderId="24" xfId="0" applyBorder="1"/>
    <xf numFmtId="0" fontId="0" fillId="0" borderId="12" xfId="0" applyBorder="1" applyAlignment="1">
      <alignment horizontal="left"/>
    </xf>
    <xf numFmtId="0" fontId="0" fillId="0" borderId="23" xfId="0" applyBorder="1"/>
    <xf numFmtId="0" fontId="0" fillId="0" borderId="12" xfId="0" applyBorder="1"/>
    <xf numFmtId="0" fontId="0" fillId="0" borderId="23" xfId="0" applyBorder="1" applyAlignment="1">
      <alignment horizontal="left"/>
    </xf>
    <xf numFmtId="0" fontId="0" fillId="0" borderId="0" xfId="0" applyAlignment="1">
      <alignment horizontal="left"/>
    </xf>
    <xf numFmtId="0" fontId="32" fillId="14" borderId="8" xfId="0" applyFont="1" applyFill="1" applyBorder="1" applyAlignment="1">
      <alignment vertical="center"/>
    </xf>
    <xf numFmtId="0" fontId="32" fillId="14" borderId="24" xfId="0" applyFont="1" applyFill="1" applyBorder="1" applyAlignment="1">
      <alignment horizontal="center" vertical="center"/>
    </xf>
    <xf numFmtId="0" fontId="32" fillId="14" borderId="25" xfId="0" applyFont="1" applyFill="1" applyBorder="1" applyAlignment="1">
      <alignment horizontal="center" vertical="center"/>
    </xf>
    <xf numFmtId="0" fontId="0" fillId="0" borderId="10" xfId="0" applyBorder="1" applyAlignment="1">
      <alignment vertical="center"/>
    </xf>
    <xf numFmtId="0" fontId="0" fillId="0" borderId="20" xfId="0" applyBorder="1" applyAlignment="1">
      <alignment vertical="center"/>
    </xf>
    <xf numFmtId="0" fontId="0" fillId="0" borderId="23"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3" fillId="0" borderId="8" xfId="0" applyFont="1" applyBorder="1" applyAlignment="1">
      <alignment vertical="center" wrapText="1"/>
    </xf>
    <xf numFmtId="0" fontId="0" fillId="0" borderId="24" xfId="0" applyBorder="1" applyAlignment="1">
      <alignment horizontal="left" vertical="center" wrapText="1"/>
    </xf>
    <xf numFmtId="0" fontId="0" fillId="0" borderId="22" xfId="0" applyBorder="1" applyAlignment="1">
      <alignment vertical="center" wrapText="1"/>
    </xf>
    <xf numFmtId="0" fontId="0" fillId="0" borderId="23" xfId="0" applyBorder="1" applyAlignment="1">
      <alignment horizontal="left" vertical="center" wrapText="1"/>
    </xf>
    <xf numFmtId="0" fontId="0" fillId="0" borderId="10" xfId="0" applyBorder="1" applyAlignment="1">
      <alignment horizontal="left" vertical="center"/>
    </xf>
    <xf numFmtId="0" fontId="0" fillId="0" borderId="20" xfId="0" applyBorder="1" applyAlignment="1">
      <alignment horizontal="left" vertical="center"/>
    </xf>
    <xf numFmtId="0" fontId="0" fillId="0" borderId="16" xfId="0" applyBorder="1" applyAlignment="1">
      <alignment horizontal="left" vertical="center" wrapText="1"/>
    </xf>
    <xf numFmtId="0" fontId="0" fillId="0" borderId="24" xfId="0" applyBorder="1" applyAlignment="1">
      <alignment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20"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12" borderId="21" xfId="0" applyFont="1" applyFill="1" applyBorder="1" applyAlignment="1" applyProtection="1">
      <alignment horizontal="center" vertical="center" wrapText="1" readingOrder="1"/>
      <protection locked="0"/>
    </xf>
    <xf numFmtId="0" fontId="24" fillId="3" borderId="11" xfId="0" applyFont="1" applyFill="1" applyBorder="1" applyAlignment="1" applyProtection="1">
      <alignment horizontal="center" vertical="center" wrapText="1" readingOrder="1"/>
      <protection locked="0"/>
    </xf>
    <xf numFmtId="0" fontId="24" fillId="3" borderId="12" xfId="0" applyFont="1" applyFill="1" applyBorder="1" applyAlignment="1" applyProtection="1">
      <alignment horizontal="center" vertical="center" wrapText="1" readingOrder="1"/>
      <protection locked="0"/>
    </xf>
    <xf numFmtId="0" fontId="24" fillId="3" borderId="13" xfId="0" applyFont="1" applyFill="1" applyBorder="1" applyAlignment="1" applyProtection="1">
      <alignment horizontal="center" vertical="center" wrapText="1" readingOrder="1"/>
      <protection locked="0"/>
    </xf>
    <xf numFmtId="0" fontId="24" fillId="13" borderId="11" xfId="0" applyFont="1" applyFill="1" applyBorder="1" applyAlignment="1" applyProtection="1">
      <alignment horizontal="center" vertical="center" wrapText="1" readingOrder="1"/>
      <protection locked="0"/>
    </xf>
    <xf numFmtId="0" fontId="24" fillId="13" borderId="13"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1" fillId="0" borderId="8" xfId="0" applyFont="1" applyBorder="1" applyAlignment="1">
      <alignment vertical="center"/>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wrapText="1"/>
    </xf>
    <xf numFmtId="0" fontId="1" fillId="0" borderId="8" xfId="0" applyFont="1" applyBorder="1" applyAlignment="1">
      <alignment horizontal="left" vertical="center" wrapText="1"/>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16" xfId="0" applyFont="1" applyBorder="1" applyAlignment="1">
      <alignment vertical="center" wrapText="1"/>
    </xf>
    <xf numFmtId="0" fontId="1" fillId="0" borderId="8" xfId="0" applyFont="1" applyBorder="1" applyAlignment="1">
      <alignment horizontal="left" vertical="center"/>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pplyProtection="1">
      <alignment vertical="center" wrapText="1"/>
      <protection locked="0"/>
    </xf>
    <xf numFmtId="0" fontId="1" fillId="0" borderId="15"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2">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102" totalsRowShown="0" headerRowDxfId="61" dataDxfId="60" tableBorderDxfId="59">
  <autoFilter ref="B7:AA102" xr:uid="{00000000-0009-0000-0100-000002000000}"/>
  <tableColumns count="26">
    <tableColumn id="1" xr3:uid="{00000000-0010-0000-0000-000001000000}" name="NOME BD" dataDxfId="58"/>
    <tableColumn id="2" xr3:uid="{00000000-0010-0000-0000-000002000000}" name="NOME TABELA" dataDxfId="57"/>
    <tableColumn id="21" xr3:uid="{00000000-0010-0000-0000-000015000000}" name="NOME FÍSICO TABELA" dataDxfId="56"/>
    <tableColumn id="23" xr3:uid="{00000000-0010-0000-0000-000017000000}" name="NÍVEL TABELA" dataDxfId="55"/>
    <tableColumn id="3" xr3:uid="{00000000-0010-0000-0000-000003000000}" name="NOME CAMPO" dataDxfId="54"/>
    <tableColumn id="22" xr3:uid="{00000000-0010-0000-0000-000016000000}" name="NOME FÍSICO CAMPO" dataDxfId="53"/>
    <tableColumn id="25" xr3:uid="{D33A4438-422D-4D16-AB01-CA12DAA3B0D0}" name="BLOCO" dataDxfId="52"/>
    <tableColumn id="4" xr3:uid="{00000000-0010-0000-0000-000004000000}" name="ORDEM" dataDxfId="51"/>
    <tableColumn id="5" xr3:uid="{00000000-0010-0000-0000-000005000000}" name="FORMATO" dataDxfId="50"/>
    <tableColumn id="6" xr3:uid="{00000000-0010-0000-0000-000006000000}" name="COMP_ CAMPO" dataDxfId="49"/>
    <tableColumn id="7" xr3:uid="{00000000-0010-0000-0000-000007000000}" name="NUM_ DECIMAIS" dataDxfId="48"/>
    <tableColumn id="8" xr3:uid="{00000000-0010-0000-0000-000008000000}" name="DESCRIÇÃO FUNCIONAL (ENG)" dataDxfId="47"/>
    <tableColumn id="9" xr3:uid="{00000000-0010-0000-0000-000009000000}" name="DESCRIÇÃO FUNCIONAL (PT)" dataDxfId="46"/>
    <tableColumn id="10" xr3:uid="{00000000-0010-0000-0000-00000A000000}" name="CHAVE PRIMÁRIA" dataDxfId="45"/>
    <tableColumn id="18" xr3:uid="{F7256665-4868-4130-B128-D07835A059AB}" name="DADOS REFERÊNCIA" dataDxfId="44"/>
    <tableColumn id="26" xr3:uid="{6577BEDD-0AB1-4300-BB06-36C34A6BC297}" name="NOME TABELA ONEFCC" dataDxfId="43"/>
    <tableColumn id="24" xr3:uid="{0AAB470E-E147-49BC-94B0-AB4E37111CB8}" name="NOME CAMPO ONEFCC" dataDxfId="42"/>
    <tableColumn id="13" xr3:uid="{00000000-0010-0000-0000-00000D000000}" name="NOME BD CURATED" dataDxfId="41"/>
    <tableColumn id="14" xr3:uid="{00000000-0010-0000-0000-00000E000000}" name="NOME FISICO TABELA CURATED" dataDxfId="40"/>
    <tableColumn id="15" xr3:uid="{00000000-0010-0000-0000-00000F000000}" name="NOME FISICO CAMPO CURATED" dataDxfId="39"/>
    <tableColumn id="16" xr3:uid="{00000000-0010-0000-0000-000010000000}" name="CODIÇÃO CURATED - CDM" dataDxfId="38"/>
    <tableColumn id="17" xr3:uid="{00000000-0010-0000-0000-000011000000}" name="TABELA / FICHEIRO" dataDxfId="37"/>
    <tableColumn id="19" xr3:uid="{00000000-0010-0000-0000-000013000000}" name="ID APLICAÇÂO TÉCNICA" dataDxfId="36"/>
    <tableColumn id="20" xr3:uid="{00000000-0010-0000-0000-000014000000}" name="NOME FISICO TABELA FONTE" dataDxfId="35"/>
    <tableColumn id="11" xr3:uid="{0C4D73E7-1EB7-4B97-B697-EDD0B5F98E3F}" name="NOME FISICO CAMPO FONTE" dataDxfId="34"/>
    <tableColumn id="12" xr3:uid="{1E1CD4D5-1EAA-4B35-ACFB-4C2787B060DB}" name="VALOR MANUAL FONTE" dataDxfId="3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69B522-0E81-4036-96AF-FDB955DE0DDC}" name="Table16" displayName="Table16" ref="B2:T21" totalsRowShown="0" headerRowDxfId="32" dataDxfId="31">
  <autoFilter ref="B2:T21" xr:uid="{DE69B522-0E81-4036-96AF-FDB955DE0DDC}"/>
  <tableColumns count="19">
    <tableColumn id="1" xr3:uid="{BFCD0519-2F56-4D99-A058-C5788019BA4E}" name="case_test" dataDxfId="30"/>
    <tableColumn id="2" xr3:uid="{88017A8C-5CCE-4E96-BAC4-84238469C0B4}" name="test_id" dataDxfId="29"/>
    <tableColumn id="3" xr3:uid="{EE95546C-2137-4177-9591-F9DFD8E3127D}" name="test_timestamp" dataDxfId="28"/>
    <tableColumn id="4" xr3:uid="{FE24D291-A0D0-4D62-94BF-E8234F29DB30}" name="query_driver_data_date_part" dataDxfId="27"/>
    <tableColumn id="5" xr3:uid="{F3CF09D9-D9DD-4DF1-A5E4-43C0EABD3248}" name="test_number" dataDxfId="26"/>
    <tableColumn id="6" xr3:uid="{A476F5D9-94D6-4131-AFA9-5286517FF66B}" name="score" dataDxfId="25"/>
    <tableColumn id="7" xr3:uid="{836B85A9-96B7-4E72-8361-64F6F3BA303A}" name="general_result" dataDxfId="24"/>
    <tableColumn id="8" xr3:uid="{F0649A5A-F5C0-4787-9E98-860B018FEE44}" name="branch_id" dataDxfId="23"/>
    <tableColumn id="9" xr3:uid="{DB469376-B6A8-4EC9-A642-D0A047EE551D}" name="district_code" dataDxfId="22"/>
    <tableColumn id="10" xr3:uid="{5F230903-2A98-484F-91DF-274FEEA19515}" name="municipality_code" dataDxfId="21"/>
    <tableColumn id="11" xr3:uid="{362A2647-2DB1-472D-A12F-0144AFAEBDAE}" name="civil_parish_code" dataDxfId="20"/>
    <tableColumn id="12" xr3:uid="{161293D9-88E2-4A45-8C55-DF4FC3450AA0}" name="postal_code" dataDxfId="19"/>
    <tableColumn id="13" xr3:uid="{7F3EC9FE-1F92-4F4F-9666-65BB2A107EF3}" name="street_type_code" dataDxfId="18"/>
    <tableColumn id="14" xr3:uid="{9EA6C55A-7F35-4C52-8948-098BDEB3CFFD}" name="street_name" dataDxfId="17"/>
    <tableColumn id="15" xr3:uid="{2775188E-A3FD-4683-A8AA-7EF471C90261}" name="building_type_code" dataDxfId="16"/>
    <tableColumn id="16" xr3:uid="{3713A39A-65AD-4A88-BB4B-142AFCE23404}" name="building_number" dataDxfId="15"/>
    <tableColumn id="17" xr3:uid="{F66A4B53-EDA3-4D26-A949-F1A548C29C68}" name="building_details" dataDxfId="14"/>
    <tableColumn id="18" xr3:uid="{E2131D09-0254-4881-8C67-784AFC3B93C6}" name="data_date_part" dataDxfId="13"/>
    <tableColumn id="19" xr3:uid="{85389F4D-4C2C-420A-A274-0E1B3DE8B7D9}" name="data_timestamp_part" dataDxfId="12"/>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DA7BB-A611-4749-AC99-321356848527}" name="Table1519" displayName="Table1519" ref="B28:F34" totalsRowShown="0" headerRowDxfId="11" headerRowBorderDxfId="9" tableBorderDxfId="10">
  <autoFilter ref="B28:F34" xr:uid="{1F3DA7BB-A611-4749-AC99-321356848527}"/>
  <sortState xmlns:xlrd2="http://schemas.microsoft.com/office/spreadsheetml/2017/richdata2" ref="B29:F34">
    <sortCondition ref="B28:B34"/>
  </sortState>
  <tableColumns count="5">
    <tableColumn id="1" xr3:uid="{E04816E0-CDD0-4870-B633-FAD2240AC04D}" name="Test ID" dataDxfId="8"/>
    <tableColumn id="2" xr3:uid="{6A5B052C-29DD-44CF-8FD3-9BE4F669B3DE}" name="Field" dataDxfId="7"/>
    <tableColumn id="3" xr3:uid="{D2529426-D6C4-4A98-9AC3-17D79D36C6E5}" name="Justification" dataDxfId="6"/>
    <tableColumn id="4" xr3:uid="{238B0145-52F9-4B2B-A2A5-4E48958AF07E}" name="Number of Occurences" dataDxfId="5"/>
    <tableColumn id="5" xr3:uid="{86DDC53B-20CB-4F6E-8FB0-CFBD9286D78B}" name="Justification State" dataDxfId="4"/>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workbookViewId="0">
      <selection activeCell="D7" sqref="D7"/>
    </sheetView>
  </sheetViews>
  <sheetFormatPr defaultColWidth="0" defaultRowHeight="14.4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2" t="s">
        <v>1</v>
      </c>
      <c r="C5" s="73" t="s">
        <v>2</v>
      </c>
      <c r="D5" s="73" t="s">
        <v>3</v>
      </c>
      <c r="E5" s="21"/>
    </row>
    <row r="6" spans="1:5" ht="15">
      <c r="A6" s="21"/>
      <c r="B6" s="66" t="s">
        <v>4</v>
      </c>
      <c r="C6" s="66" t="s">
        <v>5</v>
      </c>
      <c r="D6" s="71" t="s">
        <v>6</v>
      </c>
      <c r="E6" s="21"/>
    </row>
    <row r="7" spans="1:5" ht="15">
      <c r="A7" s="21"/>
      <c r="B7" s="66" t="s">
        <v>4</v>
      </c>
      <c r="C7" s="66" t="s">
        <v>7</v>
      </c>
      <c r="D7" s="71" t="s">
        <v>8</v>
      </c>
      <c r="E7" s="21"/>
    </row>
    <row r="8" spans="1:5" ht="15">
      <c r="A8" s="21"/>
      <c r="B8" s="66"/>
      <c r="C8" s="66"/>
      <c r="D8" s="71"/>
      <c r="E8" s="21"/>
    </row>
    <row r="9" spans="1:5" ht="15">
      <c r="A9" s="21"/>
      <c r="B9" s="66"/>
      <c r="C9" s="66"/>
      <c r="D9" s="71"/>
      <c r="E9" s="21"/>
    </row>
    <row r="10" spans="1:5" ht="15">
      <c r="B10" s="66"/>
      <c r="C10" s="66"/>
      <c r="D10" s="71"/>
    </row>
    <row r="11" spans="1:5" ht="15">
      <c r="B11" s="66"/>
      <c r="C11" s="66"/>
      <c r="D11" s="71"/>
    </row>
    <row r="12" spans="1:5" ht="15">
      <c r="B12" s="66"/>
      <c r="C12" s="66"/>
      <c r="D12" s="71"/>
    </row>
    <row r="13" spans="1:5" s="4" customFormat="1" ht="15">
      <c r="B13" s="66"/>
      <c r="C13" s="66"/>
      <c r="D13" s="71"/>
    </row>
    <row r="14" spans="1:5" s="4" customFormat="1" ht="15">
      <c r="B14" s="66"/>
      <c r="C14" s="66"/>
      <c r="D14" s="71"/>
    </row>
    <row r="15" spans="1:5" s="4" customFormat="1" ht="15">
      <c r="B15" s="66"/>
      <c r="C15" s="66"/>
      <c r="D15" s="71"/>
    </row>
    <row r="16" spans="1:5" s="4" customFormat="1" ht="15">
      <c r="B16" s="66"/>
      <c r="C16" s="66"/>
      <c r="D16" s="71"/>
    </row>
    <row r="17" spans="2:4" s="4" customFormat="1" ht="15">
      <c r="B17" s="66"/>
      <c r="C17" s="66"/>
      <c r="D17" s="71"/>
    </row>
    <row r="18" spans="2:4" s="4" customFormat="1" ht="15">
      <c r="B18" s="66"/>
      <c r="C18" s="66"/>
      <c r="D18" s="71"/>
    </row>
    <row r="19" spans="2:4" s="4" customFormat="1" ht="15">
      <c r="B19" s="66"/>
      <c r="C19" s="66"/>
      <c r="D19" s="71"/>
    </row>
    <row r="20" spans="2:4" s="4" customFormat="1" ht="15">
      <c r="B20" s="66"/>
      <c r="C20" s="66"/>
      <c r="D20" s="71"/>
    </row>
    <row r="21" spans="2:4" s="4" customFormat="1" ht="15">
      <c r="B21" s="66"/>
      <c r="C21" s="66"/>
      <c r="D21" s="71"/>
    </row>
    <row r="22" spans="2:4" s="4" customFormat="1" ht="15">
      <c r="B22" s="66"/>
      <c r="C22" s="66"/>
      <c r="D22" s="71"/>
    </row>
    <row r="23" spans="2:4" s="4" customFormat="1" ht="15">
      <c r="B23" s="66"/>
      <c r="C23" s="66"/>
      <c r="D23" s="71"/>
    </row>
    <row r="24" spans="2:4" s="4" customFormat="1" ht="15">
      <c r="B24" s="66"/>
      <c r="C24" s="66"/>
      <c r="D24" s="71"/>
    </row>
    <row r="25" spans="2:4" s="4" customFormat="1" ht="15">
      <c r="B25" s="66"/>
      <c r="C25" s="66"/>
      <c r="D25" s="71"/>
    </row>
    <row r="26" spans="2:4" s="4" customFormat="1" ht="15">
      <c r="B26" s="66"/>
      <c r="C26" s="66"/>
      <c r="D26" s="71"/>
    </row>
    <row r="27" spans="2:4" s="4" customFormat="1" ht="15">
      <c r="B27" s="66"/>
      <c r="C27" s="66"/>
      <c r="D27" s="71"/>
    </row>
    <row r="28" spans="2:4" s="4" customFormat="1" ht="15">
      <c r="B28" s="66"/>
      <c r="C28" s="66"/>
      <c r="D28" s="71"/>
    </row>
    <row r="29" spans="2:4" s="4" customFormat="1" ht="15">
      <c r="B29" s="66"/>
      <c r="C29" s="66"/>
      <c r="D29" s="71"/>
    </row>
    <row r="30" spans="2:4" s="4" customFormat="1" ht="15">
      <c r="B30" s="66"/>
      <c r="C30" s="66"/>
      <c r="D30" s="71"/>
    </row>
    <row r="31" spans="2:4" s="4" customFormat="1" ht="15">
      <c r="B31" s="66"/>
      <c r="C31" s="66"/>
      <c r="D31" s="71"/>
    </row>
    <row r="32" spans="2:4" s="4" customFormat="1" ht="15">
      <c r="B32" s="66"/>
      <c r="C32" s="66"/>
      <c r="D32" s="71"/>
    </row>
    <row r="33" spans="2:4" s="4" customFormat="1" ht="15">
      <c r="B33" s="66"/>
      <c r="C33" s="66"/>
      <c r="D33" s="71"/>
    </row>
    <row r="34" spans="2:4" s="4" customFormat="1" ht="15">
      <c r="B34" s="66"/>
      <c r="C34" s="66"/>
      <c r="D34" s="71"/>
    </row>
    <row r="35" spans="2:4" s="4" customFormat="1" ht="15">
      <c r="B35" s="66"/>
      <c r="C35" s="66"/>
      <c r="D35" s="71"/>
    </row>
    <row r="36" spans="2:4" s="4" customFormat="1" ht="15">
      <c r="B36" s="66"/>
      <c r="C36" s="66"/>
      <c r="D36" s="71"/>
    </row>
    <row r="37" spans="2:4" s="4" customFormat="1" ht="15">
      <c r="B37" s="66"/>
      <c r="C37" s="66"/>
      <c r="D37" s="71"/>
    </row>
    <row r="38" spans="2:4" ht="15"/>
    <row r="39" spans="2:4" ht="15"/>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9</v>
      </c>
      <c r="E1" s="23"/>
      <c r="F1" s="23"/>
      <c r="G1" s="23"/>
      <c r="H1" s="23" t="s">
        <v>10</v>
      </c>
      <c r="I1" s="34"/>
      <c r="J1" s="23"/>
      <c r="K1" s="23"/>
      <c r="L1" s="23"/>
      <c r="M1" s="23"/>
      <c r="N1" s="23" t="s">
        <v>11</v>
      </c>
      <c r="O1" s="23"/>
      <c r="P1" s="23"/>
      <c r="Q1" s="23"/>
    </row>
    <row r="2" spans="2:17">
      <c r="B2" s="23" t="s">
        <v>12</v>
      </c>
      <c r="C2" s="23" t="s">
        <v>13</v>
      </c>
      <c r="D2" s="23" t="s">
        <v>14</v>
      </c>
      <c r="E2" s="23">
        <v>1</v>
      </c>
      <c r="F2" s="23">
        <v>500</v>
      </c>
      <c r="G2" s="23">
        <v>500</v>
      </c>
      <c r="H2" s="23"/>
      <c r="I2" s="34"/>
      <c r="J2" s="23" t="s">
        <v>13</v>
      </c>
      <c r="K2" s="23">
        <v>1</v>
      </c>
      <c r="L2" s="23">
        <v>500</v>
      </c>
      <c r="M2" s="23">
        <v>500</v>
      </c>
      <c r="N2" s="23"/>
      <c r="O2" s="23"/>
      <c r="P2" s="23" t="s">
        <v>15</v>
      </c>
      <c r="Q2" s="23" t="s">
        <v>14</v>
      </c>
    </row>
    <row r="3" spans="2:17">
      <c r="B3" s="23" t="s">
        <v>16</v>
      </c>
      <c r="C3" s="23" t="s">
        <v>13</v>
      </c>
      <c r="D3" s="23">
        <v>25</v>
      </c>
      <c r="E3" s="23">
        <v>25</v>
      </c>
      <c r="F3" s="23">
        <v>29</v>
      </c>
      <c r="G3" s="23">
        <v>5</v>
      </c>
      <c r="H3" s="23" t="s">
        <v>17</v>
      </c>
      <c r="I3" s="34"/>
      <c r="J3" s="23" t="s">
        <v>13</v>
      </c>
      <c r="K3" s="23">
        <v>224</v>
      </c>
      <c r="L3" s="23">
        <v>228</v>
      </c>
      <c r="M3" s="23">
        <v>5</v>
      </c>
      <c r="N3" s="23" t="s">
        <v>18</v>
      </c>
      <c r="O3" s="23"/>
      <c r="P3" s="23" t="s">
        <v>19</v>
      </c>
      <c r="Q3" s="23" t="s">
        <v>20</v>
      </c>
    </row>
    <row r="4" spans="2:17">
      <c r="B4" s="23" t="s">
        <v>21</v>
      </c>
      <c r="C4" s="23" t="s">
        <v>13</v>
      </c>
      <c r="D4" s="23">
        <v>26</v>
      </c>
      <c r="E4" s="23">
        <v>69</v>
      </c>
      <c r="F4" s="23">
        <v>73</v>
      </c>
      <c r="G4" s="23">
        <v>5</v>
      </c>
      <c r="H4" s="23" t="s">
        <v>22</v>
      </c>
      <c r="I4" s="34"/>
      <c r="J4" s="23" t="s">
        <v>13</v>
      </c>
      <c r="K4" s="23">
        <v>241</v>
      </c>
      <c r="L4" s="23">
        <v>246</v>
      </c>
      <c r="M4" s="23">
        <v>6</v>
      </c>
      <c r="N4" s="23" t="s">
        <v>23</v>
      </c>
      <c r="O4" s="23"/>
      <c r="P4" s="23" t="s">
        <v>24</v>
      </c>
      <c r="Q4" s="23" t="s">
        <v>20</v>
      </c>
    </row>
    <row r="5" spans="2:17">
      <c r="B5" s="23" t="s">
        <v>25</v>
      </c>
      <c r="C5" s="23" t="s">
        <v>13</v>
      </c>
      <c r="D5" s="23">
        <v>26</v>
      </c>
      <c r="E5" s="23">
        <v>74</v>
      </c>
      <c r="F5" s="23">
        <v>78</v>
      </c>
      <c r="G5" s="23">
        <v>5</v>
      </c>
      <c r="H5" s="23" t="s">
        <v>26</v>
      </c>
      <c r="I5" s="34"/>
      <c r="J5" s="23" t="s">
        <v>13</v>
      </c>
      <c r="K5" s="23">
        <v>241</v>
      </c>
      <c r="L5" s="23">
        <v>246</v>
      </c>
      <c r="M5" s="23">
        <v>6</v>
      </c>
      <c r="N5" s="23" t="s">
        <v>23</v>
      </c>
      <c r="O5" s="23"/>
      <c r="P5" s="23" t="s">
        <v>24</v>
      </c>
      <c r="Q5" s="23" t="s">
        <v>27</v>
      </c>
    </row>
    <row r="6" spans="2:17">
      <c r="B6" s="23" t="s">
        <v>28</v>
      </c>
      <c r="C6" s="23" t="s">
        <v>13</v>
      </c>
      <c r="D6" s="23">
        <v>532</v>
      </c>
      <c r="E6" s="23">
        <v>79</v>
      </c>
      <c r="F6" s="23">
        <v>83</v>
      </c>
      <c r="G6" s="23">
        <v>5</v>
      </c>
      <c r="H6" s="23" t="s">
        <v>29</v>
      </c>
      <c r="I6" s="34"/>
      <c r="J6" s="23" t="s">
        <v>13</v>
      </c>
      <c r="K6" s="23">
        <v>247</v>
      </c>
      <c r="L6" s="23">
        <v>247</v>
      </c>
      <c r="M6" s="23">
        <v>1</v>
      </c>
      <c r="N6" s="23" t="s">
        <v>30</v>
      </c>
      <c r="O6" s="23" t="s">
        <v>31</v>
      </c>
      <c r="P6" s="23" t="s">
        <v>32</v>
      </c>
      <c r="Q6" s="23" t="s">
        <v>27</v>
      </c>
    </row>
    <row r="7" spans="2:17">
      <c r="B7" s="23" t="s">
        <v>33</v>
      </c>
      <c r="C7" s="23" t="s">
        <v>13</v>
      </c>
      <c r="D7" s="23">
        <v>27</v>
      </c>
      <c r="E7" s="23">
        <v>85</v>
      </c>
      <c r="F7" s="23">
        <v>89</v>
      </c>
      <c r="G7" s="23">
        <v>5</v>
      </c>
      <c r="H7" s="23" t="s">
        <v>34</v>
      </c>
      <c r="I7" s="34"/>
      <c r="J7" s="23" t="s">
        <v>13</v>
      </c>
      <c r="K7" s="23">
        <v>248</v>
      </c>
      <c r="L7" s="23">
        <v>248</v>
      </c>
      <c r="M7" s="23">
        <v>1</v>
      </c>
      <c r="N7" s="23" t="s">
        <v>35</v>
      </c>
      <c r="O7" s="23"/>
      <c r="P7" s="23" t="s">
        <v>36</v>
      </c>
      <c r="Q7" s="23" t="s">
        <v>20</v>
      </c>
    </row>
    <row r="8" spans="2:17">
      <c r="B8" s="23" t="s">
        <v>37</v>
      </c>
      <c r="C8" s="23" t="s">
        <v>13</v>
      </c>
      <c r="D8" s="23">
        <v>28</v>
      </c>
      <c r="E8" s="23">
        <v>90</v>
      </c>
      <c r="F8" s="23">
        <v>94</v>
      </c>
      <c r="G8" s="23">
        <v>5</v>
      </c>
      <c r="H8" s="23" t="s">
        <v>38</v>
      </c>
      <c r="I8" s="34"/>
      <c r="J8" s="23" t="s">
        <v>13</v>
      </c>
      <c r="K8" s="23">
        <v>249</v>
      </c>
      <c r="L8" s="23">
        <v>249</v>
      </c>
      <c r="M8" s="23">
        <v>1</v>
      </c>
      <c r="N8" s="23" t="s">
        <v>39</v>
      </c>
      <c r="O8" s="23"/>
      <c r="P8" s="23" t="s">
        <v>40</v>
      </c>
      <c r="Q8" s="23" t="s">
        <v>20</v>
      </c>
    </row>
    <row r="9" spans="2:17">
      <c r="B9" s="23" t="s">
        <v>41</v>
      </c>
      <c r="C9" s="23" t="s">
        <v>13</v>
      </c>
      <c r="D9" s="23">
        <v>29</v>
      </c>
      <c r="E9" s="23">
        <v>95</v>
      </c>
      <c r="F9" s="23">
        <v>99</v>
      </c>
      <c r="G9" s="23">
        <v>5</v>
      </c>
      <c r="H9" s="23" t="s">
        <v>42</v>
      </c>
      <c r="I9" s="34"/>
      <c r="J9" s="23" t="s">
        <v>13</v>
      </c>
      <c r="K9" s="23">
        <v>250</v>
      </c>
      <c r="L9" s="23">
        <v>254</v>
      </c>
      <c r="M9" s="23">
        <v>5</v>
      </c>
      <c r="N9" s="23" t="s">
        <v>43</v>
      </c>
      <c r="O9" s="23"/>
      <c r="P9" s="23" t="s">
        <v>44</v>
      </c>
      <c r="Q9" s="23" t="s">
        <v>20</v>
      </c>
    </row>
    <row r="10" spans="2:17">
      <c r="B10" s="23" t="s">
        <v>45</v>
      </c>
      <c r="C10" s="23" t="s">
        <v>13</v>
      </c>
      <c r="D10" s="23">
        <v>30</v>
      </c>
      <c r="E10" s="23">
        <v>152</v>
      </c>
      <c r="F10" s="23">
        <v>156</v>
      </c>
      <c r="G10" s="23">
        <v>5</v>
      </c>
      <c r="H10" s="23" t="s">
        <v>46</v>
      </c>
      <c r="I10" s="34"/>
      <c r="J10" s="23" t="s">
        <v>13</v>
      </c>
      <c r="K10" s="23">
        <v>255</v>
      </c>
      <c r="L10" s="23">
        <v>256</v>
      </c>
      <c r="M10" s="23">
        <v>2</v>
      </c>
      <c r="N10" s="23" t="s">
        <v>47</v>
      </c>
      <c r="O10" s="23" t="s">
        <v>48</v>
      </c>
      <c r="P10" s="23" t="s">
        <v>49</v>
      </c>
      <c r="Q10" s="23" t="s">
        <v>20</v>
      </c>
    </row>
    <row r="11" spans="2:17">
      <c r="B11" s="26" t="s">
        <v>50</v>
      </c>
      <c r="C11" s="26" t="s">
        <v>51</v>
      </c>
      <c r="D11" s="26" t="s">
        <v>14</v>
      </c>
      <c r="E11" s="26">
        <v>1</v>
      </c>
      <c r="F11" s="26">
        <v>500</v>
      </c>
      <c r="G11" s="26">
        <v>500</v>
      </c>
      <c r="H11" s="26"/>
      <c r="I11" s="36"/>
      <c r="J11" s="26" t="s">
        <v>51</v>
      </c>
      <c r="K11" s="26">
        <v>1</v>
      </c>
      <c r="L11" s="26">
        <v>500</v>
      </c>
      <c r="M11" s="26">
        <v>500</v>
      </c>
      <c r="N11" s="26"/>
      <c r="O11" s="26"/>
      <c r="P11" s="26" t="s">
        <v>15</v>
      </c>
      <c r="Q11" s="26" t="s">
        <v>14</v>
      </c>
    </row>
    <row r="12" spans="2:17">
      <c r="B12" s="26" t="s">
        <v>52</v>
      </c>
      <c r="C12" s="26" t="s">
        <v>51</v>
      </c>
      <c r="D12" s="26" t="s">
        <v>14</v>
      </c>
      <c r="E12" s="26">
        <v>501</v>
      </c>
      <c r="F12" s="26">
        <v>999</v>
      </c>
      <c r="G12" s="26">
        <v>500</v>
      </c>
      <c r="H12" s="26"/>
      <c r="I12" s="36"/>
      <c r="J12" s="26" t="s">
        <v>51</v>
      </c>
      <c r="K12" s="26">
        <v>501</v>
      </c>
      <c r="L12" s="26">
        <v>999</v>
      </c>
      <c r="M12" s="26">
        <v>500</v>
      </c>
      <c r="N12" s="26"/>
      <c r="O12" s="26"/>
      <c r="P12" s="26" t="s">
        <v>15</v>
      </c>
      <c r="Q12" s="26" t="s">
        <v>14</v>
      </c>
    </row>
    <row r="13" spans="2:17">
      <c r="B13" s="26" t="s">
        <v>53</v>
      </c>
      <c r="C13" s="26" t="s">
        <v>51</v>
      </c>
      <c r="D13" s="26">
        <v>508</v>
      </c>
      <c r="E13" s="26">
        <v>39</v>
      </c>
      <c r="F13" s="26">
        <v>43</v>
      </c>
      <c r="G13" s="26">
        <v>5</v>
      </c>
      <c r="H13" s="26" t="s">
        <v>54</v>
      </c>
      <c r="I13" s="36"/>
      <c r="J13" s="26" t="s">
        <v>51</v>
      </c>
      <c r="K13" s="26">
        <v>474</v>
      </c>
      <c r="L13" s="26">
        <v>477</v>
      </c>
      <c r="M13" s="26">
        <v>4</v>
      </c>
      <c r="N13" s="26" t="s">
        <v>55</v>
      </c>
      <c r="O13" s="26"/>
      <c r="P13" s="26" t="s">
        <v>56</v>
      </c>
      <c r="Q13" s="26" t="s">
        <v>27</v>
      </c>
    </row>
    <row r="14" spans="2:17">
      <c r="B14" s="26" t="s">
        <v>57</v>
      </c>
      <c r="C14" s="26" t="s">
        <v>51</v>
      </c>
      <c r="D14" s="26">
        <v>20</v>
      </c>
      <c r="E14" s="26">
        <v>86</v>
      </c>
      <c r="F14" s="26">
        <v>90</v>
      </c>
      <c r="G14" s="26">
        <v>5</v>
      </c>
      <c r="H14" s="26" t="s">
        <v>58</v>
      </c>
      <c r="I14" s="36"/>
      <c r="J14" s="26" t="s">
        <v>51</v>
      </c>
      <c r="K14" s="26">
        <v>478</v>
      </c>
      <c r="L14" s="26">
        <v>482</v>
      </c>
      <c r="M14" s="26">
        <v>5</v>
      </c>
      <c r="N14" s="26" t="s">
        <v>59</v>
      </c>
      <c r="O14" s="26"/>
      <c r="P14" s="26" t="s">
        <v>60</v>
      </c>
      <c r="Q14" s="26" t="s">
        <v>20</v>
      </c>
    </row>
    <row r="15" spans="2:17">
      <c r="B15" s="26" t="s">
        <v>61</v>
      </c>
      <c r="C15" s="26" t="s">
        <v>51</v>
      </c>
      <c r="D15" s="26">
        <v>32</v>
      </c>
      <c r="E15" s="26">
        <v>91</v>
      </c>
      <c r="F15" s="26">
        <v>95</v>
      </c>
      <c r="G15" s="26">
        <v>5</v>
      </c>
      <c r="H15" s="26" t="s">
        <v>62</v>
      </c>
      <c r="I15" s="36"/>
      <c r="J15" s="26" t="s">
        <v>51</v>
      </c>
      <c r="K15" s="26">
        <v>483</v>
      </c>
      <c r="L15" s="26">
        <v>487</v>
      </c>
      <c r="M15" s="26">
        <v>5</v>
      </c>
      <c r="N15" s="26" t="s">
        <v>63</v>
      </c>
      <c r="O15" s="26"/>
      <c r="P15" s="26" t="s">
        <v>64</v>
      </c>
      <c r="Q15" s="26" t="s">
        <v>20</v>
      </c>
    </row>
    <row r="16" spans="2:17">
      <c r="B16" s="26" t="s">
        <v>65</v>
      </c>
      <c r="C16" s="26" t="s">
        <v>51</v>
      </c>
      <c r="D16" s="26">
        <v>13</v>
      </c>
      <c r="E16" s="26">
        <v>96</v>
      </c>
      <c r="F16" s="26">
        <v>100</v>
      </c>
      <c r="G16" s="26">
        <v>5</v>
      </c>
      <c r="H16" s="26" t="s">
        <v>66</v>
      </c>
      <c r="I16" s="36"/>
      <c r="J16" s="26" t="s">
        <v>51</v>
      </c>
      <c r="K16" s="26">
        <v>488</v>
      </c>
      <c r="L16" s="26">
        <v>492</v>
      </c>
      <c r="M16" s="26">
        <v>5</v>
      </c>
      <c r="N16" s="26" t="s">
        <v>67</v>
      </c>
      <c r="O16" s="26"/>
      <c r="P16" s="26" t="s">
        <v>68</v>
      </c>
      <c r="Q16" s="26" t="s">
        <v>20</v>
      </c>
    </row>
    <row r="17" spans="2:17">
      <c r="B17" s="26" t="s">
        <v>69</v>
      </c>
      <c r="C17" s="26" t="s">
        <v>51</v>
      </c>
      <c r="D17" s="26">
        <v>503</v>
      </c>
      <c r="E17" s="26">
        <v>119</v>
      </c>
      <c r="F17" s="26">
        <v>123</v>
      </c>
      <c r="G17" s="26">
        <v>5</v>
      </c>
      <c r="H17" s="26" t="s">
        <v>70</v>
      </c>
      <c r="I17" s="36"/>
      <c r="J17" s="26" t="s">
        <v>51</v>
      </c>
      <c r="K17" s="26">
        <v>493</v>
      </c>
      <c r="L17" s="26">
        <v>497</v>
      </c>
      <c r="M17" s="26">
        <v>5</v>
      </c>
      <c r="N17" s="26" t="s">
        <v>71</v>
      </c>
      <c r="O17" s="26"/>
      <c r="P17" s="26" t="s">
        <v>72</v>
      </c>
      <c r="Q17" s="26" t="s">
        <v>27</v>
      </c>
    </row>
    <row r="18" spans="2:17">
      <c r="B18" s="26" t="s">
        <v>73</v>
      </c>
      <c r="C18" s="26" t="s">
        <v>51</v>
      </c>
      <c r="D18" s="26">
        <v>2</v>
      </c>
      <c r="E18" s="26">
        <v>124</v>
      </c>
      <c r="F18" s="26">
        <v>128</v>
      </c>
      <c r="G18" s="26">
        <v>5</v>
      </c>
      <c r="H18" s="26" t="s">
        <v>74</v>
      </c>
      <c r="I18" s="36"/>
      <c r="J18" s="26" t="s">
        <v>51</v>
      </c>
      <c r="K18" s="26">
        <v>498</v>
      </c>
      <c r="L18" s="26">
        <v>500</v>
      </c>
      <c r="M18" s="26">
        <v>3</v>
      </c>
      <c r="N18" s="26" t="s">
        <v>75</v>
      </c>
      <c r="O18" s="26"/>
      <c r="P18" s="26" t="s">
        <v>76</v>
      </c>
      <c r="Q18" s="26" t="s">
        <v>20</v>
      </c>
    </row>
    <row r="19" spans="2:17">
      <c r="B19" s="26" t="s">
        <v>77</v>
      </c>
      <c r="C19" s="26" t="s">
        <v>51</v>
      </c>
      <c r="D19" s="26">
        <v>6</v>
      </c>
      <c r="E19" s="26">
        <v>146</v>
      </c>
      <c r="F19" s="26">
        <v>148</v>
      </c>
      <c r="G19" s="26">
        <v>3</v>
      </c>
      <c r="H19" s="26" t="s">
        <v>78</v>
      </c>
      <c r="I19" s="36"/>
      <c r="J19" s="26" t="s">
        <v>51</v>
      </c>
      <c r="K19" s="26">
        <v>501</v>
      </c>
      <c r="L19" s="26">
        <v>503</v>
      </c>
      <c r="M19" s="26">
        <v>3</v>
      </c>
      <c r="N19" s="26" t="s">
        <v>79</v>
      </c>
      <c r="O19" s="26"/>
      <c r="P19" s="26" t="s">
        <v>80</v>
      </c>
      <c r="Q19" s="26" t="s">
        <v>20</v>
      </c>
    </row>
    <row r="20" spans="2:17">
      <c r="B20" s="26" t="s">
        <v>81</v>
      </c>
      <c r="C20" s="26" t="s">
        <v>51</v>
      </c>
      <c r="D20" s="26">
        <v>40</v>
      </c>
      <c r="E20" s="26">
        <v>199</v>
      </c>
      <c r="F20" s="26">
        <v>203</v>
      </c>
      <c r="G20" s="26">
        <v>5</v>
      </c>
      <c r="H20" s="26" t="s">
        <v>82</v>
      </c>
      <c r="I20" s="36"/>
      <c r="J20" s="26" t="s">
        <v>51</v>
      </c>
      <c r="K20" s="26">
        <v>504</v>
      </c>
      <c r="L20" s="26">
        <v>508</v>
      </c>
      <c r="M20" s="26">
        <v>5</v>
      </c>
      <c r="N20" s="26" t="s">
        <v>83</v>
      </c>
      <c r="O20" s="26"/>
      <c r="P20" s="26" t="s">
        <v>84</v>
      </c>
      <c r="Q20" s="26" t="s">
        <v>20</v>
      </c>
    </row>
    <row r="21" spans="2:17">
      <c r="B21" s="26" t="s">
        <v>85</v>
      </c>
      <c r="C21" s="26" t="s">
        <v>51</v>
      </c>
      <c r="D21" s="26">
        <v>47</v>
      </c>
      <c r="E21" s="26">
        <v>253</v>
      </c>
      <c r="F21" s="26">
        <v>257</v>
      </c>
      <c r="G21" s="26">
        <v>5</v>
      </c>
      <c r="H21" s="26" t="s">
        <v>86</v>
      </c>
      <c r="I21" s="36"/>
      <c r="J21" s="26" t="s">
        <v>51</v>
      </c>
      <c r="K21" s="26">
        <v>509</v>
      </c>
      <c r="L21" s="26">
        <v>513</v>
      </c>
      <c r="M21" s="26">
        <v>5</v>
      </c>
      <c r="N21" s="26" t="s">
        <v>87</v>
      </c>
      <c r="O21" s="26"/>
      <c r="P21" s="26" t="s">
        <v>88</v>
      </c>
      <c r="Q21" s="26" t="s">
        <v>20</v>
      </c>
    </row>
    <row r="22" spans="2:17">
      <c r="B22" s="26" t="s">
        <v>89</v>
      </c>
      <c r="C22" s="26" t="s">
        <v>51</v>
      </c>
      <c r="D22" s="26">
        <v>49</v>
      </c>
      <c r="E22" s="26">
        <v>258</v>
      </c>
      <c r="F22" s="26">
        <v>262</v>
      </c>
      <c r="G22" s="26">
        <v>5</v>
      </c>
      <c r="H22" s="26" t="s">
        <v>90</v>
      </c>
      <c r="I22" s="36"/>
      <c r="J22" s="26" t="s">
        <v>51</v>
      </c>
      <c r="K22" s="26">
        <v>514</v>
      </c>
      <c r="L22" s="26">
        <v>517</v>
      </c>
      <c r="M22" s="26">
        <v>4</v>
      </c>
      <c r="N22" s="26" t="s">
        <v>91</v>
      </c>
      <c r="O22" s="26"/>
      <c r="P22" s="26" t="s">
        <v>92</v>
      </c>
      <c r="Q22" s="26" t="s">
        <v>20</v>
      </c>
    </row>
    <row r="23" spans="2:17">
      <c r="B23" s="26" t="s">
        <v>93</v>
      </c>
      <c r="C23" s="26" t="s">
        <v>51</v>
      </c>
      <c r="D23" s="26">
        <v>50</v>
      </c>
      <c r="E23" s="26">
        <v>280</v>
      </c>
      <c r="F23" s="26">
        <v>284</v>
      </c>
      <c r="G23" s="26">
        <v>5</v>
      </c>
      <c r="H23" s="26" t="s">
        <v>94</v>
      </c>
      <c r="I23" s="36"/>
      <c r="J23" s="26" t="s">
        <v>51</v>
      </c>
      <c r="K23" s="26">
        <v>518</v>
      </c>
      <c r="L23" s="26">
        <v>522</v>
      </c>
      <c r="M23" s="26">
        <v>5</v>
      </c>
      <c r="N23" s="26" t="s">
        <v>95</v>
      </c>
      <c r="O23" s="26"/>
      <c r="P23" s="26" t="s">
        <v>96</v>
      </c>
      <c r="Q23" s="26" t="s">
        <v>20</v>
      </c>
    </row>
    <row r="24" spans="2:17">
      <c r="B24" s="26" t="s">
        <v>97</v>
      </c>
      <c r="C24" s="26" t="s">
        <v>51</v>
      </c>
      <c r="D24" s="26">
        <v>8</v>
      </c>
      <c r="E24" s="26">
        <v>285</v>
      </c>
      <c r="F24" s="26">
        <v>289</v>
      </c>
      <c r="G24" s="26">
        <v>5</v>
      </c>
      <c r="H24" s="26" t="s">
        <v>98</v>
      </c>
      <c r="I24" s="36"/>
      <c r="J24" s="26" t="s">
        <v>51</v>
      </c>
      <c r="K24" s="26">
        <v>523</v>
      </c>
      <c r="L24" s="26">
        <v>523</v>
      </c>
      <c r="M24" s="26">
        <v>1</v>
      </c>
      <c r="N24" s="26" t="s">
        <v>99</v>
      </c>
      <c r="O24" s="26"/>
      <c r="P24" s="26" t="s">
        <v>100</v>
      </c>
      <c r="Q24" s="26" t="s">
        <v>20</v>
      </c>
    </row>
    <row r="25" spans="2:17">
      <c r="B25" s="26" t="s">
        <v>101</v>
      </c>
      <c r="C25" s="26" t="s">
        <v>51</v>
      </c>
      <c r="D25" s="26">
        <v>101</v>
      </c>
      <c r="E25" s="26">
        <v>589</v>
      </c>
      <c r="F25" s="26">
        <v>593</v>
      </c>
      <c r="G25" s="26">
        <v>5</v>
      </c>
      <c r="H25" s="26" t="s">
        <v>102</v>
      </c>
      <c r="I25" s="36"/>
      <c r="J25" s="26" t="s">
        <v>51</v>
      </c>
      <c r="K25" s="26">
        <v>594</v>
      </c>
      <c r="L25" s="26">
        <v>599</v>
      </c>
      <c r="M25" s="26">
        <v>6</v>
      </c>
      <c r="N25" s="26" t="s">
        <v>23</v>
      </c>
      <c r="O25" s="26"/>
      <c r="P25" s="26" t="s">
        <v>103</v>
      </c>
      <c r="Q25" s="26" t="s">
        <v>20</v>
      </c>
    </row>
    <row r="26" spans="2:17">
      <c r="B26" s="23" t="s">
        <v>104</v>
      </c>
      <c r="C26" s="23" t="s">
        <v>105</v>
      </c>
      <c r="D26" s="23" t="s">
        <v>14</v>
      </c>
      <c r="E26" s="23">
        <v>1</v>
      </c>
      <c r="F26" s="23">
        <v>500</v>
      </c>
      <c r="G26" s="23">
        <v>500</v>
      </c>
      <c r="H26" s="23"/>
      <c r="I26" s="34"/>
      <c r="J26" s="23" t="s">
        <v>105</v>
      </c>
      <c r="K26" s="23">
        <v>1</v>
      </c>
      <c r="L26" s="23">
        <v>500</v>
      </c>
      <c r="M26" s="23">
        <v>500</v>
      </c>
      <c r="N26" s="23"/>
      <c r="O26" s="23"/>
      <c r="P26" s="23" t="s">
        <v>15</v>
      </c>
      <c r="Q26" s="23" t="s">
        <v>14</v>
      </c>
    </row>
    <row r="27" spans="2:17">
      <c r="B27" s="23" t="s">
        <v>106</v>
      </c>
      <c r="C27" s="23" t="s">
        <v>105</v>
      </c>
      <c r="D27" s="23">
        <v>26</v>
      </c>
      <c r="E27" s="23">
        <v>169</v>
      </c>
      <c r="F27" s="23">
        <v>173</v>
      </c>
      <c r="G27" s="23">
        <v>5</v>
      </c>
      <c r="H27" s="23" t="s">
        <v>22</v>
      </c>
      <c r="I27" s="34"/>
      <c r="J27" s="23" t="s">
        <v>105</v>
      </c>
      <c r="K27" s="23">
        <v>175</v>
      </c>
      <c r="L27" s="23">
        <v>180</v>
      </c>
      <c r="M27" s="23">
        <v>6</v>
      </c>
      <c r="N27" s="23" t="s">
        <v>23</v>
      </c>
      <c r="O27" s="23"/>
      <c r="P27" s="23" t="s">
        <v>24</v>
      </c>
      <c r="Q27" s="23" t="s">
        <v>20</v>
      </c>
    </row>
    <row r="28" spans="2:17" ht="43.15">
      <c r="B28" s="23" t="s">
        <v>107</v>
      </c>
      <c r="C28" s="23" t="s">
        <v>105</v>
      </c>
      <c r="D28" s="23">
        <v>81</v>
      </c>
      <c r="E28" s="23">
        <v>147</v>
      </c>
      <c r="F28" s="23">
        <v>151</v>
      </c>
      <c r="G28" s="23">
        <v>5</v>
      </c>
      <c r="H28" s="23" t="s">
        <v>108</v>
      </c>
      <c r="I28" s="34"/>
      <c r="J28" s="23" t="s">
        <v>105</v>
      </c>
      <c r="K28" s="23">
        <v>169</v>
      </c>
      <c r="L28" s="23">
        <v>180</v>
      </c>
      <c r="M28" s="23">
        <v>12</v>
      </c>
      <c r="N28" s="34" t="s">
        <v>109</v>
      </c>
      <c r="O28" s="23"/>
      <c r="P28" s="23" t="s">
        <v>110</v>
      </c>
      <c r="Q28" s="23" t="s">
        <v>20</v>
      </c>
    </row>
    <row r="31" spans="2:17">
      <c r="B31" s="23" t="s">
        <v>111</v>
      </c>
      <c r="C31" s="23" t="s">
        <v>112</v>
      </c>
      <c r="D31" s="23" t="s">
        <v>14</v>
      </c>
      <c r="E31" s="23">
        <v>1</v>
      </c>
      <c r="F31" s="23">
        <v>500</v>
      </c>
      <c r="G31" s="23">
        <v>500</v>
      </c>
      <c r="H31" s="23"/>
      <c r="I31" s="34"/>
      <c r="J31" s="23" t="s">
        <v>112</v>
      </c>
      <c r="K31" s="23">
        <v>1</v>
      </c>
      <c r="L31" s="23">
        <v>500</v>
      </c>
      <c r="M31" s="23">
        <v>500</v>
      </c>
      <c r="N31" s="23"/>
      <c r="O31" s="23"/>
      <c r="P31" s="23" t="s">
        <v>15</v>
      </c>
      <c r="Q31" s="23" t="s">
        <v>14</v>
      </c>
    </row>
    <row r="32" spans="2:17">
      <c r="B32" s="23" t="s">
        <v>113</v>
      </c>
      <c r="C32" s="23" t="s">
        <v>112</v>
      </c>
      <c r="D32" s="23" t="s">
        <v>14</v>
      </c>
      <c r="E32" s="23">
        <v>501</v>
      </c>
      <c r="F32" s="23">
        <v>500</v>
      </c>
      <c r="G32" s="23">
        <v>500</v>
      </c>
      <c r="H32" s="23"/>
      <c r="I32" s="34"/>
      <c r="J32" s="23" t="s">
        <v>112</v>
      </c>
      <c r="K32" s="23">
        <v>501</v>
      </c>
      <c r="L32" s="23">
        <v>500</v>
      </c>
      <c r="M32" s="23">
        <v>500</v>
      </c>
      <c r="N32" s="23"/>
      <c r="O32" s="23"/>
      <c r="P32" s="23" t="s">
        <v>15</v>
      </c>
      <c r="Q32" s="23" t="s">
        <v>14</v>
      </c>
    </row>
    <row r="33" spans="2:17">
      <c r="B33" s="23" t="s">
        <v>114</v>
      </c>
      <c r="C33" s="23" t="s">
        <v>112</v>
      </c>
      <c r="D33" s="23">
        <v>159</v>
      </c>
      <c r="E33" s="23">
        <v>25</v>
      </c>
      <c r="F33" s="23">
        <v>29</v>
      </c>
      <c r="G33" s="23">
        <v>5</v>
      </c>
      <c r="H33" s="23" t="s">
        <v>115</v>
      </c>
      <c r="I33" s="34"/>
      <c r="J33" s="23" t="s">
        <v>112</v>
      </c>
      <c r="K33" s="23">
        <v>501</v>
      </c>
      <c r="L33" s="23">
        <v>505</v>
      </c>
      <c r="M33" s="23">
        <v>5</v>
      </c>
      <c r="N33" s="23" t="s">
        <v>116</v>
      </c>
      <c r="O33" s="23"/>
      <c r="P33" s="23" t="s">
        <v>117</v>
      </c>
      <c r="Q33" s="23" t="s">
        <v>20</v>
      </c>
    </row>
    <row r="34" spans="2:17">
      <c r="B34" s="23" t="s">
        <v>118</v>
      </c>
      <c r="C34" s="23" t="s">
        <v>112</v>
      </c>
      <c r="D34" s="23">
        <v>160</v>
      </c>
      <c r="E34" s="23">
        <v>220</v>
      </c>
      <c r="F34" s="23">
        <v>224</v>
      </c>
      <c r="G34" s="23">
        <v>5</v>
      </c>
      <c r="H34" s="23" t="s">
        <v>119</v>
      </c>
      <c r="I34" s="34"/>
      <c r="J34" s="23" t="s">
        <v>112</v>
      </c>
      <c r="K34" s="23">
        <v>506</v>
      </c>
      <c r="L34" s="23">
        <v>510</v>
      </c>
      <c r="M34" s="23">
        <v>5</v>
      </c>
      <c r="N34" s="23" t="s">
        <v>120</v>
      </c>
      <c r="O34" s="23"/>
      <c r="P34" s="23" t="s">
        <v>121</v>
      </c>
      <c r="Q34" s="23" t="s">
        <v>20</v>
      </c>
    </row>
    <row r="35" spans="2:17">
      <c r="B35" s="23" t="s">
        <v>122</v>
      </c>
      <c r="C35" s="23" t="s">
        <v>112</v>
      </c>
      <c r="D35" s="23">
        <v>124</v>
      </c>
      <c r="E35" s="23">
        <v>327</v>
      </c>
      <c r="F35" s="23">
        <v>331</v>
      </c>
      <c r="G35" s="23">
        <v>5</v>
      </c>
      <c r="H35" s="23" t="s">
        <v>123</v>
      </c>
      <c r="I35" s="34"/>
      <c r="J35" s="23" t="s">
        <v>112</v>
      </c>
      <c r="K35" s="23">
        <v>511</v>
      </c>
      <c r="L35" s="23">
        <v>515</v>
      </c>
      <c r="M35" s="23">
        <v>5</v>
      </c>
      <c r="N35" s="23" t="s">
        <v>124</v>
      </c>
      <c r="O35" s="23"/>
      <c r="P35" s="23" t="s">
        <v>125</v>
      </c>
      <c r="Q35" s="23" t="s">
        <v>20</v>
      </c>
    </row>
    <row r="36" spans="2:17">
      <c r="B36" s="23" t="s">
        <v>126</v>
      </c>
      <c r="C36" s="23" t="s">
        <v>127</v>
      </c>
      <c r="D36" s="23" t="s">
        <v>14</v>
      </c>
      <c r="E36" s="23">
        <v>1</v>
      </c>
      <c r="F36" s="23">
        <v>250</v>
      </c>
      <c r="G36" s="23">
        <v>250</v>
      </c>
      <c r="H36" s="23" t="s">
        <v>128</v>
      </c>
      <c r="I36" s="34"/>
      <c r="J36" s="23" t="s">
        <v>127</v>
      </c>
      <c r="K36" s="23">
        <v>1</v>
      </c>
      <c r="L36" s="23">
        <v>250</v>
      </c>
      <c r="M36" s="23">
        <v>250</v>
      </c>
      <c r="N36" s="23"/>
      <c r="O36" s="23"/>
      <c r="P36" s="23" t="s">
        <v>15</v>
      </c>
      <c r="Q36" s="23" t="s">
        <v>14</v>
      </c>
    </row>
    <row r="37" spans="2:17">
      <c r="B37" s="23" t="s">
        <v>129</v>
      </c>
      <c r="C37" s="23" t="s">
        <v>127</v>
      </c>
      <c r="D37" s="23">
        <v>161</v>
      </c>
      <c r="E37" s="23">
        <v>35</v>
      </c>
      <c r="F37" s="23">
        <v>39</v>
      </c>
      <c r="G37" s="23">
        <v>5</v>
      </c>
      <c r="H37" s="23" t="s">
        <v>130</v>
      </c>
      <c r="I37" s="34"/>
      <c r="J37" s="23" t="s">
        <v>127</v>
      </c>
      <c r="K37" s="23">
        <v>129</v>
      </c>
      <c r="L37" s="23">
        <v>133</v>
      </c>
      <c r="M37" s="23">
        <v>5</v>
      </c>
      <c r="N37" s="23" t="s">
        <v>131</v>
      </c>
      <c r="O37" s="23"/>
      <c r="P37" s="23" t="s">
        <v>132</v>
      </c>
      <c r="Q37" s="23" t="s">
        <v>27</v>
      </c>
    </row>
    <row r="38" spans="2:17">
      <c r="B38" s="23" t="s">
        <v>133</v>
      </c>
      <c r="C38" s="23" t="s">
        <v>127</v>
      </c>
      <c r="D38" s="23">
        <v>161</v>
      </c>
      <c r="E38" s="23">
        <v>40</v>
      </c>
      <c r="F38" s="23">
        <v>44</v>
      </c>
      <c r="G38" s="23">
        <v>5</v>
      </c>
      <c r="H38" s="23" t="s">
        <v>134</v>
      </c>
      <c r="I38" s="34"/>
      <c r="J38" s="23" t="s">
        <v>127</v>
      </c>
      <c r="K38" s="23">
        <v>129</v>
      </c>
      <c r="L38" s="23">
        <v>133</v>
      </c>
      <c r="M38" s="23">
        <v>5</v>
      </c>
      <c r="N38" s="23" t="s">
        <v>131</v>
      </c>
      <c r="O38" s="23"/>
      <c r="P38" s="23" t="s">
        <v>132</v>
      </c>
      <c r="Q38" s="23" t="s">
        <v>20</v>
      </c>
    </row>
    <row r="39" spans="2:17">
      <c r="B39" s="23"/>
      <c r="C39" s="23"/>
      <c r="D39" s="23"/>
      <c r="E39" s="23"/>
      <c r="F39" s="23"/>
      <c r="G39" s="23"/>
      <c r="H39" s="23"/>
      <c r="I39" s="34"/>
      <c r="J39" s="23"/>
      <c r="K39" s="23"/>
      <c r="L39" s="23"/>
      <c r="M39" s="23"/>
      <c r="N39" s="23"/>
      <c r="O39" s="23"/>
      <c r="P39" s="23"/>
      <c r="Q39" s="23"/>
    </row>
    <row r="43" spans="2:17">
      <c r="B43" t="s">
        <v>135</v>
      </c>
      <c r="C43" t="s">
        <v>128</v>
      </c>
      <c r="E43">
        <v>1</v>
      </c>
      <c r="F43" t="s">
        <v>14</v>
      </c>
      <c r="G43">
        <v>500</v>
      </c>
      <c r="K43">
        <v>1</v>
      </c>
      <c r="L43" t="s">
        <v>14</v>
      </c>
      <c r="M43">
        <v>500</v>
      </c>
      <c r="P43" t="s">
        <v>15</v>
      </c>
      <c r="Q43" t="s">
        <v>14</v>
      </c>
    </row>
    <row r="44" spans="2:17">
      <c r="B44" t="s">
        <v>136</v>
      </c>
      <c r="C44" t="s">
        <v>137</v>
      </c>
      <c r="E44">
        <v>25</v>
      </c>
      <c r="F44">
        <v>29</v>
      </c>
      <c r="G44">
        <v>5</v>
      </c>
      <c r="K44">
        <v>228</v>
      </c>
      <c r="L44">
        <v>232</v>
      </c>
      <c r="M44">
        <v>5</v>
      </c>
      <c r="N44" t="s">
        <v>138</v>
      </c>
      <c r="P44" t="s">
        <v>139</v>
      </c>
      <c r="Q44" t="s">
        <v>27</v>
      </c>
    </row>
    <row r="45" spans="2:17">
      <c r="B45" t="s">
        <v>140</v>
      </c>
      <c r="C45" t="s">
        <v>141</v>
      </c>
      <c r="E45">
        <v>30</v>
      </c>
      <c r="F45">
        <v>34</v>
      </c>
      <c r="G45">
        <v>5</v>
      </c>
      <c r="K45">
        <v>228</v>
      </c>
      <c r="L45">
        <v>232</v>
      </c>
      <c r="M45">
        <v>5</v>
      </c>
      <c r="N45" t="s">
        <v>138</v>
      </c>
      <c r="P45" t="s">
        <v>139</v>
      </c>
      <c r="Q45" t="s">
        <v>20</v>
      </c>
    </row>
    <row r="48" spans="2:17">
      <c r="B48" t="s">
        <v>142</v>
      </c>
      <c r="C48" t="s">
        <v>143</v>
      </c>
      <c r="D48" t="s">
        <v>14</v>
      </c>
      <c r="E48">
        <v>1</v>
      </c>
      <c r="F48">
        <v>300</v>
      </c>
      <c r="G48">
        <v>300</v>
      </c>
      <c r="K48">
        <v>1</v>
      </c>
      <c r="L48">
        <v>300</v>
      </c>
      <c r="M48">
        <v>300</v>
      </c>
      <c r="P48" t="s">
        <v>15</v>
      </c>
    </row>
    <row r="49" spans="2:17">
      <c r="B49" t="s">
        <v>144</v>
      </c>
      <c r="C49" t="s">
        <v>143</v>
      </c>
      <c r="D49">
        <v>1</v>
      </c>
      <c r="E49">
        <v>1</v>
      </c>
      <c r="F49">
        <v>5</v>
      </c>
      <c r="G49">
        <v>5</v>
      </c>
      <c r="H49" t="s">
        <v>145</v>
      </c>
      <c r="K49">
        <v>160</v>
      </c>
      <c r="L49">
        <v>161</v>
      </c>
      <c r="M49">
        <v>2</v>
      </c>
      <c r="N49" t="s">
        <v>146</v>
      </c>
      <c r="P49" t="s">
        <v>147</v>
      </c>
      <c r="Q49" t="s">
        <v>20</v>
      </c>
    </row>
    <row r="50" spans="2:17">
      <c r="B50" t="s">
        <v>148</v>
      </c>
      <c r="C50" t="s">
        <v>143</v>
      </c>
      <c r="D50">
        <v>12</v>
      </c>
      <c r="E50">
        <v>57</v>
      </c>
      <c r="F50">
        <v>61</v>
      </c>
      <c r="G50">
        <v>5</v>
      </c>
      <c r="H50" t="s">
        <v>149</v>
      </c>
      <c r="K50">
        <v>182</v>
      </c>
      <c r="L50">
        <v>185</v>
      </c>
      <c r="M50">
        <v>4</v>
      </c>
      <c r="N50" t="s">
        <v>150</v>
      </c>
      <c r="P50" t="s">
        <v>151</v>
      </c>
      <c r="Q50" t="s">
        <v>20</v>
      </c>
    </row>
    <row r="51" spans="2:17">
      <c r="B51" t="s">
        <v>152</v>
      </c>
      <c r="C51" t="s">
        <v>143</v>
      </c>
      <c r="D51">
        <v>12</v>
      </c>
      <c r="E51">
        <v>62</v>
      </c>
      <c r="F51">
        <v>66</v>
      </c>
      <c r="G51">
        <v>5</v>
      </c>
      <c r="H51" t="s">
        <v>153</v>
      </c>
      <c r="K51">
        <v>182</v>
      </c>
      <c r="L51">
        <v>185</v>
      </c>
      <c r="M51">
        <v>4</v>
      </c>
      <c r="N51" t="s">
        <v>150</v>
      </c>
      <c r="P51" t="s">
        <v>151</v>
      </c>
      <c r="Q51" t="s">
        <v>27</v>
      </c>
    </row>
    <row r="55" spans="2:17">
      <c r="B55" t="s">
        <v>154</v>
      </c>
      <c r="C55" t="s">
        <v>145</v>
      </c>
      <c r="D55">
        <v>1</v>
      </c>
      <c r="E55">
        <v>1</v>
      </c>
      <c r="F55">
        <v>5</v>
      </c>
      <c r="G55">
        <v>5</v>
      </c>
      <c r="K55">
        <v>264</v>
      </c>
      <c r="L55">
        <v>265</v>
      </c>
      <c r="M55">
        <v>2</v>
      </c>
      <c r="N55" t="s">
        <v>146</v>
      </c>
      <c r="P55" t="s">
        <v>147</v>
      </c>
    </row>
    <row r="56" spans="2:17">
      <c r="B56" t="s">
        <v>155</v>
      </c>
      <c r="C56" t="s">
        <v>156</v>
      </c>
      <c r="D56">
        <v>2</v>
      </c>
      <c r="E56">
        <v>164</v>
      </c>
      <c r="F56">
        <v>168</v>
      </c>
      <c r="G56">
        <v>5</v>
      </c>
      <c r="K56">
        <v>276</v>
      </c>
      <c r="L56">
        <v>278</v>
      </c>
      <c r="M56">
        <v>3</v>
      </c>
      <c r="N56" t="s">
        <v>157</v>
      </c>
      <c r="P56" t="s">
        <v>158</v>
      </c>
    </row>
    <row r="57" spans="2:17">
      <c r="B57" t="s">
        <v>159</v>
      </c>
      <c r="C57" t="s">
        <v>160</v>
      </c>
      <c r="D57">
        <v>18</v>
      </c>
      <c r="E57">
        <v>212</v>
      </c>
      <c r="F57">
        <v>216</v>
      </c>
      <c r="G57">
        <v>5</v>
      </c>
      <c r="K57">
        <v>279</v>
      </c>
      <c r="L57">
        <v>283</v>
      </c>
      <c r="M57">
        <v>5</v>
      </c>
      <c r="N57" t="s">
        <v>161</v>
      </c>
      <c r="P57" t="s">
        <v>162</v>
      </c>
    </row>
    <row r="58" spans="2:17">
      <c r="B58" t="s">
        <v>163</v>
      </c>
      <c r="C58" t="s">
        <v>164</v>
      </c>
      <c r="D58">
        <v>18</v>
      </c>
      <c r="E58">
        <v>217</v>
      </c>
      <c r="F58">
        <v>221</v>
      </c>
      <c r="G58">
        <v>5</v>
      </c>
      <c r="K58">
        <v>284</v>
      </c>
      <c r="L58">
        <v>288</v>
      </c>
      <c r="M58">
        <v>5</v>
      </c>
      <c r="N58" t="s">
        <v>165</v>
      </c>
      <c r="P58" t="s">
        <v>162</v>
      </c>
    </row>
    <row r="59" spans="2:17">
      <c r="B59" t="s">
        <v>166</v>
      </c>
      <c r="C59" t="s">
        <v>167</v>
      </c>
      <c r="D59">
        <v>18</v>
      </c>
      <c r="E59">
        <v>222</v>
      </c>
      <c r="F59">
        <v>226</v>
      </c>
      <c r="G59">
        <v>5</v>
      </c>
      <c r="K59">
        <v>289</v>
      </c>
      <c r="L59">
        <v>293</v>
      </c>
      <c r="M59">
        <v>5</v>
      </c>
      <c r="N59" t="s">
        <v>168</v>
      </c>
      <c r="P59" t="s">
        <v>162</v>
      </c>
    </row>
    <row r="62" spans="2:17">
      <c r="B62" t="s">
        <v>169</v>
      </c>
      <c r="C62" t="s">
        <v>145</v>
      </c>
      <c r="D62">
        <v>1</v>
      </c>
      <c r="E62">
        <v>1</v>
      </c>
      <c r="F62">
        <v>5</v>
      </c>
      <c r="K62">
        <v>59</v>
      </c>
      <c r="L62">
        <v>60</v>
      </c>
      <c r="M62">
        <v>2</v>
      </c>
      <c r="N62" t="s">
        <v>146</v>
      </c>
      <c r="P62" t="s">
        <v>147</v>
      </c>
    </row>
    <row r="63" spans="2:17">
      <c r="B63" t="s">
        <v>170</v>
      </c>
      <c r="C63" t="s">
        <v>171</v>
      </c>
      <c r="D63">
        <v>58</v>
      </c>
      <c r="E63">
        <v>34</v>
      </c>
      <c r="F63">
        <v>38</v>
      </c>
      <c r="K63">
        <v>91</v>
      </c>
      <c r="L63">
        <v>91</v>
      </c>
      <c r="M63">
        <v>1</v>
      </c>
      <c r="N63" t="s">
        <v>172</v>
      </c>
      <c r="P63" t="s">
        <v>173</v>
      </c>
    </row>
    <row r="65" spans="2:16">
      <c r="B65" t="s">
        <v>174</v>
      </c>
      <c r="C65" t="s">
        <v>128</v>
      </c>
      <c r="D65" t="s">
        <v>14</v>
      </c>
      <c r="E65">
        <v>1</v>
      </c>
      <c r="F65">
        <v>250</v>
      </c>
      <c r="G65">
        <v>250</v>
      </c>
      <c r="K65">
        <v>1</v>
      </c>
      <c r="L65">
        <v>250</v>
      </c>
      <c r="M65">
        <v>250</v>
      </c>
      <c r="P65" t="s">
        <v>15</v>
      </c>
    </row>
    <row r="66" spans="2:16">
      <c r="B66" t="s">
        <v>175</v>
      </c>
      <c r="C66" t="s">
        <v>145</v>
      </c>
      <c r="D66">
        <v>1</v>
      </c>
      <c r="E66">
        <v>1</v>
      </c>
      <c r="F66">
        <v>5</v>
      </c>
      <c r="G66">
        <v>5</v>
      </c>
      <c r="K66">
        <v>113</v>
      </c>
      <c r="L66">
        <v>114</v>
      </c>
      <c r="M66">
        <v>2</v>
      </c>
      <c r="N66" t="s">
        <v>146</v>
      </c>
      <c r="P66" t="s">
        <v>147</v>
      </c>
    </row>
    <row r="67" spans="2:16">
      <c r="B67" t="s">
        <v>176</v>
      </c>
      <c r="C67" t="s">
        <v>160</v>
      </c>
      <c r="D67">
        <v>18</v>
      </c>
      <c r="E67">
        <v>88</v>
      </c>
      <c r="F67">
        <v>92</v>
      </c>
      <c r="G67">
        <v>5</v>
      </c>
      <c r="K67">
        <v>135</v>
      </c>
      <c r="L67">
        <v>139</v>
      </c>
      <c r="M67">
        <v>5</v>
      </c>
      <c r="N67" t="s">
        <v>161</v>
      </c>
      <c r="P67" t="s">
        <v>162</v>
      </c>
    </row>
    <row r="68" spans="2:16">
      <c r="B68" t="s">
        <v>177</v>
      </c>
      <c r="C68" t="s">
        <v>164</v>
      </c>
      <c r="D68">
        <v>18</v>
      </c>
      <c r="E68">
        <v>93</v>
      </c>
      <c r="F68">
        <v>97</v>
      </c>
      <c r="G68">
        <v>5</v>
      </c>
      <c r="K68">
        <v>140</v>
      </c>
      <c r="L68">
        <v>144</v>
      </c>
      <c r="M68">
        <v>5</v>
      </c>
      <c r="N68" t="s">
        <v>165</v>
      </c>
      <c r="P68" t="s">
        <v>162</v>
      </c>
    </row>
    <row r="69" spans="2:16">
      <c r="B69" t="s">
        <v>178</v>
      </c>
      <c r="C69" t="s">
        <v>167</v>
      </c>
      <c r="D69">
        <v>67</v>
      </c>
      <c r="E69">
        <v>98</v>
      </c>
      <c r="F69">
        <v>102</v>
      </c>
      <c r="G69">
        <v>5</v>
      </c>
      <c r="K69">
        <v>145</v>
      </c>
      <c r="L69">
        <v>149</v>
      </c>
      <c r="M69">
        <v>5</v>
      </c>
      <c r="N69" t="s">
        <v>168</v>
      </c>
      <c r="P69" t="s">
        <v>179</v>
      </c>
    </row>
    <row r="76" spans="2:16">
      <c r="B76" t="s">
        <v>180</v>
      </c>
      <c r="C76" t="s">
        <v>181</v>
      </c>
    </row>
    <row r="77" spans="2:16">
      <c r="B77" t="s">
        <v>182</v>
      </c>
      <c r="C77" t="s">
        <v>183</v>
      </c>
    </row>
    <row r="78" spans="2:16">
      <c r="B78" t="s">
        <v>184</v>
      </c>
      <c r="C78" t="s">
        <v>185</v>
      </c>
    </row>
    <row r="82" spans="2:5">
      <c r="B82" t="s">
        <v>186</v>
      </c>
      <c r="C82" t="s">
        <v>187</v>
      </c>
      <c r="D82" t="s">
        <v>188</v>
      </c>
      <c r="E82" t="s">
        <v>189</v>
      </c>
    </row>
    <row r="83" spans="2:5">
      <c r="C83" t="s">
        <v>190</v>
      </c>
      <c r="D83" t="s">
        <v>191</v>
      </c>
    </row>
    <row r="85" spans="2:5">
      <c r="B85" t="s">
        <v>192</v>
      </c>
      <c r="C85" t="s">
        <v>193</v>
      </c>
      <c r="D85" t="s">
        <v>194</v>
      </c>
    </row>
    <row r="86" spans="2:5">
      <c r="C86" t="s">
        <v>195</v>
      </c>
      <c r="D86" t="s">
        <v>196</v>
      </c>
      <c r="E86" t="s">
        <v>197</v>
      </c>
    </row>
    <row r="88" spans="2:5">
      <c r="B88" t="s">
        <v>198</v>
      </c>
      <c r="E88" t="s">
        <v>185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199</v>
      </c>
    </row>
    <row r="2" spans="1:5">
      <c r="A2">
        <v>5</v>
      </c>
      <c r="B2" t="s">
        <v>14</v>
      </c>
      <c r="C2" s="37" t="s">
        <v>200</v>
      </c>
      <c r="D2" s="37" t="s">
        <v>201</v>
      </c>
    </row>
    <row r="3" spans="1:5">
      <c r="A3">
        <v>9</v>
      </c>
      <c r="B3" t="s">
        <v>14</v>
      </c>
      <c r="C3" s="37" t="s">
        <v>202</v>
      </c>
      <c r="D3" s="37" t="s">
        <v>203</v>
      </c>
    </row>
    <row r="4" spans="1:5">
      <c r="A4">
        <v>13</v>
      </c>
      <c r="B4" t="s">
        <v>14</v>
      </c>
      <c r="C4" s="37" t="s">
        <v>204</v>
      </c>
      <c r="D4" s="37" t="s">
        <v>205</v>
      </c>
    </row>
    <row r="5" spans="1:5">
      <c r="A5">
        <v>17</v>
      </c>
      <c r="B5" t="s">
        <v>14</v>
      </c>
      <c r="C5" s="37" t="s">
        <v>206</v>
      </c>
      <c r="D5" s="37" t="s">
        <v>207</v>
      </c>
    </row>
    <row r="6" spans="1:5">
      <c r="A6">
        <v>21</v>
      </c>
      <c r="B6" t="s">
        <v>14</v>
      </c>
      <c r="C6" s="37" t="s">
        <v>208</v>
      </c>
      <c r="D6" s="37" t="s">
        <v>209</v>
      </c>
    </row>
    <row r="7" spans="1:5">
      <c r="A7">
        <v>25</v>
      </c>
      <c r="B7" t="s">
        <v>14</v>
      </c>
      <c r="C7" s="37" t="s">
        <v>210</v>
      </c>
      <c r="D7" s="37" t="s">
        <v>211</v>
      </c>
    </row>
    <row r="8" spans="1:5">
      <c r="A8">
        <v>29</v>
      </c>
      <c r="B8" t="s">
        <v>14</v>
      </c>
      <c r="C8" s="37" t="s">
        <v>212</v>
      </c>
      <c r="D8" s="37" t="s">
        <v>213</v>
      </c>
    </row>
    <row r="9" spans="1:5">
      <c r="A9">
        <v>33</v>
      </c>
      <c r="B9" t="s">
        <v>14</v>
      </c>
      <c r="C9" s="37" t="s">
        <v>214</v>
      </c>
      <c r="D9" s="37" t="s">
        <v>215</v>
      </c>
    </row>
    <row r="10" spans="1:5">
      <c r="A10">
        <v>37</v>
      </c>
      <c r="B10" t="s">
        <v>14</v>
      </c>
      <c r="C10" s="37" t="s">
        <v>216</v>
      </c>
      <c r="D10" s="37" t="s">
        <v>217</v>
      </c>
    </row>
    <row r="11" spans="1:5">
      <c r="A11">
        <v>41</v>
      </c>
      <c r="B11" t="s">
        <v>14</v>
      </c>
      <c r="C11" s="37" t="s">
        <v>218</v>
      </c>
      <c r="D11" s="37" t="s">
        <v>219</v>
      </c>
    </row>
    <row r="12" spans="1:5">
      <c r="A12">
        <v>45</v>
      </c>
      <c r="B12" t="s">
        <v>14</v>
      </c>
      <c r="C12" s="37" t="s">
        <v>220</v>
      </c>
      <c r="D12" s="37" t="s">
        <v>221</v>
      </c>
    </row>
    <row r="13" spans="1:5">
      <c r="A13">
        <v>49</v>
      </c>
      <c r="B13" t="s">
        <v>14</v>
      </c>
      <c r="C13" s="37" t="s">
        <v>222</v>
      </c>
      <c r="D13" s="37" t="s">
        <v>223</v>
      </c>
    </row>
    <row r="14" spans="1:5">
      <c r="A14">
        <v>56</v>
      </c>
      <c r="B14" t="s">
        <v>14</v>
      </c>
      <c r="C14" s="37" t="s">
        <v>224</v>
      </c>
      <c r="D14" s="37" t="s">
        <v>225</v>
      </c>
    </row>
    <row r="15" spans="1:5">
      <c r="A15">
        <v>60</v>
      </c>
      <c r="B15" t="s">
        <v>14</v>
      </c>
      <c r="C15" s="37" t="s">
        <v>226</v>
      </c>
      <c r="D15" s="37" t="s">
        <v>227</v>
      </c>
    </row>
    <row r="16" spans="1:5">
      <c r="A16">
        <v>64</v>
      </c>
      <c r="B16" t="s">
        <v>14</v>
      </c>
      <c r="C16" s="37" t="s">
        <v>228</v>
      </c>
      <c r="D16" s="37" t="s">
        <v>229</v>
      </c>
    </row>
    <row r="17" spans="1:4">
      <c r="A17">
        <v>68</v>
      </c>
      <c r="B17" t="s">
        <v>14</v>
      </c>
      <c r="C17" s="37" t="s">
        <v>230</v>
      </c>
      <c r="D17" s="37" t="s">
        <v>231</v>
      </c>
    </row>
    <row r="18" spans="1:4">
      <c r="A18">
        <v>72</v>
      </c>
      <c r="B18" t="s">
        <v>14</v>
      </c>
      <c r="C18" s="37" t="s">
        <v>232</v>
      </c>
      <c r="D18" s="37" t="s">
        <v>233</v>
      </c>
    </row>
    <row r="19" spans="1:4">
      <c r="A19">
        <v>73</v>
      </c>
      <c r="B19" t="s">
        <v>14</v>
      </c>
      <c r="C19" s="37" t="s">
        <v>14</v>
      </c>
      <c r="D19" s="37" t="s">
        <v>234</v>
      </c>
    </row>
    <row r="20" spans="1:4">
      <c r="A20">
        <v>74</v>
      </c>
      <c r="B20" t="s">
        <v>14</v>
      </c>
      <c r="D20" s="37" t="s">
        <v>235</v>
      </c>
    </row>
    <row r="21" spans="1:4">
      <c r="A21">
        <v>75</v>
      </c>
      <c r="B21" t="s">
        <v>14</v>
      </c>
      <c r="D21" s="37" t="s">
        <v>236</v>
      </c>
    </row>
    <row r="22" spans="1:4">
      <c r="A22">
        <v>79</v>
      </c>
      <c r="B22" t="s">
        <v>14</v>
      </c>
      <c r="C22" s="37" t="s">
        <v>237</v>
      </c>
      <c r="D22" s="37" t="s">
        <v>238</v>
      </c>
    </row>
    <row r="23" spans="1:4">
      <c r="A23">
        <v>83</v>
      </c>
      <c r="B23" t="s">
        <v>14</v>
      </c>
      <c r="C23" s="37" t="s">
        <v>239</v>
      </c>
      <c r="D23" s="37" t="s">
        <v>240</v>
      </c>
    </row>
    <row r="24" spans="1:4">
      <c r="A24">
        <v>87</v>
      </c>
      <c r="B24" t="s">
        <v>14</v>
      </c>
      <c r="C24" s="37" t="s">
        <v>241</v>
      </c>
      <c r="D24" s="37" t="s">
        <v>242</v>
      </c>
    </row>
    <row r="25" spans="1:4">
      <c r="A25">
        <v>91</v>
      </c>
      <c r="B25" t="s">
        <v>14</v>
      </c>
      <c r="C25" s="37" t="s">
        <v>243</v>
      </c>
      <c r="D25" s="37" t="s">
        <v>244</v>
      </c>
    </row>
    <row r="26" spans="1:4">
      <c r="A26">
        <v>95</v>
      </c>
      <c r="B26" t="s">
        <v>14</v>
      </c>
      <c r="C26" s="37" t="s">
        <v>245</v>
      </c>
      <c r="D26" s="37" t="s">
        <v>246</v>
      </c>
    </row>
    <row r="27" spans="1:4">
      <c r="A27">
        <v>96</v>
      </c>
      <c r="B27" t="s">
        <v>14</v>
      </c>
      <c r="C27" s="37" t="s">
        <v>14</v>
      </c>
      <c r="D27" s="37" t="s">
        <v>247</v>
      </c>
    </row>
    <row r="28" spans="1:4">
      <c r="A28">
        <v>97</v>
      </c>
      <c r="B28" t="s">
        <v>14</v>
      </c>
      <c r="D28" s="37" t="s">
        <v>248</v>
      </c>
    </row>
    <row r="29" spans="1:4">
      <c r="A29">
        <v>98</v>
      </c>
      <c r="B29" t="s">
        <v>14</v>
      </c>
      <c r="D29" s="37" t="s">
        <v>249</v>
      </c>
    </row>
    <row r="30" spans="1:4">
      <c r="A30">
        <v>99</v>
      </c>
      <c r="B30" t="s">
        <v>14</v>
      </c>
      <c r="D30" s="37" t="s">
        <v>250</v>
      </c>
    </row>
    <row r="31" spans="1:4">
      <c r="A31">
        <v>100</v>
      </c>
      <c r="B31" t="s">
        <v>14</v>
      </c>
      <c r="D31" s="37" t="s">
        <v>251</v>
      </c>
    </row>
    <row r="32" spans="1:4">
      <c r="A32">
        <v>101</v>
      </c>
      <c r="B32" t="s">
        <v>14</v>
      </c>
      <c r="D32" s="37" t="s">
        <v>252</v>
      </c>
    </row>
    <row r="33" spans="1:4">
      <c r="A33">
        <v>102</v>
      </c>
      <c r="B33" t="s">
        <v>14</v>
      </c>
      <c r="D33" s="37" t="s">
        <v>253</v>
      </c>
    </row>
    <row r="34" spans="1:4">
      <c r="A34">
        <v>103</v>
      </c>
      <c r="B34" t="s">
        <v>14</v>
      </c>
      <c r="D34" s="37" t="s">
        <v>254</v>
      </c>
    </row>
    <row r="35" spans="1:4">
      <c r="A35">
        <v>104</v>
      </c>
      <c r="B35" t="s">
        <v>14</v>
      </c>
      <c r="D35" s="37" t="s">
        <v>255</v>
      </c>
    </row>
    <row r="36" spans="1:4">
      <c r="A36">
        <v>105</v>
      </c>
      <c r="B36" t="s">
        <v>14</v>
      </c>
      <c r="D36" s="37" t="s">
        <v>256</v>
      </c>
    </row>
    <row r="37" spans="1:4">
      <c r="A37">
        <v>112</v>
      </c>
      <c r="B37" t="s">
        <v>14</v>
      </c>
      <c r="C37" s="37" t="s">
        <v>257</v>
      </c>
      <c r="D37" s="37" t="s">
        <v>258</v>
      </c>
    </row>
    <row r="38" spans="1:4">
      <c r="A38">
        <v>116</v>
      </c>
      <c r="B38" t="s">
        <v>14</v>
      </c>
      <c r="C38" s="37" t="s">
        <v>259</v>
      </c>
      <c r="D38" s="37" t="s">
        <v>260</v>
      </c>
    </row>
    <row r="39" spans="1:4">
      <c r="A39">
        <v>117</v>
      </c>
      <c r="B39" t="s">
        <v>14</v>
      </c>
      <c r="C39" s="37" t="s">
        <v>14</v>
      </c>
      <c r="D39" s="37" t="s">
        <v>261</v>
      </c>
    </row>
    <row r="40" spans="1:4">
      <c r="A40">
        <v>118</v>
      </c>
      <c r="B40" t="s">
        <v>14</v>
      </c>
      <c r="D40" s="37" t="s">
        <v>262</v>
      </c>
    </row>
    <row r="41" spans="1:4">
      <c r="A41">
        <v>119</v>
      </c>
      <c r="B41" t="s">
        <v>14</v>
      </c>
      <c r="D41" s="37" t="s">
        <v>263</v>
      </c>
    </row>
    <row r="42" spans="1:4">
      <c r="A42">
        <v>120</v>
      </c>
      <c r="B42" t="s">
        <v>14</v>
      </c>
      <c r="D42" s="37" t="s">
        <v>264</v>
      </c>
    </row>
    <row r="43" spans="1:4">
      <c r="A43">
        <v>121</v>
      </c>
      <c r="B43" t="s">
        <v>14</v>
      </c>
      <c r="D43" s="37" t="s">
        <v>265</v>
      </c>
    </row>
    <row r="44" spans="1:4">
      <c r="A44">
        <v>122</v>
      </c>
      <c r="B44" t="s">
        <v>14</v>
      </c>
      <c r="D44" s="37" t="s">
        <v>266</v>
      </c>
    </row>
    <row r="45" spans="1:4">
      <c r="A45">
        <v>123</v>
      </c>
      <c r="B45" t="s">
        <v>14</v>
      </c>
      <c r="D45" s="37" t="s">
        <v>267</v>
      </c>
    </row>
    <row r="46" spans="1:4">
      <c r="A46">
        <v>124</v>
      </c>
      <c r="B46" t="s">
        <v>14</v>
      </c>
      <c r="D46" s="37" t="s">
        <v>268</v>
      </c>
    </row>
    <row r="47" spans="1:4">
      <c r="A47">
        <v>125</v>
      </c>
      <c r="B47" t="s">
        <v>14</v>
      </c>
      <c r="D47" s="37" t="s">
        <v>269</v>
      </c>
    </row>
    <row r="48" spans="1:4">
      <c r="A48">
        <v>129</v>
      </c>
      <c r="B48" t="s">
        <v>14</v>
      </c>
      <c r="C48" s="37" t="s">
        <v>270</v>
      </c>
      <c r="D48" s="37" t="s">
        <v>271</v>
      </c>
    </row>
    <row r="49" spans="1:4">
      <c r="A49">
        <v>130</v>
      </c>
      <c r="B49" t="s">
        <v>14</v>
      </c>
      <c r="C49" s="37" t="s">
        <v>14</v>
      </c>
      <c r="D49" s="37" t="s">
        <v>272</v>
      </c>
    </row>
    <row r="50" spans="1:4">
      <c r="A50">
        <v>134</v>
      </c>
      <c r="B50" t="s">
        <v>14</v>
      </c>
      <c r="C50" s="37" t="s">
        <v>273</v>
      </c>
      <c r="D50" s="37" t="s">
        <v>274</v>
      </c>
    </row>
    <row r="51" spans="1:4">
      <c r="A51">
        <v>138</v>
      </c>
      <c r="B51" t="s">
        <v>14</v>
      </c>
      <c r="C51" s="37" t="s">
        <v>275</v>
      </c>
      <c r="D51" s="37" t="s">
        <v>276</v>
      </c>
    </row>
    <row r="52" spans="1:4">
      <c r="A52">
        <v>142</v>
      </c>
      <c r="B52" t="s">
        <v>14</v>
      </c>
      <c r="C52" s="37" t="s">
        <v>277</v>
      </c>
      <c r="D52" s="37" t="s">
        <v>278</v>
      </c>
    </row>
    <row r="53" spans="1:4">
      <c r="A53">
        <v>146</v>
      </c>
      <c r="B53" t="s">
        <v>14</v>
      </c>
      <c r="C53" s="37" t="s">
        <v>279</v>
      </c>
      <c r="D53" s="37" t="s">
        <v>280</v>
      </c>
    </row>
    <row r="54" spans="1:4">
      <c r="A54">
        <v>150</v>
      </c>
      <c r="B54" t="s">
        <v>14</v>
      </c>
      <c r="C54" s="37" t="s">
        <v>281</v>
      </c>
      <c r="D54" s="37" t="s">
        <v>282</v>
      </c>
    </row>
    <row r="55" spans="1:4">
      <c r="A55">
        <v>154</v>
      </c>
      <c r="B55" t="s">
        <v>14</v>
      </c>
      <c r="C55" s="37" t="s">
        <v>283</v>
      </c>
      <c r="D55" s="37" t="s">
        <v>284</v>
      </c>
    </row>
    <row r="56" spans="1:4">
      <c r="A56">
        <v>158</v>
      </c>
      <c r="B56" t="s">
        <v>14</v>
      </c>
      <c r="C56" s="37" t="s">
        <v>285</v>
      </c>
      <c r="D56" s="37" t="s">
        <v>286</v>
      </c>
    </row>
    <row r="57" spans="1:4">
      <c r="A57">
        <v>159</v>
      </c>
      <c r="B57" t="s">
        <v>14</v>
      </c>
      <c r="C57" s="37" t="s">
        <v>14</v>
      </c>
      <c r="D57" s="37" t="s">
        <v>287</v>
      </c>
    </row>
    <row r="58" spans="1:4">
      <c r="A58">
        <v>166</v>
      </c>
      <c r="B58" t="s">
        <v>14</v>
      </c>
      <c r="C58" s="37" t="s">
        <v>288</v>
      </c>
      <c r="D58" s="37" t="s">
        <v>289</v>
      </c>
    </row>
    <row r="59" spans="1:4">
      <c r="A59">
        <v>167</v>
      </c>
      <c r="B59" t="s">
        <v>14</v>
      </c>
      <c r="C59" s="37" t="s">
        <v>14</v>
      </c>
      <c r="D59" s="37" t="s">
        <v>290</v>
      </c>
    </row>
    <row r="60" spans="1:4">
      <c r="A60">
        <v>171</v>
      </c>
      <c r="B60" t="s">
        <v>14</v>
      </c>
      <c r="C60" s="37" t="s">
        <v>291</v>
      </c>
      <c r="D60" s="37" t="s">
        <v>292</v>
      </c>
    </row>
    <row r="61" spans="1:4">
      <c r="A61">
        <v>172</v>
      </c>
      <c r="B61" t="s">
        <v>14</v>
      </c>
      <c r="C61" s="37" t="s">
        <v>14</v>
      </c>
      <c r="D61" s="37" t="s">
        <v>293</v>
      </c>
    </row>
    <row r="62" spans="1:4">
      <c r="A62">
        <v>173</v>
      </c>
      <c r="B62" t="s">
        <v>14</v>
      </c>
      <c r="D62" s="37" t="s">
        <v>294</v>
      </c>
    </row>
    <row r="63" spans="1:4">
      <c r="A63">
        <v>177</v>
      </c>
      <c r="B63" t="s">
        <v>14</v>
      </c>
      <c r="C63" s="37" t="s">
        <v>295</v>
      </c>
      <c r="D63" s="37" t="s">
        <v>296</v>
      </c>
    </row>
    <row r="64" spans="1:4">
      <c r="A64">
        <v>178</v>
      </c>
      <c r="B64" t="s">
        <v>14</v>
      </c>
      <c r="C64" s="37" t="s">
        <v>14</v>
      </c>
      <c r="D64" s="37" t="s">
        <v>297</v>
      </c>
    </row>
    <row r="65" spans="1:4">
      <c r="A65">
        <v>182</v>
      </c>
      <c r="B65" t="s">
        <v>14</v>
      </c>
      <c r="C65" s="37" t="s">
        <v>298</v>
      </c>
      <c r="D65" s="37" t="s">
        <v>299</v>
      </c>
    </row>
    <row r="66" spans="1:4">
      <c r="A66">
        <v>183</v>
      </c>
      <c r="B66" t="s">
        <v>14</v>
      </c>
      <c r="C66" s="37" t="s">
        <v>14</v>
      </c>
      <c r="D66" s="37" t="s">
        <v>300</v>
      </c>
    </row>
    <row r="67" spans="1:4">
      <c r="A67">
        <v>184</v>
      </c>
      <c r="B67" t="s">
        <v>14</v>
      </c>
      <c r="D67" s="37" t="s">
        <v>301</v>
      </c>
    </row>
    <row r="68" spans="1:4">
      <c r="A68">
        <v>185</v>
      </c>
      <c r="B68" t="s">
        <v>14</v>
      </c>
      <c r="D68" s="37" t="s">
        <v>302</v>
      </c>
    </row>
    <row r="69" spans="1:4">
      <c r="A69">
        <v>186</v>
      </c>
      <c r="B69" t="s">
        <v>14</v>
      </c>
      <c r="D69" s="37" t="s">
        <v>303</v>
      </c>
    </row>
    <row r="70" spans="1:4">
      <c r="A70">
        <v>190</v>
      </c>
      <c r="B70" t="s">
        <v>14</v>
      </c>
      <c r="C70" s="37" t="s">
        <v>304</v>
      </c>
      <c r="D70" s="37" t="s">
        <v>305</v>
      </c>
    </row>
    <row r="71" spans="1:4">
      <c r="A71">
        <v>191</v>
      </c>
      <c r="B71" t="s">
        <v>14</v>
      </c>
      <c r="C71" s="37" t="s">
        <v>14</v>
      </c>
      <c r="D71" s="37" t="s">
        <v>306</v>
      </c>
    </row>
    <row r="72" spans="1:4">
      <c r="A72">
        <v>192</v>
      </c>
      <c r="B72" t="s">
        <v>14</v>
      </c>
      <c r="D72" s="37" t="s">
        <v>307</v>
      </c>
    </row>
    <row r="73" spans="1:4">
      <c r="A73">
        <v>196</v>
      </c>
      <c r="B73" t="s">
        <v>14</v>
      </c>
      <c r="C73" s="37" t="s">
        <v>308</v>
      </c>
      <c r="D73" s="37" t="s">
        <v>309</v>
      </c>
    </row>
    <row r="74" spans="1:4">
      <c r="A74">
        <v>197</v>
      </c>
      <c r="B74" t="s">
        <v>14</v>
      </c>
      <c r="C74" s="37" t="s">
        <v>14</v>
      </c>
      <c r="D74" s="37" t="s">
        <v>310</v>
      </c>
    </row>
    <row r="75" spans="1:4">
      <c r="A75">
        <v>198</v>
      </c>
      <c r="B75" t="s">
        <v>14</v>
      </c>
      <c r="D75" s="37" t="s">
        <v>311</v>
      </c>
    </row>
    <row r="76" spans="1:4">
      <c r="A76">
        <v>202</v>
      </c>
      <c r="B76" t="s">
        <v>14</v>
      </c>
      <c r="C76" s="37" t="s">
        <v>312</v>
      </c>
      <c r="D76" s="37" t="s">
        <v>313</v>
      </c>
    </row>
    <row r="77" spans="1:4">
      <c r="A77">
        <v>203</v>
      </c>
      <c r="B77" t="s">
        <v>14</v>
      </c>
      <c r="C77" s="37" t="s">
        <v>14</v>
      </c>
      <c r="D77" s="37" t="s">
        <v>314</v>
      </c>
    </row>
    <row r="78" spans="1:4">
      <c r="A78">
        <v>207</v>
      </c>
      <c r="B78" t="s">
        <v>14</v>
      </c>
      <c r="C78" s="37" t="s">
        <v>315</v>
      </c>
      <c r="D78" s="37" t="s">
        <v>316</v>
      </c>
    </row>
    <row r="79" spans="1:4">
      <c r="A79">
        <v>208</v>
      </c>
      <c r="B79" t="s">
        <v>14</v>
      </c>
      <c r="C79" s="37" t="s">
        <v>14</v>
      </c>
      <c r="D79" s="37" t="s">
        <v>317</v>
      </c>
    </row>
    <row r="80" spans="1:4">
      <c r="A80">
        <v>209</v>
      </c>
      <c r="B80" t="s">
        <v>14</v>
      </c>
      <c r="D80" s="37" t="s">
        <v>318</v>
      </c>
    </row>
    <row r="81" spans="1:4">
      <c r="A81">
        <v>210</v>
      </c>
      <c r="B81" t="s">
        <v>14</v>
      </c>
      <c r="D81" s="37" t="s">
        <v>319</v>
      </c>
    </row>
    <row r="82" spans="1:4">
      <c r="A82">
        <v>211</v>
      </c>
      <c r="B82" t="s">
        <v>14</v>
      </c>
      <c r="D82" s="37" t="s">
        <v>320</v>
      </c>
    </row>
    <row r="83" spans="1:4">
      <c r="A83">
        <v>212</v>
      </c>
      <c r="B83" t="s">
        <v>14</v>
      </c>
      <c r="D83" s="37" t="s">
        <v>321</v>
      </c>
    </row>
    <row r="84" spans="1:4">
      <c r="A84">
        <v>213</v>
      </c>
      <c r="B84" t="s">
        <v>14</v>
      </c>
      <c r="D84" s="37" t="s">
        <v>322</v>
      </c>
    </row>
    <row r="85" spans="1:4">
      <c r="A85">
        <v>214</v>
      </c>
      <c r="B85" t="s">
        <v>14</v>
      </c>
      <c r="D85" s="37" t="s">
        <v>323</v>
      </c>
    </row>
    <row r="86" spans="1:4">
      <c r="A86">
        <v>215</v>
      </c>
      <c r="B86" t="s">
        <v>14</v>
      </c>
    </row>
    <row r="87" spans="1:4">
      <c r="A87">
        <v>216</v>
      </c>
      <c r="B87" t="s">
        <v>14</v>
      </c>
    </row>
    <row r="88" spans="1:4">
      <c r="A88">
        <v>217</v>
      </c>
      <c r="B88" t="s">
        <v>14</v>
      </c>
      <c r="C88" s="37" t="s">
        <v>14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324</v>
      </c>
      <c r="B2" s="24" t="s">
        <v>128</v>
      </c>
      <c r="C2" s="24" t="s">
        <v>14</v>
      </c>
      <c r="D2" s="24">
        <v>1</v>
      </c>
      <c r="E2" s="24" t="s">
        <v>14</v>
      </c>
      <c r="F2" s="24">
        <v>732</v>
      </c>
      <c r="I2">
        <v>1</v>
      </c>
      <c r="J2" t="s">
        <v>14</v>
      </c>
      <c r="K2">
        <v>732</v>
      </c>
      <c r="L2" t="s">
        <v>15</v>
      </c>
      <c r="M2" t="s">
        <v>14</v>
      </c>
    </row>
    <row r="3" spans="1:13">
      <c r="A3" s="24" t="s">
        <v>325</v>
      </c>
      <c r="B3" s="24" t="s">
        <v>326</v>
      </c>
      <c r="C3" s="24">
        <v>1</v>
      </c>
      <c r="D3" s="24">
        <v>11</v>
      </c>
      <c r="E3" s="24">
        <v>15</v>
      </c>
      <c r="F3" s="24">
        <v>5</v>
      </c>
      <c r="I3">
        <v>542</v>
      </c>
      <c r="J3">
        <v>543</v>
      </c>
      <c r="K3">
        <v>2</v>
      </c>
      <c r="L3" t="s">
        <v>147</v>
      </c>
      <c r="M3" t="s">
        <v>20</v>
      </c>
    </row>
    <row r="4" spans="1:13">
      <c r="A4" s="24" t="s">
        <v>327</v>
      </c>
      <c r="B4" s="24" t="s">
        <v>328</v>
      </c>
      <c r="C4" s="24">
        <v>3</v>
      </c>
      <c r="D4" s="24">
        <v>314</v>
      </c>
      <c r="E4" s="24">
        <v>318</v>
      </c>
      <c r="F4" s="24">
        <v>5</v>
      </c>
      <c r="H4" t="s">
        <v>75</v>
      </c>
      <c r="I4">
        <v>724</v>
      </c>
      <c r="J4">
        <v>726</v>
      </c>
      <c r="K4">
        <v>3</v>
      </c>
      <c r="L4" t="s">
        <v>76</v>
      </c>
      <c r="M4" t="s">
        <v>20</v>
      </c>
    </row>
    <row r="5" spans="1:13">
      <c r="A5" s="24" t="s">
        <v>329</v>
      </c>
      <c r="B5" s="24" t="s">
        <v>330</v>
      </c>
      <c r="C5" s="24">
        <v>112</v>
      </c>
      <c r="D5" s="24">
        <v>358</v>
      </c>
      <c r="E5" s="24">
        <v>362</v>
      </c>
      <c r="F5" s="24">
        <v>5</v>
      </c>
      <c r="H5" t="s">
        <v>331</v>
      </c>
      <c r="I5">
        <v>727</v>
      </c>
      <c r="J5">
        <v>727</v>
      </c>
      <c r="K5">
        <v>1</v>
      </c>
      <c r="L5" t="s">
        <v>332</v>
      </c>
      <c r="M5" t="s">
        <v>20</v>
      </c>
    </row>
    <row r="6" spans="1:13">
      <c r="A6" s="24" t="s">
        <v>333</v>
      </c>
      <c r="B6" s="24" t="s">
        <v>334</v>
      </c>
      <c r="C6" s="24">
        <v>113</v>
      </c>
      <c r="D6" s="24">
        <v>492</v>
      </c>
      <c r="E6" s="24">
        <v>496</v>
      </c>
      <c r="F6" s="24">
        <v>5</v>
      </c>
      <c r="H6" t="s">
        <v>335</v>
      </c>
      <c r="I6">
        <v>728</v>
      </c>
      <c r="J6">
        <v>729</v>
      </c>
      <c r="K6">
        <v>2</v>
      </c>
      <c r="L6" t="s">
        <v>336</v>
      </c>
      <c r="M6" t="s">
        <v>20</v>
      </c>
    </row>
    <row r="7" spans="1:13">
      <c r="A7" s="24" t="s">
        <v>337</v>
      </c>
      <c r="B7" s="24" t="s">
        <v>338</v>
      </c>
      <c r="C7" s="24">
        <v>6</v>
      </c>
      <c r="D7" s="24">
        <v>598</v>
      </c>
      <c r="E7" s="24">
        <v>602</v>
      </c>
      <c r="F7" s="24">
        <v>3</v>
      </c>
      <c r="H7" t="s">
        <v>339</v>
      </c>
      <c r="I7">
        <v>730</v>
      </c>
      <c r="J7">
        <v>732</v>
      </c>
      <c r="K7">
        <v>3</v>
      </c>
      <c r="L7" t="s">
        <v>340</v>
      </c>
      <c r="M7" t="s">
        <v>20</v>
      </c>
    </row>
    <row r="9" spans="1:13">
      <c r="D9" t="s">
        <v>341</v>
      </c>
    </row>
    <row r="10" spans="1:13">
      <c r="A10" s="31" t="s">
        <v>342</v>
      </c>
      <c r="B10" s="43" t="s">
        <v>343</v>
      </c>
      <c r="C10" t="s">
        <v>343</v>
      </c>
      <c r="D10" t="s">
        <v>344</v>
      </c>
      <c r="E10" t="s">
        <v>345</v>
      </c>
    </row>
    <row r="11" spans="1:13">
      <c r="A11" s="31" t="s">
        <v>346</v>
      </c>
      <c r="B11" t="s">
        <v>347</v>
      </c>
      <c r="C11" t="s">
        <v>348</v>
      </c>
      <c r="D11" t="s">
        <v>326</v>
      </c>
      <c r="E11" t="s">
        <v>349</v>
      </c>
    </row>
    <row r="12" spans="1:13">
      <c r="A12" s="31" t="s">
        <v>350</v>
      </c>
      <c r="B12" t="s">
        <v>351</v>
      </c>
      <c r="C12" t="s">
        <v>352</v>
      </c>
      <c r="D12" t="s">
        <v>353</v>
      </c>
      <c r="E12" s="50" t="s">
        <v>354</v>
      </c>
    </row>
    <row r="13" spans="1:13">
      <c r="A13" s="31" t="s">
        <v>355</v>
      </c>
      <c r="B13" t="s">
        <v>356</v>
      </c>
      <c r="C13" t="s">
        <v>335</v>
      </c>
      <c r="D13" t="s">
        <v>357</v>
      </c>
      <c r="E13" s="49" t="s">
        <v>358</v>
      </c>
    </row>
    <row r="14" spans="1:13">
      <c r="A14" s="29" t="s">
        <v>359</v>
      </c>
      <c r="B14" t="s">
        <v>331</v>
      </c>
      <c r="C14" t="s">
        <v>331</v>
      </c>
      <c r="D14" t="s">
        <v>360</v>
      </c>
      <c r="E14" s="35" t="s">
        <v>361</v>
      </c>
    </row>
    <row r="15" spans="1:13">
      <c r="A15" s="29" t="s">
        <v>362</v>
      </c>
      <c r="B15" t="s">
        <v>363</v>
      </c>
      <c r="C15" t="s">
        <v>364</v>
      </c>
      <c r="D15" t="s">
        <v>365</v>
      </c>
      <c r="E15" s="35" t="s">
        <v>366</v>
      </c>
    </row>
    <row r="16" spans="1:13">
      <c r="A16" s="32" t="s">
        <v>367</v>
      </c>
      <c r="B16" t="s">
        <v>368</v>
      </c>
      <c r="C16" t="s">
        <v>369</v>
      </c>
      <c r="D16" t="s">
        <v>370</v>
      </c>
      <c r="E16" s="45" t="s">
        <v>371</v>
      </c>
      <c r="F16" s="45" t="s">
        <v>372</v>
      </c>
      <c r="G16" s="45"/>
    </row>
    <row r="17" spans="1:8">
      <c r="A17" s="29" t="s">
        <v>373</v>
      </c>
      <c r="B17" t="s">
        <v>374</v>
      </c>
      <c r="C17" t="s">
        <v>374</v>
      </c>
      <c r="D17" t="s">
        <v>328</v>
      </c>
      <c r="E17" s="35" t="s">
        <v>375</v>
      </c>
    </row>
    <row r="18" spans="1:8">
      <c r="A18" s="29" t="s">
        <v>376</v>
      </c>
      <c r="B18" t="s">
        <v>377</v>
      </c>
      <c r="C18" t="s">
        <v>378</v>
      </c>
      <c r="D18" t="s">
        <v>379</v>
      </c>
      <c r="E18" s="35" t="s">
        <v>380</v>
      </c>
    </row>
    <row r="19" spans="1:8">
      <c r="A19" s="29" t="s">
        <v>381</v>
      </c>
      <c r="B19" t="s">
        <v>382</v>
      </c>
      <c r="C19" t="s">
        <v>383</v>
      </c>
      <c r="D19" t="s">
        <v>384</v>
      </c>
      <c r="E19" s="47" t="s">
        <v>385</v>
      </c>
    </row>
    <row r="20" spans="1:8">
      <c r="A20" s="29" t="s">
        <v>386</v>
      </c>
      <c r="B20" t="s">
        <v>387</v>
      </c>
      <c r="C20" t="s">
        <v>388</v>
      </c>
      <c r="D20" t="s">
        <v>389</v>
      </c>
      <c r="E20" s="47" t="s">
        <v>390</v>
      </c>
      <c r="H20" t="s">
        <v>391</v>
      </c>
    </row>
    <row r="21" spans="1:8">
      <c r="A21" s="29" t="s">
        <v>392</v>
      </c>
      <c r="B21" t="s">
        <v>393</v>
      </c>
      <c r="C21" t="s">
        <v>394</v>
      </c>
      <c r="D21" t="s">
        <v>395</v>
      </c>
      <c r="E21" s="47" t="s">
        <v>396</v>
      </c>
      <c r="G21">
        <v>6</v>
      </c>
    </row>
    <row r="22" spans="1:8">
      <c r="A22" s="29" t="s">
        <v>397</v>
      </c>
      <c r="B22" t="s">
        <v>398</v>
      </c>
      <c r="C22" t="s">
        <v>399</v>
      </c>
      <c r="D22" t="s">
        <v>400</v>
      </c>
      <c r="E22" s="47" t="s">
        <v>401</v>
      </c>
      <c r="G22">
        <v>10</v>
      </c>
    </row>
    <row r="23" spans="1:8">
      <c r="A23" s="32" t="s">
        <v>402</v>
      </c>
      <c r="B23" t="s">
        <v>403</v>
      </c>
      <c r="C23" t="s">
        <v>404</v>
      </c>
      <c r="D23" t="s">
        <v>405</v>
      </c>
      <c r="G23">
        <v>3</v>
      </c>
    </row>
    <row r="24" spans="1:8">
      <c r="A24" s="29" t="s">
        <v>406</v>
      </c>
      <c r="B24" t="s">
        <v>407</v>
      </c>
      <c r="C24" s="49" t="s">
        <v>408</v>
      </c>
      <c r="D24" t="s">
        <v>330</v>
      </c>
      <c r="E24" s="35" t="s">
        <v>409</v>
      </c>
      <c r="G24">
        <v>2</v>
      </c>
    </row>
    <row r="25" spans="1:8">
      <c r="A25" s="29" t="s">
        <v>410</v>
      </c>
      <c r="B25" t="s">
        <v>411</v>
      </c>
      <c r="C25" t="s">
        <v>412</v>
      </c>
      <c r="D25" t="s">
        <v>413</v>
      </c>
      <c r="E25" s="35" t="s">
        <v>414</v>
      </c>
      <c r="G25">
        <v>1</v>
      </c>
    </row>
    <row r="26" spans="1:8">
      <c r="A26" s="29" t="s">
        <v>415</v>
      </c>
      <c r="B26" s="48" t="s">
        <v>416</v>
      </c>
      <c r="C26" s="45" t="s">
        <v>417</v>
      </c>
      <c r="D26" t="s">
        <v>418</v>
      </c>
      <c r="E26" s="47" t="s">
        <v>419</v>
      </c>
      <c r="G26">
        <v>2</v>
      </c>
    </row>
    <row r="27" spans="1:8">
      <c r="A27" s="29" t="s">
        <v>420</v>
      </c>
      <c r="B27" t="s">
        <v>421</v>
      </c>
      <c r="C27" s="45" t="s">
        <v>422</v>
      </c>
      <c r="D27" t="s">
        <v>423</v>
      </c>
      <c r="E27" s="47" t="s">
        <v>424</v>
      </c>
      <c r="G27">
        <v>10</v>
      </c>
    </row>
    <row r="28" spans="1:8">
      <c r="A28" s="31" t="s">
        <v>425</v>
      </c>
      <c r="B28" t="s">
        <v>426</v>
      </c>
      <c r="C28" s="45" t="s">
        <v>427</v>
      </c>
      <c r="D28" t="s">
        <v>428</v>
      </c>
      <c r="E28" t="s">
        <v>429</v>
      </c>
      <c r="G28">
        <v>4</v>
      </c>
    </row>
    <row r="29" spans="1:8">
      <c r="A29" s="29" t="s">
        <v>430</v>
      </c>
      <c r="B29" t="s">
        <v>431</v>
      </c>
      <c r="C29" t="s">
        <v>432</v>
      </c>
      <c r="D29" t="s">
        <v>433</v>
      </c>
      <c r="E29" s="35" t="s">
        <v>434</v>
      </c>
      <c r="G29">
        <v>11</v>
      </c>
    </row>
    <row r="30" spans="1:8">
      <c r="A30" s="29" t="s">
        <v>435</v>
      </c>
      <c r="B30" t="s">
        <v>436</v>
      </c>
      <c r="C30" s="45" t="s">
        <v>437</v>
      </c>
      <c r="D30" t="s">
        <v>438</v>
      </c>
      <c r="E30" s="47" t="s">
        <v>439</v>
      </c>
      <c r="G30">
        <v>10</v>
      </c>
    </row>
    <row r="31" spans="1:8">
      <c r="A31" s="32" t="s">
        <v>440</v>
      </c>
      <c r="B31" t="s">
        <v>441</v>
      </c>
      <c r="C31" t="s">
        <v>442</v>
      </c>
      <c r="D31" t="s">
        <v>443</v>
      </c>
      <c r="E31" s="45" t="s">
        <v>444</v>
      </c>
      <c r="G31">
        <v>5</v>
      </c>
    </row>
    <row r="32" spans="1:8">
      <c r="A32" s="32" t="s">
        <v>445</v>
      </c>
      <c r="B32" s="44" t="s">
        <v>446</v>
      </c>
      <c r="C32" t="s">
        <v>447</v>
      </c>
      <c r="D32" t="s">
        <v>448</v>
      </c>
      <c r="E32" s="45" t="s">
        <v>449</v>
      </c>
      <c r="G32">
        <v>4</v>
      </c>
    </row>
    <row r="33" spans="1:7">
      <c r="A33" s="29" t="s">
        <v>450</v>
      </c>
      <c r="B33" t="s">
        <v>451</v>
      </c>
      <c r="C33" t="s">
        <v>452</v>
      </c>
      <c r="D33" t="s">
        <v>334</v>
      </c>
      <c r="E33" s="35" t="s">
        <v>453</v>
      </c>
      <c r="G33">
        <v>9</v>
      </c>
    </row>
    <row r="34" spans="1:7">
      <c r="A34" s="29" t="s">
        <v>454</v>
      </c>
      <c r="B34" t="s">
        <v>455</v>
      </c>
      <c r="C34" t="s">
        <v>456</v>
      </c>
      <c r="D34" t="s">
        <v>457</v>
      </c>
      <c r="E34" s="35" t="s">
        <v>458</v>
      </c>
      <c r="G34">
        <v>4</v>
      </c>
    </row>
    <row r="35" spans="1:7">
      <c r="A35" s="31" t="s">
        <v>459</v>
      </c>
      <c r="C35" s="45" t="s">
        <v>331</v>
      </c>
      <c r="D35" t="s">
        <v>460</v>
      </c>
      <c r="E35" t="s">
        <v>461</v>
      </c>
      <c r="G35">
        <v>5</v>
      </c>
    </row>
    <row r="36" spans="1:7">
      <c r="A36" s="31" t="s">
        <v>462</v>
      </c>
      <c r="C36" s="45" t="s">
        <v>335</v>
      </c>
      <c r="D36" t="s">
        <v>463</v>
      </c>
      <c r="E36" t="s">
        <v>464</v>
      </c>
      <c r="G36">
        <v>7</v>
      </c>
    </row>
    <row r="37" spans="1:7">
      <c r="A37" s="29" t="s">
        <v>465</v>
      </c>
      <c r="C37" s="45" t="s">
        <v>466</v>
      </c>
      <c r="D37" t="s">
        <v>467</v>
      </c>
      <c r="E37" s="35" t="s">
        <v>468</v>
      </c>
      <c r="G37">
        <v>6</v>
      </c>
    </row>
    <row r="38" spans="1:7">
      <c r="A38" s="31" t="s">
        <v>469</v>
      </c>
      <c r="C38" t="s">
        <v>374</v>
      </c>
      <c r="D38" t="s">
        <v>470</v>
      </c>
      <c r="E38" t="s">
        <v>471</v>
      </c>
      <c r="G38">
        <v>10</v>
      </c>
    </row>
    <row r="39" spans="1:7">
      <c r="A39" s="29" t="s">
        <v>472</v>
      </c>
      <c r="C39" t="s">
        <v>378</v>
      </c>
      <c r="D39" t="s">
        <v>338</v>
      </c>
      <c r="E39" s="35" t="s">
        <v>473</v>
      </c>
      <c r="G39">
        <v>17</v>
      </c>
    </row>
    <row r="40" spans="1:7">
      <c r="A40" s="29" t="s">
        <v>474</v>
      </c>
      <c r="C40" t="s">
        <v>383</v>
      </c>
      <c r="D40" t="s">
        <v>475</v>
      </c>
      <c r="E40" s="35" t="s">
        <v>476</v>
      </c>
      <c r="G40">
        <v>17</v>
      </c>
    </row>
    <row r="41" spans="1:7">
      <c r="A41" s="29" t="s">
        <v>477</v>
      </c>
      <c r="C41" t="s">
        <v>388</v>
      </c>
      <c r="D41" t="s">
        <v>477</v>
      </c>
      <c r="E41" s="47" t="s">
        <v>478</v>
      </c>
      <c r="G41">
        <v>10</v>
      </c>
    </row>
    <row r="42" spans="1:7">
      <c r="A42" s="29" t="s">
        <v>479</v>
      </c>
      <c r="C42" s="46" t="s">
        <v>480</v>
      </c>
      <c r="D42" t="s">
        <v>481</v>
      </c>
      <c r="E42" s="47" t="s">
        <v>482</v>
      </c>
      <c r="G42">
        <v>1</v>
      </c>
    </row>
    <row r="43" spans="1:7">
      <c r="A43" s="29" t="s">
        <v>483</v>
      </c>
      <c r="C43" s="46" t="s">
        <v>484</v>
      </c>
      <c r="D43" t="s">
        <v>485</v>
      </c>
      <c r="E43" s="35" t="s">
        <v>486</v>
      </c>
      <c r="G43">
        <v>4</v>
      </c>
    </row>
    <row r="44" spans="1:7">
      <c r="A44" s="29" t="s">
        <v>487</v>
      </c>
      <c r="C44" s="46" t="s">
        <v>488</v>
      </c>
      <c r="D44" t="s">
        <v>489</v>
      </c>
      <c r="E44" s="47" t="s">
        <v>490</v>
      </c>
      <c r="G44">
        <v>50</v>
      </c>
    </row>
    <row r="45" spans="1:7">
      <c r="A45" s="29" t="s">
        <v>491</v>
      </c>
      <c r="D45" t="s">
        <v>492</v>
      </c>
      <c r="E45" s="47" t="s">
        <v>493</v>
      </c>
      <c r="G45">
        <v>10</v>
      </c>
    </row>
    <row r="46" spans="1:7">
      <c r="A46" s="31"/>
      <c r="C46" t="s">
        <v>494</v>
      </c>
      <c r="D46" t="s">
        <v>495</v>
      </c>
      <c r="E46" s="50" t="s">
        <v>496</v>
      </c>
      <c r="G46">
        <v>1</v>
      </c>
    </row>
    <row r="47" spans="1:7">
      <c r="A47" s="31"/>
      <c r="C47" t="s">
        <v>497</v>
      </c>
      <c r="D47" t="s">
        <v>498</v>
      </c>
      <c r="E47" s="49" t="s">
        <v>499</v>
      </c>
      <c r="G47">
        <v>2</v>
      </c>
    </row>
    <row r="48" spans="1:7">
      <c r="A48" s="31"/>
      <c r="C48" t="s">
        <v>500</v>
      </c>
      <c r="D48" t="s">
        <v>501</v>
      </c>
      <c r="E48" t="s">
        <v>502</v>
      </c>
      <c r="G48">
        <v>3</v>
      </c>
    </row>
    <row r="49" spans="1:8">
      <c r="A49" s="31"/>
      <c r="C49" t="s">
        <v>503</v>
      </c>
      <c r="D49" t="s">
        <v>504</v>
      </c>
      <c r="E49" t="s">
        <v>505</v>
      </c>
      <c r="G49">
        <v>15</v>
      </c>
    </row>
    <row r="50" spans="1:8">
      <c r="A50" s="31" t="s">
        <v>506</v>
      </c>
      <c r="C50" t="s">
        <v>507</v>
      </c>
      <c r="D50" t="s">
        <v>508</v>
      </c>
      <c r="E50" s="45" t="s">
        <v>509</v>
      </c>
      <c r="G50">
        <v>10</v>
      </c>
    </row>
    <row r="51" spans="1:8">
      <c r="C51" t="s">
        <v>510</v>
      </c>
      <c r="E51" s="45" t="s">
        <v>511</v>
      </c>
      <c r="G51">
        <v>5</v>
      </c>
    </row>
    <row r="52" spans="1:8">
      <c r="C52" t="s">
        <v>512</v>
      </c>
      <c r="E52" s="45" t="s">
        <v>513</v>
      </c>
      <c r="G52">
        <v>4</v>
      </c>
    </row>
    <row r="53" spans="1:8">
      <c r="C53" t="s">
        <v>514</v>
      </c>
      <c r="E53" s="45" t="s">
        <v>515</v>
      </c>
      <c r="G53">
        <v>11</v>
      </c>
    </row>
    <row r="54" spans="1:8">
      <c r="C54" s="49" t="s">
        <v>516</v>
      </c>
      <c r="E54" s="45" t="s">
        <v>517</v>
      </c>
      <c r="G54">
        <v>2</v>
      </c>
      <c r="H54">
        <f>SUM(G21:G54)</f>
        <v>271</v>
      </c>
    </row>
    <row r="55" spans="1:8">
      <c r="C55" s="49" t="s">
        <v>518</v>
      </c>
      <c r="E55" s="45" t="s">
        <v>519</v>
      </c>
    </row>
    <row r="56" spans="1:8">
      <c r="C56" t="s">
        <v>520</v>
      </c>
      <c r="E56" s="45" t="s">
        <v>521</v>
      </c>
    </row>
    <row r="57" spans="1:8">
      <c r="C57" t="s">
        <v>522</v>
      </c>
    </row>
    <row r="58" spans="1:8">
      <c r="C58" t="s">
        <v>523</v>
      </c>
    </row>
    <row r="59" spans="1:8">
      <c r="C59" t="s">
        <v>524</v>
      </c>
    </row>
    <row r="61" spans="1:8">
      <c r="B61" t="s">
        <v>525</v>
      </c>
      <c r="C61" s="45" t="s">
        <v>526</v>
      </c>
    </row>
    <row r="62" spans="1:8">
      <c r="C62" s="45" t="s">
        <v>527</v>
      </c>
    </row>
    <row r="63" spans="1:8">
      <c r="C63" s="45" t="s">
        <v>75</v>
      </c>
    </row>
    <row r="64" spans="1:8">
      <c r="C64" s="45" t="s">
        <v>339</v>
      </c>
    </row>
    <row r="65" spans="2:3">
      <c r="C65" t="s">
        <v>528</v>
      </c>
    </row>
    <row r="66" spans="2:3">
      <c r="C66" t="s">
        <v>529</v>
      </c>
    </row>
    <row r="67" spans="2:3">
      <c r="C67" s="45" t="s">
        <v>530</v>
      </c>
    </row>
    <row r="68" spans="2:3">
      <c r="C68" t="s">
        <v>353</v>
      </c>
    </row>
    <row r="70" spans="2:3">
      <c r="B70" t="s">
        <v>531</v>
      </c>
      <c r="C70" s="50" t="s">
        <v>532</v>
      </c>
    </row>
    <row r="71" spans="2:3">
      <c r="C71" s="50" t="s">
        <v>353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533</v>
      </c>
      <c r="B1" s="40" t="s">
        <v>534</v>
      </c>
      <c r="C1" s="34" t="s">
        <v>535</v>
      </c>
      <c r="D1" s="34" t="s">
        <v>536</v>
      </c>
      <c r="E1" s="34" t="s">
        <v>537</v>
      </c>
      <c r="F1" s="34" t="s">
        <v>536</v>
      </c>
    </row>
    <row r="2" spans="1:7">
      <c r="A2" s="124" t="s">
        <v>538</v>
      </c>
      <c r="B2" s="39" t="s">
        <v>539</v>
      </c>
      <c r="C2" s="30"/>
      <c r="D2" s="41"/>
      <c r="E2" s="30" t="s">
        <v>540</v>
      </c>
      <c r="F2" s="41" t="s">
        <v>541</v>
      </c>
    </row>
    <row r="3" spans="1:7">
      <c r="A3" s="125"/>
      <c r="B3" s="40" t="s">
        <v>542</v>
      </c>
      <c r="C3" s="34" t="s">
        <v>543</v>
      </c>
      <c r="D3" s="34" t="s">
        <v>544</v>
      </c>
      <c r="E3" s="34" t="s">
        <v>545</v>
      </c>
      <c r="F3" s="34" t="s">
        <v>541</v>
      </c>
    </row>
    <row r="4" spans="1:7">
      <c r="A4" s="126"/>
      <c r="B4" s="24" t="s">
        <v>546</v>
      </c>
      <c r="C4" s="34" t="s">
        <v>547</v>
      </c>
      <c r="D4" s="34"/>
      <c r="E4" s="34" t="s">
        <v>548</v>
      </c>
      <c r="F4" s="34" t="s">
        <v>541</v>
      </c>
    </row>
    <row r="5" spans="1:7">
      <c r="A5" s="34" t="s">
        <v>549</v>
      </c>
      <c r="B5" s="28" t="s">
        <v>550</v>
      </c>
      <c r="C5" s="28" t="s">
        <v>551</v>
      </c>
      <c r="D5" s="34" t="s">
        <v>552</v>
      </c>
      <c r="E5" s="34"/>
      <c r="F5" s="34"/>
    </row>
    <row r="6" spans="1:7">
      <c r="A6" s="34"/>
      <c r="B6" s="34"/>
      <c r="C6" s="34"/>
      <c r="D6" s="34"/>
      <c r="E6" s="34"/>
      <c r="F6" s="34"/>
    </row>
    <row r="7" spans="1:7" ht="28.9">
      <c r="A7" s="34"/>
      <c r="B7" s="28"/>
      <c r="C7" s="28" t="s">
        <v>553</v>
      </c>
      <c r="D7" s="34"/>
      <c r="E7" s="34"/>
      <c r="F7" s="34"/>
      <c r="G7" s="34" t="s">
        <v>554</v>
      </c>
    </row>
    <row r="8" spans="1:7">
      <c r="A8" s="34"/>
      <c r="B8" s="34"/>
      <c r="C8" s="34"/>
      <c r="D8" s="34"/>
      <c r="E8" s="34"/>
      <c r="F8" s="34"/>
    </row>
    <row r="9" spans="1:7">
      <c r="A9" s="34" t="s">
        <v>555</v>
      </c>
      <c r="B9" s="34"/>
      <c r="C9" s="34" t="s">
        <v>556</v>
      </c>
      <c r="D9" s="34"/>
      <c r="E9" s="34"/>
      <c r="F9" s="34"/>
    </row>
    <row r="10" spans="1:7">
      <c r="A10" s="42"/>
      <c r="B10" s="42"/>
      <c r="C10" s="42"/>
      <c r="D10" s="42"/>
      <c r="E10" s="34"/>
      <c r="F10" s="34"/>
    </row>
    <row r="11" spans="1:7">
      <c r="A11" s="34" t="s">
        <v>557</v>
      </c>
      <c r="B11" s="34"/>
      <c r="C11" s="34" t="s">
        <v>558</v>
      </c>
      <c r="D11" s="34"/>
      <c r="E11" s="34"/>
      <c r="F11" s="34"/>
    </row>
    <row r="12" spans="1:7">
      <c r="A12" s="34" t="s">
        <v>557</v>
      </c>
      <c r="B12" s="34"/>
      <c r="C12" s="34" t="s">
        <v>559</v>
      </c>
      <c r="D12" s="34"/>
      <c r="E12" s="34"/>
      <c r="F12" s="34"/>
    </row>
    <row r="13" spans="1:7">
      <c r="A13" s="34" t="s">
        <v>557</v>
      </c>
      <c r="B13" s="34" t="s">
        <v>560</v>
      </c>
      <c r="C13" s="34" t="s">
        <v>561</v>
      </c>
      <c r="D13" s="34"/>
      <c r="E13" s="34" t="s">
        <v>562</v>
      </c>
      <c r="F13" s="34"/>
    </row>
    <row r="14" spans="1:7">
      <c r="A14" s="34" t="s">
        <v>557</v>
      </c>
      <c r="B14" s="34" t="s">
        <v>563</v>
      </c>
      <c r="C14" s="34" t="s">
        <v>564</v>
      </c>
      <c r="D14" s="34"/>
      <c r="E14" s="34" t="s">
        <v>565</v>
      </c>
      <c r="F14" s="34"/>
    </row>
    <row r="15" spans="1:7">
      <c r="A15" s="34"/>
      <c r="B15" s="34"/>
      <c r="C15" s="34"/>
      <c r="D15" s="34"/>
      <c r="E15" s="34"/>
      <c r="F15" s="34"/>
    </row>
    <row r="16" spans="1:7">
      <c r="A16" s="124" t="s">
        <v>566</v>
      </c>
      <c r="B16" s="124" t="s">
        <v>567</v>
      </c>
      <c r="C16" s="34" t="s">
        <v>568</v>
      </c>
      <c r="D16" s="34" t="s">
        <v>184</v>
      </c>
      <c r="E16" s="34" t="s">
        <v>569</v>
      </c>
      <c r="F16" s="34"/>
    </row>
    <row r="17" spans="1:6">
      <c r="A17" s="125"/>
      <c r="B17" s="125"/>
      <c r="C17" s="34" t="s">
        <v>570</v>
      </c>
      <c r="D17" s="34" t="s">
        <v>184</v>
      </c>
      <c r="E17" s="34" t="s">
        <v>571</v>
      </c>
      <c r="F17" s="34"/>
    </row>
    <row r="18" spans="1:6">
      <c r="A18" s="125"/>
      <c r="B18" s="125"/>
      <c r="C18" s="34" t="s">
        <v>572</v>
      </c>
      <c r="D18" s="34" t="s">
        <v>184</v>
      </c>
      <c r="E18" s="34" t="s">
        <v>573</v>
      </c>
      <c r="F18" s="34"/>
    </row>
    <row r="19" spans="1:6">
      <c r="A19" s="126"/>
      <c r="B19" s="126"/>
      <c r="C19" s="34" t="s">
        <v>574</v>
      </c>
      <c r="D19" s="34" t="s">
        <v>184</v>
      </c>
      <c r="E19" s="34" t="s">
        <v>575</v>
      </c>
      <c r="F19" s="34"/>
    </row>
    <row r="20" spans="1:6">
      <c r="A20" s="34"/>
      <c r="B20" s="34"/>
      <c r="C20" s="34"/>
      <c r="D20" s="34"/>
      <c r="E20" s="34"/>
      <c r="F20" s="34"/>
    </row>
    <row r="21" spans="1:6" ht="28.9">
      <c r="A21" s="34" t="s">
        <v>576</v>
      </c>
      <c r="B21" s="34" t="s">
        <v>577</v>
      </c>
      <c r="C21" s="34" t="s">
        <v>578</v>
      </c>
      <c r="D21" s="34" t="s">
        <v>579</v>
      </c>
      <c r="E21" s="34" t="s">
        <v>580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533</v>
      </c>
      <c r="B1" s="25" t="s">
        <v>534</v>
      </c>
      <c r="C1" s="23" t="s">
        <v>535</v>
      </c>
      <c r="D1" s="23" t="s">
        <v>536</v>
      </c>
      <c r="E1" s="23" t="s">
        <v>537</v>
      </c>
      <c r="F1" s="23" t="s">
        <v>536</v>
      </c>
    </row>
    <row r="2" spans="1:6">
      <c r="A2" s="127" t="s">
        <v>538</v>
      </c>
      <c r="B2" s="38" t="s">
        <v>539</v>
      </c>
      <c r="C2" s="28"/>
      <c r="D2" s="23"/>
      <c r="E2" s="28" t="s">
        <v>540</v>
      </c>
      <c r="F2" s="23" t="s">
        <v>541</v>
      </c>
    </row>
    <row r="3" spans="1:6">
      <c r="A3" s="128"/>
      <c r="B3" s="25" t="s">
        <v>542</v>
      </c>
      <c r="C3" s="23" t="s">
        <v>543</v>
      </c>
      <c r="D3" s="23" t="s">
        <v>544</v>
      </c>
      <c r="E3" s="23" t="s">
        <v>545</v>
      </c>
      <c r="F3" s="23" t="s">
        <v>541</v>
      </c>
    </row>
    <row r="4" spans="1:6">
      <c r="A4" s="129"/>
      <c r="B4" t="s">
        <v>546</v>
      </c>
      <c r="C4" s="34" t="s">
        <v>547</v>
      </c>
      <c r="D4" s="23"/>
      <c r="E4" s="34" t="s">
        <v>548</v>
      </c>
      <c r="F4" s="23" t="s">
        <v>541</v>
      </c>
    </row>
    <row r="5" spans="1:6">
      <c r="A5" s="23"/>
      <c r="B5" s="25"/>
      <c r="C5" s="23"/>
      <c r="D5" s="23"/>
      <c r="E5" s="23"/>
      <c r="F5" s="23"/>
    </row>
    <row r="6" spans="1:6">
      <c r="A6" s="130" t="s">
        <v>581</v>
      </c>
      <c r="B6" s="23"/>
      <c r="C6" s="23" t="s">
        <v>582</v>
      </c>
      <c r="D6" s="23"/>
      <c r="E6" s="23" t="s">
        <v>583</v>
      </c>
      <c r="F6" s="25"/>
    </row>
    <row r="7" spans="1:6">
      <c r="A7" s="130"/>
      <c r="B7" s="23"/>
      <c r="C7" s="23" t="s">
        <v>584</v>
      </c>
      <c r="D7" s="23"/>
      <c r="E7" s="23" t="s">
        <v>585</v>
      </c>
      <c r="F7" s="25"/>
    </row>
    <row r="8" spans="1:6">
      <c r="A8" s="130"/>
      <c r="B8" s="23"/>
      <c r="C8" s="23" t="s">
        <v>586</v>
      </c>
      <c r="D8" s="23"/>
      <c r="E8" s="23" t="s">
        <v>587</v>
      </c>
    </row>
    <row r="9" spans="1:6">
      <c r="A9" s="130"/>
      <c r="B9" s="23"/>
      <c r="C9" s="23" t="s">
        <v>588</v>
      </c>
      <c r="D9" s="23"/>
      <c r="E9" s="23" t="s">
        <v>589</v>
      </c>
    </row>
    <row r="10" spans="1:6">
      <c r="A10" s="130"/>
      <c r="B10" s="23"/>
      <c r="C10" s="23" t="s">
        <v>590</v>
      </c>
      <c r="D10" s="23"/>
      <c r="E10" s="23" t="s">
        <v>591</v>
      </c>
    </row>
    <row r="11" spans="1:6">
      <c r="A11" s="130"/>
      <c r="B11" s="23"/>
      <c r="C11" s="23" t="s">
        <v>592</v>
      </c>
      <c r="D11" s="23"/>
      <c r="E11" s="23" t="s">
        <v>593</v>
      </c>
    </row>
    <row r="12" spans="1:6">
      <c r="A12" s="130"/>
      <c r="B12" s="23"/>
      <c r="C12" s="23" t="s">
        <v>594</v>
      </c>
      <c r="D12" s="23"/>
      <c r="E12" s="23" t="s">
        <v>595</v>
      </c>
    </row>
    <row r="13" spans="1:6">
      <c r="A13" s="130"/>
      <c r="B13" s="23"/>
      <c r="C13" s="23" t="s">
        <v>596</v>
      </c>
      <c r="D13" s="23"/>
      <c r="E13" s="23" t="s">
        <v>597</v>
      </c>
    </row>
    <row r="14" spans="1:6">
      <c r="A14" s="130"/>
      <c r="B14" s="23"/>
      <c r="C14" s="23" t="s">
        <v>598</v>
      </c>
      <c r="D14" s="23"/>
      <c r="E14" s="23" t="s">
        <v>599</v>
      </c>
    </row>
    <row r="15" spans="1:6">
      <c r="A15" s="130"/>
      <c r="B15" s="23"/>
      <c r="C15" s="23" t="s">
        <v>600</v>
      </c>
      <c r="D15" s="23"/>
      <c r="E15" s="23" t="s">
        <v>601</v>
      </c>
    </row>
    <row r="16" spans="1:6">
      <c r="A16" s="130"/>
      <c r="B16" s="23"/>
      <c r="C16" s="23" t="s">
        <v>602</v>
      </c>
      <c r="D16" s="23"/>
      <c r="E16" s="23" t="s">
        <v>603</v>
      </c>
    </row>
    <row r="17" spans="1:5">
      <c r="A17" s="130"/>
      <c r="B17" s="23"/>
      <c r="C17" s="23" t="s">
        <v>604</v>
      </c>
      <c r="D17" s="23"/>
      <c r="E17" s="23" t="s">
        <v>605</v>
      </c>
    </row>
    <row r="18" spans="1:5">
      <c r="A18" s="130"/>
      <c r="B18" s="23"/>
      <c r="C18" s="23" t="s">
        <v>606</v>
      </c>
      <c r="D18" s="23"/>
      <c r="E18" s="23" t="s">
        <v>607</v>
      </c>
    </row>
    <row r="19" spans="1:5">
      <c r="A19" s="130"/>
      <c r="B19" s="23"/>
      <c r="C19" s="23" t="s">
        <v>608</v>
      </c>
      <c r="D19" s="23"/>
      <c r="E19" s="23" t="s">
        <v>609</v>
      </c>
    </row>
    <row r="20" spans="1:5">
      <c r="A20" s="127" t="s">
        <v>610</v>
      </c>
      <c r="B20" s="23"/>
      <c r="C20" s="23" t="s">
        <v>611</v>
      </c>
      <c r="D20" s="23"/>
      <c r="E20" s="23" t="s">
        <v>612</v>
      </c>
    </row>
    <row r="21" spans="1:5">
      <c r="A21" s="128"/>
      <c r="B21" s="23"/>
      <c r="C21" s="23" t="s">
        <v>613</v>
      </c>
      <c r="D21" s="23"/>
      <c r="E21" s="23" t="s">
        <v>614</v>
      </c>
    </row>
    <row r="22" spans="1:5">
      <c r="A22" s="128"/>
      <c r="B22" s="23"/>
      <c r="C22" s="23" t="s">
        <v>615</v>
      </c>
      <c r="D22" s="23"/>
      <c r="E22" s="23" t="s">
        <v>616</v>
      </c>
    </row>
    <row r="23" spans="1:5">
      <c r="A23" s="128"/>
      <c r="B23" s="23"/>
      <c r="C23" s="23" t="s">
        <v>617</v>
      </c>
      <c r="D23" s="23"/>
      <c r="E23" s="23" t="s">
        <v>618</v>
      </c>
    </row>
    <row r="24" spans="1:5">
      <c r="A24" s="128"/>
      <c r="B24" s="23"/>
      <c r="C24" s="23" t="s">
        <v>619</v>
      </c>
      <c r="D24" s="23"/>
      <c r="E24" s="23" t="s">
        <v>620</v>
      </c>
    </row>
    <row r="25" spans="1:5">
      <c r="A25" s="128"/>
      <c r="B25" s="23"/>
      <c r="C25" s="23" t="s">
        <v>621</v>
      </c>
      <c r="D25" s="23"/>
      <c r="E25" s="23" t="s">
        <v>622</v>
      </c>
    </row>
    <row r="26" spans="1:5">
      <c r="A26" s="128"/>
      <c r="B26" s="23"/>
      <c r="C26" s="23" t="s">
        <v>623</v>
      </c>
      <c r="D26" s="23"/>
      <c r="E26" s="23" t="s">
        <v>624</v>
      </c>
    </row>
    <row r="27" spans="1:5">
      <c r="A27" s="128"/>
      <c r="B27" s="23"/>
      <c r="C27" s="23" t="s">
        <v>625</v>
      </c>
      <c r="D27" s="23"/>
      <c r="E27" s="23" t="s">
        <v>626</v>
      </c>
    </row>
    <row r="28" spans="1:5">
      <c r="A28" s="128"/>
      <c r="B28" s="23"/>
      <c r="C28" s="23" t="s">
        <v>627</v>
      </c>
      <c r="D28" s="23"/>
      <c r="E28" s="23" t="s">
        <v>628</v>
      </c>
    </row>
    <row r="29" spans="1:5">
      <c r="A29" s="128"/>
      <c r="B29" s="23"/>
      <c r="C29" s="23" t="s">
        <v>629</v>
      </c>
      <c r="D29" s="23"/>
      <c r="E29" s="23" t="s">
        <v>630</v>
      </c>
    </row>
    <row r="30" spans="1:5">
      <c r="A30" s="129"/>
      <c r="B30" s="23"/>
      <c r="C30" s="23" t="s">
        <v>631</v>
      </c>
      <c r="D30" s="23"/>
      <c r="E30" s="23" t="s">
        <v>632</v>
      </c>
    </row>
    <row r="31" spans="1:5">
      <c r="A31" s="23"/>
      <c r="B31" s="23"/>
      <c r="C31" s="23" t="s">
        <v>633</v>
      </c>
      <c r="D31" s="23"/>
      <c r="E31" s="23" t="s">
        <v>634</v>
      </c>
    </row>
    <row r="32" spans="1:5">
      <c r="A32" s="23"/>
      <c r="B32" s="23"/>
      <c r="C32" s="23" t="s">
        <v>635</v>
      </c>
      <c r="D32" s="23"/>
      <c r="E32" s="23" t="s">
        <v>636</v>
      </c>
    </row>
    <row r="33" spans="1:5">
      <c r="A33" s="23"/>
      <c r="B33" s="23"/>
      <c r="C33" s="23" t="s">
        <v>637</v>
      </c>
      <c r="D33" s="23"/>
      <c r="E33" s="23" t="s">
        <v>638</v>
      </c>
    </row>
    <row r="34" spans="1:5">
      <c r="A34" s="23"/>
      <c r="B34" s="23"/>
      <c r="C34" s="23" t="s">
        <v>639</v>
      </c>
      <c r="D34" s="23"/>
      <c r="E34" s="23" t="s">
        <v>640</v>
      </c>
    </row>
    <row r="35" spans="1:5">
      <c r="A35" s="23"/>
      <c r="B35" s="23"/>
      <c r="C35" s="23" t="s">
        <v>641</v>
      </c>
      <c r="D35" s="23"/>
      <c r="E35" s="23" t="s">
        <v>642</v>
      </c>
    </row>
    <row r="36" spans="1:5">
      <c r="A36" s="23"/>
      <c r="B36" s="23"/>
      <c r="C36" s="23" t="s">
        <v>643</v>
      </c>
      <c r="D36" s="23"/>
      <c r="E36" s="23" t="s">
        <v>644</v>
      </c>
    </row>
    <row r="37" spans="1:5">
      <c r="A37" s="23"/>
      <c r="B37" s="23"/>
      <c r="C37" s="23" t="s">
        <v>645</v>
      </c>
      <c r="D37" s="23"/>
      <c r="E37" s="23" t="s">
        <v>646</v>
      </c>
    </row>
    <row r="38" spans="1:5">
      <c r="A38" s="23"/>
      <c r="B38" s="23"/>
      <c r="C38" s="23" t="s">
        <v>647</v>
      </c>
      <c r="D38" s="23"/>
      <c r="E38" s="23" t="s">
        <v>648</v>
      </c>
    </row>
    <row r="39" spans="1:5">
      <c r="A39" s="23"/>
      <c r="B39" s="23"/>
      <c r="C39" s="23" t="s">
        <v>649</v>
      </c>
      <c r="D39" s="23"/>
      <c r="E39" s="23" t="s">
        <v>650</v>
      </c>
    </row>
    <row r="40" spans="1:5">
      <c r="A40" s="23"/>
      <c r="B40" s="23"/>
      <c r="C40" s="23"/>
      <c r="D40" s="23"/>
      <c r="E40" s="23"/>
    </row>
    <row r="41" spans="1:5">
      <c r="A41" s="23"/>
      <c r="B41" s="28"/>
      <c r="C41" s="28" t="s">
        <v>553</v>
      </c>
      <c r="D41" s="23"/>
      <c r="E41" s="23" t="s">
        <v>554</v>
      </c>
    </row>
    <row r="42" spans="1:5">
      <c r="A42" s="23"/>
      <c r="B42" s="23"/>
      <c r="C42" s="23"/>
      <c r="D42" s="23"/>
      <c r="E42" s="23"/>
    </row>
    <row r="43" spans="1:5">
      <c r="A43" s="23" t="s">
        <v>651</v>
      </c>
      <c r="B43" s="23"/>
      <c r="C43" s="23" t="s">
        <v>652</v>
      </c>
      <c r="D43" s="23"/>
      <c r="E43" s="23"/>
    </row>
    <row r="44" spans="1:5">
      <c r="A44" s="23"/>
      <c r="B44" s="23"/>
      <c r="C44" s="23"/>
      <c r="D44" s="23"/>
      <c r="E44" s="23"/>
    </row>
    <row r="45" spans="1:5">
      <c r="A45" s="23" t="s">
        <v>555</v>
      </c>
      <c r="B45" s="23"/>
      <c r="C45" s="23" t="s">
        <v>556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181"/>
  <sheetViews>
    <sheetView showGridLines="0" tabSelected="1" zoomScale="70" zoomScaleNormal="70" workbookViewId="0">
      <selection activeCell="G1" sqref="G1:M1048576"/>
    </sheetView>
  </sheetViews>
  <sheetFormatPr defaultColWidth="8.5703125" defaultRowHeight="15"/>
  <cols>
    <col min="1" max="1" width="3.140625" customWidth="1"/>
    <col min="2" max="2" width="43.28515625" style="53" customWidth="1"/>
    <col min="3" max="3" width="31" style="33" bestFit="1" customWidth="1"/>
    <col min="4" max="4" width="40.7109375" style="33" bestFit="1" customWidth="1"/>
    <col min="5" max="5" width="14.85546875" style="51" bestFit="1" customWidth="1"/>
    <col min="6" max="6" width="35.28515625" style="51" bestFit="1" customWidth="1"/>
    <col min="7" max="7" width="35.28515625" style="54" customWidth="1"/>
    <col min="8" max="8" width="26" style="51" customWidth="1"/>
    <col min="9" max="9" width="9.28515625" style="54" customWidth="1"/>
    <col min="10" max="10" width="11.85546875" style="54" customWidth="1"/>
    <col min="11" max="11" width="20.5703125" style="53" customWidth="1"/>
    <col min="12" max="12" width="16.140625" style="53" customWidth="1"/>
    <col min="13" max="13" width="57.85546875" style="53" customWidth="1"/>
    <col min="14" max="14" width="23.85546875" style="54" customWidth="1"/>
    <col min="15" max="15" width="17.140625" style="51" bestFit="1" customWidth="1"/>
    <col min="16" max="16" width="49.140625" style="54" customWidth="1"/>
    <col min="17" max="17" width="20" style="54" customWidth="1"/>
    <col min="18" max="18" width="45.140625" style="54" customWidth="1"/>
    <col min="19" max="19" width="36" style="33" customWidth="1"/>
    <col min="20" max="20" width="28.42578125" style="33" customWidth="1"/>
    <col min="21" max="21" width="30" style="33" customWidth="1"/>
    <col min="22" max="22" width="26.42578125" style="52" customWidth="1"/>
    <col min="23" max="23" width="28.85546875" style="52" customWidth="1"/>
    <col min="24" max="24" width="35.85546875" style="52" customWidth="1"/>
    <col min="25" max="25" width="49" style="52" customWidth="1"/>
    <col min="26" max="26" width="49.28515625" style="33" customWidth="1"/>
    <col min="27" max="27" width="36.5703125" customWidth="1"/>
  </cols>
  <sheetData>
    <row r="1" spans="1:27" s="33" customFormat="1">
      <c r="A1" s="27"/>
      <c r="B1" s="53"/>
      <c r="E1" s="51"/>
      <c r="F1" s="51"/>
      <c r="G1" s="54"/>
      <c r="H1" s="51"/>
      <c r="I1" s="54"/>
      <c r="J1" s="54"/>
      <c r="K1" s="53"/>
      <c r="L1" s="53"/>
      <c r="M1" s="53"/>
      <c r="N1" s="54"/>
      <c r="O1" s="51"/>
      <c r="P1" s="54"/>
      <c r="Q1" s="54"/>
      <c r="R1" s="54"/>
      <c r="V1" s="52"/>
      <c r="W1" s="52"/>
      <c r="X1" s="52"/>
      <c r="Y1" s="52"/>
    </row>
    <row r="2" spans="1:27" s="33" customFormat="1">
      <c r="A2" s="27"/>
      <c r="B2" s="53"/>
      <c r="E2" s="51"/>
      <c r="F2" s="51"/>
      <c r="G2" s="54"/>
      <c r="H2" s="51"/>
      <c r="I2" s="54"/>
      <c r="J2" s="54"/>
      <c r="K2" s="53"/>
      <c r="L2" s="53"/>
      <c r="M2" s="53"/>
      <c r="N2" s="54"/>
      <c r="O2" s="51"/>
      <c r="P2" s="54"/>
      <c r="Q2" s="54"/>
      <c r="R2" s="54"/>
      <c r="V2" s="52"/>
      <c r="W2" s="52"/>
      <c r="X2" s="52"/>
      <c r="Y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row>
    <row r="4" spans="1:27" s="33" customFormat="1">
      <c r="A4" s="27"/>
      <c r="B4" s="53"/>
      <c r="E4" s="51"/>
      <c r="F4" s="51"/>
      <c r="G4" s="54"/>
      <c r="H4" s="51"/>
      <c r="I4" s="54"/>
      <c r="J4" s="54"/>
      <c r="K4" s="53"/>
      <c r="L4" s="53"/>
      <c r="M4" s="53"/>
      <c r="N4" s="54"/>
      <c r="O4" s="51"/>
      <c r="P4" s="54"/>
      <c r="Q4" s="54"/>
      <c r="R4" s="54"/>
      <c r="V4" s="52"/>
      <c r="W4" s="52"/>
      <c r="X4" s="52"/>
      <c r="Y4" s="52"/>
    </row>
    <row r="5" spans="1:27" s="51" customFormat="1" ht="21" customHeight="1">
      <c r="B5" s="137" t="s">
        <v>653</v>
      </c>
      <c r="C5" s="138"/>
      <c r="D5" s="138"/>
      <c r="E5" s="138"/>
      <c r="F5" s="138"/>
      <c r="G5" s="138"/>
      <c r="H5" s="138"/>
      <c r="I5" s="138"/>
      <c r="J5" s="138"/>
      <c r="K5" s="138"/>
      <c r="L5" s="138"/>
      <c r="M5" s="138"/>
      <c r="N5" s="138"/>
      <c r="O5" s="138"/>
      <c r="P5" s="139"/>
      <c r="Q5" s="140" t="s">
        <v>654</v>
      </c>
      <c r="R5" s="141"/>
      <c r="S5" s="142" t="s">
        <v>655</v>
      </c>
      <c r="T5" s="143"/>
      <c r="U5" s="143"/>
      <c r="V5" s="143"/>
      <c r="W5" s="144"/>
      <c r="X5" s="131" t="s">
        <v>656</v>
      </c>
      <c r="Y5" s="132"/>
      <c r="Z5" s="132"/>
      <c r="AA5" s="133"/>
    </row>
    <row r="6" spans="1:27" s="33" customFormat="1">
      <c r="A6" s="27"/>
      <c r="B6" s="137" t="s">
        <v>657</v>
      </c>
      <c r="C6" s="138"/>
      <c r="D6" s="138"/>
      <c r="E6" s="138"/>
      <c r="F6" s="138"/>
      <c r="G6" s="138"/>
      <c r="H6" s="138"/>
      <c r="I6" s="138"/>
      <c r="J6" s="138"/>
      <c r="K6" s="138"/>
      <c r="L6" s="138"/>
      <c r="M6" s="138"/>
      <c r="N6" s="138"/>
      <c r="O6" s="138"/>
      <c r="P6" s="139"/>
      <c r="Q6" s="140" t="s">
        <v>658</v>
      </c>
      <c r="R6" s="141"/>
      <c r="S6" s="145" t="s">
        <v>659</v>
      </c>
      <c r="T6" s="146"/>
      <c r="U6" s="146"/>
      <c r="V6" s="147"/>
      <c r="W6" s="77" t="s">
        <v>660</v>
      </c>
      <c r="X6" s="134" t="s">
        <v>661</v>
      </c>
      <c r="Y6" s="135"/>
      <c r="Z6" s="135"/>
      <c r="AA6" s="136"/>
    </row>
    <row r="7" spans="1:27" s="53" customFormat="1" ht="39.75" customHeight="1">
      <c r="B7" s="55" t="s">
        <v>662</v>
      </c>
      <c r="C7" s="55" t="s">
        <v>663</v>
      </c>
      <c r="D7" s="55" t="s">
        <v>664</v>
      </c>
      <c r="E7" s="55" t="s">
        <v>665</v>
      </c>
      <c r="F7" s="74" t="s">
        <v>666</v>
      </c>
      <c r="G7" s="74" t="s">
        <v>667</v>
      </c>
      <c r="H7" s="55" t="s">
        <v>668</v>
      </c>
      <c r="I7" s="55" t="s">
        <v>669</v>
      </c>
      <c r="J7" s="75" t="s">
        <v>670</v>
      </c>
      <c r="K7" s="55" t="s">
        <v>671</v>
      </c>
      <c r="L7" s="55" t="s">
        <v>672</v>
      </c>
      <c r="M7" s="55" t="s">
        <v>673</v>
      </c>
      <c r="N7" s="55" t="s">
        <v>674</v>
      </c>
      <c r="O7" s="55" t="s">
        <v>675</v>
      </c>
      <c r="P7" s="55" t="s">
        <v>676</v>
      </c>
      <c r="Q7" s="55" t="s">
        <v>677</v>
      </c>
      <c r="R7" s="55" t="s">
        <v>678</v>
      </c>
      <c r="S7" s="76" t="s">
        <v>679</v>
      </c>
      <c r="T7" s="76" t="s">
        <v>680</v>
      </c>
      <c r="U7" s="76" t="s">
        <v>681</v>
      </c>
      <c r="V7" s="76" t="s">
        <v>682</v>
      </c>
      <c r="W7" s="76" t="s">
        <v>683</v>
      </c>
      <c r="X7" s="76" t="s">
        <v>684</v>
      </c>
      <c r="Y7" s="76" t="s">
        <v>685</v>
      </c>
      <c r="Z7" s="76" t="s">
        <v>686</v>
      </c>
      <c r="AA7" s="79" t="s">
        <v>687</v>
      </c>
    </row>
    <row r="8" spans="1:27" s="33" customFormat="1" ht="39.75" customHeight="1">
      <c r="A8" s="27"/>
      <c r="B8" s="148" t="s">
        <v>688</v>
      </c>
      <c r="C8" s="149" t="s">
        <v>689</v>
      </c>
      <c r="D8" s="149" t="s">
        <v>690</v>
      </c>
      <c r="E8" s="150">
        <v>1</v>
      </c>
      <c r="F8" s="149" t="s">
        <v>691</v>
      </c>
      <c r="G8" s="149" t="s">
        <v>692</v>
      </c>
      <c r="H8" s="66" t="s">
        <v>693</v>
      </c>
      <c r="I8" s="150">
        <v>1</v>
      </c>
      <c r="J8" s="149" t="s">
        <v>694</v>
      </c>
      <c r="K8" s="150">
        <v>4</v>
      </c>
      <c r="L8" s="150"/>
      <c r="M8" s="151" t="s">
        <v>695</v>
      </c>
      <c r="N8" s="149"/>
      <c r="O8" s="150" t="s">
        <v>696</v>
      </c>
      <c r="P8" s="151" t="s">
        <v>697</v>
      </c>
      <c r="Q8" s="149"/>
      <c r="R8" s="149"/>
      <c r="S8" s="70"/>
      <c r="T8" s="70"/>
      <c r="U8" s="70"/>
      <c r="V8" s="70"/>
      <c r="W8" s="70"/>
      <c r="X8" s="70" t="s">
        <v>698</v>
      </c>
      <c r="Y8" s="70" t="s">
        <v>699</v>
      </c>
      <c r="Z8" s="86" t="s">
        <v>700</v>
      </c>
      <c r="AA8" s="80" t="s">
        <v>701</v>
      </c>
    </row>
    <row r="9" spans="1:27" s="33" customFormat="1" ht="39.75" customHeight="1">
      <c r="A9" s="27"/>
      <c r="B9" s="148" t="s">
        <v>688</v>
      </c>
      <c r="C9" s="149" t="s">
        <v>689</v>
      </c>
      <c r="D9" s="149" t="s">
        <v>690</v>
      </c>
      <c r="E9" s="150">
        <v>1</v>
      </c>
      <c r="F9" s="66" t="s">
        <v>702</v>
      </c>
      <c r="G9" s="66" t="s">
        <v>703</v>
      </c>
      <c r="H9" s="66" t="s">
        <v>704</v>
      </c>
      <c r="I9" s="67">
        <v>2</v>
      </c>
      <c r="J9" s="69" t="s">
        <v>694</v>
      </c>
      <c r="K9" s="67">
        <v>6</v>
      </c>
      <c r="L9" s="67"/>
      <c r="M9" s="68" t="s">
        <v>705</v>
      </c>
      <c r="N9" s="149"/>
      <c r="O9" s="150"/>
      <c r="P9" s="151" t="s">
        <v>706</v>
      </c>
      <c r="Q9" s="149"/>
      <c r="R9" s="149"/>
      <c r="S9" s="70"/>
      <c r="T9" s="70"/>
      <c r="U9" s="70"/>
      <c r="V9" s="70"/>
      <c r="W9" s="70"/>
      <c r="X9" s="70" t="s">
        <v>698</v>
      </c>
      <c r="Y9" s="66" t="s">
        <v>707</v>
      </c>
      <c r="Z9" s="66" t="s">
        <v>708</v>
      </c>
      <c r="AA9" s="80" t="s">
        <v>701</v>
      </c>
    </row>
    <row r="10" spans="1:27" s="33" customFormat="1" ht="39.75" customHeight="1">
      <c r="A10" s="27"/>
      <c r="B10" s="148" t="s">
        <v>688</v>
      </c>
      <c r="C10" s="149" t="s">
        <v>689</v>
      </c>
      <c r="D10" s="149" t="s">
        <v>690</v>
      </c>
      <c r="E10" s="150">
        <v>1</v>
      </c>
      <c r="F10" s="148" t="s">
        <v>709</v>
      </c>
      <c r="G10" s="148" t="s">
        <v>710</v>
      </c>
      <c r="H10" s="66" t="s">
        <v>704</v>
      </c>
      <c r="I10" s="67">
        <v>3</v>
      </c>
      <c r="J10" s="69" t="s">
        <v>694</v>
      </c>
      <c r="K10" s="67">
        <v>6</v>
      </c>
      <c r="L10" s="67"/>
      <c r="M10" s="68" t="s">
        <v>711</v>
      </c>
      <c r="N10" s="149"/>
      <c r="O10" s="150"/>
      <c r="P10" s="151" t="s">
        <v>706</v>
      </c>
      <c r="Q10" s="149"/>
      <c r="R10" s="149"/>
      <c r="S10" s="70"/>
      <c r="T10" s="70"/>
      <c r="U10" s="70"/>
      <c r="V10" s="70"/>
      <c r="W10" s="70"/>
      <c r="X10" s="70" t="s">
        <v>698</v>
      </c>
      <c r="Y10" s="66" t="s">
        <v>707</v>
      </c>
      <c r="Z10" s="66" t="s">
        <v>712</v>
      </c>
      <c r="AA10" s="80" t="s">
        <v>701</v>
      </c>
    </row>
    <row r="11" spans="1:27" s="33" customFormat="1" ht="39.75" customHeight="1">
      <c r="A11" s="27"/>
      <c r="B11" s="148" t="s">
        <v>688</v>
      </c>
      <c r="C11" s="149" t="s">
        <v>689</v>
      </c>
      <c r="D11" s="149" t="s">
        <v>690</v>
      </c>
      <c r="E11" s="150">
        <v>1</v>
      </c>
      <c r="F11" s="148" t="s">
        <v>713</v>
      </c>
      <c r="G11" s="148" t="s">
        <v>714</v>
      </c>
      <c r="H11" s="66" t="s">
        <v>704</v>
      </c>
      <c r="I11" s="67">
        <v>4</v>
      </c>
      <c r="J11" s="69" t="s">
        <v>694</v>
      </c>
      <c r="K11" s="67">
        <v>6</v>
      </c>
      <c r="L11" s="67"/>
      <c r="M11" s="68" t="s">
        <v>715</v>
      </c>
      <c r="N11" s="149"/>
      <c r="O11" s="150"/>
      <c r="P11" s="151" t="s">
        <v>706</v>
      </c>
      <c r="Q11" s="149"/>
      <c r="R11" s="149"/>
      <c r="S11" s="70"/>
      <c r="T11" s="70"/>
      <c r="U11" s="70"/>
      <c r="V11" s="70"/>
      <c r="W11" s="70"/>
      <c r="X11" s="70" t="s">
        <v>698</v>
      </c>
      <c r="Y11" s="66" t="s">
        <v>707</v>
      </c>
      <c r="Z11" s="66" t="s">
        <v>716</v>
      </c>
      <c r="AA11" s="80" t="s">
        <v>701</v>
      </c>
    </row>
    <row r="12" spans="1:27" s="33" customFormat="1" ht="39.75" customHeight="1">
      <c r="A12" s="27"/>
      <c r="B12" s="148" t="s">
        <v>688</v>
      </c>
      <c r="C12" s="149" t="s">
        <v>689</v>
      </c>
      <c r="D12" s="149" t="s">
        <v>690</v>
      </c>
      <c r="E12" s="150">
        <v>1</v>
      </c>
      <c r="F12" s="66" t="s">
        <v>717</v>
      </c>
      <c r="G12" s="66" t="s">
        <v>718</v>
      </c>
      <c r="H12" s="66" t="s">
        <v>719</v>
      </c>
      <c r="I12" s="67">
        <v>5</v>
      </c>
      <c r="J12" s="69" t="s">
        <v>694</v>
      </c>
      <c r="K12" s="67">
        <v>7</v>
      </c>
      <c r="L12" s="67"/>
      <c r="M12" s="68" t="s">
        <v>720</v>
      </c>
      <c r="N12" s="66"/>
      <c r="O12" s="67" t="s">
        <v>721</v>
      </c>
      <c r="P12" s="68" t="s">
        <v>722</v>
      </c>
      <c r="Q12" s="149"/>
      <c r="R12" s="149"/>
      <c r="S12" s="70"/>
      <c r="T12" s="70"/>
      <c r="U12" s="70"/>
      <c r="V12" s="70"/>
      <c r="W12" s="70"/>
      <c r="X12" s="70" t="s">
        <v>698</v>
      </c>
      <c r="Y12" s="66" t="s">
        <v>707</v>
      </c>
      <c r="Z12" s="70" t="s">
        <v>723</v>
      </c>
      <c r="AA12" s="80" t="s">
        <v>701</v>
      </c>
    </row>
    <row r="13" spans="1:27" s="33" customFormat="1" ht="39.75" customHeight="1">
      <c r="A13" s="27"/>
      <c r="B13" s="148" t="s">
        <v>688</v>
      </c>
      <c r="C13" s="149" t="s">
        <v>689</v>
      </c>
      <c r="D13" s="149" t="s">
        <v>690</v>
      </c>
      <c r="E13" s="150">
        <v>1</v>
      </c>
      <c r="F13" s="66" t="s">
        <v>724</v>
      </c>
      <c r="G13" s="66" t="s">
        <v>725</v>
      </c>
      <c r="H13" s="66" t="s">
        <v>726</v>
      </c>
      <c r="I13" s="67">
        <v>6</v>
      </c>
      <c r="J13" s="69" t="s">
        <v>694</v>
      </c>
      <c r="K13" s="67">
        <v>4</v>
      </c>
      <c r="L13" s="67"/>
      <c r="M13" s="68" t="s">
        <v>727</v>
      </c>
      <c r="N13" s="66"/>
      <c r="O13" s="67" t="s">
        <v>721</v>
      </c>
      <c r="P13" s="68" t="s">
        <v>728</v>
      </c>
      <c r="Q13" s="149"/>
      <c r="R13" s="149"/>
      <c r="S13" s="70"/>
      <c r="T13" s="70"/>
      <c r="U13" s="70"/>
      <c r="V13" s="70"/>
      <c r="W13" s="70"/>
      <c r="X13" s="70" t="s">
        <v>698</v>
      </c>
      <c r="Y13" s="66" t="s">
        <v>707</v>
      </c>
      <c r="Z13" s="70" t="s">
        <v>729</v>
      </c>
      <c r="AA13" s="80" t="s">
        <v>701</v>
      </c>
    </row>
    <row r="14" spans="1:27" s="33" customFormat="1" ht="39.75" customHeight="1">
      <c r="A14" s="27"/>
      <c r="B14" s="148" t="s">
        <v>688</v>
      </c>
      <c r="C14" s="149" t="s">
        <v>689</v>
      </c>
      <c r="D14" s="149" t="s">
        <v>690</v>
      </c>
      <c r="E14" s="150">
        <v>1</v>
      </c>
      <c r="F14" s="66" t="s">
        <v>730</v>
      </c>
      <c r="G14" s="66" t="s">
        <v>731</v>
      </c>
      <c r="H14" s="66" t="s">
        <v>719</v>
      </c>
      <c r="I14" s="67">
        <v>7</v>
      </c>
      <c r="J14" s="69" t="s">
        <v>694</v>
      </c>
      <c r="K14" s="67"/>
      <c r="L14" s="67"/>
      <c r="M14" s="68" t="s">
        <v>732</v>
      </c>
      <c r="N14" s="66"/>
      <c r="O14" s="67" t="s">
        <v>721</v>
      </c>
      <c r="P14" s="68"/>
      <c r="Q14" s="149"/>
      <c r="R14" s="149"/>
      <c r="S14" s="70"/>
      <c r="T14" s="70"/>
      <c r="U14" s="70"/>
      <c r="V14" s="70"/>
      <c r="W14" s="70"/>
      <c r="X14" s="70" t="s">
        <v>698</v>
      </c>
      <c r="Y14" s="66" t="s">
        <v>707</v>
      </c>
      <c r="Z14" s="70" t="s">
        <v>733</v>
      </c>
      <c r="AA14" s="80" t="s">
        <v>701</v>
      </c>
    </row>
    <row r="15" spans="1:27" s="33" customFormat="1" ht="39.75" customHeight="1">
      <c r="A15" s="27"/>
      <c r="B15" s="148" t="s">
        <v>688</v>
      </c>
      <c r="C15" s="149" t="s">
        <v>689</v>
      </c>
      <c r="D15" s="149" t="s">
        <v>690</v>
      </c>
      <c r="E15" s="150">
        <v>1</v>
      </c>
      <c r="F15" s="148" t="s">
        <v>734</v>
      </c>
      <c r="G15" s="148" t="s">
        <v>735</v>
      </c>
      <c r="H15" s="66" t="s">
        <v>726</v>
      </c>
      <c r="I15" s="152">
        <v>8</v>
      </c>
      <c r="J15" s="148" t="s">
        <v>694</v>
      </c>
      <c r="K15" s="152">
        <v>4</v>
      </c>
      <c r="L15" s="152"/>
      <c r="M15" s="153" t="s">
        <v>736</v>
      </c>
      <c r="N15" s="148"/>
      <c r="O15" s="152"/>
      <c r="P15" s="151" t="s">
        <v>737</v>
      </c>
      <c r="Q15" s="149"/>
      <c r="R15" s="149"/>
      <c r="S15" s="70"/>
      <c r="T15" s="70"/>
      <c r="U15" s="70"/>
      <c r="V15" s="70"/>
      <c r="W15" s="70"/>
      <c r="X15" s="70" t="s">
        <v>698</v>
      </c>
      <c r="Y15" s="66" t="s">
        <v>707</v>
      </c>
      <c r="Z15" s="70" t="s">
        <v>738</v>
      </c>
      <c r="AA15" s="80" t="s">
        <v>701</v>
      </c>
    </row>
    <row r="16" spans="1:27" s="33" customFormat="1" ht="39.75" customHeight="1">
      <c r="A16" s="27"/>
      <c r="B16" s="148" t="s">
        <v>688</v>
      </c>
      <c r="C16" s="149" t="s">
        <v>689</v>
      </c>
      <c r="D16" s="149" t="s">
        <v>690</v>
      </c>
      <c r="E16" s="150">
        <v>1</v>
      </c>
      <c r="F16" s="148" t="s">
        <v>739</v>
      </c>
      <c r="G16" s="148" t="s">
        <v>740</v>
      </c>
      <c r="H16" s="66" t="s">
        <v>719</v>
      </c>
      <c r="I16" s="152">
        <v>9</v>
      </c>
      <c r="J16" s="148" t="s">
        <v>694</v>
      </c>
      <c r="K16" s="152"/>
      <c r="L16" s="152"/>
      <c r="M16" s="153" t="s">
        <v>741</v>
      </c>
      <c r="N16" s="148"/>
      <c r="O16" s="152" t="s">
        <v>721</v>
      </c>
      <c r="P16" s="151"/>
      <c r="Q16" s="149"/>
      <c r="R16" s="149"/>
      <c r="S16" s="70"/>
      <c r="T16" s="70"/>
      <c r="U16" s="70"/>
      <c r="V16" s="70"/>
      <c r="W16" s="70"/>
      <c r="X16" s="70" t="s">
        <v>698</v>
      </c>
      <c r="Y16" s="66" t="s">
        <v>707</v>
      </c>
      <c r="Z16" s="70" t="s">
        <v>742</v>
      </c>
      <c r="AA16" s="80" t="s">
        <v>701</v>
      </c>
    </row>
    <row r="17" spans="1:27" s="33" customFormat="1" ht="39.75" customHeight="1">
      <c r="A17" s="27"/>
      <c r="B17" s="148" t="s">
        <v>688</v>
      </c>
      <c r="C17" s="149" t="s">
        <v>689</v>
      </c>
      <c r="D17" s="149" t="s">
        <v>690</v>
      </c>
      <c r="E17" s="150">
        <v>1</v>
      </c>
      <c r="F17" s="148" t="s">
        <v>743</v>
      </c>
      <c r="G17" s="148" t="s">
        <v>744</v>
      </c>
      <c r="H17" s="66" t="s">
        <v>719</v>
      </c>
      <c r="I17" s="152">
        <v>10</v>
      </c>
      <c r="J17" s="148" t="s">
        <v>694</v>
      </c>
      <c r="K17" s="152"/>
      <c r="L17" s="152"/>
      <c r="M17" s="153" t="s">
        <v>745</v>
      </c>
      <c r="N17" s="148"/>
      <c r="O17" s="152" t="s">
        <v>721</v>
      </c>
      <c r="P17" s="151"/>
      <c r="Q17" s="149"/>
      <c r="R17" s="149"/>
      <c r="S17" s="70"/>
      <c r="T17" s="70"/>
      <c r="U17" s="70"/>
      <c r="V17" s="70"/>
      <c r="W17" s="70"/>
      <c r="X17" s="70" t="s">
        <v>698</v>
      </c>
      <c r="Y17" s="66" t="s">
        <v>707</v>
      </c>
      <c r="Z17" s="70" t="s">
        <v>746</v>
      </c>
      <c r="AA17" s="80" t="s">
        <v>701</v>
      </c>
    </row>
    <row r="18" spans="1:27" s="33" customFormat="1" ht="39.75" customHeight="1">
      <c r="A18" s="27"/>
      <c r="B18" s="148" t="s">
        <v>688</v>
      </c>
      <c r="C18" s="149" t="s">
        <v>689</v>
      </c>
      <c r="D18" s="149" t="s">
        <v>690</v>
      </c>
      <c r="E18" s="150">
        <v>1</v>
      </c>
      <c r="F18" s="148" t="s">
        <v>747</v>
      </c>
      <c r="G18" s="148" t="s">
        <v>748</v>
      </c>
      <c r="H18" s="66" t="s">
        <v>749</v>
      </c>
      <c r="I18" s="152">
        <v>11</v>
      </c>
      <c r="J18" s="148" t="s">
        <v>694</v>
      </c>
      <c r="K18" s="152">
        <v>10</v>
      </c>
      <c r="L18" s="152"/>
      <c r="M18" s="153" t="s">
        <v>750</v>
      </c>
      <c r="N18" s="149"/>
      <c r="O18" s="150" t="s">
        <v>696</v>
      </c>
      <c r="P18" s="150"/>
      <c r="Q18" s="149"/>
      <c r="R18" s="149"/>
      <c r="S18" s="70"/>
      <c r="T18" s="70"/>
      <c r="U18" s="70"/>
      <c r="V18" s="70"/>
      <c r="W18" s="70"/>
      <c r="X18" s="70" t="s">
        <v>701</v>
      </c>
      <c r="Y18" s="70" t="s">
        <v>701</v>
      </c>
      <c r="Z18" s="70" t="s">
        <v>701</v>
      </c>
      <c r="AA18" s="80" t="s">
        <v>701</v>
      </c>
    </row>
    <row r="19" spans="1:27" s="33" customFormat="1" ht="39.75" customHeight="1">
      <c r="A19" s="27"/>
      <c r="B19" s="148" t="s">
        <v>688</v>
      </c>
      <c r="C19" s="149" t="s">
        <v>689</v>
      </c>
      <c r="D19" s="149" t="s">
        <v>690</v>
      </c>
      <c r="E19" s="150">
        <v>1</v>
      </c>
      <c r="F19" s="148" t="s">
        <v>751</v>
      </c>
      <c r="G19" s="148" t="s">
        <v>752</v>
      </c>
      <c r="H19" s="66" t="s">
        <v>753</v>
      </c>
      <c r="I19" s="152">
        <v>12</v>
      </c>
      <c r="J19" s="148" t="s">
        <v>754</v>
      </c>
      <c r="K19" s="152">
        <v>23</v>
      </c>
      <c r="L19" s="152"/>
      <c r="M19" s="153" t="s">
        <v>755</v>
      </c>
      <c r="N19" s="149"/>
      <c r="O19" s="150"/>
      <c r="P19" s="150"/>
      <c r="Q19" s="149"/>
      <c r="R19" s="149"/>
      <c r="S19" s="70"/>
      <c r="T19" s="70"/>
      <c r="U19" s="70"/>
      <c r="V19" s="70"/>
      <c r="W19" s="70"/>
      <c r="X19" s="70" t="s">
        <v>701</v>
      </c>
      <c r="Y19" s="70" t="s">
        <v>701</v>
      </c>
      <c r="Z19" s="70" t="s">
        <v>701</v>
      </c>
      <c r="AA19" s="80" t="s">
        <v>701</v>
      </c>
    </row>
    <row r="20" spans="1:27" s="33" customFormat="1" ht="39.75" customHeight="1">
      <c r="A20" s="27"/>
      <c r="B20" s="66" t="s">
        <v>688</v>
      </c>
      <c r="C20" s="66" t="s">
        <v>756</v>
      </c>
      <c r="D20" s="66" t="s">
        <v>757</v>
      </c>
      <c r="E20" s="67">
        <v>1</v>
      </c>
      <c r="F20" s="148" t="s">
        <v>758</v>
      </c>
      <c r="G20" s="66" t="s">
        <v>759</v>
      </c>
      <c r="H20" s="66" t="s">
        <v>749</v>
      </c>
      <c r="I20" s="152">
        <v>1</v>
      </c>
      <c r="J20" s="148" t="s">
        <v>760</v>
      </c>
      <c r="K20" s="152">
        <v>10</v>
      </c>
      <c r="L20" s="152"/>
      <c r="M20" s="153" t="s">
        <v>761</v>
      </c>
      <c r="N20" s="148"/>
      <c r="O20" s="152" t="s">
        <v>696</v>
      </c>
      <c r="P20" s="154"/>
      <c r="Q20" s="148"/>
      <c r="R20" s="148"/>
      <c r="S20" s="66"/>
      <c r="T20" s="66"/>
      <c r="U20" s="66"/>
      <c r="V20" s="66"/>
      <c r="W20" s="66"/>
      <c r="X20" s="66" t="s">
        <v>762</v>
      </c>
      <c r="Y20" s="66" t="s">
        <v>763</v>
      </c>
      <c r="Z20" s="70" t="s">
        <v>764</v>
      </c>
      <c r="AA20" s="80" t="s">
        <v>701</v>
      </c>
    </row>
    <row r="21" spans="1:27" s="33" customFormat="1" ht="39.75" customHeight="1">
      <c r="A21" s="27"/>
      <c r="B21" s="66" t="s">
        <v>688</v>
      </c>
      <c r="C21" s="66" t="s">
        <v>756</v>
      </c>
      <c r="D21" s="66" t="s">
        <v>757</v>
      </c>
      <c r="E21" s="67">
        <v>1</v>
      </c>
      <c r="F21" s="148" t="s">
        <v>765</v>
      </c>
      <c r="G21" s="148" t="s">
        <v>766</v>
      </c>
      <c r="H21" s="66" t="s">
        <v>767</v>
      </c>
      <c r="I21" s="152">
        <v>2</v>
      </c>
      <c r="J21" s="66" t="s">
        <v>694</v>
      </c>
      <c r="K21" s="152">
        <v>1</v>
      </c>
      <c r="L21" s="152"/>
      <c r="M21" s="153" t="s">
        <v>768</v>
      </c>
      <c r="N21" s="148"/>
      <c r="O21" s="67" t="s">
        <v>696</v>
      </c>
      <c r="P21" s="83" t="s">
        <v>769</v>
      </c>
      <c r="Q21" s="149"/>
      <c r="R21" s="149"/>
      <c r="S21" s="66"/>
      <c r="T21" s="66"/>
      <c r="U21" s="66"/>
      <c r="V21" s="66"/>
      <c r="W21" s="66"/>
      <c r="X21" s="66" t="s">
        <v>762</v>
      </c>
      <c r="Y21" s="66" t="s">
        <v>763</v>
      </c>
      <c r="Z21" s="70" t="s">
        <v>770</v>
      </c>
      <c r="AA21" s="80" t="s">
        <v>701</v>
      </c>
    </row>
    <row r="22" spans="1:27" s="33" customFormat="1" ht="39.75" customHeight="1">
      <c r="A22" s="27"/>
      <c r="B22" s="66" t="s">
        <v>688</v>
      </c>
      <c r="C22" s="66" t="s">
        <v>756</v>
      </c>
      <c r="D22" s="66" t="s">
        <v>757</v>
      </c>
      <c r="E22" s="67">
        <v>1</v>
      </c>
      <c r="F22" s="66" t="s">
        <v>771</v>
      </c>
      <c r="G22" s="66" t="s">
        <v>772</v>
      </c>
      <c r="H22" s="66" t="s">
        <v>767</v>
      </c>
      <c r="I22" s="67">
        <v>3</v>
      </c>
      <c r="J22" s="66" t="s">
        <v>694</v>
      </c>
      <c r="K22" s="67">
        <v>20</v>
      </c>
      <c r="L22" s="67"/>
      <c r="M22" s="68" t="s">
        <v>773</v>
      </c>
      <c r="N22" s="66"/>
      <c r="O22" s="67" t="s">
        <v>696</v>
      </c>
      <c r="P22" s="83" t="s">
        <v>774</v>
      </c>
      <c r="Q22" s="66"/>
      <c r="R22" s="66"/>
      <c r="S22" s="66"/>
      <c r="T22" s="66"/>
      <c r="U22" s="66"/>
      <c r="V22" s="66"/>
      <c r="W22" s="66"/>
      <c r="X22" s="66" t="s">
        <v>762</v>
      </c>
      <c r="Y22" s="66" t="s">
        <v>763</v>
      </c>
      <c r="Z22" s="70" t="s">
        <v>339</v>
      </c>
      <c r="AA22" s="80" t="s">
        <v>701</v>
      </c>
    </row>
    <row r="23" spans="1:27" s="33" customFormat="1" ht="39.75" customHeight="1">
      <c r="A23" s="27"/>
      <c r="B23" s="66" t="s">
        <v>688</v>
      </c>
      <c r="C23" s="66" t="s">
        <v>756</v>
      </c>
      <c r="D23" s="66" t="s">
        <v>757</v>
      </c>
      <c r="E23" s="67">
        <v>1</v>
      </c>
      <c r="F23" s="148" t="s">
        <v>775</v>
      </c>
      <c r="G23" s="148" t="s">
        <v>776</v>
      </c>
      <c r="H23" s="66" t="s">
        <v>777</v>
      </c>
      <c r="I23" s="152">
        <v>4</v>
      </c>
      <c r="J23" s="148" t="s">
        <v>778</v>
      </c>
      <c r="K23" s="152"/>
      <c r="L23" s="152"/>
      <c r="M23" s="153" t="s">
        <v>779</v>
      </c>
      <c r="N23" s="148"/>
      <c r="O23" s="152"/>
      <c r="P23" s="150"/>
      <c r="Q23" s="149"/>
      <c r="R23" s="149"/>
      <c r="S23" s="66"/>
      <c r="T23" s="66"/>
      <c r="U23" s="66"/>
      <c r="V23" s="66"/>
      <c r="W23" s="66"/>
      <c r="X23" s="66" t="s">
        <v>762</v>
      </c>
      <c r="Y23" s="66" t="s">
        <v>763</v>
      </c>
      <c r="Z23" s="70" t="s">
        <v>780</v>
      </c>
      <c r="AA23" s="80" t="s">
        <v>701</v>
      </c>
    </row>
    <row r="24" spans="1:27" s="33" customFormat="1" ht="39.75" customHeight="1">
      <c r="A24" s="27"/>
      <c r="B24" s="66" t="s">
        <v>688</v>
      </c>
      <c r="C24" s="66" t="s">
        <v>756</v>
      </c>
      <c r="D24" s="66" t="s">
        <v>757</v>
      </c>
      <c r="E24" s="67">
        <v>1</v>
      </c>
      <c r="F24" s="148" t="s">
        <v>781</v>
      </c>
      <c r="G24" s="66" t="s">
        <v>782</v>
      </c>
      <c r="H24" s="66" t="s">
        <v>783</v>
      </c>
      <c r="I24" s="152">
        <v>5</v>
      </c>
      <c r="J24" s="66" t="s">
        <v>694</v>
      </c>
      <c r="K24" s="152">
        <v>4</v>
      </c>
      <c r="L24" s="152"/>
      <c r="M24" s="153" t="s">
        <v>784</v>
      </c>
      <c r="N24" s="148"/>
      <c r="O24" s="152"/>
      <c r="P24" s="83" t="s">
        <v>785</v>
      </c>
      <c r="Q24" s="149"/>
      <c r="R24" s="149"/>
      <c r="S24" s="66"/>
      <c r="T24" s="66"/>
      <c r="U24" s="66"/>
      <c r="V24" s="66"/>
      <c r="W24" s="66"/>
      <c r="X24" s="66" t="s">
        <v>762</v>
      </c>
      <c r="Y24" s="66" t="s">
        <v>763</v>
      </c>
      <c r="Z24" s="70" t="s">
        <v>786</v>
      </c>
      <c r="AA24" s="80" t="s">
        <v>701</v>
      </c>
    </row>
    <row r="25" spans="1:27" s="33" customFormat="1" ht="39.75" customHeight="1">
      <c r="A25" s="27"/>
      <c r="B25" s="66" t="s">
        <v>688</v>
      </c>
      <c r="C25" s="66" t="s">
        <v>756</v>
      </c>
      <c r="D25" s="66" t="s">
        <v>757</v>
      </c>
      <c r="E25" s="67">
        <v>1</v>
      </c>
      <c r="F25" s="66" t="s">
        <v>787</v>
      </c>
      <c r="G25" s="66" t="s">
        <v>788</v>
      </c>
      <c r="H25" s="66" t="s">
        <v>783</v>
      </c>
      <c r="I25" s="67">
        <v>6</v>
      </c>
      <c r="J25" s="66" t="s">
        <v>789</v>
      </c>
      <c r="K25" s="67">
        <v>23</v>
      </c>
      <c r="L25" s="67">
        <v>6</v>
      </c>
      <c r="M25" s="68" t="s">
        <v>790</v>
      </c>
      <c r="N25" s="66"/>
      <c r="O25" s="67"/>
      <c r="P25" s="83"/>
      <c r="Q25" s="66"/>
      <c r="R25" s="66"/>
      <c r="S25" s="66"/>
      <c r="T25" s="66"/>
      <c r="U25" s="66"/>
      <c r="V25" s="66"/>
      <c r="W25" s="66"/>
      <c r="X25" s="66" t="s">
        <v>762</v>
      </c>
      <c r="Y25" s="66" t="s">
        <v>763</v>
      </c>
      <c r="Z25" s="66" t="s">
        <v>791</v>
      </c>
      <c r="AA25" s="80" t="s">
        <v>701</v>
      </c>
    </row>
    <row r="26" spans="1:27" s="33" customFormat="1" ht="39.75" customHeight="1">
      <c r="A26" s="27"/>
      <c r="B26" s="66" t="s">
        <v>688</v>
      </c>
      <c r="C26" s="66" t="s">
        <v>756</v>
      </c>
      <c r="D26" s="66" t="s">
        <v>757</v>
      </c>
      <c r="E26" s="67">
        <v>1</v>
      </c>
      <c r="F26" s="148" t="s">
        <v>792</v>
      </c>
      <c r="G26" s="148" t="s">
        <v>793</v>
      </c>
      <c r="H26" s="66" t="s">
        <v>783</v>
      </c>
      <c r="I26" s="152">
        <v>7</v>
      </c>
      <c r="J26" s="66" t="s">
        <v>789</v>
      </c>
      <c r="K26" s="67">
        <v>23</v>
      </c>
      <c r="L26" s="67">
        <v>6</v>
      </c>
      <c r="M26" s="68" t="s">
        <v>794</v>
      </c>
      <c r="N26" s="148"/>
      <c r="O26" s="152"/>
      <c r="P26" s="150"/>
      <c r="Q26" s="149"/>
      <c r="R26" s="149"/>
      <c r="S26" s="66"/>
      <c r="T26" s="66"/>
      <c r="U26" s="66"/>
      <c r="V26" s="66"/>
      <c r="W26" s="66"/>
      <c r="X26" s="66" t="s">
        <v>762</v>
      </c>
      <c r="Y26" s="66" t="s">
        <v>763</v>
      </c>
      <c r="Z26" s="66" t="s">
        <v>795</v>
      </c>
      <c r="AA26" s="80" t="s">
        <v>701</v>
      </c>
    </row>
    <row r="27" spans="1:27" s="33" customFormat="1" ht="39.75" customHeight="1">
      <c r="A27" s="27"/>
      <c r="B27" s="66" t="s">
        <v>688</v>
      </c>
      <c r="C27" s="66" t="s">
        <v>756</v>
      </c>
      <c r="D27" s="66" t="s">
        <v>757</v>
      </c>
      <c r="E27" s="67">
        <v>1</v>
      </c>
      <c r="F27" s="148" t="s">
        <v>796</v>
      </c>
      <c r="G27" s="148" t="s">
        <v>797</v>
      </c>
      <c r="H27" s="66" t="s">
        <v>783</v>
      </c>
      <c r="I27" s="152">
        <v>8</v>
      </c>
      <c r="J27" s="66" t="s">
        <v>789</v>
      </c>
      <c r="K27" s="67">
        <v>23</v>
      </c>
      <c r="L27" s="67">
        <v>6</v>
      </c>
      <c r="M27" s="153" t="s">
        <v>798</v>
      </c>
      <c r="N27" s="148"/>
      <c r="O27" s="152"/>
      <c r="P27" s="150"/>
      <c r="Q27" s="149"/>
      <c r="R27" s="149"/>
      <c r="S27" s="66"/>
      <c r="T27" s="66"/>
      <c r="U27" s="66"/>
      <c r="V27" s="66"/>
      <c r="W27" s="66"/>
      <c r="X27" s="66" t="s">
        <v>762</v>
      </c>
      <c r="Y27" s="66" t="s">
        <v>763</v>
      </c>
      <c r="Z27" s="66" t="s">
        <v>799</v>
      </c>
      <c r="AA27" s="80" t="s">
        <v>701</v>
      </c>
    </row>
    <row r="28" spans="1:27" s="33" customFormat="1" ht="39.75" customHeight="1">
      <c r="A28" s="27"/>
      <c r="B28" s="66" t="s">
        <v>688</v>
      </c>
      <c r="C28" s="66" t="s">
        <v>756</v>
      </c>
      <c r="D28" s="66" t="s">
        <v>757</v>
      </c>
      <c r="E28" s="67">
        <v>1</v>
      </c>
      <c r="F28" s="148" t="s">
        <v>800</v>
      </c>
      <c r="G28" s="148" t="s">
        <v>801</v>
      </c>
      <c r="H28" s="66" t="s">
        <v>783</v>
      </c>
      <c r="I28" s="152">
        <v>9</v>
      </c>
      <c r="J28" s="66" t="s">
        <v>789</v>
      </c>
      <c r="K28" s="67">
        <v>23</v>
      </c>
      <c r="L28" s="67">
        <v>6</v>
      </c>
      <c r="M28" s="153" t="s">
        <v>802</v>
      </c>
      <c r="N28" s="148"/>
      <c r="O28" s="152"/>
      <c r="P28" s="150"/>
      <c r="Q28" s="149"/>
      <c r="R28" s="149"/>
      <c r="S28" s="66"/>
      <c r="T28" s="66"/>
      <c r="U28" s="66"/>
      <c r="V28" s="66"/>
      <c r="W28" s="66"/>
      <c r="X28" s="66" t="s">
        <v>762</v>
      </c>
      <c r="Y28" s="66" t="s">
        <v>763</v>
      </c>
      <c r="Z28" s="66" t="s">
        <v>803</v>
      </c>
      <c r="AA28" s="80" t="s">
        <v>701</v>
      </c>
    </row>
    <row r="29" spans="1:27" s="33" customFormat="1" ht="39.75" customHeight="1">
      <c r="A29" s="27"/>
      <c r="B29" s="66" t="s">
        <v>688</v>
      </c>
      <c r="C29" s="66" t="s">
        <v>756</v>
      </c>
      <c r="D29" s="66" t="s">
        <v>757</v>
      </c>
      <c r="E29" s="67">
        <v>1</v>
      </c>
      <c r="F29" s="155" t="s">
        <v>804</v>
      </c>
      <c r="G29" s="155" t="s">
        <v>805</v>
      </c>
      <c r="H29" s="66" t="s">
        <v>806</v>
      </c>
      <c r="I29" s="156">
        <v>3</v>
      </c>
      <c r="J29" s="157" t="s">
        <v>694</v>
      </c>
      <c r="K29" s="156">
        <v>2</v>
      </c>
      <c r="L29" s="156"/>
      <c r="M29" s="158" t="s">
        <v>807</v>
      </c>
      <c r="N29" s="148"/>
      <c r="O29" s="152" t="s">
        <v>808</v>
      </c>
      <c r="P29" s="150"/>
      <c r="Q29" s="149"/>
      <c r="R29" s="149"/>
      <c r="S29" s="66"/>
      <c r="T29" s="66"/>
      <c r="U29" s="66"/>
      <c r="V29" s="66"/>
      <c r="W29" s="66"/>
      <c r="X29" s="66" t="s">
        <v>762</v>
      </c>
      <c r="Y29" s="66" t="s">
        <v>763</v>
      </c>
      <c r="Z29" s="66" t="s">
        <v>809</v>
      </c>
      <c r="AA29" s="80" t="s">
        <v>701</v>
      </c>
    </row>
    <row r="30" spans="1:27" s="33" customFormat="1" ht="39.75" customHeight="1">
      <c r="A30" s="27"/>
      <c r="B30" s="66" t="s">
        <v>688</v>
      </c>
      <c r="C30" s="66" t="s">
        <v>756</v>
      </c>
      <c r="D30" s="66" t="s">
        <v>757</v>
      </c>
      <c r="E30" s="67">
        <v>1</v>
      </c>
      <c r="F30" s="66" t="s">
        <v>747</v>
      </c>
      <c r="G30" s="66" t="s">
        <v>748</v>
      </c>
      <c r="H30" s="66" t="s">
        <v>749</v>
      </c>
      <c r="I30" s="67">
        <v>10</v>
      </c>
      <c r="J30" s="66" t="s">
        <v>694</v>
      </c>
      <c r="K30" s="67">
        <v>10</v>
      </c>
      <c r="L30" s="67"/>
      <c r="M30" s="68" t="s">
        <v>750</v>
      </c>
      <c r="N30" s="66"/>
      <c r="O30" s="67" t="s">
        <v>696</v>
      </c>
      <c r="P30" s="83"/>
      <c r="Q30" s="66"/>
      <c r="R30" s="66"/>
      <c r="S30" s="66"/>
      <c r="T30" s="66"/>
      <c r="U30" s="66"/>
      <c r="V30" s="66"/>
      <c r="W30" s="66"/>
      <c r="X30" s="66" t="s">
        <v>762</v>
      </c>
      <c r="Y30" s="66" t="s">
        <v>701</v>
      </c>
      <c r="Z30" s="66" t="s">
        <v>701</v>
      </c>
      <c r="AA30" s="80" t="s">
        <v>701</v>
      </c>
    </row>
    <row r="31" spans="1:27" s="33" customFormat="1" ht="39.75" customHeight="1">
      <c r="A31" s="27"/>
      <c r="B31" s="66" t="s">
        <v>688</v>
      </c>
      <c r="C31" s="66" t="s">
        <v>756</v>
      </c>
      <c r="D31" s="66" t="s">
        <v>757</v>
      </c>
      <c r="E31" s="67">
        <v>1</v>
      </c>
      <c r="F31" s="66" t="s">
        <v>751</v>
      </c>
      <c r="G31" s="66" t="s">
        <v>752</v>
      </c>
      <c r="H31" s="66" t="s">
        <v>753</v>
      </c>
      <c r="I31" s="67">
        <v>11</v>
      </c>
      <c r="J31" s="69" t="s">
        <v>754</v>
      </c>
      <c r="K31" s="67">
        <v>23</v>
      </c>
      <c r="L31" s="150"/>
      <c r="M31" s="68" t="s">
        <v>810</v>
      </c>
      <c r="N31" s="148"/>
      <c r="O31" s="152"/>
      <c r="P31" s="154"/>
      <c r="Q31" s="148"/>
      <c r="R31" s="148"/>
      <c r="S31" s="66"/>
      <c r="T31" s="66"/>
      <c r="U31" s="66"/>
      <c r="V31" s="66"/>
      <c r="W31" s="66"/>
      <c r="X31" s="66" t="s">
        <v>762</v>
      </c>
      <c r="Y31" s="66" t="s">
        <v>701</v>
      </c>
      <c r="Z31" s="66" t="s">
        <v>701</v>
      </c>
      <c r="AA31" s="80" t="s">
        <v>701</v>
      </c>
    </row>
    <row r="32" spans="1:27" s="33" customFormat="1" ht="39.75" customHeight="1">
      <c r="A32" s="27"/>
      <c r="B32" s="149" t="s">
        <v>811</v>
      </c>
      <c r="C32" s="149" t="s">
        <v>812</v>
      </c>
      <c r="D32" s="149" t="s">
        <v>813</v>
      </c>
      <c r="E32" s="150">
        <v>0</v>
      </c>
      <c r="F32" s="149" t="s">
        <v>814</v>
      </c>
      <c r="G32" s="149" t="s">
        <v>815</v>
      </c>
      <c r="H32" s="66" t="s">
        <v>767</v>
      </c>
      <c r="I32" s="150">
        <v>1</v>
      </c>
      <c r="J32" s="148" t="s">
        <v>694</v>
      </c>
      <c r="K32" s="150">
        <v>2</v>
      </c>
      <c r="L32" s="150"/>
      <c r="M32" s="151" t="s">
        <v>816</v>
      </c>
      <c r="N32" s="149"/>
      <c r="O32" s="150" t="s">
        <v>808</v>
      </c>
      <c r="P32" s="150"/>
      <c r="Q32" s="149"/>
      <c r="R32" s="149"/>
      <c r="S32" s="70"/>
      <c r="T32" s="70"/>
      <c r="U32" s="70"/>
      <c r="V32" s="70"/>
      <c r="W32" s="70"/>
      <c r="X32" s="66" t="s">
        <v>701</v>
      </c>
      <c r="Y32" s="66" t="s">
        <v>701</v>
      </c>
      <c r="Z32" s="66" t="s">
        <v>701</v>
      </c>
      <c r="AA32" s="80" t="s">
        <v>701</v>
      </c>
    </row>
    <row r="33" spans="1:27" s="33" customFormat="1" ht="39.75" customHeight="1">
      <c r="A33" s="27"/>
      <c r="B33" s="149" t="s">
        <v>811</v>
      </c>
      <c r="C33" s="149" t="s">
        <v>812</v>
      </c>
      <c r="D33" s="149" t="s">
        <v>813</v>
      </c>
      <c r="E33" s="150">
        <v>0</v>
      </c>
      <c r="F33" s="149" t="s">
        <v>817</v>
      </c>
      <c r="G33" s="149" t="s">
        <v>818</v>
      </c>
      <c r="H33" s="66" t="s">
        <v>767</v>
      </c>
      <c r="I33" s="150">
        <v>2</v>
      </c>
      <c r="J33" s="148" t="s">
        <v>694</v>
      </c>
      <c r="K33" s="150"/>
      <c r="L33" s="150"/>
      <c r="M33" s="151" t="s">
        <v>819</v>
      </c>
      <c r="N33" s="149"/>
      <c r="O33" s="150" t="s">
        <v>808</v>
      </c>
      <c r="P33" s="150"/>
      <c r="Q33" s="149"/>
      <c r="R33" s="149"/>
      <c r="S33" s="70"/>
      <c r="T33" s="70"/>
      <c r="U33" s="70"/>
      <c r="V33" s="70"/>
      <c r="W33" s="70"/>
      <c r="X33" s="66" t="s">
        <v>701</v>
      </c>
      <c r="Y33" s="66" t="s">
        <v>701</v>
      </c>
      <c r="Z33" s="66" t="s">
        <v>701</v>
      </c>
      <c r="AA33" s="80" t="s">
        <v>701</v>
      </c>
    </row>
    <row r="34" spans="1:27" s="33" customFormat="1" ht="39.75" customHeight="1">
      <c r="A34" s="27"/>
      <c r="B34" s="149" t="s">
        <v>811</v>
      </c>
      <c r="C34" s="149" t="s">
        <v>812</v>
      </c>
      <c r="D34" s="149" t="s">
        <v>813</v>
      </c>
      <c r="E34" s="150">
        <v>0</v>
      </c>
      <c r="F34" s="149" t="s">
        <v>820</v>
      </c>
      <c r="G34" s="149" t="s">
        <v>821</v>
      </c>
      <c r="H34" s="66" t="s">
        <v>806</v>
      </c>
      <c r="I34" s="150">
        <v>3</v>
      </c>
      <c r="J34" s="148" t="s">
        <v>694</v>
      </c>
      <c r="K34" s="150"/>
      <c r="L34" s="150"/>
      <c r="M34" s="151" t="s">
        <v>822</v>
      </c>
      <c r="N34" s="149"/>
      <c r="O34" s="150" t="s">
        <v>808</v>
      </c>
      <c r="P34" s="150"/>
      <c r="Q34" s="149"/>
      <c r="R34" s="149"/>
      <c r="S34" s="70"/>
      <c r="T34" s="70"/>
      <c r="U34" s="70"/>
      <c r="V34" s="70"/>
      <c r="W34" s="70"/>
      <c r="X34" s="66" t="s">
        <v>701</v>
      </c>
      <c r="Y34" s="66" t="s">
        <v>701</v>
      </c>
      <c r="Z34" s="66" t="s">
        <v>701</v>
      </c>
      <c r="AA34" s="80" t="s">
        <v>701</v>
      </c>
    </row>
    <row r="35" spans="1:27" s="33" customFormat="1" ht="39.75" customHeight="1">
      <c r="A35" s="27"/>
      <c r="B35" s="149" t="s">
        <v>811</v>
      </c>
      <c r="C35" s="149" t="s">
        <v>812</v>
      </c>
      <c r="D35" s="149" t="s">
        <v>813</v>
      </c>
      <c r="E35" s="150">
        <v>0</v>
      </c>
      <c r="F35" s="149" t="s">
        <v>823</v>
      </c>
      <c r="G35" s="149" t="s">
        <v>824</v>
      </c>
      <c r="H35" s="66" t="s">
        <v>806</v>
      </c>
      <c r="I35" s="150">
        <v>4</v>
      </c>
      <c r="J35" s="148" t="s">
        <v>694</v>
      </c>
      <c r="K35" s="150"/>
      <c r="L35" s="150"/>
      <c r="M35" s="151" t="s">
        <v>825</v>
      </c>
      <c r="N35" s="149"/>
      <c r="O35" s="150"/>
      <c r="P35" s="150"/>
      <c r="Q35" s="149"/>
      <c r="R35" s="149"/>
      <c r="S35" s="70"/>
      <c r="T35" s="70"/>
      <c r="U35" s="70"/>
      <c r="V35" s="70"/>
      <c r="W35" s="70"/>
      <c r="X35" s="66" t="s">
        <v>701</v>
      </c>
      <c r="Y35" s="66" t="s">
        <v>701</v>
      </c>
      <c r="Z35" s="66" t="s">
        <v>701</v>
      </c>
      <c r="AA35" s="80" t="s">
        <v>701</v>
      </c>
    </row>
    <row r="36" spans="1:27" s="33" customFormat="1" ht="39.75" customHeight="1">
      <c r="A36" s="27"/>
      <c r="B36" s="149" t="s">
        <v>811</v>
      </c>
      <c r="C36" s="149" t="s">
        <v>812</v>
      </c>
      <c r="D36" s="149" t="s">
        <v>813</v>
      </c>
      <c r="E36" s="150">
        <v>0</v>
      </c>
      <c r="F36" s="148" t="s">
        <v>747</v>
      </c>
      <c r="G36" s="149" t="s">
        <v>748</v>
      </c>
      <c r="H36" s="66" t="s">
        <v>749</v>
      </c>
      <c r="I36" s="150">
        <v>5</v>
      </c>
      <c r="J36" s="148" t="s">
        <v>694</v>
      </c>
      <c r="K36" s="150">
        <v>10</v>
      </c>
      <c r="L36" s="150"/>
      <c r="M36" s="153" t="s">
        <v>750</v>
      </c>
      <c r="N36" s="149"/>
      <c r="O36" s="150" t="s">
        <v>808</v>
      </c>
      <c r="P36" s="150"/>
      <c r="Q36" s="149"/>
      <c r="R36" s="149"/>
      <c r="S36" s="70"/>
      <c r="T36" s="70"/>
      <c r="U36" s="70"/>
      <c r="V36" s="70"/>
      <c r="W36" s="70"/>
      <c r="X36" s="66" t="s">
        <v>701</v>
      </c>
      <c r="Y36" s="66" t="s">
        <v>701</v>
      </c>
      <c r="Z36" s="66" t="s">
        <v>701</v>
      </c>
      <c r="AA36" s="80" t="s">
        <v>701</v>
      </c>
    </row>
    <row r="37" spans="1:27" s="33" customFormat="1" ht="39.75" customHeight="1">
      <c r="A37" s="27"/>
      <c r="B37" s="149" t="s">
        <v>811</v>
      </c>
      <c r="C37" s="149" t="s">
        <v>812</v>
      </c>
      <c r="D37" s="149" t="s">
        <v>813</v>
      </c>
      <c r="E37" s="150">
        <v>0</v>
      </c>
      <c r="F37" s="148" t="s">
        <v>751</v>
      </c>
      <c r="G37" s="149" t="s">
        <v>752</v>
      </c>
      <c r="H37" s="66" t="s">
        <v>753</v>
      </c>
      <c r="I37" s="150">
        <v>6</v>
      </c>
      <c r="J37" s="148" t="s">
        <v>754</v>
      </c>
      <c r="K37" s="150">
        <v>23</v>
      </c>
      <c r="L37" s="150"/>
      <c r="M37" s="153" t="s">
        <v>755</v>
      </c>
      <c r="N37" s="149"/>
      <c r="O37" s="150"/>
      <c r="P37" s="150"/>
      <c r="Q37" s="149"/>
      <c r="R37" s="149"/>
      <c r="S37" s="70"/>
      <c r="T37" s="70"/>
      <c r="U37" s="70"/>
      <c r="V37" s="70"/>
      <c r="W37" s="70"/>
      <c r="X37" s="66" t="s">
        <v>701</v>
      </c>
      <c r="Y37" s="66" t="s">
        <v>701</v>
      </c>
      <c r="Z37" s="66" t="s">
        <v>701</v>
      </c>
      <c r="AA37" s="80" t="s">
        <v>701</v>
      </c>
    </row>
    <row r="38" spans="1:27" s="33" customFormat="1" ht="39.75" customHeight="1">
      <c r="A38" s="27"/>
      <c r="B38" s="149" t="s">
        <v>811</v>
      </c>
      <c r="C38" s="149" t="s">
        <v>826</v>
      </c>
      <c r="D38" s="149" t="s">
        <v>827</v>
      </c>
      <c r="E38" s="150">
        <v>0</v>
      </c>
      <c r="F38" s="149" t="s">
        <v>828</v>
      </c>
      <c r="G38" s="149" t="s">
        <v>829</v>
      </c>
      <c r="H38" s="66" t="s">
        <v>830</v>
      </c>
      <c r="I38" s="150">
        <v>1</v>
      </c>
      <c r="J38" s="149" t="s">
        <v>694</v>
      </c>
      <c r="K38" s="150"/>
      <c r="L38" s="150"/>
      <c r="M38" s="151" t="s">
        <v>831</v>
      </c>
      <c r="N38" s="149"/>
      <c r="O38" s="152" t="s">
        <v>696</v>
      </c>
      <c r="P38" s="152"/>
      <c r="Q38" s="149"/>
      <c r="R38" s="149"/>
      <c r="S38" s="70"/>
      <c r="T38" s="70"/>
      <c r="U38" s="70"/>
      <c r="V38" s="70"/>
      <c r="W38" s="70"/>
      <c r="X38" s="66" t="s">
        <v>701</v>
      </c>
      <c r="Y38" s="66" t="s">
        <v>701</v>
      </c>
      <c r="Z38" s="66" t="s">
        <v>701</v>
      </c>
      <c r="AA38" s="80" t="s">
        <v>701</v>
      </c>
    </row>
    <row r="39" spans="1:27" s="33" customFormat="1" ht="39.75" customHeight="1">
      <c r="A39" s="27"/>
      <c r="B39" s="149" t="s">
        <v>811</v>
      </c>
      <c r="C39" s="149" t="s">
        <v>826</v>
      </c>
      <c r="D39" s="149" t="s">
        <v>827</v>
      </c>
      <c r="E39" s="150">
        <v>0</v>
      </c>
      <c r="F39" s="149" t="s">
        <v>814</v>
      </c>
      <c r="G39" s="149" t="s">
        <v>815</v>
      </c>
      <c r="H39" s="66" t="s">
        <v>830</v>
      </c>
      <c r="I39" s="150">
        <v>2</v>
      </c>
      <c r="J39" s="149" t="s">
        <v>694</v>
      </c>
      <c r="K39" s="150">
        <v>2</v>
      </c>
      <c r="L39" s="150"/>
      <c r="M39" s="151" t="s">
        <v>816</v>
      </c>
      <c r="N39" s="149"/>
      <c r="O39" s="152" t="s">
        <v>696</v>
      </c>
      <c r="P39" s="152"/>
      <c r="Q39" s="149"/>
      <c r="R39" s="149"/>
      <c r="S39" s="70"/>
      <c r="T39" s="70"/>
      <c r="U39" s="70"/>
      <c r="V39" s="70"/>
      <c r="W39" s="70"/>
      <c r="X39" s="66" t="s">
        <v>701</v>
      </c>
      <c r="Y39" s="66" t="s">
        <v>701</v>
      </c>
      <c r="Z39" s="66" t="s">
        <v>701</v>
      </c>
      <c r="AA39" s="80" t="s">
        <v>701</v>
      </c>
    </row>
    <row r="40" spans="1:27" s="33" customFormat="1" ht="39.75" customHeight="1">
      <c r="A40"/>
      <c r="B40" s="149" t="s">
        <v>811</v>
      </c>
      <c r="C40" s="149" t="s">
        <v>826</v>
      </c>
      <c r="D40" s="149" t="s">
        <v>827</v>
      </c>
      <c r="E40" s="150">
        <v>0</v>
      </c>
      <c r="F40" s="149" t="s">
        <v>820</v>
      </c>
      <c r="G40" s="149" t="s">
        <v>821</v>
      </c>
      <c r="H40" s="66" t="s">
        <v>806</v>
      </c>
      <c r="I40" s="150">
        <v>3</v>
      </c>
      <c r="J40" s="149" t="s">
        <v>694</v>
      </c>
      <c r="K40" s="150"/>
      <c r="L40" s="150"/>
      <c r="M40" s="151" t="s">
        <v>832</v>
      </c>
      <c r="N40" s="149"/>
      <c r="O40" s="152" t="s">
        <v>696</v>
      </c>
      <c r="P40" s="152"/>
      <c r="Q40" s="149"/>
      <c r="R40" s="149"/>
      <c r="S40" s="70"/>
      <c r="T40" s="70"/>
      <c r="U40" s="70"/>
      <c r="V40" s="70"/>
      <c r="W40" s="70"/>
      <c r="X40" s="66" t="s">
        <v>701</v>
      </c>
      <c r="Y40" s="66" t="s">
        <v>701</v>
      </c>
      <c r="Z40" s="66" t="s">
        <v>701</v>
      </c>
      <c r="AA40" s="80" t="s">
        <v>701</v>
      </c>
    </row>
    <row r="41" spans="1:27" ht="39.75" customHeight="1">
      <c r="B41" s="149" t="s">
        <v>811</v>
      </c>
      <c r="C41" s="149" t="s">
        <v>826</v>
      </c>
      <c r="D41" s="149" t="s">
        <v>827</v>
      </c>
      <c r="E41" s="150">
        <v>0</v>
      </c>
      <c r="F41" s="149" t="s">
        <v>823</v>
      </c>
      <c r="G41" s="149" t="s">
        <v>824</v>
      </c>
      <c r="H41" s="66" t="s">
        <v>806</v>
      </c>
      <c r="I41" s="150">
        <v>4</v>
      </c>
      <c r="J41" s="149" t="s">
        <v>694</v>
      </c>
      <c r="K41" s="150"/>
      <c r="L41" s="150"/>
      <c r="M41" s="151" t="s">
        <v>833</v>
      </c>
      <c r="N41" s="149"/>
      <c r="O41" s="150"/>
      <c r="P41" s="150"/>
      <c r="Q41" s="149"/>
      <c r="R41" s="149"/>
      <c r="S41" s="70"/>
      <c r="T41" s="70"/>
      <c r="U41" s="70"/>
      <c r="V41" s="70"/>
      <c r="W41" s="70"/>
      <c r="X41" s="66" t="s">
        <v>701</v>
      </c>
      <c r="Y41" s="66" t="s">
        <v>701</v>
      </c>
      <c r="Z41" s="66" t="s">
        <v>701</v>
      </c>
      <c r="AA41" s="80" t="s">
        <v>701</v>
      </c>
    </row>
    <row r="42" spans="1:27" ht="39.75" customHeight="1">
      <c r="B42" s="149" t="s">
        <v>811</v>
      </c>
      <c r="C42" s="149" t="s">
        <v>826</v>
      </c>
      <c r="D42" s="149" t="s">
        <v>827</v>
      </c>
      <c r="E42" s="150">
        <v>0</v>
      </c>
      <c r="F42" s="149" t="s">
        <v>834</v>
      </c>
      <c r="G42" s="149" t="s">
        <v>835</v>
      </c>
      <c r="H42" s="66" t="s">
        <v>806</v>
      </c>
      <c r="I42" s="150">
        <v>5</v>
      </c>
      <c r="J42" s="149" t="s">
        <v>836</v>
      </c>
      <c r="K42" s="150"/>
      <c r="L42" s="150"/>
      <c r="M42" s="151" t="s">
        <v>837</v>
      </c>
      <c r="N42" s="149"/>
      <c r="O42" s="152" t="s">
        <v>696</v>
      </c>
      <c r="P42" s="152"/>
      <c r="Q42" s="149"/>
      <c r="R42" s="149"/>
      <c r="S42" s="70"/>
      <c r="T42" s="70"/>
      <c r="U42" s="70"/>
      <c r="V42" s="70"/>
      <c r="W42" s="70"/>
      <c r="X42" s="66" t="s">
        <v>701</v>
      </c>
      <c r="Y42" s="66" t="s">
        <v>701</v>
      </c>
      <c r="Z42" s="66" t="s">
        <v>701</v>
      </c>
      <c r="AA42" s="80" t="s">
        <v>701</v>
      </c>
    </row>
    <row r="43" spans="1:27" ht="39.75" customHeight="1">
      <c r="B43" s="149" t="s">
        <v>811</v>
      </c>
      <c r="C43" s="149" t="s">
        <v>826</v>
      </c>
      <c r="D43" s="149" t="s">
        <v>827</v>
      </c>
      <c r="E43" s="150">
        <v>0</v>
      </c>
      <c r="F43" s="148" t="s">
        <v>747</v>
      </c>
      <c r="G43" s="148" t="s">
        <v>748</v>
      </c>
      <c r="H43" s="66" t="s">
        <v>749</v>
      </c>
      <c r="I43" s="152">
        <v>6</v>
      </c>
      <c r="J43" s="148" t="s">
        <v>694</v>
      </c>
      <c r="K43" s="152">
        <v>10</v>
      </c>
      <c r="L43" s="152"/>
      <c r="M43" s="153" t="s">
        <v>750</v>
      </c>
      <c r="N43" s="148"/>
      <c r="O43" s="152" t="s">
        <v>696</v>
      </c>
      <c r="P43" s="152"/>
      <c r="Q43" s="149"/>
      <c r="R43" s="149"/>
      <c r="S43" s="66"/>
      <c r="T43" s="66"/>
      <c r="U43" s="66"/>
      <c r="V43" s="66"/>
      <c r="W43" s="66"/>
      <c r="X43" s="66" t="s">
        <v>701</v>
      </c>
      <c r="Y43" s="66" t="s">
        <v>701</v>
      </c>
      <c r="Z43" s="66" t="s">
        <v>701</v>
      </c>
      <c r="AA43" s="80" t="s">
        <v>701</v>
      </c>
    </row>
    <row r="44" spans="1:27" ht="39.75" customHeight="1">
      <c r="B44" s="149" t="s">
        <v>811</v>
      </c>
      <c r="C44" s="149" t="s">
        <v>826</v>
      </c>
      <c r="D44" s="149" t="s">
        <v>827</v>
      </c>
      <c r="E44" s="150">
        <v>0</v>
      </c>
      <c r="F44" s="148" t="s">
        <v>751</v>
      </c>
      <c r="G44" s="148" t="s">
        <v>752</v>
      </c>
      <c r="H44" s="66" t="s">
        <v>753</v>
      </c>
      <c r="I44" s="152">
        <v>7</v>
      </c>
      <c r="J44" s="148" t="s">
        <v>754</v>
      </c>
      <c r="K44" s="152">
        <v>23</v>
      </c>
      <c r="L44" s="150"/>
      <c r="M44" s="153" t="s">
        <v>755</v>
      </c>
      <c r="N44" s="148"/>
      <c r="O44" s="152"/>
      <c r="P44" s="152"/>
      <c r="Q44" s="149"/>
      <c r="R44" s="149"/>
      <c r="S44" s="66"/>
      <c r="T44" s="66"/>
      <c r="U44" s="66"/>
      <c r="V44" s="66"/>
      <c r="W44" s="66"/>
      <c r="X44" s="66" t="s">
        <v>701</v>
      </c>
      <c r="Y44" s="66" t="s">
        <v>701</v>
      </c>
      <c r="Z44" s="66" t="s">
        <v>701</v>
      </c>
      <c r="AA44" s="80" t="s">
        <v>701</v>
      </c>
    </row>
    <row r="45" spans="1:27" ht="39.75" customHeight="1">
      <c r="B45" s="149" t="s">
        <v>811</v>
      </c>
      <c r="C45" s="149" t="s">
        <v>838</v>
      </c>
      <c r="D45" s="149" t="s">
        <v>839</v>
      </c>
      <c r="E45" s="150">
        <v>0</v>
      </c>
      <c r="F45" s="149" t="s">
        <v>814</v>
      </c>
      <c r="G45" s="149" t="s">
        <v>815</v>
      </c>
      <c r="H45" s="66" t="s">
        <v>767</v>
      </c>
      <c r="I45" s="150">
        <v>1</v>
      </c>
      <c r="J45" s="148" t="s">
        <v>694</v>
      </c>
      <c r="K45" s="150">
        <v>2</v>
      </c>
      <c r="L45" s="150"/>
      <c r="M45" s="151" t="s">
        <v>816</v>
      </c>
      <c r="N45" s="149"/>
      <c r="O45" s="152" t="s">
        <v>696</v>
      </c>
      <c r="P45" s="152"/>
      <c r="Q45" s="149"/>
      <c r="R45" s="149"/>
      <c r="S45" s="70"/>
      <c r="T45" s="70"/>
      <c r="U45" s="70"/>
      <c r="V45" s="70"/>
      <c r="W45" s="70"/>
      <c r="X45" s="66" t="s">
        <v>701</v>
      </c>
      <c r="Y45" s="66" t="s">
        <v>701</v>
      </c>
      <c r="Z45" s="66" t="s">
        <v>701</v>
      </c>
      <c r="AA45" s="80" t="s">
        <v>701</v>
      </c>
    </row>
    <row r="46" spans="1:27" ht="39.75" customHeight="1">
      <c r="B46" s="149" t="s">
        <v>811</v>
      </c>
      <c r="C46" s="149" t="s">
        <v>838</v>
      </c>
      <c r="D46" s="149" t="s">
        <v>839</v>
      </c>
      <c r="E46" s="150">
        <v>0</v>
      </c>
      <c r="F46" s="149" t="s">
        <v>840</v>
      </c>
      <c r="G46" s="149" t="s">
        <v>841</v>
      </c>
      <c r="H46" s="66" t="s">
        <v>830</v>
      </c>
      <c r="I46" s="150">
        <v>2</v>
      </c>
      <c r="J46" s="148" t="s">
        <v>694</v>
      </c>
      <c r="K46" s="150">
        <v>3</v>
      </c>
      <c r="L46" s="150"/>
      <c r="M46" s="151" t="s">
        <v>842</v>
      </c>
      <c r="N46" s="149"/>
      <c r="O46" s="152" t="s">
        <v>696</v>
      </c>
      <c r="P46" s="150"/>
      <c r="Q46" s="149"/>
      <c r="R46" s="149"/>
      <c r="S46" s="70"/>
      <c r="T46" s="70"/>
      <c r="U46" s="70"/>
      <c r="V46" s="70"/>
      <c r="W46" s="70"/>
      <c r="X46" s="66" t="s">
        <v>701</v>
      </c>
      <c r="Y46" s="66" t="s">
        <v>701</v>
      </c>
      <c r="Z46" s="66" t="s">
        <v>701</v>
      </c>
      <c r="AA46" s="80" t="s">
        <v>701</v>
      </c>
    </row>
    <row r="47" spans="1:27" ht="39.75" customHeight="1">
      <c r="B47" s="149" t="s">
        <v>811</v>
      </c>
      <c r="C47" s="149" t="s">
        <v>838</v>
      </c>
      <c r="D47" s="149" t="s">
        <v>839</v>
      </c>
      <c r="E47" s="150">
        <v>0</v>
      </c>
      <c r="F47" s="149" t="s">
        <v>843</v>
      </c>
      <c r="G47" s="149" t="s">
        <v>844</v>
      </c>
      <c r="H47" s="66" t="s">
        <v>830</v>
      </c>
      <c r="I47" s="150">
        <v>3</v>
      </c>
      <c r="J47" s="148" t="s">
        <v>694</v>
      </c>
      <c r="K47" s="150">
        <v>3</v>
      </c>
      <c r="L47" s="150"/>
      <c r="M47" s="151" t="s">
        <v>845</v>
      </c>
      <c r="N47" s="149"/>
      <c r="O47" s="152" t="s">
        <v>696</v>
      </c>
      <c r="P47" s="150"/>
      <c r="Q47" s="149"/>
      <c r="R47" s="149"/>
      <c r="S47" s="70"/>
      <c r="T47" s="70"/>
      <c r="U47" s="70"/>
      <c r="V47" s="70"/>
      <c r="W47" s="70"/>
      <c r="X47" s="66" t="s">
        <v>701</v>
      </c>
      <c r="Y47" s="66" t="s">
        <v>701</v>
      </c>
      <c r="Z47" s="66" t="s">
        <v>701</v>
      </c>
      <c r="AA47" s="87" t="s">
        <v>701</v>
      </c>
    </row>
    <row r="48" spans="1:27" ht="39.75" customHeight="1">
      <c r="B48" s="149" t="s">
        <v>811</v>
      </c>
      <c r="C48" s="149" t="s">
        <v>838</v>
      </c>
      <c r="D48" s="149" t="s">
        <v>839</v>
      </c>
      <c r="E48" s="150">
        <v>0</v>
      </c>
      <c r="F48" s="148" t="s">
        <v>747</v>
      </c>
      <c r="G48" s="148" t="s">
        <v>748</v>
      </c>
      <c r="H48" s="66" t="s">
        <v>749</v>
      </c>
      <c r="I48" s="152">
        <v>4</v>
      </c>
      <c r="J48" s="148" t="s">
        <v>694</v>
      </c>
      <c r="K48" s="152">
        <v>10</v>
      </c>
      <c r="L48" s="152"/>
      <c r="M48" s="153" t="s">
        <v>750</v>
      </c>
      <c r="N48" s="148"/>
      <c r="O48" s="152" t="s">
        <v>696</v>
      </c>
      <c r="P48" s="152"/>
      <c r="Q48" s="149"/>
      <c r="R48" s="149"/>
      <c r="S48" s="66"/>
      <c r="T48" s="66"/>
      <c r="U48" s="66"/>
      <c r="V48" s="66"/>
      <c r="W48" s="66"/>
      <c r="X48" s="66" t="s">
        <v>701</v>
      </c>
      <c r="Y48" s="66" t="s">
        <v>701</v>
      </c>
      <c r="Z48" s="66" t="s">
        <v>701</v>
      </c>
      <c r="AA48" s="87" t="s">
        <v>701</v>
      </c>
    </row>
    <row r="49" spans="2:27" ht="39.75" customHeight="1">
      <c r="B49" s="149" t="s">
        <v>811</v>
      </c>
      <c r="C49" s="149" t="s">
        <v>838</v>
      </c>
      <c r="D49" s="149" t="s">
        <v>839</v>
      </c>
      <c r="E49" s="150">
        <v>0</v>
      </c>
      <c r="F49" s="148" t="s">
        <v>751</v>
      </c>
      <c r="G49" s="148" t="s">
        <v>752</v>
      </c>
      <c r="H49" s="66" t="s">
        <v>753</v>
      </c>
      <c r="I49" s="152">
        <v>5</v>
      </c>
      <c r="J49" s="148" t="s">
        <v>754</v>
      </c>
      <c r="K49" s="152">
        <v>23</v>
      </c>
      <c r="L49" s="150"/>
      <c r="M49" s="153" t="s">
        <v>755</v>
      </c>
      <c r="N49" s="148"/>
      <c r="O49" s="152"/>
      <c r="P49" s="152"/>
      <c r="Q49" s="149"/>
      <c r="R49" s="149"/>
      <c r="S49" s="66"/>
      <c r="T49" s="66"/>
      <c r="U49" s="66"/>
      <c r="V49" s="66"/>
      <c r="W49" s="66"/>
      <c r="X49" s="66" t="s">
        <v>701</v>
      </c>
      <c r="Y49" s="66" t="s">
        <v>701</v>
      </c>
      <c r="Z49" s="66" t="s">
        <v>701</v>
      </c>
      <c r="AA49" s="87" t="s">
        <v>701</v>
      </c>
    </row>
    <row r="50" spans="2:27" ht="39.75" customHeight="1">
      <c r="B50" s="148" t="s">
        <v>688</v>
      </c>
      <c r="C50" s="149" t="s">
        <v>846</v>
      </c>
      <c r="D50" s="149" t="s">
        <v>847</v>
      </c>
      <c r="E50" s="150">
        <v>2</v>
      </c>
      <c r="F50" s="148" t="s">
        <v>848</v>
      </c>
      <c r="G50" s="159" t="s">
        <v>849</v>
      </c>
      <c r="H50" s="66" t="s">
        <v>767</v>
      </c>
      <c r="I50" s="152">
        <v>1</v>
      </c>
      <c r="J50" s="159" t="s">
        <v>694</v>
      </c>
      <c r="K50" s="152">
        <v>5</v>
      </c>
      <c r="L50" s="152"/>
      <c r="M50" s="153" t="s">
        <v>850</v>
      </c>
      <c r="N50" s="149"/>
      <c r="O50" s="150" t="s">
        <v>696</v>
      </c>
      <c r="P50" s="150"/>
      <c r="Q50" s="149"/>
      <c r="R50" s="149"/>
      <c r="S50" s="70"/>
      <c r="T50" s="70"/>
      <c r="U50" s="70"/>
      <c r="V50" s="70"/>
      <c r="W50" s="70"/>
      <c r="X50" s="66" t="s">
        <v>698</v>
      </c>
      <c r="Y50" s="70" t="s">
        <v>851</v>
      </c>
      <c r="Z50" s="70" t="s">
        <v>852</v>
      </c>
      <c r="AA50" s="87" t="s">
        <v>701</v>
      </c>
    </row>
    <row r="51" spans="2:27" ht="39.75" customHeight="1">
      <c r="B51" s="148" t="s">
        <v>688</v>
      </c>
      <c r="C51" s="149" t="s">
        <v>846</v>
      </c>
      <c r="D51" s="149" t="s">
        <v>847</v>
      </c>
      <c r="E51" s="150">
        <v>2</v>
      </c>
      <c r="F51" s="155" t="s">
        <v>853</v>
      </c>
      <c r="G51" s="148" t="s">
        <v>854</v>
      </c>
      <c r="H51" s="66" t="s">
        <v>830</v>
      </c>
      <c r="I51" s="152">
        <v>3</v>
      </c>
      <c r="J51" s="148" t="s">
        <v>694</v>
      </c>
      <c r="K51" s="152">
        <v>2</v>
      </c>
      <c r="L51" s="152"/>
      <c r="M51" s="153" t="s">
        <v>855</v>
      </c>
      <c r="N51" s="149"/>
      <c r="O51" s="150" t="s">
        <v>696</v>
      </c>
      <c r="P51" s="150"/>
      <c r="Q51" s="149"/>
      <c r="R51" s="149"/>
      <c r="S51" s="70"/>
      <c r="T51" s="70"/>
      <c r="U51" s="70"/>
      <c r="V51" s="70"/>
      <c r="W51" s="70"/>
      <c r="X51" s="66" t="s">
        <v>698</v>
      </c>
      <c r="Y51" s="70" t="s">
        <v>851</v>
      </c>
      <c r="Z51" s="70" t="s">
        <v>856</v>
      </c>
      <c r="AA51" s="87" t="s">
        <v>701</v>
      </c>
    </row>
    <row r="52" spans="2:27" ht="39.75" customHeight="1">
      <c r="B52" s="155" t="s">
        <v>688</v>
      </c>
      <c r="C52" s="160" t="s">
        <v>846</v>
      </c>
      <c r="D52" s="160" t="s">
        <v>847</v>
      </c>
      <c r="E52" s="161">
        <v>2</v>
      </c>
      <c r="F52" s="148" t="s">
        <v>857</v>
      </c>
      <c r="G52" s="148" t="s">
        <v>858</v>
      </c>
      <c r="H52" s="66" t="s">
        <v>806</v>
      </c>
      <c r="I52" s="152">
        <v>4</v>
      </c>
      <c r="J52" s="159" t="s">
        <v>694</v>
      </c>
      <c r="K52" s="152"/>
      <c r="L52" s="150"/>
      <c r="M52" s="153" t="s">
        <v>859</v>
      </c>
      <c r="N52" s="160"/>
      <c r="O52" s="161"/>
      <c r="P52" s="161"/>
      <c r="Q52" s="160"/>
      <c r="R52" s="160"/>
      <c r="S52" s="82"/>
      <c r="T52" s="82"/>
      <c r="U52" s="82"/>
      <c r="V52" s="82"/>
      <c r="W52" s="82"/>
      <c r="X52" s="66" t="s">
        <v>698</v>
      </c>
      <c r="Y52" s="82" t="s">
        <v>851</v>
      </c>
      <c r="Z52" s="70" t="s">
        <v>860</v>
      </c>
      <c r="AA52" s="80" t="s">
        <v>701</v>
      </c>
    </row>
    <row r="53" spans="2:27" ht="39.75" customHeight="1">
      <c r="B53" s="155" t="s">
        <v>688</v>
      </c>
      <c r="C53" s="160" t="s">
        <v>846</v>
      </c>
      <c r="D53" s="160" t="s">
        <v>847</v>
      </c>
      <c r="E53" s="161">
        <v>2</v>
      </c>
      <c r="F53" s="149" t="s">
        <v>861</v>
      </c>
      <c r="G53" s="149" t="s">
        <v>862</v>
      </c>
      <c r="H53" s="66" t="s">
        <v>863</v>
      </c>
      <c r="I53" s="150">
        <v>5</v>
      </c>
      <c r="J53" s="159" t="s">
        <v>694</v>
      </c>
      <c r="K53" s="150">
        <v>4</v>
      </c>
      <c r="L53" s="150"/>
      <c r="M53" s="151" t="s">
        <v>864</v>
      </c>
      <c r="N53" s="149"/>
      <c r="O53" s="161"/>
      <c r="P53" s="161"/>
      <c r="Q53" s="149"/>
      <c r="R53" s="149"/>
      <c r="S53" s="70"/>
      <c r="T53" s="70"/>
      <c r="U53" s="70"/>
      <c r="V53" s="70"/>
      <c r="W53" s="70"/>
      <c r="X53" s="66" t="s">
        <v>698</v>
      </c>
      <c r="Y53" s="82" t="s">
        <v>851</v>
      </c>
      <c r="Z53" s="82" t="s">
        <v>865</v>
      </c>
      <c r="AA53" s="80" t="s">
        <v>701</v>
      </c>
    </row>
    <row r="54" spans="2:27" ht="39.75" customHeight="1">
      <c r="B54" s="155" t="s">
        <v>688</v>
      </c>
      <c r="C54" s="160" t="s">
        <v>846</v>
      </c>
      <c r="D54" s="160" t="s">
        <v>847</v>
      </c>
      <c r="E54" s="161">
        <v>2</v>
      </c>
      <c r="F54" s="149" t="s">
        <v>866</v>
      </c>
      <c r="G54" s="149" t="s">
        <v>867</v>
      </c>
      <c r="H54" s="66" t="s">
        <v>806</v>
      </c>
      <c r="I54" s="150">
        <v>6</v>
      </c>
      <c r="J54" s="149" t="s">
        <v>836</v>
      </c>
      <c r="K54" s="150"/>
      <c r="L54" s="161"/>
      <c r="M54" s="151" t="s">
        <v>868</v>
      </c>
      <c r="N54" s="160"/>
      <c r="O54" s="161"/>
      <c r="P54" s="161"/>
      <c r="Q54" s="160"/>
      <c r="R54" s="160"/>
      <c r="S54" s="82"/>
      <c r="T54" s="82"/>
      <c r="U54" s="82"/>
      <c r="V54" s="82"/>
      <c r="W54" s="82"/>
      <c r="X54" s="66" t="s">
        <v>698</v>
      </c>
      <c r="Y54" s="82" t="s">
        <v>851</v>
      </c>
      <c r="Z54" s="82" t="s">
        <v>869</v>
      </c>
      <c r="AA54" s="80" t="s">
        <v>701</v>
      </c>
    </row>
    <row r="55" spans="2:27" ht="39.75" customHeight="1">
      <c r="B55" s="155" t="s">
        <v>688</v>
      </c>
      <c r="C55" s="160" t="s">
        <v>846</v>
      </c>
      <c r="D55" s="160" t="s">
        <v>847</v>
      </c>
      <c r="E55" s="161">
        <v>2</v>
      </c>
      <c r="F55" s="160" t="s">
        <v>870</v>
      </c>
      <c r="G55" s="160" t="s">
        <v>871</v>
      </c>
      <c r="H55" s="66" t="s">
        <v>806</v>
      </c>
      <c r="I55" s="161">
        <v>7</v>
      </c>
      <c r="J55" s="149" t="s">
        <v>836</v>
      </c>
      <c r="K55" s="161"/>
      <c r="L55" s="161"/>
      <c r="M55" s="162" t="s">
        <v>872</v>
      </c>
      <c r="N55" s="160"/>
      <c r="O55" s="161"/>
      <c r="P55" s="161"/>
      <c r="Q55" s="160"/>
      <c r="R55" s="160"/>
      <c r="S55" s="82"/>
      <c r="T55" s="82"/>
      <c r="U55" s="82"/>
      <c r="V55" s="82"/>
      <c r="W55" s="82"/>
      <c r="X55" s="66" t="s">
        <v>698</v>
      </c>
      <c r="Y55" s="82" t="s">
        <v>851</v>
      </c>
      <c r="Z55" s="82" t="s">
        <v>873</v>
      </c>
      <c r="AA55" s="80" t="s">
        <v>701</v>
      </c>
    </row>
    <row r="56" spans="2:27" ht="39.75" customHeight="1">
      <c r="B56" s="155" t="s">
        <v>688</v>
      </c>
      <c r="C56" s="160" t="s">
        <v>846</v>
      </c>
      <c r="D56" s="160" t="s">
        <v>847</v>
      </c>
      <c r="E56" s="161">
        <v>2</v>
      </c>
      <c r="F56" s="160" t="s">
        <v>874</v>
      </c>
      <c r="G56" s="160" t="s">
        <v>875</v>
      </c>
      <c r="H56" s="66" t="s">
        <v>806</v>
      </c>
      <c r="I56" s="161">
        <v>8</v>
      </c>
      <c r="J56" s="160" t="s">
        <v>836</v>
      </c>
      <c r="K56" s="161"/>
      <c r="L56" s="161"/>
      <c r="M56" s="162" t="s">
        <v>876</v>
      </c>
      <c r="N56" s="160"/>
      <c r="O56" s="161"/>
      <c r="P56" s="161"/>
      <c r="Q56" s="160"/>
      <c r="R56" s="160"/>
      <c r="S56" s="82"/>
      <c r="T56" s="82"/>
      <c r="U56" s="82"/>
      <c r="V56" s="82"/>
      <c r="W56" s="82"/>
      <c r="X56" s="66" t="s">
        <v>698</v>
      </c>
      <c r="Y56" s="82" t="s">
        <v>851</v>
      </c>
      <c r="Z56" s="82" t="s">
        <v>877</v>
      </c>
      <c r="AA56" s="80" t="s">
        <v>701</v>
      </c>
    </row>
    <row r="57" spans="2:27" ht="39.75" customHeight="1">
      <c r="B57" s="155" t="s">
        <v>688</v>
      </c>
      <c r="C57" s="160" t="s">
        <v>846</v>
      </c>
      <c r="D57" s="160" t="s">
        <v>847</v>
      </c>
      <c r="E57" s="161">
        <v>2</v>
      </c>
      <c r="F57" s="155" t="s">
        <v>747</v>
      </c>
      <c r="G57" s="155" t="s">
        <v>748</v>
      </c>
      <c r="H57" s="66" t="s">
        <v>749</v>
      </c>
      <c r="I57" s="156">
        <v>9</v>
      </c>
      <c r="J57" s="155" t="s">
        <v>694</v>
      </c>
      <c r="K57" s="156">
        <v>10</v>
      </c>
      <c r="L57" s="156"/>
      <c r="M57" s="158" t="s">
        <v>750</v>
      </c>
      <c r="N57" s="155"/>
      <c r="O57" s="156" t="s">
        <v>696</v>
      </c>
      <c r="P57" s="156"/>
      <c r="Q57" s="160"/>
      <c r="R57" s="160"/>
      <c r="S57" s="78"/>
      <c r="T57" s="78"/>
      <c r="U57" s="78"/>
      <c r="V57" s="78"/>
      <c r="W57" s="78"/>
      <c r="X57" s="66" t="s">
        <v>701</v>
      </c>
      <c r="Y57" s="78" t="s">
        <v>701</v>
      </c>
      <c r="Z57" s="78" t="s">
        <v>701</v>
      </c>
      <c r="AA57" s="80" t="s">
        <v>701</v>
      </c>
    </row>
    <row r="58" spans="2:27" ht="39.75" customHeight="1">
      <c r="B58" s="155" t="s">
        <v>688</v>
      </c>
      <c r="C58" s="160" t="s">
        <v>846</v>
      </c>
      <c r="D58" s="160" t="s">
        <v>847</v>
      </c>
      <c r="E58" s="161">
        <v>2</v>
      </c>
      <c r="F58" s="155" t="s">
        <v>751</v>
      </c>
      <c r="G58" s="155" t="s">
        <v>752</v>
      </c>
      <c r="H58" s="66" t="s">
        <v>753</v>
      </c>
      <c r="I58" s="156">
        <v>10</v>
      </c>
      <c r="J58" s="155" t="s">
        <v>754</v>
      </c>
      <c r="K58" s="156">
        <v>23</v>
      </c>
      <c r="L58" s="161"/>
      <c r="M58" s="158" t="s">
        <v>755</v>
      </c>
      <c r="N58" s="155"/>
      <c r="O58" s="156"/>
      <c r="P58" s="156"/>
      <c r="Q58" s="160"/>
      <c r="R58" s="160"/>
      <c r="S58" s="78"/>
      <c r="T58" s="78"/>
      <c r="U58" s="78"/>
      <c r="V58" s="78"/>
      <c r="W58" s="78"/>
      <c r="X58" s="66" t="s">
        <v>701</v>
      </c>
      <c r="Y58" s="78" t="s">
        <v>701</v>
      </c>
      <c r="Z58" s="78" t="s">
        <v>701</v>
      </c>
      <c r="AA58" s="80" t="s">
        <v>701</v>
      </c>
    </row>
    <row r="59" spans="2:27" ht="39.75" customHeight="1">
      <c r="B59" s="78" t="s">
        <v>688</v>
      </c>
      <c r="C59" s="78" t="s">
        <v>878</v>
      </c>
      <c r="D59" s="155" t="s">
        <v>879</v>
      </c>
      <c r="E59" s="156">
        <v>0</v>
      </c>
      <c r="F59" s="148" t="s">
        <v>848</v>
      </c>
      <c r="G59" s="159" t="s">
        <v>849</v>
      </c>
      <c r="H59" s="66" t="s">
        <v>767</v>
      </c>
      <c r="I59" s="152">
        <v>1</v>
      </c>
      <c r="J59" s="159" t="s">
        <v>694</v>
      </c>
      <c r="K59" s="152">
        <v>3</v>
      </c>
      <c r="L59" s="152"/>
      <c r="M59" s="153" t="s">
        <v>880</v>
      </c>
      <c r="N59" s="148"/>
      <c r="O59" s="152" t="s">
        <v>696</v>
      </c>
      <c r="P59" s="152"/>
      <c r="Q59" s="66"/>
      <c r="R59" s="66"/>
      <c r="S59" s="68" t="s">
        <v>881</v>
      </c>
      <c r="T59" s="66" t="s">
        <v>699</v>
      </c>
      <c r="U59" s="66" t="s">
        <v>882</v>
      </c>
      <c r="V59" s="66"/>
      <c r="W59" s="66"/>
      <c r="X59" s="66" t="s">
        <v>698</v>
      </c>
      <c r="Y59" s="70" t="s">
        <v>699</v>
      </c>
      <c r="Z59" s="70" t="s">
        <v>852</v>
      </c>
      <c r="AA59" s="80" t="s">
        <v>701</v>
      </c>
    </row>
    <row r="60" spans="2:27" ht="39.75" customHeight="1">
      <c r="B60" s="78" t="s">
        <v>688</v>
      </c>
      <c r="C60" s="78" t="s">
        <v>878</v>
      </c>
      <c r="D60" s="155" t="s">
        <v>879</v>
      </c>
      <c r="E60" s="156">
        <v>0</v>
      </c>
      <c r="F60" s="155" t="s">
        <v>883</v>
      </c>
      <c r="G60" s="157" t="s">
        <v>884</v>
      </c>
      <c r="H60" s="78" t="s">
        <v>767</v>
      </c>
      <c r="I60" s="156">
        <v>2</v>
      </c>
      <c r="J60" s="157" t="s">
        <v>694</v>
      </c>
      <c r="K60" s="156">
        <v>20</v>
      </c>
      <c r="L60" s="156"/>
      <c r="M60" s="158" t="s">
        <v>885</v>
      </c>
      <c r="N60" s="155"/>
      <c r="O60" s="156" t="s">
        <v>696</v>
      </c>
      <c r="P60" s="156"/>
      <c r="Q60" s="155"/>
      <c r="R60" s="155"/>
      <c r="S60" s="85" t="s">
        <v>881</v>
      </c>
      <c r="T60" s="78" t="s">
        <v>699</v>
      </c>
      <c r="U60" s="78" t="s">
        <v>886</v>
      </c>
      <c r="V60" s="78"/>
      <c r="W60" s="78"/>
      <c r="X60" s="78" t="s">
        <v>698</v>
      </c>
      <c r="Y60" s="82" t="s">
        <v>699</v>
      </c>
      <c r="Z60" s="82" t="s">
        <v>700</v>
      </c>
      <c r="AA60" s="80" t="s">
        <v>701</v>
      </c>
    </row>
    <row r="61" spans="2:27" ht="39.75" customHeight="1">
      <c r="B61" s="78" t="s">
        <v>688</v>
      </c>
      <c r="C61" s="78" t="s">
        <v>878</v>
      </c>
      <c r="D61" s="155" t="s">
        <v>879</v>
      </c>
      <c r="E61" s="156">
        <v>0</v>
      </c>
      <c r="F61" s="155" t="s">
        <v>804</v>
      </c>
      <c r="G61" s="155" t="s">
        <v>805</v>
      </c>
      <c r="H61" s="66" t="s">
        <v>806</v>
      </c>
      <c r="I61" s="156">
        <v>3</v>
      </c>
      <c r="J61" s="157" t="s">
        <v>694</v>
      </c>
      <c r="K61" s="156">
        <v>2</v>
      </c>
      <c r="L61" s="156"/>
      <c r="M61" s="158" t="s">
        <v>807</v>
      </c>
      <c r="N61" s="155"/>
      <c r="O61" s="152" t="s">
        <v>696</v>
      </c>
      <c r="P61" s="156"/>
      <c r="Q61" s="160"/>
      <c r="R61" s="160"/>
      <c r="S61" s="85" t="s">
        <v>881</v>
      </c>
      <c r="T61" s="78" t="s">
        <v>699</v>
      </c>
      <c r="U61" s="78" t="s">
        <v>887</v>
      </c>
      <c r="V61" s="78"/>
      <c r="W61" s="78"/>
      <c r="X61" s="78" t="s">
        <v>698</v>
      </c>
      <c r="Y61" s="82" t="s">
        <v>699</v>
      </c>
      <c r="Z61" s="82" t="s">
        <v>888</v>
      </c>
      <c r="AA61" s="80" t="s">
        <v>701</v>
      </c>
    </row>
    <row r="62" spans="2:27" ht="39.75" customHeight="1">
      <c r="B62" s="78" t="s">
        <v>688</v>
      </c>
      <c r="C62" s="78" t="s">
        <v>878</v>
      </c>
      <c r="D62" s="155" t="s">
        <v>879</v>
      </c>
      <c r="E62" s="156">
        <v>0</v>
      </c>
      <c r="F62" s="155" t="s">
        <v>857</v>
      </c>
      <c r="G62" s="157" t="s">
        <v>858</v>
      </c>
      <c r="H62" s="66" t="s">
        <v>806</v>
      </c>
      <c r="I62" s="156">
        <v>4</v>
      </c>
      <c r="J62" s="157" t="s">
        <v>694</v>
      </c>
      <c r="K62" s="156"/>
      <c r="L62" s="156"/>
      <c r="M62" s="158" t="s">
        <v>889</v>
      </c>
      <c r="N62" s="155"/>
      <c r="O62" s="152"/>
      <c r="P62" s="156"/>
      <c r="Q62" s="155"/>
      <c r="R62" s="155"/>
      <c r="S62" s="85" t="s">
        <v>881</v>
      </c>
      <c r="T62" s="78" t="s">
        <v>699</v>
      </c>
      <c r="U62" s="78" t="s">
        <v>890</v>
      </c>
      <c r="V62" s="78"/>
      <c r="W62" s="78"/>
      <c r="X62" s="78" t="s">
        <v>698</v>
      </c>
      <c r="Y62" s="82" t="s">
        <v>699</v>
      </c>
      <c r="Z62" s="82" t="s">
        <v>891</v>
      </c>
      <c r="AA62" s="80" t="s">
        <v>701</v>
      </c>
    </row>
    <row r="63" spans="2:27" ht="39.75" customHeight="1">
      <c r="B63" s="78" t="s">
        <v>688</v>
      </c>
      <c r="C63" s="78" t="s">
        <v>878</v>
      </c>
      <c r="D63" s="155" t="s">
        <v>879</v>
      </c>
      <c r="E63" s="156">
        <v>0</v>
      </c>
      <c r="F63" s="155" t="s">
        <v>892</v>
      </c>
      <c r="G63" s="157" t="s">
        <v>893</v>
      </c>
      <c r="H63" s="66" t="s">
        <v>806</v>
      </c>
      <c r="I63" s="156">
        <v>5</v>
      </c>
      <c r="J63" s="157" t="s">
        <v>694</v>
      </c>
      <c r="K63" s="156">
        <v>30</v>
      </c>
      <c r="L63" s="156"/>
      <c r="M63" s="158" t="s">
        <v>894</v>
      </c>
      <c r="N63" s="155"/>
      <c r="O63" s="152"/>
      <c r="P63" s="156"/>
      <c r="Q63" s="155"/>
      <c r="R63" s="155"/>
      <c r="S63" s="85" t="s">
        <v>881</v>
      </c>
      <c r="T63" s="78" t="s">
        <v>699</v>
      </c>
      <c r="U63" s="78" t="s">
        <v>895</v>
      </c>
      <c r="V63" s="78"/>
      <c r="W63" s="78"/>
      <c r="X63" s="78" t="s">
        <v>698</v>
      </c>
      <c r="Y63" s="82" t="s">
        <v>699</v>
      </c>
      <c r="Z63" s="82" t="s">
        <v>896</v>
      </c>
      <c r="AA63" s="80" t="s">
        <v>701</v>
      </c>
    </row>
    <row r="64" spans="2:27" ht="39.75" customHeight="1">
      <c r="B64" s="78" t="s">
        <v>688</v>
      </c>
      <c r="C64" s="78" t="s">
        <v>878</v>
      </c>
      <c r="D64" s="155" t="s">
        <v>879</v>
      </c>
      <c r="E64" s="156">
        <v>0</v>
      </c>
      <c r="F64" s="155" t="s">
        <v>897</v>
      </c>
      <c r="G64" s="155" t="s">
        <v>898</v>
      </c>
      <c r="H64" s="66" t="s">
        <v>806</v>
      </c>
      <c r="I64" s="156">
        <v>6</v>
      </c>
      <c r="J64" s="157" t="s">
        <v>694</v>
      </c>
      <c r="K64" s="156">
        <v>15</v>
      </c>
      <c r="L64" s="156"/>
      <c r="M64" s="153" t="s">
        <v>899</v>
      </c>
      <c r="N64" s="155"/>
      <c r="O64" s="156"/>
      <c r="P64" s="156"/>
      <c r="Q64" s="160"/>
      <c r="R64" s="160"/>
      <c r="S64" s="85" t="s">
        <v>881</v>
      </c>
      <c r="T64" s="78" t="s">
        <v>699</v>
      </c>
      <c r="U64" s="78" t="s">
        <v>900</v>
      </c>
      <c r="V64" s="78"/>
      <c r="W64" s="78"/>
      <c r="X64" s="78" t="s">
        <v>698</v>
      </c>
      <c r="Y64" s="82" t="s">
        <v>699</v>
      </c>
      <c r="Z64" s="82" t="s">
        <v>901</v>
      </c>
      <c r="AA64" s="80" t="s">
        <v>701</v>
      </c>
    </row>
    <row r="65" spans="2:27" ht="39.75" customHeight="1">
      <c r="B65" s="78" t="s">
        <v>688</v>
      </c>
      <c r="C65" s="78" t="s">
        <v>878</v>
      </c>
      <c r="D65" s="155" t="s">
        <v>879</v>
      </c>
      <c r="E65" s="152">
        <v>0</v>
      </c>
      <c r="F65" s="148" t="s">
        <v>902</v>
      </c>
      <c r="G65" s="148" t="s">
        <v>903</v>
      </c>
      <c r="H65" s="66" t="s">
        <v>806</v>
      </c>
      <c r="I65" s="152">
        <v>7</v>
      </c>
      <c r="J65" s="159" t="s">
        <v>694</v>
      </c>
      <c r="K65" s="152">
        <v>15</v>
      </c>
      <c r="L65" s="152"/>
      <c r="M65" s="163" t="s">
        <v>899</v>
      </c>
      <c r="N65" s="148"/>
      <c r="O65" s="152"/>
      <c r="P65" s="152"/>
      <c r="Q65" s="149"/>
      <c r="R65" s="149"/>
      <c r="S65" s="68" t="s">
        <v>881</v>
      </c>
      <c r="T65" s="66" t="s">
        <v>699</v>
      </c>
      <c r="U65" s="66" t="s">
        <v>904</v>
      </c>
      <c r="V65" s="66"/>
      <c r="W65" s="66"/>
      <c r="X65" s="78" t="s">
        <v>698</v>
      </c>
      <c r="Y65" s="82" t="s">
        <v>699</v>
      </c>
      <c r="Z65" s="82" t="s">
        <v>905</v>
      </c>
      <c r="AA65" s="80" t="s">
        <v>701</v>
      </c>
    </row>
    <row r="66" spans="2:27" ht="39.75" customHeight="1">
      <c r="B66" s="78" t="s">
        <v>688</v>
      </c>
      <c r="C66" s="78" t="s">
        <v>878</v>
      </c>
      <c r="D66" s="155" t="s">
        <v>879</v>
      </c>
      <c r="E66" s="156">
        <v>0</v>
      </c>
      <c r="F66" s="148" t="s">
        <v>906</v>
      </c>
      <c r="G66" s="148" t="s">
        <v>907</v>
      </c>
      <c r="H66" s="66" t="s">
        <v>806</v>
      </c>
      <c r="I66" s="152">
        <v>8</v>
      </c>
      <c r="J66" s="159" t="s">
        <v>694</v>
      </c>
      <c r="K66" s="152">
        <v>15</v>
      </c>
      <c r="L66" s="152"/>
      <c r="M66" s="153" t="s">
        <v>899</v>
      </c>
      <c r="N66" s="148"/>
      <c r="O66" s="152"/>
      <c r="P66" s="152"/>
      <c r="Q66" s="149"/>
      <c r="R66" s="149"/>
      <c r="S66" s="68" t="s">
        <v>881</v>
      </c>
      <c r="T66" s="66" t="s">
        <v>699</v>
      </c>
      <c r="U66" s="66" t="s">
        <v>908</v>
      </c>
      <c r="V66" s="66"/>
      <c r="W66" s="66"/>
      <c r="X66" s="66" t="s">
        <v>698</v>
      </c>
      <c r="Y66" s="70" t="s">
        <v>699</v>
      </c>
      <c r="Z66" s="70" t="s">
        <v>909</v>
      </c>
      <c r="AA66" s="80" t="s">
        <v>701</v>
      </c>
    </row>
    <row r="67" spans="2:27" ht="39.75" customHeight="1">
      <c r="B67" s="78" t="s">
        <v>688</v>
      </c>
      <c r="C67" s="78" t="s">
        <v>878</v>
      </c>
      <c r="D67" s="155" t="s">
        <v>879</v>
      </c>
      <c r="E67" s="156">
        <v>0</v>
      </c>
      <c r="F67" s="155" t="s">
        <v>910</v>
      </c>
      <c r="G67" s="155" t="s">
        <v>911</v>
      </c>
      <c r="H67" s="78" t="s">
        <v>806</v>
      </c>
      <c r="I67" s="156">
        <v>9</v>
      </c>
      <c r="J67" s="157" t="s">
        <v>694</v>
      </c>
      <c r="K67" s="156">
        <v>15</v>
      </c>
      <c r="L67" s="156"/>
      <c r="M67" s="158" t="s">
        <v>899</v>
      </c>
      <c r="N67" s="155"/>
      <c r="O67" s="156"/>
      <c r="P67" s="156"/>
      <c r="Q67" s="160"/>
      <c r="R67" s="160"/>
      <c r="S67" s="85" t="s">
        <v>881</v>
      </c>
      <c r="T67" s="78" t="s">
        <v>699</v>
      </c>
      <c r="U67" s="78" t="s">
        <v>912</v>
      </c>
      <c r="V67" s="78"/>
      <c r="W67" s="78"/>
      <c r="X67" s="78" t="s">
        <v>698</v>
      </c>
      <c r="Y67" s="82" t="s">
        <v>699</v>
      </c>
      <c r="Z67" s="82" t="s">
        <v>913</v>
      </c>
      <c r="AA67" s="80" t="s">
        <v>701</v>
      </c>
    </row>
    <row r="68" spans="2:27" ht="39.75" customHeight="1">
      <c r="B68" s="78" t="s">
        <v>688</v>
      </c>
      <c r="C68" s="78" t="s">
        <v>878</v>
      </c>
      <c r="D68" s="155" t="s">
        <v>879</v>
      </c>
      <c r="E68" s="156">
        <v>0</v>
      </c>
      <c r="F68" s="155" t="s">
        <v>914</v>
      </c>
      <c r="G68" s="155" t="s">
        <v>915</v>
      </c>
      <c r="H68" s="66" t="s">
        <v>806</v>
      </c>
      <c r="I68" s="156">
        <v>10</v>
      </c>
      <c r="J68" s="157" t="s">
        <v>694</v>
      </c>
      <c r="K68" s="156">
        <v>15</v>
      </c>
      <c r="L68" s="156"/>
      <c r="M68" s="158" t="s">
        <v>899</v>
      </c>
      <c r="N68" s="155"/>
      <c r="O68" s="152"/>
      <c r="P68" s="156"/>
      <c r="Q68" s="160"/>
      <c r="R68" s="160"/>
      <c r="S68" s="85" t="s">
        <v>881</v>
      </c>
      <c r="T68" s="78" t="s">
        <v>699</v>
      </c>
      <c r="U68" s="78" t="s">
        <v>916</v>
      </c>
      <c r="V68" s="78"/>
      <c r="W68" s="78"/>
      <c r="X68" s="78" t="s">
        <v>698</v>
      </c>
      <c r="Y68" s="82" t="s">
        <v>699</v>
      </c>
      <c r="Z68" s="82" t="s">
        <v>917</v>
      </c>
      <c r="AA68" s="80" t="s">
        <v>701</v>
      </c>
    </row>
    <row r="69" spans="2:27" ht="39.75" customHeight="1">
      <c r="B69" s="78" t="s">
        <v>688</v>
      </c>
      <c r="C69" s="78" t="s">
        <v>878</v>
      </c>
      <c r="D69" s="155" t="s">
        <v>879</v>
      </c>
      <c r="E69" s="156">
        <v>0</v>
      </c>
      <c r="F69" s="155" t="s">
        <v>918</v>
      </c>
      <c r="G69" s="155" t="s">
        <v>919</v>
      </c>
      <c r="H69" s="66" t="s">
        <v>806</v>
      </c>
      <c r="I69" s="156">
        <v>11</v>
      </c>
      <c r="J69" s="157" t="s">
        <v>694</v>
      </c>
      <c r="K69" s="156">
        <v>15</v>
      </c>
      <c r="L69" s="156"/>
      <c r="M69" s="158" t="s">
        <v>899</v>
      </c>
      <c r="N69" s="155"/>
      <c r="O69" s="152"/>
      <c r="P69" s="156"/>
      <c r="Q69" s="160"/>
      <c r="R69" s="160"/>
      <c r="S69" s="85" t="s">
        <v>881</v>
      </c>
      <c r="T69" s="78" t="s">
        <v>699</v>
      </c>
      <c r="U69" s="78" t="s">
        <v>920</v>
      </c>
      <c r="V69" s="78"/>
      <c r="W69" s="78"/>
      <c r="X69" s="78" t="s">
        <v>698</v>
      </c>
      <c r="Y69" s="82" t="s">
        <v>699</v>
      </c>
      <c r="Z69" s="82" t="s">
        <v>921</v>
      </c>
      <c r="AA69" s="80" t="s">
        <v>701</v>
      </c>
    </row>
    <row r="70" spans="2:27" ht="39.75" customHeight="1">
      <c r="B70" s="78" t="s">
        <v>688</v>
      </c>
      <c r="C70" s="78" t="s">
        <v>878</v>
      </c>
      <c r="D70" s="155" t="s">
        <v>879</v>
      </c>
      <c r="E70" s="156">
        <v>0</v>
      </c>
      <c r="F70" s="155" t="s">
        <v>922</v>
      </c>
      <c r="G70" s="155" t="s">
        <v>923</v>
      </c>
      <c r="H70" s="66" t="s">
        <v>806</v>
      </c>
      <c r="I70" s="156">
        <v>12</v>
      </c>
      <c r="J70" s="157" t="s">
        <v>694</v>
      </c>
      <c r="K70" s="156">
        <v>15</v>
      </c>
      <c r="L70" s="156"/>
      <c r="M70" s="158" t="s">
        <v>899</v>
      </c>
      <c r="N70" s="155"/>
      <c r="O70" s="156"/>
      <c r="P70" s="156"/>
      <c r="Q70" s="160"/>
      <c r="R70" s="160"/>
      <c r="S70" s="85" t="s">
        <v>881</v>
      </c>
      <c r="T70" s="78" t="s">
        <v>699</v>
      </c>
      <c r="U70" s="78" t="s">
        <v>924</v>
      </c>
      <c r="V70" s="78"/>
      <c r="W70" s="78"/>
      <c r="X70" s="78" t="s">
        <v>698</v>
      </c>
      <c r="Y70" s="82" t="s">
        <v>699</v>
      </c>
      <c r="Z70" s="82" t="s">
        <v>925</v>
      </c>
      <c r="AA70" s="80" t="s">
        <v>701</v>
      </c>
    </row>
    <row r="71" spans="2:27" ht="39.75" customHeight="1">
      <c r="B71" s="78" t="s">
        <v>688</v>
      </c>
      <c r="C71" s="78" t="s">
        <v>878</v>
      </c>
      <c r="D71" s="155" t="s">
        <v>879</v>
      </c>
      <c r="E71" s="152">
        <v>0</v>
      </c>
      <c r="F71" s="148" t="s">
        <v>926</v>
      </c>
      <c r="G71" s="148" t="s">
        <v>927</v>
      </c>
      <c r="H71" s="66" t="s">
        <v>806</v>
      </c>
      <c r="I71" s="152">
        <v>13</v>
      </c>
      <c r="J71" s="159" t="s">
        <v>694</v>
      </c>
      <c r="K71" s="152">
        <v>15</v>
      </c>
      <c r="L71" s="152"/>
      <c r="M71" s="153" t="s">
        <v>899</v>
      </c>
      <c r="N71" s="148"/>
      <c r="O71" s="152"/>
      <c r="P71" s="152"/>
      <c r="Q71" s="149"/>
      <c r="R71" s="149"/>
      <c r="S71" s="68" t="s">
        <v>881</v>
      </c>
      <c r="T71" s="66" t="s">
        <v>699</v>
      </c>
      <c r="U71" s="66" t="s">
        <v>928</v>
      </c>
      <c r="V71" s="66"/>
      <c r="W71" s="66"/>
      <c r="X71" s="66" t="s">
        <v>698</v>
      </c>
      <c r="Y71" s="70" t="s">
        <v>699</v>
      </c>
      <c r="Z71" s="70" t="s">
        <v>929</v>
      </c>
      <c r="AA71" s="80" t="s">
        <v>701</v>
      </c>
    </row>
    <row r="72" spans="2:27" ht="39.75" customHeight="1">
      <c r="B72" s="78" t="s">
        <v>688</v>
      </c>
      <c r="C72" s="78" t="s">
        <v>878</v>
      </c>
      <c r="D72" s="155" t="s">
        <v>879</v>
      </c>
      <c r="E72" s="156">
        <v>0</v>
      </c>
      <c r="F72" s="155" t="s">
        <v>930</v>
      </c>
      <c r="G72" s="155" t="s">
        <v>931</v>
      </c>
      <c r="H72" s="78" t="s">
        <v>806</v>
      </c>
      <c r="I72" s="156">
        <v>14</v>
      </c>
      <c r="J72" s="157" t="s">
        <v>694</v>
      </c>
      <c r="K72" s="156">
        <v>15</v>
      </c>
      <c r="L72" s="156"/>
      <c r="M72" s="158" t="s">
        <v>899</v>
      </c>
      <c r="N72" s="155"/>
      <c r="O72" s="156"/>
      <c r="P72" s="156"/>
      <c r="Q72" s="160"/>
      <c r="R72" s="160"/>
      <c r="S72" s="85" t="s">
        <v>881</v>
      </c>
      <c r="T72" s="78" t="s">
        <v>699</v>
      </c>
      <c r="U72" s="78" t="s">
        <v>932</v>
      </c>
      <c r="V72" s="78"/>
      <c r="W72" s="78"/>
      <c r="X72" s="78" t="s">
        <v>698</v>
      </c>
      <c r="Y72" s="82" t="s">
        <v>699</v>
      </c>
      <c r="Z72" s="82" t="s">
        <v>933</v>
      </c>
      <c r="AA72" s="80" t="s">
        <v>701</v>
      </c>
    </row>
    <row r="73" spans="2:27" ht="39.75" customHeight="1">
      <c r="B73" s="78" t="s">
        <v>688</v>
      </c>
      <c r="C73" s="78" t="s">
        <v>878</v>
      </c>
      <c r="D73" s="155" t="s">
        <v>879</v>
      </c>
      <c r="E73" s="156">
        <v>0</v>
      </c>
      <c r="F73" s="155" t="s">
        <v>934</v>
      </c>
      <c r="G73" s="155" t="s">
        <v>935</v>
      </c>
      <c r="H73" s="66" t="s">
        <v>806</v>
      </c>
      <c r="I73" s="156">
        <v>15</v>
      </c>
      <c r="J73" s="159" t="s">
        <v>694</v>
      </c>
      <c r="K73" s="156">
        <v>15</v>
      </c>
      <c r="L73" s="156"/>
      <c r="M73" s="158" t="s">
        <v>899</v>
      </c>
      <c r="N73" s="155"/>
      <c r="O73" s="152"/>
      <c r="P73" s="156"/>
      <c r="Q73" s="160"/>
      <c r="R73" s="160"/>
      <c r="S73" s="85" t="s">
        <v>881</v>
      </c>
      <c r="T73" s="78" t="s">
        <v>699</v>
      </c>
      <c r="U73" s="78" t="s">
        <v>936</v>
      </c>
      <c r="V73" s="78"/>
      <c r="W73" s="78"/>
      <c r="X73" s="78" t="s">
        <v>698</v>
      </c>
      <c r="Y73" s="82" t="s">
        <v>699</v>
      </c>
      <c r="Z73" s="82" t="s">
        <v>937</v>
      </c>
      <c r="AA73" s="80" t="s">
        <v>701</v>
      </c>
    </row>
    <row r="74" spans="2:27" ht="39.75" customHeight="1">
      <c r="B74" s="78" t="s">
        <v>688</v>
      </c>
      <c r="C74" s="78" t="s">
        <v>878</v>
      </c>
      <c r="D74" s="155" t="s">
        <v>879</v>
      </c>
      <c r="E74" s="156">
        <v>0</v>
      </c>
      <c r="F74" s="155" t="s">
        <v>938</v>
      </c>
      <c r="G74" s="155" t="s">
        <v>939</v>
      </c>
      <c r="H74" s="66" t="s">
        <v>806</v>
      </c>
      <c r="I74" s="156">
        <v>16</v>
      </c>
      <c r="J74" s="159" t="s">
        <v>694</v>
      </c>
      <c r="K74" s="156">
        <v>15</v>
      </c>
      <c r="L74" s="156"/>
      <c r="M74" s="158" t="s">
        <v>899</v>
      </c>
      <c r="N74" s="155"/>
      <c r="O74" s="156"/>
      <c r="P74" s="156"/>
      <c r="Q74" s="160"/>
      <c r="R74" s="160"/>
      <c r="S74" s="85" t="s">
        <v>881</v>
      </c>
      <c r="T74" s="78" t="s">
        <v>699</v>
      </c>
      <c r="U74" s="78" t="s">
        <v>940</v>
      </c>
      <c r="V74" s="78"/>
      <c r="W74" s="78"/>
      <c r="X74" s="78" t="s">
        <v>698</v>
      </c>
      <c r="Y74" s="82" t="s">
        <v>699</v>
      </c>
      <c r="Z74" s="82" t="s">
        <v>941</v>
      </c>
      <c r="AA74" s="80" t="s">
        <v>701</v>
      </c>
    </row>
    <row r="75" spans="2:27" ht="39.75" customHeight="1">
      <c r="B75" s="78" t="s">
        <v>688</v>
      </c>
      <c r="C75" s="78" t="s">
        <v>878</v>
      </c>
      <c r="D75" s="155" t="s">
        <v>879</v>
      </c>
      <c r="E75" s="156">
        <v>0</v>
      </c>
      <c r="F75" s="155" t="s">
        <v>942</v>
      </c>
      <c r="G75" s="155" t="s">
        <v>943</v>
      </c>
      <c r="H75" s="66" t="s">
        <v>806</v>
      </c>
      <c r="I75" s="156">
        <v>17</v>
      </c>
      <c r="J75" s="159" t="s">
        <v>694</v>
      </c>
      <c r="K75" s="156">
        <v>15</v>
      </c>
      <c r="L75" s="156"/>
      <c r="M75" s="158" t="s">
        <v>899</v>
      </c>
      <c r="N75" s="155"/>
      <c r="O75" s="156"/>
      <c r="P75" s="156"/>
      <c r="Q75" s="160"/>
      <c r="R75" s="160"/>
      <c r="S75" s="85" t="s">
        <v>881</v>
      </c>
      <c r="T75" s="78" t="s">
        <v>699</v>
      </c>
      <c r="U75" s="78" t="s">
        <v>944</v>
      </c>
      <c r="V75" s="78"/>
      <c r="W75" s="78"/>
      <c r="X75" s="78" t="s">
        <v>698</v>
      </c>
      <c r="Y75" s="82" t="s">
        <v>699</v>
      </c>
      <c r="Z75" s="82" t="s">
        <v>945</v>
      </c>
      <c r="AA75" s="80" t="s">
        <v>701</v>
      </c>
    </row>
    <row r="76" spans="2:27" ht="39.75" customHeight="1">
      <c r="B76" s="78" t="s">
        <v>688</v>
      </c>
      <c r="C76" s="78" t="s">
        <v>878</v>
      </c>
      <c r="D76" s="155" t="s">
        <v>879</v>
      </c>
      <c r="E76" s="152">
        <v>0</v>
      </c>
      <c r="F76" s="148" t="s">
        <v>946</v>
      </c>
      <c r="G76" s="148" t="s">
        <v>947</v>
      </c>
      <c r="H76" s="66" t="s">
        <v>806</v>
      </c>
      <c r="I76" s="152">
        <v>18</v>
      </c>
      <c r="J76" s="159" t="s">
        <v>694</v>
      </c>
      <c r="K76" s="152">
        <v>15</v>
      </c>
      <c r="L76" s="152"/>
      <c r="M76" s="153" t="s">
        <v>899</v>
      </c>
      <c r="N76" s="148"/>
      <c r="O76" s="152"/>
      <c r="P76" s="152"/>
      <c r="Q76" s="149"/>
      <c r="R76" s="149"/>
      <c r="S76" s="68" t="s">
        <v>881</v>
      </c>
      <c r="T76" s="66" t="s">
        <v>699</v>
      </c>
      <c r="U76" s="66" t="s">
        <v>948</v>
      </c>
      <c r="V76" s="66"/>
      <c r="W76" s="66"/>
      <c r="X76" s="66" t="s">
        <v>698</v>
      </c>
      <c r="Y76" s="70" t="s">
        <v>699</v>
      </c>
      <c r="Z76" s="70" t="s">
        <v>949</v>
      </c>
      <c r="AA76" s="80" t="s">
        <v>701</v>
      </c>
    </row>
    <row r="77" spans="2:27" ht="39.75" customHeight="1">
      <c r="B77" s="78" t="s">
        <v>688</v>
      </c>
      <c r="C77" s="78" t="s">
        <v>878</v>
      </c>
      <c r="D77" s="155" t="s">
        <v>879</v>
      </c>
      <c r="E77" s="156">
        <v>0</v>
      </c>
      <c r="F77" s="155" t="s">
        <v>950</v>
      </c>
      <c r="G77" s="155" t="s">
        <v>951</v>
      </c>
      <c r="H77" s="78" t="s">
        <v>806</v>
      </c>
      <c r="I77" s="156">
        <v>19</v>
      </c>
      <c r="J77" s="157" t="s">
        <v>694</v>
      </c>
      <c r="K77" s="156">
        <v>15</v>
      </c>
      <c r="L77" s="156"/>
      <c r="M77" s="158" t="s">
        <v>899</v>
      </c>
      <c r="N77" s="155"/>
      <c r="O77" s="156"/>
      <c r="P77" s="156"/>
      <c r="Q77" s="160"/>
      <c r="R77" s="160"/>
      <c r="S77" s="85" t="s">
        <v>881</v>
      </c>
      <c r="T77" s="78" t="s">
        <v>699</v>
      </c>
      <c r="U77" s="78" t="s">
        <v>952</v>
      </c>
      <c r="V77" s="78"/>
      <c r="W77" s="78"/>
      <c r="X77" s="78" t="s">
        <v>698</v>
      </c>
      <c r="Y77" s="82" t="s">
        <v>699</v>
      </c>
      <c r="Z77" s="82" t="s">
        <v>953</v>
      </c>
      <c r="AA77" s="80" t="s">
        <v>701</v>
      </c>
    </row>
    <row r="78" spans="2:27" ht="39.75" customHeight="1">
      <c r="B78" s="78" t="s">
        <v>688</v>
      </c>
      <c r="C78" s="78" t="s">
        <v>878</v>
      </c>
      <c r="D78" s="155" t="s">
        <v>879</v>
      </c>
      <c r="E78" s="156">
        <v>0</v>
      </c>
      <c r="F78" s="155" t="s">
        <v>954</v>
      </c>
      <c r="G78" s="148" t="s">
        <v>955</v>
      </c>
      <c r="H78" s="66" t="s">
        <v>806</v>
      </c>
      <c r="I78" s="156">
        <v>20</v>
      </c>
      <c r="J78" s="159" t="s">
        <v>694</v>
      </c>
      <c r="K78" s="156">
        <v>15</v>
      </c>
      <c r="L78" s="156"/>
      <c r="M78" s="158" t="s">
        <v>899</v>
      </c>
      <c r="N78" s="155"/>
      <c r="O78" s="156"/>
      <c r="P78" s="156"/>
      <c r="Q78" s="160"/>
      <c r="R78" s="160"/>
      <c r="S78" s="85" t="s">
        <v>881</v>
      </c>
      <c r="T78" s="78" t="s">
        <v>699</v>
      </c>
      <c r="U78" s="78" t="s">
        <v>956</v>
      </c>
      <c r="V78" s="78"/>
      <c r="W78" s="78"/>
      <c r="X78" s="78" t="s">
        <v>698</v>
      </c>
      <c r="Y78" s="82" t="s">
        <v>699</v>
      </c>
      <c r="Z78" s="82" t="s">
        <v>957</v>
      </c>
      <c r="AA78" s="80" t="s">
        <v>701</v>
      </c>
    </row>
    <row r="79" spans="2:27" ht="39.75" customHeight="1">
      <c r="B79" s="78" t="s">
        <v>688</v>
      </c>
      <c r="C79" s="78" t="s">
        <v>878</v>
      </c>
      <c r="D79" s="155" t="s">
        <v>879</v>
      </c>
      <c r="E79" s="156">
        <v>0</v>
      </c>
      <c r="F79" s="148" t="s">
        <v>958</v>
      </c>
      <c r="G79" s="148" t="s">
        <v>959</v>
      </c>
      <c r="H79" s="66" t="s">
        <v>806</v>
      </c>
      <c r="I79" s="152">
        <v>21</v>
      </c>
      <c r="J79" s="159" t="s">
        <v>694</v>
      </c>
      <c r="K79" s="152">
        <v>15</v>
      </c>
      <c r="L79" s="152"/>
      <c r="M79" s="158" t="s">
        <v>899</v>
      </c>
      <c r="N79" s="148"/>
      <c r="O79" s="152"/>
      <c r="P79" s="152"/>
      <c r="Q79" s="149"/>
      <c r="R79" s="149"/>
      <c r="S79" s="68" t="s">
        <v>881</v>
      </c>
      <c r="T79" s="66" t="s">
        <v>699</v>
      </c>
      <c r="U79" s="66" t="s">
        <v>960</v>
      </c>
      <c r="V79" s="66"/>
      <c r="W79" s="66"/>
      <c r="X79" s="78" t="s">
        <v>698</v>
      </c>
      <c r="Y79" s="82" t="s">
        <v>699</v>
      </c>
      <c r="Z79" s="82" t="s">
        <v>961</v>
      </c>
      <c r="AA79" s="80" t="s">
        <v>701</v>
      </c>
    </row>
    <row r="80" spans="2:27" ht="39.75" customHeight="1">
      <c r="B80" s="78" t="s">
        <v>688</v>
      </c>
      <c r="C80" s="78" t="s">
        <v>878</v>
      </c>
      <c r="D80" s="155" t="s">
        <v>879</v>
      </c>
      <c r="E80" s="156">
        <v>0</v>
      </c>
      <c r="F80" s="148" t="s">
        <v>962</v>
      </c>
      <c r="G80" s="148" t="s">
        <v>963</v>
      </c>
      <c r="H80" s="66" t="s">
        <v>806</v>
      </c>
      <c r="I80" s="152">
        <v>22</v>
      </c>
      <c r="J80" s="159" t="s">
        <v>694</v>
      </c>
      <c r="K80" s="152">
        <v>15</v>
      </c>
      <c r="L80" s="152"/>
      <c r="M80" s="158" t="s">
        <v>899</v>
      </c>
      <c r="N80" s="148"/>
      <c r="O80" s="152"/>
      <c r="P80" s="152"/>
      <c r="Q80" s="149"/>
      <c r="R80" s="149"/>
      <c r="S80" s="68" t="s">
        <v>881</v>
      </c>
      <c r="T80" s="66" t="s">
        <v>699</v>
      </c>
      <c r="U80" s="66" t="s">
        <v>964</v>
      </c>
      <c r="V80" s="66"/>
      <c r="W80" s="66"/>
      <c r="X80" s="78" t="s">
        <v>698</v>
      </c>
      <c r="Y80" s="82" t="s">
        <v>699</v>
      </c>
      <c r="Z80" s="82" t="s">
        <v>965</v>
      </c>
      <c r="AA80" s="80" t="s">
        <v>701</v>
      </c>
    </row>
    <row r="81" spans="2:27" ht="39.75" customHeight="1">
      <c r="B81" s="78" t="s">
        <v>688</v>
      </c>
      <c r="C81" s="78" t="s">
        <v>878</v>
      </c>
      <c r="D81" s="155" t="s">
        <v>879</v>
      </c>
      <c r="E81" s="156">
        <v>0</v>
      </c>
      <c r="F81" s="148" t="s">
        <v>966</v>
      </c>
      <c r="G81" s="148" t="s">
        <v>967</v>
      </c>
      <c r="H81" s="66" t="s">
        <v>806</v>
      </c>
      <c r="I81" s="152">
        <v>23</v>
      </c>
      <c r="J81" s="159" t="s">
        <v>694</v>
      </c>
      <c r="K81" s="152">
        <v>15</v>
      </c>
      <c r="L81" s="152"/>
      <c r="M81" s="158" t="s">
        <v>899</v>
      </c>
      <c r="N81" s="148"/>
      <c r="O81" s="152"/>
      <c r="P81" s="152"/>
      <c r="Q81" s="149"/>
      <c r="R81" s="149"/>
      <c r="S81" s="68" t="s">
        <v>881</v>
      </c>
      <c r="T81" s="66" t="s">
        <v>699</v>
      </c>
      <c r="U81" s="66" t="s">
        <v>968</v>
      </c>
      <c r="V81" s="66"/>
      <c r="W81" s="66"/>
      <c r="X81" s="78" t="s">
        <v>698</v>
      </c>
      <c r="Y81" s="82" t="s">
        <v>699</v>
      </c>
      <c r="Z81" s="82" t="s">
        <v>969</v>
      </c>
      <c r="AA81" s="80" t="s">
        <v>701</v>
      </c>
    </row>
    <row r="82" spans="2:27" ht="39.75" customHeight="1">
      <c r="B82" s="78" t="s">
        <v>688</v>
      </c>
      <c r="C82" s="78" t="s">
        <v>878</v>
      </c>
      <c r="D82" s="155" t="s">
        <v>879</v>
      </c>
      <c r="E82" s="156">
        <v>0</v>
      </c>
      <c r="F82" s="148" t="s">
        <v>970</v>
      </c>
      <c r="G82" s="148" t="s">
        <v>971</v>
      </c>
      <c r="H82" s="66" t="s">
        <v>806</v>
      </c>
      <c r="I82" s="152">
        <v>24</v>
      </c>
      <c r="J82" s="159" t="s">
        <v>694</v>
      </c>
      <c r="K82" s="152">
        <v>15</v>
      </c>
      <c r="L82" s="152"/>
      <c r="M82" s="153" t="s">
        <v>899</v>
      </c>
      <c r="N82" s="148"/>
      <c r="O82" s="152"/>
      <c r="P82" s="152"/>
      <c r="Q82" s="149"/>
      <c r="R82" s="149"/>
      <c r="S82" s="68" t="s">
        <v>881</v>
      </c>
      <c r="T82" s="66" t="s">
        <v>699</v>
      </c>
      <c r="U82" s="66" t="s">
        <v>972</v>
      </c>
      <c r="V82" s="66"/>
      <c r="W82" s="66"/>
      <c r="X82" s="78" t="s">
        <v>698</v>
      </c>
      <c r="Y82" s="82" t="s">
        <v>699</v>
      </c>
      <c r="Z82" s="82" t="s">
        <v>973</v>
      </c>
      <c r="AA82" s="80" t="s">
        <v>701</v>
      </c>
    </row>
    <row r="83" spans="2:27" ht="39.75" customHeight="1">
      <c r="B83" s="78" t="s">
        <v>688</v>
      </c>
      <c r="C83" s="78" t="s">
        <v>878</v>
      </c>
      <c r="D83" s="155" t="s">
        <v>879</v>
      </c>
      <c r="E83" s="156">
        <v>0</v>
      </c>
      <c r="F83" s="155" t="s">
        <v>974</v>
      </c>
      <c r="G83" s="148" t="s">
        <v>975</v>
      </c>
      <c r="H83" s="78" t="s">
        <v>806</v>
      </c>
      <c r="I83" s="152">
        <v>25</v>
      </c>
      <c r="J83" s="157" t="s">
        <v>694</v>
      </c>
      <c r="K83" s="152">
        <v>15</v>
      </c>
      <c r="L83" s="152"/>
      <c r="M83" s="158" t="s">
        <v>899</v>
      </c>
      <c r="N83" s="148"/>
      <c r="O83" s="152"/>
      <c r="P83" s="152"/>
      <c r="Q83" s="149"/>
      <c r="R83" s="149"/>
      <c r="S83" s="68" t="s">
        <v>881</v>
      </c>
      <c r="T83" s="66" t="s">
        <v>699</v>
      </c>
      <c r="U83" s="66" t="s">
        <v>976</v>
      </c>
      <c r="V83" s="66"/>
      <c r="W83" s="66"/>
      <c r="X83" s="78" t="s">
        <v>698</v>
      </c>
      <c r="Y83" s="82" t="s">
        <v>699</v>
      </c>
      <c r="Z83" s="82" t="s">
        <v>977</v>
      </c>
      <c r="AA83" s="80" t="s">
        <v>701</v>
      </c>
    </row>
    <row r="84" spans="2:27" ht="39.75" customHeight="1">
      <c r="B84" s="78" t="s">
        <v>688</v>
      </c>
      <c r="C84" s="78" t="s">
        <v>878</v>
      </c>
      <c r="D84" s="155" t="s">
        <v>879</v>
      </c>
      <c r="E84" s="156">
        <v>0</v>
      </c>
      <c r="F84" s="78" t="s">
        <v>747</v>
      </c>
      <c r="G84" s="78" t="s">
        <v>748</v>
      </c>
      <c r="H84" s="66" t="s">
        <v>749</v>
      </c>
      <c r="I84" s="81">
        <v>27</v>
      </c>
      <c r="J84" s="84" t="s">
        <v>694</v>
      </c>
      <c r="K84" s="81">
        <v>10</v>
      </c>
      <c r="L84" s="81"/>
      <c r="M84" s="85" t="s">
        <v>750</v>
      </c>
      <c r="N84" s="78"/>
      <c r="O84" s="81" t="s">
        <v>696</v>
      </c>
      <c r="P84" s="81"/>
      <c r="Q84" s="155"/>
      <c r="R84" s="155"/>
      <c r="S84" s="85" t="s">
        <v>881</v>
      </c>
      <c r="T84" s="78" t="s">
        <v>699</v>
      </c>
      <c r="U84" s="78" t="s">
        <v>978</v>
      </c>
      <c r="V84" s="78"/>
      <c r="W84" s="78"/>
      <c r="X84" s="78" t="s">
        <v>701</v>
      </c>
      <c r="Y84" s="78" t="s">
        <v>701</v>
      </c>
      <c r="Z84" s="78" t="s">
        <v>701</v>
      </c>
      <c r="AA84" s="80" t="s">
        <v>701</v>
      </c>
    </row>
    <row r="85" spans="2:27" ht="39.75" customHeight="1">
      <c r="B85" s="78" t="s">
        <v>688</v>
      </c>
      <c r="C85" s="78" t="s">
        <v>878</v>
      </c>
      <c r="D85" s="155" t="s">
        <v>879</v>
      </c>
      <c r="E85" s="156">
        <v>0</v>
      </c>
      <c r="F85" s="66" t="s">
        <v>751</v>
      </c>
      <c r="G85" s="66" t="s">
        <v>752</v>
      </c>
      <c r="H85" s="66" t="s">
        <v>753</v>
      </c>
      <c r="I85" s="67">
        <v>28</v>
      </c>
      <c r="J85" s="69" t="s">
        <v>754</v>
      </c>
      <c r="K85" s="67">
        <v>23</v>
      </c>
      <c r="L85" s="150"/>
      <c r="M85" s="68" t="s">
        <v>755</v>
      </c>
      <c r="N85" s="155"/>
      <c r="O85" s="156"/>
      <c r="P85" s="156"/>
      <c r="Q85" s="155"/>
      <c r="R85" s="155"/>
      <c r="S85" s="85" t="s">
        <v>881</v>
      </c>
      <c r="T85" s="78" t="s">
        <v>699</v>
      </c>
      <c r="U85" s="78" t="s">
        <v>701</v>
      </c>
      <c r="V85" s="78"/>
      <c r="W85" s="78"/>
      <c r="X85" s="78" t="s">
        <v>701</v>
      </c>
      <c r="Y85" s="66" t="s">
        <v>701</v>
      </c>
      <c r="Z85" s="66" t="s">
        <v>701</v>
      </c>
      <c r="AA85" s="80" t="s">
        <v>701</v>
      </c>
    </row>
    <row r="86" spans="2:27" ht="39.75" customHeight="1">
      <c r="B86" s="78" t="s">
        <v>688</v>
      </c>
      <c r="C86" s="155" t="s">
        <v>979</v>
      </c>
      <c r="D86" s="155" t="s">
        <v>980</v>
      </c>
      <c r="E86" s="156">
        <v>1</v>
      </c>
      <c r="F86" s="148" t="s">
        <v>848</v>
      </c>
      <c r="G86" s="159" t="s">
        <v>849</v>
      </c>
      <c r="H86" s="66" t="s">
        <v>767</v>
      </c>
      <c r="I86" s="152">
        <v>1</v>
      </c>
      <c r="J86" s="159" t="s">
        <v>694</v>
      </c>
      <c r="K86" s="152">
        <v>5</v>
      </c>
      <c r="L86" s="152"/>
      <c r="M86" s="153" t="s">
        <v>850</v>
      </c>
      <c r="N86" s="148"/>
      <c r="O86" s="152" t="s">
        <v>696</v>
      </c>
      <c r="P86" s="156"/>
      <c r="Q86" s="66"/>
      <c r="R86" s="66"/>
      <c r="S86" s="68" t="s">
        <v>881</v>
      </c>
      <c r="T86" s="70" t="s">
        <v>981</v>
      </c>
      <c r="U86" s="66" t="s">
        <v>852</v>
      </c>
      <c r="V86" s="66"/>
      <c r="W86" s="66"/>
      <c r="X86" s="78" t="s">
        <v>698</v>
      </c>
      <c r="Y86" s="70" t="s">
        <v>981</v>
      </c>
      <c r="Z86" s="66" t="s">
        <v>852</v>
      </c>
      <c r="AA86" s="67" t="s">
        <v>701</v>
      </c>
    </row>
    <row r="87" spans="2:27" ht="39.75" customHeight="1">
      <c r="B87" s="78" t="s">
        <v>688</v>
      </c>
      <c r="C87" s="155" t="s">
        <v>979</v>
      </c>
      <c r="D87" s="155" t="s">
        <v>980</v>
      </c>
      <c r="E87" s="156">
        <v>1</v>
      </c>
      <c r="F87" s="148" t="s">
        <v>982</v>
      </c>
      <c r="G87" s="159" t="s">
        <v>983</v>
      </c>
      <c r="H87" s="66" t="s">
        <v>806</v>
      </c>
      <c r="I87" s="152">
        <v>2</v>
      </c>
      <c r="J87" s="159" t="s">
        <v>694</v>
      </c>
      <c r="K87" s="152">
        <v>80</v>
      </c>
      <c r="L87" s="152"/>
      <c r="M87" s="153" t="s">
        <v>984</v>
      </c>
      <c r="N87" s="148"/>
      <c r="O87" s="152"/>
      <c r="P87" s="156"/>
      <c r="Q87" s="149"/>
      <c r="R87" s="149"/>
      <c r="S87" s="68" t="s">
        <v>881</v>
      </c>
      <c r="T87" s="70" t="s">
        <v>981</v>
      </c>
      <c r="U87" s="66" t="s">
        <v>985</v>
      </c>
      <c r="V87" s="70"/>
      <c r="W87" s="70"/>
      <c r="X87" s="78" t="s">
        <v>698</v>
      </c>
      <c r="Y87" s="70" t="s">
        <v>981</v>
      </c>
      <c r="Z87" s="66" t="s">
        <v>985</v>
      </c>
      <c r="AA87" s="67" t="s">
        <v>701</v>
      </c>
    </row>
    <row r="88" spans="2:27" ht="39.75" customHeight="1">
      <c r="B88" s="78" t="s">
        <v>688</v>
      </c>
      <c r="C88" s="155" t="s">
        <v>979</v>
      </c>
      <c r="D88" s="155" t="s">
        <v>980</v>
      </c>
      <c r="E88" s="156">
        <v>1</v>
      </c>
      <c r="F88" s="148" t="s">
        <v>814</v>
      </c>
      <c r="G88" s="148" t="s">
        <v>815</v>
      </c>
      <c r="H88" s="66" t="s">
        <v>830</v>
      </c>
      <c r="I88" s="152">
        <v>3</v>
      </c>
      <c r="J88" s="159" t="s">
        <v>694</v>
      </c>
      <c r="K88" s="152">
        <v>2</v>
      </c>
      <c r="L88" s="152"/>
      <c r="M88" s="153" t="s">
        <v>986</v>
      </c>
      <c r="N88" s="148"/>
      <c r="O88" s="152"/>
      <c r="P88" s="152"/>
      <c r="Q88" s="160"/>
      <c r="R88" s="160"/>
      <c r="S88" s="85" t="s">
        <v>881</v>
      </c>
      <c r="T88" s="82" t="s">
        <v>981</v>
      </c>
      <c r="U88" s="78" t="s">
        <v>526</v>
      </c>
      <c r="V88" s="82"/>
      <c r="W88" s="82"/>
      <c r="X88" s="78" t="s">
        <v>698</v>
      </c>
      <c r="Y88" s="70" t="s">
        <v>981</v>
      </c>
      <c r="Z88" s="78" t="s">
        <v>526</v>
      </c>
      <c r="AA88" s="67" t="s">
        <v>701</v>
      </c>
    </row>
    <row r="89" spans="2:27" ht="39.75" customHeight="1">
      <c r="B89" s="78" t="s">
        <v>688</v>
      </c>
      <c r="C89" s="155" t="s">
        <v>979</v>
      </c>
      <c r="D89" s="155" t="s">
        <v>980</v>
      </c>
      <c r="E89" s="156">
        <v>1</v>
      </c>
      <c r="F89" s="148" t="s">
        <v>747</v>
      </c>
      <c r="G89" s="66" t="s">
        <v>748</v>
      </c>
      <c r="H89" s="66" t="s">
        <v>749</v>
      </c>
      <c r="I89" s="67">
        <v>4</v>
      </c>
      <c r="J89" s="69" t="s">
        <v>694</v>
      </c>
      <c r="K89" s="67">
        <v>10</v>
      </c>
      <c r="L89" s="67"/>
      <c r="M89" s="68" t="s">
        <v>750</v>
      </c>
      <c r="N89" s="66"/>
      <c r="O89" s="67" t="s">
        <v>696</v>
      </c>
      <c r="P89" s="67"/>
      <c r="Q89" s="160"/>
      <c r="R89" s="160"/>
      <c r="S89" s="85" t="s">
        <v>881</v>
      </c>
      <c r="T89" s="82" t="s">
        <v>981</v>
      </c>
      <c r="U89" s="82" t="s">
        <v>978</v>
      </c>
      <c r="V89" s="82"/>
      <c r="W89" s="82"/>
      <c r="X89" s="78" t="s">
        <v>701</v>
      </c>
      <c r="Y89" s="66" t="s">
        <v>701</v>
      </c>
      <c r="Z89" s="78" t="s">
        <v>701</v>
      </c>
      <c r="AA89" s="67" t="s">
        <v>701</v>
      </c>
    </row>
    <row r="90" spans="2:27" ht="39.75" customHeight="1">
      <c r="B90" s="78" t="s">
        <v>688</v>
      </c>
      <c r="C90" s="155" t="s">
        <v>979</v>
      </c>
      <c r="D90" s="155" t="s">
        <v>980</v>
      </c>
      <c r="E90" s="156">
        <v>1</v>
      </c>
      <c r="F90" s="148" t="s">
        <v>751</v>
      </c>
      <c r="G90" s="66" t="s">
        <v>752</v>
      </c>
      <c r="H90" s="66" t="s">
        <v>753</v>
      </c>
      <c r="I90" s="67">
        <v>5</v>
      </c>
      <c r="J90" s="69" t="s">
        <v>754</v>
      </c>
      <c r="K90" s="67">
        <v>23</v>
      </c>
      <c r="L90" s="150"/>
      <c r="M90" s="68" t="s">
        <v>755</v>
      </c>
      <c r="N90" s="148"/>
      <c r="O90" s="152"/>
      <c r="P90" s="152"/>
      <c r="Q90" s="149"/>
      <c r="R90" s="149"/>
      <c r="S90" s="68" t="s">
        <v>881</v>
      </c>
      <c r="T90" s="70" t="s">
        <v>981</v>
      </c>
      <c r="U90" s="70" t="s">
        <v>701</v>
      </c>
      <c r="V90" s="70"/>
      <c r="W90" s="70"/>
      <c r="X90" s="78" t="s">
        <v>701</v>
      </c>
      <c r="Y90" s="66" t="s">
        <v>701</v>
      </c>
      <c r="Z90" s="66" t="s">
        <v>701</v>
      </c>
      <c r="AA90" s="67" t="s">
        <v>701</v>
      </c>
    </row>
    <row r="91" spans="2:27" ht="39.75" customHeight="1">
      <c r="B91" s="160" t="s">
        <v>811</v>
      </c>
      <c r="C91" s="160" t="s">
        <v>987</v>
      </c>
      <c r="D91" s="160" t="s">
        <v>988</v>
      </c>
      <c r="E91" s="161">
        <v>0</v>
      </c>
      <c r="F91" s="149" t="s">
        <v>817</v>
      </c>
      <c r="G91" s="149" t="s">
        <v>818</v>
      </c>
      <c r="H91" s="66" t="s">
        <v>830</v>
      </c>
      <c r="I91" s="150">
        <v>1</v>
      </c>
      <c r="J91" s="149" t="s">
        <v>694</v>
      </c>
      <c r="K91" s="150"/>
      <c r="L91" s="150"/>
      <c r="M91" s="151" t="s">
        <v>819</v>
      </c>
      <c r="N91" s="149"/>
      <c r="O91" s="152" t="s">
        <v>696</v>
      </c>
      <c r="P91" s="152"/>
      <c r="Q91" s="149"/>
      <c r="R91" s="149"/>
      <c r="S91" s="70"/>
      <c r="T91" s="70"/>
      <c r="U91" s="70"/>
      <c r="V91" s="70"/>
      <c r="W91" s="70"/>
      <c r="X91" s="78" t="s">
        <v>701</v>
      </c>
      <c r="Y91" s="66" t="s">
        <v>701</v>
      </c>
      <c r="Z91" s="66" t="s">
        <v>701</v>
      </c>
      <c r="AA91" s="80" t="s">
        <v>701</v>
      </c>
    </row>
    <row r="92" spans="2:27" ht="39.75" customHeight="1">
      <c r="B92" s="160" t="s">
        <v>811</v>
      </c>
      <c r="C92" s="160" t="s">
        <v>987</v>
      </c>
      <c r="D92" s="160" t="s">
        <v>988</v>
      </c>
      <c r="E92" s="161">
        <v>0</v>
      </c>
      <c r="F92" s="149" t="s">
        <v>820</v>
      </c>
      <c r="G92" s="149" t="s">
        <v>821</v>
      </c>
      <c r="H92" s="66" t="s">
        <v>806</v>
      </c>
      <c r="I92" s="150">
        <v>2</v>
      </c>
      <c r="J92" s="149" t="s">
        <v>694</v>
      </c>
      <c r="K92" s="150"/>
      <c r="L92" s="150"/>
      <c r="M92" s="151" t="s">
        <v>822</v>
      </c>
      <c r="N92" s="149"/>
      <c r="O92" s="152" t="s">
        <v>696</v>
      </c>
      <c r="P92" s="152"/>
      <c r="Q92" s="149"/>
      <c r="R92" s="149"/>
      <c r="S92" s="70"/>
      <c r="T92" s="70"/>
      <c r="U92" s="70"/>
      <c r="V92" s="70"/>
      <c r="W92" s="70"/>
      <c r="X92" s="78" t="s">
        <v>701</v>
      </c>
      <c r="Y92" s="66" t="s">
        <v>701</v>
      </c>
      <c r="Z92" s="66" t="s">
        <v>701</v>
      </c>
      <c r="AA92" s="80" t="s">
        <v>701</v>
      </c>
    </row>
    <row r="93" spans="2:27" ht="39.75" customHeight="1">
      <c r="B93" s="160" t="s">
        <v>811</v>
      </c>
      <c r="C93" s="160" t="s">
        <v>987</v>
      </c>
      <c r="D93" s="160" t="s">
        <v>988</v>
      </c>
      <c r="E93" s="161">
        <v>0</v>
      </c>
      <c r="F93" s="149" t="s">
        <v>823</v>
      </c>
      <c r="G93" s="149" t="s">
        <v>824</v>
      </c>
      <c r="H93" s="66" t="s">
        <v>806</v>
      </c>
      <c r="I93" s="150">
        <v>3</v>
      </c>
      <c r="J93" s="149" t="s">
        <v>694</v>
      </c>
      <c r="K93" s="150"/>
      <c r="L93" s="150"/>
      <c r="M93" s="151" t="s">
        <v>825</v>
      </c>
      <c r="N93" s="149"/>
      <c r="O93" s="150"/>
      <c r="P93" s="150"/>
      <c r="Q93" s="160"/>
      <c r="R93" s="160"/>
      <c r="S93" s="82"/>
      <c r="T93" s="82"/>
      <c r="U93" s="82"/>
      <c r="V93" s="82"/>
      <c r="W93" s="82"/>
      <c r="X93" s="78" t="s">
        <v>701</v>
      </c>
      <c r="Y93" s="66" t="s">
        <v>701</v>
      </c>
      <c r="Z93" s="78" t="s">
        <v>701</v>
      </c>
      <c r="AA93" s="80" t="s">
        <v>701</v>
      </c>
    </row>
    <row r="94" spans="2:27" ht="39.75" customHeight="1">
      <c r="B94" s="160" t="s">
        <v>811</v>
      </c>
      <c r="C94" s="160" t="s">
        <v>987</v>
      </c>
      <c r="D94" s="160" t="s">
        <v>988</v>
      </c>
      <c r="E94" s="161">
        <v>0</v>
      </c>
      <c r="F94" s="148" t="s">
        <v>747</v>
      </c>
      <c r="G94" s="148" t="s">
        <v>748</v>
      </c>
      <c r="H94" s="66" t="s">
        <v>749</v>
      </c>
      <c r="I94" s="152">
        <v>4</v>
      </c>
      <c r="J94" s="148" t="s">
        <v>694</v>
      </c>
      <c r="K94" s="152">
        <v>10</v>
      </c>
      <c r="L94" s="152"/>
      <c r="M94" s="153" t="s">
        <v>750</v>
      </c>
      <c r="N94" s="148"/>
      <c r="O94" s="152" t="s">
        <v>696</v>
      </c>
      <c r="P94" s="152"/>
      <c r="Q94" s="149"/>
      <c r="R94" s="149"/>
      <c r="S94" s="66"/>
      <c r="T94" s="66"/>
      <c r="U94" s="66"/>
      <c r="V94" s="66"/>
      <c r="W94" s="66"/>
      <c r="X94" s="66" t="s">
        <v>701</v>
      </c>
      <c r="Y94" s="66" t="s">
        <v>701</v>
      </c>
      <c r="Z94" s="66" t="s">
        <v>701</v>
      </c>
      <c r="AA94" s="80" t="s">
        <v>701</v>
      </c>
    </row>
    <row r="95" spans="2:27" ht="39.75" customHeight="1">
      <c r="B95" s="160" t="s">
        <v>811</v>
      </c>
      <c r="C95" s="160" t="s">
        <v>987</v>
      </c>
      <c r="D95" s="160" t="s">
        <v>988</v>
      </c>
      <c r="E95" s="161">
        <v>0</v>
      </c>
      <c r="F95" s="155" t="s">
        <v>751</v>
      </c>
      <c r="G95" s="155" t="s">
        <v>752</v>
      </c>
      <c r="H95" s="78" t="s">
        <v>753</v>
      </c>
      <c r="I95" s="156">
        <v>5</v>
      </c>
      <c r="J95" s="155" t="s">
        <v>754</v>
      </c>
      <c r="K95" s="156">
        <v>23</v>
      </c>
      <c r="L95" s="161"/>
      <c r="M95" s="158" t="s">
        <v>755</v>
      </c>
      <c r="N95" s="155"/>
      <c r="O95" s="156"/>
      <c r="P95" s="156"/>
      <c r="Q95" s="160"/>
      <c r="R95" s="160"/>
      <c r="S95" s="78"/>
      <c r="T95" s="78"/>
      <c r="U95" s="78"/>
      <c r="V95" s="78"/>
      <c r="W95" s="78"/>
      <c r="X95" s="66" t="s">
        <v>701</v>
      </c>
      <c r="Y95" s="66" t="s">
        <v>701</v>
      </c>
      <c r="Z95" s="66" t="s">
        <v>701</v>
      </c>
      <c r="AA95" s="80" t="s">
        <v>701</v>
      </c>
    </row>
    <row r="96" spans="2:27" ht="39.75" customHeight="1">
      <c r="B96" s="155" t="s">
        <v>688</v>
      </c>
      <c r="C96" s="160" t="s">
        <v>989</v>
      </c>
      <c r="D96" s="160" t="s">
        <v>990</v>
      </c>
      <c r="E96" s="161">
        <v>0</v>
      </c>
      <c r="F96" s="160" t="s">
        <v>991</v>
      </c>
      <c r="G96" s="160" t="s">
        <v>992</v>
      </c>
      <c r="H96" s="78" t="s">
        <v>767</v>
      </c>
      <c r="I96" s="161">
        <v>1</v>
      </c>
      <c r="J96" s="160" t="s">
        <v>694</v>
      </c>
      <c r="K96" s="161">
        <v>4</v>
      </c>
      <c r="L96" s="161"/>
      <c r="M96" s="162" t="s">
        <v>993</v>
      </c>
      <c r="N96" s="160"/>
      <c r="O96" s="161" t="s">
        <v>696</v>
      </c>
      <c r="P96" s="161"/>
      <c r="Q96" s="160"/>
      <c r="R96" s="160"/>
      <c r="S96" s="82"/>
      <c r="T96" s="82"/>
      <c r="U96" s="82"/>
      <c r="V96" s="82"/>
      <c r="W96" s="82"/>
      <c r="X96" s="82" t="s">
        <v>994</v>
      </c>
      <c r="Y96" s="82" t="s">
        <v>995</v>
      </c>
      <c r="Z96" s="82" t="s">
        <v>996</v>
      </c>
      <c r="AA96" s="80" t="s">
        <v>701</v>
      </c>
    </row>
    <row r="97" spans="2:27" ht="39.75" customHeight="1">
      <c r="B97" s="155" t="s">
        <v>688</v>
      </c>
      <c r="C97" s="160" t="s">
        <v>989</v>
      </c>
      <c r="D97" s="160" t="s">
        <v>990</v>
      </c>
      <c r="E97" s="161">
        <v>0</v>
      </c>
      <c r="F97" s="160" t="s">
        <v>997</v>
      </c>
      <c r="G97" s="160" t="s">
        <v>998</v>
      </c>
      <c r="H97" s="66" t="s">
        <v>806</v>
      </c>
      <c r="I97" s="161">
        <v>2</v>
      </c>
      <c r="J97" s="160" t="s">
        <v>694</v>
      </c>
      <c r="K97" s="161"/>
      <c r="L97" s="161"/>
      <c r="M97" s="162" t="s">
        <v>999</v>
      </c>
      <c r="N97" s="160"/>
      <c r="O97" s="161"/>
      <c r="P97" s="161"/>
      <c r="Q97" s="160"/>
      <c r="R97" s="160"/>
      <c r="S97" s="82"/>
      <c r="T97" s="82"/>
      <c r="U97" s="82"/>
      <c r="V97" s="82"/>
      <c r="W97" s="82"/>
      <c r="X97" s="82" t="s">
        <v>994</v>
      </c>
      <c r="Y97" s="82" t="s">
        <v>995</v>
      </c>
      <c r="Z97" s="82" t="s">
        <v>1000</v>
      </c>
      <c r="AA97" s="80" t="s">
        <v>701</v>
      </c>
    </row>
    <row r="98" spans="2:27" ht="39.75" customHeight="1">
      <c r="B98" s="155" t="s">
        <v>688</v>
      </c>
      <c r="C98" s="160" t="s">
        <v>989</v>
      </c>
      <c r="D98" s="160" t="s">
        <v>990</v>
      </c>
      <c r="E98" s="161">
        <v>0</v>
      </c>
      <c r="F98" s="149" t="s">
        <v>1001</v>
      </c>
      <c r="G98" s="149" t="s">
        <v>1002</v>
      </c>
      <c r="H98" s="66" t="s">
        <v>806</v>
      </c>
      <c r="I98" s="150">
        <v>3</v>
      </c>
      <c r="J98" s="160" t="s">
        <v>694</v>
      </c>
      <c r="K98" s="150"/>
      <c r="L98" s="150"/>
      <c r="M98" s="162" t="s">
        <v>1003</v>
      </c>
      <c r="N98" s="149"/>
      <c r="O98" s="150"/>
      <c r="P98" s="150"/>
      <c r="Q98" s="149"/>
      <c r="R98" s="149"/>
      <c r="S98" s="70"/>
      <c r="T98" s="70"/>
      <c r="U98" s="70"/>
      <c r="V98" s="70"/>
      <c r="W98" s="70"/>
      <c r="X98" s="82" t="s">
        <v>994</v>
      </c>
      <c r="Y98" s="82" t="s">
        <v>995</v>
      </c>
      <c r="Z98" s="82" t="s">
        <v>1004</v>
      </c>
      <c r="AA98" s="80" t="s">
        <v>701</v>
      </c>
    </row>
    <row r="99" spans="2:27" ht="39.75" customHeight="1">
      <c r="B99" s="155" t="s">
        <v>688</v>
      </c>
      <c r="C99" s="160" t="s">
        <v>989</v>
      </c>
      <c r="D99" s="160" t="s">
        <v>990</v>
      </c>
      <c r="E99" s="161">
        <v>0</v>
      </c>
      <c r="F99" s="149" t="s">
        <v>1005</v>
      </c>
      <c r="G99" s="149" t="s">
        <v>1006</v>
      </c>
      <c r="H99" s="66" t="s">
        <v>806</v>
      </c>
      <c r="I99" s="150">
        <v>4</v>
      </c>
      <c r="J99" s="160" t="s">
        <v>694</v>
      </c>
      <c r="K99" s="150">
        <v>4</v>
      </c>
      <c r="L99" s="150"/>
      <c r="M99" s="151" t="s">
        <v>1007</v>
      </c>
      <c r="N99" s="149"/>
      <c r="O99" s="150"/>
      <c r="P99" s="150"/>
      <c r="Q99" s="149"/>
      <c r="R99" s="149"/>
      <c r="S99" s="70"/>
      <c r="T99" s="70"/>
      <c r="U99" s="70"/>
      <c r="V99" s="70"/>
      <c r="W99" s="70"/>
      <c r="X99" s="82" t="s">
        <v>1008</v>
      </c>
      <c r="Y99" s="82" t="s">
        <v>1009</v>
      </c>
      <c r="Z99" s="70" t="s">
        <v>1010</v>
      </c>
      <c r="AA99" s="80" t="s">
        <v>1011</v>
      </c>
    </row>
    <row r="100" spans="2:27" ht="39.75" customHeight="1">
      <c r="B100" s="155" t="s">
        <v>688</v>
      </c>
      <c r="C100" s="160" t="s">
        <v>989</v>
      </c>
      <c r="D100" s="160" t="s">
        <v>990</v>
      </c>
      <c r="E100" s="161">
        <v>0</v>
      </c>
      <c r="F100" s="160" t="s">
        <v>1012</v>
      </c>
      <c r="G100" s="160" t="s">
        <v>1013</v>
      </c>
      <c r="H100" s="66" t="s">
        <v>806</v>
      </c>
      <c r="I100" s="161">
        <v>5</v>
      </c>
      <c r="J100" s="160" t="s">
        <v>694</v>
      </c>
      <c r="K100" s="161">
        <v>11</v>
      </c>
      <c r="L100" s="161"/>
      <c r="M100" s="162" t="s">
        <v>1014</v>
      </c>
      <c r="N100" s="160"/>
      <c r="O100" s="161"/>
      <c r="P100" s="161"/>
      <c r="Q100" s="160"/>
      <c r="R100" s="160"/>
      <c r="S100" s="82"/>
      <c r="T100" s="82"/>
      <c r="U100" s="82"/>
      <c r="V100" s="82"/>
      <c r="W100" s="82"/>
      <c r="X100" s="82" t="s">
        <v>994</v>
      </c>
      <c r="Y100" s="82" t="s">
        <v>1015</v>
      </c>
      <c r="Z100" s="82" t="s">
        <v>1016</v>
      </c>
      <c r="AA100" s="80" t="s">
        <v>701</v>
      </c>
    </row>
    <row r="101" spans="2:27" ht="39.75" customHeight="1">
      <c r="B101" s="155" t="s">
        <v>688</v>
      </c>
      <c r="C101" s="160" t="s">
        <v>989</v>
      </c>
      <c r="D101" s="160" t="s">
        <v>990</v>
      </c>
      <c r="E101" s="161">
        <v>0</v>
      </c>
      <c r="F101" s="148" t="s">
        <v>747</v>
      </c>
      <c r="G101" s="148" t="s">
        <v>748</v>
      </c>
      <c r="H101" s="66" t="s">
        <v>749</v>
      </c>
      <c r="I101" s="161">
        <v>6</v>
      </c>
      <c r="J101" s="148" t="s">
        <v>694</v>
      </c>
      <c r="K101" s="152">
        <v>10</v>
      </c>
      <c r="L101" s="152"/>
      <c r="M101" s="153" t="s">
        <v>750</v>
      </c>
      <c r="N101" s="160"/>
      <c r="O101" s="161" t="s">
        <v>696</v>
      </c>
      <c r="P101" s="161"/>
      <c r="Q101" s="160"/>
      <c r="R101" s="160"/>
      <c r="S101" s="82"/>
      <c r="T101" s="82"/>
      <c r="U101" s="82"/>
      <c r="V101" s="82"/>
      <c r="W101" s="82"/>
      <c r="X101" s="66" t="s">
        <v>701</v>
      </c>
      <c r="Y101" s="66" t="s">
        <v>701</v>
      </c>
      <c r="Z101" s="66" t="s">
        <v>701</v>
      </c>
      <c r="AA101" s="80" t="s">
        <v>701</v>
      </c>
    </row>
    <row r="102" spans="2:27" ht="39.75" customHeight="1">
      <c r="B102" s="155" t="s">
        <v>688</v>
      </c>
      <c r="C102" s="160" t="s">
        <v>989</v>
      </c>
      <c r="D102" s="160" t="s">
        <v>990</v>
      </c>
      <c r="E102" s="161">
        <v>0</v>
      </c>
      <c r="F102" s="155" t="s">
        <v>751</v>
      </c>
      <c r="G102" s="155" t="s">
        <v>752</v>
      </c>
      <c r="H102" s="78" t="s">
        <v>753</v>
      </c>
      <c r="I102" s="161">
        <v>7</v>
      </c>
      <c r="J102" s="155" t="s">
        <v>754</v>
      </c>
      <c r="K102" s="156">
        <v>23</v>
      </c>
      <c r="L102" s="161"/>
      <c r="M102" s="158" t="s">
        <v>755</v>
      </c>
      <c r="N102" s="160"/>
      <c r="O102" s="161"/>
      <c r="P102" s="161"/>
      <c r="Q102" s="160"/>
      <c r="R102" s="160"/>
      <c r="S102" s="82"/>
      <c r="T102" s="82"/>
      <c r="U102" s="82"/>
      <c r="V102" s="82"/>
      <c r="W102" s="82"/>
      <c r="X102" s="66" t="s">
        <v>701</v>
      </c>
      <c r="Y102" s="66" t="s">
        <v>701</v>
      </c>
      <c r="Z102" s="66" t="s">
        <v>701</v>
      </c>
      <c r="AA102" s="80" t="s">
        <v>701</v>
      </c>
    </row>
    <row r="103" spans="2:27" ht="20.100000000000001" customHeight="1"/>
    <row r="104" spans="2:27" ht="20.100000000000001" customHeight="1"/>
    <row r="105" spans="2:27" ht="20.100000000000001" customHeight="1"/>
    <row r="106" spans="2:27" ht="20.100000000000001" customHeight="1"/>
    <row r="107" spans="2:27" ht="20.100000000000001" customHeight="1"/>
    <row r="108" spans="2:27" ht="20.100000000000001" customHeight="1"/>
    <row r="109" spans="2:27" ht="20.100000000000001" customHeight="1"/>
    <row r="110" spans="2:27" ht="20.100000000000001" customHeight="1"/>
    <row r="111" spans="2:27" ht="20.100000000000001" customHeight="1"/>
    <row r="112" spans="2:27"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sheetData>
  <sortState xmlns:xlrd2="http://schemas.microsoft.com/office/spreadsheetml/2017/richdata2" ref="B8:Z160">
    <sortCondition ref="C8:C160"/>
    <sortCondition ref="G8:G160"/>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E786-6C56-4C38-AE40-036E1629C556}">
  <dimension ref="B1:V34"/>
  <sheetViews>
    <sheetView workbookViewId="0">
      <selection activeCell="B4" sqref="B4"/>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1" width="30.7109375" bestFit="1" customWidth="1"/>
    <col min="22" max="22" width="35.7109375" customWidth="1"/>
  </cols>
  <sheetData>
    <row r="1" spans="2:20" ht="15" customHeight="1"/>
    <row r="2" spans="2:20">
      <c r="B2" s="63" t="s">
        <v>1017</v>
      </c>
      <c r="C2" s="63" t="s">
        <v>1018</v>
      </c>
      <c r="D2" s="63" t="s">
        <v>1019</v>
      </c>
      <c r="E2" s="63" t="s">
        <v>1020</v>
      </c>
      <c r="F2" s="63" t="s">
        <v>1021</v>
      </c>
      <c r="G2" s="63" t="s">
        <v>1022</v>
      </c>
      <c r="H2" s="63" t="s">
        <v>1023</v>
      </c>
      <c r="I2" s="63" t="s">
        <v>692</v>
      </c>
      <c r="J2" s="96" t="s">
        <v>703</v>
      </c>
      <c r="K2" s="63" t="s">
        <v>710</v>
      </c>
      <c r="L2" s="63" t="s">
        <v>714</v>
      </c>
      <c r="M2" s="63" t="s">
        <v>718</v>
      </c>
      <c r="N2" s="63" t="s">
        <v>725</v>
      </c>
      <c r="O2" s="63" t="s">
        <v>731</v>
      </c>
      <c r="P2" s="63" t="s">
        <v>735</v>
      </c>
      <c r="Q2" s="63" t="s">
        <v>740</v>
      </c>
      <c r="R2" s="63" t="s">
        <v>744</v>
      </c>
      <c r="S2" s="63" t="s">
        <v>748</v>
      </c>
      <c r="T2" s="63" t="s">
        <v>752</v>
      </c>
    </row>
    <row r="3" spans="2:20">
      <c r="B3" s="88" t="s">
        <v>1024</v>
      </c>
      <c r="C3" s="88">
        <v>1</v>
      </c>
      <c r="D3" s="88" t="s">
        <v>1025</v>
      </c>
      <c r="E3" s="89">
        <v>45534</v>
      </c>
      <c r="F3" s="88">
        <v>1</v>
      </c>
      <c r="G3" s="90">
        <v>1</v>
      </c>
      <c r="H3" s="88" t="s">
        <v>1026</v>
      </c>
      <c r="I3" s="88" t="s">
        <v>1027</v>
      </c>
      <c r="J3" s="88" t="s">
        <v>1027</v>
      </c>
      <c r="K3" s="88" t="s">
        <v>1027</v>
      </c>
      <c r="L3" s="88" t="s">
        <v>1027</v>
      </c>
      <c r="M3" s="88" t="s">
        <v>1027</v>
      </c>
      <c r="N3" s="88" t="s">
        <v>1027</v>
      </c>
      <c r="O3" s="88" t="s">
        <v>1027</v>
      </c>
      <c r="P3" s="88" t="s">
        <v>1027</v>
      </c>
      <c r="Q3" s="88" t="s">
        <v>1027</v>
      </c>
      <c r="R3" s="88" t="s">
        <v>1027</v>
      </c>
      <c r="S3" s="88" t="s">
        <v>1027</v>
      </c>
      <c r="T3" s="88" t="s">
        <v>1027</v>
      </c>
    </row>
    <row r="4" spans="2:20">
      <c r="B4" s="88" t="s">
        <v>1028</v>
      </c>
      <c r="C4" s="88">
        <v>2</v>
      </c>
      <c r="D4" s="88" t="s">
        <v>1029</v>
      </c>
      <c r="E4" s="89">
        <v>45534</v>
      </c>
      <c r="F4" s="88">
        <v>1</v>
      </c>
      <c r="G4" s="90">
        <v>1</v>
      </c>
      <c r="H4" s="88" t="s">
        <v>1030</v>
      </c>
      <c r="I4" s="88" t="s">
        <v>1027</v>
      </c>
      <c r="J4" s="88" t="s">
        <v>1027</v>
      </c>
      <c r="K4" s="88" t="s">
        <v>1027</v>
      </c>
      <c r="L4" s="88" t="s">
        <v>1027</v>
      </c>
      <c r="M4" s="88" t="s">
        <v>1027</v>
      </c>
      <c r="N4" s="88" t="s">
        <v>1027</v>
      </c>
      <c r="O4" s="88" t="s">
        <v>1027</v>
      </c>
      <c r="P4" s="88" t="s">
        <v>1027</v>
      </c>
      <c r="Q4" s="88" t="s">
        <v>1027</v>
      </c>
      <c r="R4" s="88" t="s">
        <v>1027</v>
      </c>
      <c r="S4" s="88" t="s">
        <v>1027</v>
      </c>
      <c r="T4" s="88" t="s">
        <v>1027</v>
      </c>
    </row>
    <row r="5" spans="2:20">
      <c r="B5" s="88" t="s">
        <v>1031</v>
      </c>
      <c r="C5" s="88">
        <v>3</v>
      </c>
      <c r="D5" s="88" t="s">
        <v>1032</v>
      </c>
      <c r="E5" s="89">
        <v>45534</v>
      </c>
      <c r="F5" s="88">
        <v>1</v>
      </c>
      <c r="G5" s="90">
        <v>0.5</v>
      </c>
      <c r="H5" s="88" t="s">
        <v>1033</v>
      </c>
      <c r="I5" s="88">
        <v>0</v>
      </c>
      <c r="J5" s="88" t="s">
        <v>1027</v>
      </c>
      <c r="K5" s="88" t="s">
        <v>1027</v>
      </c>
      <c r="L5" s="88" t="s">
        <v>1027</v>
      </c>
      <c r="M5" s="88" t="s">
        <v>1027</v>
      </c>
      <c r="N5" s="88" t="s">
        <v>1027</v>
      </c>
      <c r="O5" s="88" t="s">
        <v>1027</v>
      </c>
      <c r="P5" s="88" t="s">
        <v>1027</v>
      </c>
      <c r="Q5" s="88" t="s">
        <v>1027</v>
      </c>
      <c r="R5" s="88" t="s">
        <v>1027</v>
      </c>
      <c r="S5" s="88">
        <v>3</v>
      </c>
      <c r="T5" s="88" t="s">
        <v>1027</v>
      </c>
    </row>
    <row r="6" spans="2:20">
      <c r="B6" s="91" t="s">
        <v>1034</v>
      </c>
      <c r="C6" s="88">
        <v>4</v>
      </c>
      <c r="D6" s="88" t="s">
        <v>1035</v>
      </c>
      <c r="E6" s="89" t="s">
        <v>1027</v>
      </c>
      <c r="F6" s="88">
        <v>1</v>
      </c>
      <c r="G6" s="90" t="s">
        <v>1027</v>
      </c>
      <c r="H6" s="88" t="s">
        <v>1027</v>
      </c>
      <c r="I6" s="88" t="s">
        <v>1027</v>
      </c>
      <c r="J6" s="88" t="s">
        <v>1027</v>
      </c>
      <c r="K6" s="88" t="s">
        <v>1027</v>
      </c>
      <c r="L6" s="88" t="s">
        <v>1027</v>
      </c>
      <c r="M6" s="88" t="s">
        <v>1027</v>
      </c>
      <c r="N6" s="88" t="s">
        <v>1027</v>
      </c>
      <c r="O6" s="88" t="s">
        <v>1027</v>
      </c>
      <c r="P6" s="88" t="s">
        <v>1027</v>
      </c>
      <c r="Q6" s="88" t="s">
        <v>1027</v>
      </c>
      <c r="R6" s="88" t="s">
        <v>1027</v>
      </c>
      <c r="S6" s="88" t="s">
        <v>1027</v>
      </c>
      <c r="T6" s="88" t="s">
        <v>1027</v>
      </c>
    </row>
    <row r="7" spans="2:20">
      <c r="B7" s="88" t="s">
        <v>1036</v>
      </c>
      <c r="C7" s="88">
        <v>5</v>
      </c>
      <c r="D7" s="88" t="s">
        <v>1035</v>
      </c>
      <c r="E7" s="89" t="s">
        <v>1027</v>
      </c>
      <c r="F7" s="88">
        <v>1</v>
      </c>
      <c r="G7" s="90" t="s">
        <v>1027</v>
      </c>
      <c r="H7" s="88" t="s">
        <v>1027</v>
      </c>
      <c r="I7" s="88" t="s">
        <v>1027</v>
      </c>
      <c r="J7" s="88" t="s">
        <v>1027</v>
      </c>
      <c r="K7" s="88" t="s">
        <v>1027</v>
      </c>
      <c r="L7" s="88" t="s">
        <v>1027</v>
      </c>
      <c r="M7" s="88" t="s">
        <v>1027</v>
      </c>
      <c r="N7" s="88" t="s">
        <v>1027</v>
      </c>
      <c r="O7" s="88" t="s">
        <v>1027</v>
      </c>
      <c r="P7" s="88" t="s">
        <v>1027</v>
      </c>
      <c r="Q7" s="88" t="s">
        <v>1027</v>
      </c>
      <c r="R7" s="88" t="s">
        <v>1027</v>
      </c>
      <c r="S7" s="88" t="s">
        <v>1027</v>
      </c>
      <c r="T7" s="88" t="s">
        <v>1027</v>
      </c>
    </row>
    <row r="8" spans="2:20">
      <c r="B8" s="88" t="s">
        <v>1037</v>
      </c>
      <c r="C8" s="88">
        <v>6</v>
      </c>
      <c r="D8" s="88" t="s">
        <v>1038</v>
      </c>
      <c r="E8" s="89">
        <v>45534</v>
      </c>
      <c r="F8" s="88">
        <v>1</v>
      </c>
      <c r="G8" s="90" cm="1">
        <f t="array" ref="G8">SUMPRODUCT(--(I8:T8&gt;0))/COUNTA(I8:T8)</f>
        <v>1</v>
      </c>
      <c r="H8" s="88" t="s">
        <v>1030</v>
      </c>
      <c r="I8" s="88">
        <v>3</v>
      </c>
      <c r="J8" s="88">
        <v>6</v>
      </c>
      <c r="K8" s="88">
        <v>4</v>
      </c>
      <c r="L8" s="88">
        <v>4</v>
      </c>
      <c r="M8" s="88">
        <v>8</v>
      </c>
      <c r="N8" s="88">
        <v>1</v>
      </c>
      <c r="O8" s="88">
        <v>1</v>
      </c>
      <c r="P8" s="88" t="s">
        <v>1039</v>
      </c>
      <c r="Q8" s="88">
        <v>1</v>
      </c>
      <c r="R8" s="88">
        <v>1</v>
      </c>
      <c r="S8" s="88">
        <v>10</v>
      </c>
      <c r="T8" s="88">
        <v>23</v>
      </c>
    </row>
    <row r="9" spans="2:20">
      <c r="B9" s="88" t="s">
        <v>1040</v>
      </c>
      <c r="C9" s="88">
        <v>7</v>
      </c>
      <c r="D9" s="88" t="s">
        <v>1041</v>
      </c>
      <c r="E9" s="89">
        <v>45534</v>
      </c>
      <c r="F9" s="88">
        <v>1</v>
      </c>
      <c r="G9" s="90" cm="1">
        <f t="array" aca="1" ref="G9" ca="1">SUMPRODUCT(--(I9:T9 &lt;= I25:T25))/COUNTA(I25:T25)</f>
        <v>0.75</v>
      </c>
      <c r="H9" s="88" t="s">
        <v>1030</v>
      </c>
      <c r="I9" s="88">
        <v>4</v>
      </c>
      <c r="J9" s="88">
        <v>6</v>
      </c>
      <c r="K9" s="88">
        <v>6</v>
      </c>
      <c r="L9" s="88">
        <v>6</v>
      </c>
      <c r="M9" s="88">
        <v>8</v>
      </c>
      <c r="N9" s="88">
        <v>6</v>
      </c>
      <c r="O9" s="88">
        <v>65</v>
      </c>
      <c r="P9" s="88" t="s">
        <v>1039</v>
      </c>
      <c r="Q9" s="88">
        <v>5</v>
      </c>
      <c r="R9" s="88">
        <v>20</v>
      </c>
      <c r="S9" s="88">
        <v>10</v>
      </c>
      <c r="T9" s="88">
        <v>23</v>
      </c>
    </row>
    <row r="10" spans="2:20">
      <c r="B10" s="91" t="s">
        <v>1042</v>
      </c>
      <c r="C10" s="88">
        <v>8</v>
      </c>
      <c r="D10" s="88" t="s">
        <v>1043</v>
      </c>
      <c r="E10" s="89">
        <v>45534</v>
      </c>
      <c r="F10" s="88">
        <v>1</v>
      </c>
      <c r="G10" s="90" t="s">
        <v>1027</v>
      </c>
      <c r="H10" s="88" t="s">
        <v>1030</v>
      </c>
      <c r="I10" s="88">
        <v>0</v>
      </c>
      <c r="J10" s="88">
        <v>10000</v>
      </c>
      <c r="K10" s="88">
        <v>10100</v>
      </c>
      <c r="L10" s="88">
        <v>10121</v>
      </c>
      <c r="M10" s="88" t="s">
        <v>1044</v>
      </c>
      <c r="N10" s="88" t="s">
        <v>1045</v>
      </c>
      <c r="O10" s="89">
        <v>1</v>
      </c>
      <c r="P10" s="89" t="s">
        <v>1039</v>
      </c>
      <c r="Q10" s="92">
        <v>1</v>
      </c>
      <c r="R10" s="88" t="s">
        <v>1046</v>
      </c>
      <c r="S10" s="89">
        <v>45534</v>
      </c>
      <c r="T10" s="89" t="s">
        <v>1047</v>
      </c>
    </row>
    <row r="11" spans="2:20">
      <c r="B11" s="88" t="s">
        <v>1048</v>
      </c>
      <c r="C11" s="88">
        <v>9</v>
      </c>
      <c r="D11" s="88" t="s">
        <v>1049</v>
      </c>
      <c r="E11" s="89">
        <v>45534</v>
      </c>
      <c r="F11" s="88">
        <v>1</v>
      </c>
      <c r="G11" s="90" t="s">
        <v>1027</v>
      </c>
      <c r="H11" s="88" t="s">
        <v>1030</v>
      </c>
      <c r="I11" s="88">
        <v>0</v>
      </c>
      <c r="J11" s="88">
        <v>10000</v>
      </c>
      <c r="K11" s="88">
        <v>10100</v>
      </c>
      <c r="L11" s="88">
        <v>10121</v>
      </c>
      <c r="M11" s="88" t="s">
        <v>1044</v>
      </c>
      <c r="N11" s="88" t="s">
        <v>1045</v>
      </c>
      <c r="O11" s="89">
        <v>1</v>
      </c>
      <c r="P11" s="89" t="s">
        <v>1039</v>
      </c>
      <c r="Q11" s="88">
        <v>1</v>
      </c>
      <c r="R11" s="88" t="s">
        <v>1046</v>
      </c>
      <c r="S11" s="89">
        <v>45534</v>
      </c>
      <c r="T11" s="89" t="s">
        <v>1047</v>
      </c>
    </row>
    <row r="12" spans="2:20">
      <c r="B12" s="88" t="s">
        <v>1050</v>
      </c>
      <c r="C12" s="88">
        <v>10</v>
      </c>
      <c r="D12" s="88" t="s">
        <v>1051</v>
      </c>
      <c r="E12" s="89">
        <v>45534</v>
      </c>
      <c r="F12" s="88">
        <v>1</v>
      </c>
      <c r="G12" s="90" t="s">
        <v>1027</v>
      </c>
      <c r="H12" s="88" t="s">
        <v>1030</v>
      </c>
      <c r="I12" s="88" t="s">
        <v>1052</v>
      </c>
      <c r="J12" s="88">
        <v>990000</v>
      </c>
      <c r="K12" s="88">
        <v>999900</v>
      </c>
      <c r="L12" s="88">
        <v>999999</v>
      </c>
      <c r="M12" s="88" t="s">
        <v>1053</v>
      </c>
      <c r="N12" s="88" t="s">
        <v>1054</v>
      </c>
      <c r="O12" s="93" t="s">
        <v>1055</v>
      </c>
      <c r="P12" s="89" t="s">
        <v>1039</v>
      </c>
      <c r="Q12" s="89" t="s">
        <v>1056</v>
      </c>
      <c r="R12" s="88" t="s">
        <v>1057</v>
      </c>
      <c r="S12" s="89">
        <v>45534</v>
      </c>
      <c r="T12" s="93" t="s">
        <v>1047</v>
      </c>
    </row>
    <row r="13" spans="2:20">
      <c r="B13" s="88" t="s">
        <v>1058</v>
      </c>
      <c r="C13" s="88">
        <v>11</v>
      </c>
      <c r="D13" s="88" t="s">
        <v>1059</v>
      </c>
      <c r="E13" s="89">
        <v>45534</v>
      </c>
      <c r="F13" s="88">
        <v>1</v>
      </c>
      <c r="G13" s="90" t="s">
        <v>1027</v>
      </c>
      <c r="H13" s="88" t="s">
        <v>1030</v>
      </c>
      <c r="I13" s="88" t="s">
        <v>1052</v>
      </c>
      <c r="J13" s="88">
        <v>990000</v>
      </c>
      <c r="K13" s="88">
        <v>999900</v>
      </c>
      <c r="L13" s="88">
        <v>999999</v>
      </c>
      <c r="M13" s="88" t="s">
        <v>1053</v>
      </c>
      <c r="N13" s="88" t="s">
        <v>1054</v>
      </c>
      <c r="O13" s="93" t="s">
        <v>1055</v>
      </c>
      <c r="P13" s="89" t="s">
        <v>1039</v>
      </c>
      <c r="Q13" s="89" t="s">
        <v>1056</v>
      </c>
      <c r="R13" s="88" t="s">
        <v>1057</v>
      </c>
      <c r="S13" s="89">
        <v>45534</v>
      </c>
      <c r="T13" s="93" t="s">
        <v>1047</v>
      </c>
    </row>
    <row r="14" spans="2:20">
      <c r="B14" s="88" t="s">
        <v>1060</v>
      </c>
      <c r="C14" s="88">
        <v>12</v>
      </c>
      <c r="D14" s="88" t="s">
        <v>1061</v>
      </c>
      <c r="E14" s="89">
        <v>45534</v>
      </c>
      <c r="F14" s="88">
        <v>1</v>
      </c>
      <c r="G14" s="90">
        <v>0.17</v>
      </c>
      <c r="H14" s="88" t="s">
        <v>1030</v>
      </c>
      <c r="I14" s="88">
        <v>0</v>
      </c>
      <c r="J14" s="88">
        <v>3</v>
      </c>
      <c r="K14" s="88">
        <v>3</v>
      </c>
      <c r="L14" s="88">
        <v>3</v>
      </c>
      <c r="M14" s="88">
        <v>27</v>
      </c>
      <c r="N14" s="88">
        <v>55</v>
      </c>
      <c r="O14" s="88">
        <v>25</v>
      </c>
      <c r="P14" s="88">
        <v>4306</v>
      </c>
      <c r="Q14" s="88">
        <v>220</v>
      </c>
      <c r="R14" s="88">
        <v>1167</v>
      </c>
      <c r="S14" s="88">
        <v>3</v>
      </c>
      <c r="T14" s="88">
        <v>0</v>
      </c>
    </row>
    <row r="15" spans="2:20">
      <c r="B15" s="88" t="s">
        <v>1062</v>
      </c>
      <c r="C15" s="88">
        <v>13</v>
      </c>
      <c r="D15" s="88" t="s">
        <v>1061</v>
      </c>
      <c r="E15" s="89">
        <v>45439</v>
      </c>
      <c r="F15" s="88">
        <v>2</v>
      </c>
      <c r="G15" s="90">
        <v>1</v>
      </c>
      <c r="H15" s="88">
        <v>0</v>
      </c>
      <c r="I15" s="88" t="s">
        <v>1027</v>
      </c>
      <c r="J15" s="88" t="s">
        <v>1027</v>
      </c>
      <c r="K15" s="88" t="s">
        <v>1027</v>
      </c>
      <c r="L15" s="88" t="s">
        <v>1027</v>
      </c>
      <c r="M15" s="88" t="s">
        <v>1027</v>
      </c>
      <c r="N15" s="88" t="s">
        <v>1027</v>
      </c>
      <c r="O15" s="91" t="s">
        <v>1027</v>
      </c>
      <c r="P15" s="91">
        <v>0</v>
      </c>
      <c r="Q15" s="91">
        <v>0</v>
      </c>
      <c r="R15" s="88" t="s">
        <v>1027</v>
      </c>
      <c r="S15" s="88" t="s">
        <v>1027</v>
      </c>
      <c r="T15" s="91" t="s">
        <v>1027</v>
      </c>
    </row>
    <row r="16" spans="2:20">
      <c r="B16" s="88" t="s">
        <v>1063</v>
      </c>
      <c r="C16" s="88">
        <v>14</v>
      </c>
      <c r="D16" s="88" t="s">
        <v>1064</v>
      </c>
      <c r="E16" s="89">
        <v>45534</v>
      </c>
      <c r="F16" s="88">
        <v>1</v>
      </c>
      <c r="G16" s="90">
        <v>1</v>
      </c>
      <c r="H16" s="88" t="s">
        <v>1030</v>
      </c>
      <c r="I16" s="88">
        <v>0</v>
      </c>
      <c r="J16" s="88">
        <v>0</v>
      </c>
      <c r="K16" s="88">
        <v>0</v>
      </c>
      <c r="L16" s="88">
        <v>0</v>
      </c>
      <c r="M16" s="88">
        <v>0</v>
      </c>
      <c r="N16" s="88">
        <v>0</v>
      </c>
      <c r="O16" s="88" t="s">
        <v>1027</v>
      </c>
      <c r="P16" s="88">
        <v>0</v>
      </c>
      <c r="Q16" s="88">
        <v>0</v>
      </c>
      <c r="R16" s="88" t="s">
        <v>1027</v>
      </c>
      <c r="S16" s="91" t="s">
        <v>1027</v>
      </c>
      <c r="T16" s="88" t="s">
        <v>1027</v>
      </c>
    </row>
    <row r="17" spans="2:22">
      <c r="B17" s="88" t="s">
        <v>1065</v>
      </c>
      <c r="C17" s="88">
        <v>15</v>
      </c>
      <c r="D17" s="88" t="s">
        <v>1066</v>
      </c>
      <c r="E17" s="89">
        <v>45534</v>
      </c>
      <c r="F17" s="88">
        <v>1</v>
      </c>
      <c r="G17" s="90">
        <v>1</v>
      </c>
      <c r="H17" s="88" t="s">
        <v>1033</v>
      </c>
      <c r="I17" s="88" t="s">
        <v>1027</v>
      </c>
      <c r="J17" s="88" t="s">
        <v>1027</v>
      </c>
      <c r="K17" s="88" t="s">
        <v>1027</v>
      </c>
      <c r="L17" s="88" t="s">
        <v>1027</v>
      </c>
      <c r="M17" s="88" t="s">
        <v>1027</v>
      </c>
      <c r="N17" s="88" t="s">
        <v>1027</v>
      </c>
      <c r="O17" s="88" t="s">
        <v>1027</v>
      </c>
      <c r="P17" s="88" t="s">
        <v>1027</v>
      </c>
      <c r="Q17" s="88" t="s">
        <v>1027</v>
      </c>
      <c r="R17" s="88" t="s">
        <v>1027</v>
      </c>
      <c r="S17" s="91" t="s">
        <v>1027</v>
      </c>
      <c r="T17" s="88" t="s">
        <v>1027</v>
      </c>
    </row>
    <row r="18" spans="2:22">
      <c r="B18" s="88" t="s">
        <v>1067</v>
      </c>
      <c r="C18" s="88">
        <v>16</v>
      </c>
      <c r="D18" s="88" t="s">
        <v>1066</v>
      </c>
      <c r="E18" s="89">
        <v>45534</v>
      </c>
      <c r="F18" s="88">
        <v>1</v>
      </c>
      <c r="G18" s="90">
        <v>1</v>
      </c>
      <c r="H18" s="94" t="s">
        <v>1033</v>
      </c>
      <c r="I18" s="88" t="s">
        <v>1027</v>
      </c>
      <c r="J18" s="88" t="s">
        <v>1027</v>
      </c>
      <c r="K18" s="88" t="s">
        <v>1027</v>
      </c>
      <c r="L18" s="88" t="s">
        <v>1027</v>
      </c>
      <c r="M18" s="88" t="s">
        <v>1027</v>
      </c>
      <c r="N18" s="88" t="s">
        <v>1027</v>
      </c>
      <c r="O18" s="88" t="s">
        <v>1027</v>
      </c>
      <c r="P18" s="88" t="s">
        <v>1027</v>
      </c>
      <c r="Q18" s="88" t="s">
        <v>1027</v>
      </c>
      <c r="R18" s="88" t="s">
        <v>1027</v>
      </c>
      <c r="S18" s="88" t="s">
        <v>1027</v>
      </c>
      <c r="T18" s="88" t="s">
        <v>1027</v>
      </c>
    </row>
    <row r="19" spans="2:22">
      <c r="B19" s="88" t="s">
        <v>1068</v>
      </c>
      <c r="C19" s="88">
        <v>19</v>
      </c>
      <c r="D19" s="88" t="s">
        <v>1069</v>
      </c>
      <c r="E19" s="89">
        <v>45534</v>
      </c>
      <c r="F19" s="88">
        <v>1</v>
      </c>
      <c r="G19" s="90" cm="1">
        <f t="array" aca="1" ref="G19" ca="1">SUMPRODUCT(--(ISNUMBER((SEARCH(I24:T24,I19:T19)))))/COUNTA(I19:T19)</f>
        <v>1</v>
      </c>
      <c r="H19" s="88" t="s">
        <v>1030</v>
      </c>
      <c r="I19" s="88" t="s">
        <v>1070</v>
      </c>
      <c r="J19" s="88" t="s">
        <v>1070</v>
      </c>
      <c r="K19" s="88" t="s">
        <v>1070</v>
      </c>
      <c r="L19" s="88" t="s">
        <v>1070</v>
      </c>
      <c r="M19" s="88" t="s">
        <v>1070</v>
      </c>
      <c r="N19" s="88" t="s">
        <v>1070</v>
      </c>
      <c r="O19" s="88" t="s">
        <v>1070</v>
      </c>
      <c r="P19" s="88" t="s">
        <v>1070</v>
      </c>
      <c r="Q19" s="88" t="s">
        <v>1070</v>
      </c>
      <c r="R19" s="88" t="s">
        <v>1070</v>
      </c>
      <c r="S19" s="88" t="s">
        <v>1070</v>
      </c>
      <c r="T19" s="88" t="s">
        <v>1071</v>
      </c>
    </row>
    <row r="20" spans="2:22">
      <c r="B20" s="91" t="s">
        <v>1072</v>
      </c>
      <c r="C20" s="88">
        <v>20</v>
      </c>
      <c r="D20" s="88" t="s">
        <v>1061</v>
      </c>
      <c r="E20" s="89">
        <v>45439</v>
      </c>
      <c r="F20" s="88">
        <v>2</v>
      </c>
      <c r="G20" s="90" cm="1">
        <f t="array" ref="G20">SUM(IF(I2:T2 = I23:T23, 1, 0))/ COUNTA(I2:T2)</f>
        <v>1</v>
      </c>
      <c r="H20" s="88" t="s">
        <v>1027</v>
      </c>
      <c r="I20" s="88" t="s">
        <v>1027</v>
      </c>
      <c r="J20" s="88" t="s">
        <v>1027</v>
      </c>
      <c r="K20" s="88" t="s">
        <v>1027</v>
      </c>
      <c r="L20" s="88" t="s">
        <v>1027</v>
      </c>
      <c r="M20" s="88" t="s">
        <v>1027</v>
      </c>
      <c r="N20" s="88" t="s">
        <v>1027</v>
      </c>
      <c r="O20" s="88" t="s">
        <v>1027</v>
      </c>
      <c r="P20" s="88" t="s">
        <v>1027</v>
      </c>
      <c r="Q20" s="88" t="s">
        <v>1027</v>
      </c>
      <c r="R20" s="88" t="s">
        <v>1027</v>
      </c>
      <c r="S20" s="88" t="s">
        <v>1027</v>
      </c>
      <c r="T20" s="88" t="s">
        <v>1027</v>
      </c>
    </row>
    <row r="21" spans="2:22">
      <c r="B21" s="88" t="s">
        <v>1073</v>
      </c>
      <c r="C21" s="88">
        <v>21</v>
      </c>
      <c r="D21" s="88" t="s">
        <v>1061</v>
      </c>
      <c r="E21" s="89">
        <v>45439</v>
      </c>
      <c r="F21" s="88">
        <v>2</v>
      </c>
      <c r="G21" s="90" cm="1">
        <f t="array" aca="1" ref="G21" ca="1">SUM(IF(IF(G3:G20="null",1,G3:G20)=1,1,0))/COUNT(IF(G3:G20="null",1,1))</f>
        <v>0.83333333333333337</v>
      </c>
      <c r="H21" s="88" t="s">
        <v>1027</v>
      </c>
      <c r="I21" s="88" t="s">
        <v>1027</v>
      </c>
      <c r="J21" s="88" t="s">
        <v>1027</v>
      </c>
      <c r="K21" s="88" t="s">
        <v>1027</v>
      </c>
      <c r="L21" s="88" t="s">
        <v>1027</v>
      </c>
      <c r="M21" s="88" t="s">
        <v>1027</v>
      </c>
      <c r="N21" s="88" t="s">
        <v>1027</v>
      </c>
      <c r="O21" s="88" t="s">
        <v>1027</v>
      </c>
      <c r="P21" s="88" t="s">
        <v>1027</v>
      </c>
      <c r="Q21" s="88" t="s">
        <v>1027</v>
      </c>
      <c r="R21" s="88" t="s">
        <v>1027</v>
      </c>
      <c r="S21" s="88" t="s">
        <v>1027</v>
      </c>
      <c r="T21" s="88" t="s">
        <v>1027</v>
      </c>
    </row>
    <row r="22" spans="2:22">
      <c r="B22" s="88"/>
      <c r="C22" s="88"/>
      <c r="D22" s="88"/>
      <c r="E22" s="89"/>
      <c r="F22" s="88"/>
      <c r="G22" s="88"/>
      <c r="H22" s="88"/>
      <c r="I22" s="88"/>
      <c r="J22" s="88"/>
      <c r="K22" s="88"/>
      <c r="L22" s="88"/>
      <c r="M22" s="88"/>
      <c r="N22" s="88"/>
      <c r="O22" s="88"/>
      <c r="P22" s="88"/>
      <c r="Q22" s="88"/>
      <c r="R22" s="88"/>
      <c r="S22" s="88"/>
      <c r="T22" s="88"/>
      <c r="U22" s="88"/>
    </row>
    <row r="23" spans="2:22">
      <c r="B23" s="95" t="s">
        <v>1017</v>
      </c>
      <c r="C23" s="96" t="s">
        <v>1018</v>
      </c>
      <c r="D23" s="96" t="s">
        <v>1019</v>
      </c>
      <c r="E23" s="96" t="s">
        <v>1020</v>
      </c>
      <c r="F23" s="96" t="s">
        <v>1021</v>
      </c>
      <c r="G23" s="96" t="s">
        <v>1022</v>
      </c>
      <c r="H23" s="96" t="s">
        <v>1023</v>
      </c>
      <c r="I23" s="96" t="str" cm="1">
        <f t="array" ref="I23:T23">TRANSPOSE(_xlfn.SORTBY(_xlfn._xlws.FILTER(Table2[NOME FÍSICO CAMPO],Table2[NOME FÍSICO TABELA]="branch_address"), _xlfn._xlws.FILTER(Table2[ORDEM],Table2[NOME FÍSICO TABELA]= "branch_address"), 1))</f>
        <v>branch_id</v>
      </c>
      <c r="J23" s="96" t="str">
        <v>district_code</v>
      </c>
      <c r="K23" s="96" t="str">
        <v>municipality_code</v>
      </c>
      <c r="L23" s="96" t="str">
        <v>civil_parish_code</v>
      </c>
      <c r="M23" s="96" t="str">
        <v>postal_code</v>
      </c>
      <c r="N23" s="96" t="str">
        <v>street_type_code</v>
      </c>
      <c r="O23" s="96" t="str">
        <v>street_name</v>
      </c>
      <c r="P23" s="96" t="str">
        <v>building_type_code</v>
      </c>
      <c r="Q23" s="96" t="str">
        <v>building_number</v>
      </c>
      <c r="R23" s="96" t="str">
        <v>building_details</v>
      </c>
      <c r="S23" s="96" t="str">
        <v>data_date_part</v>
      </c>
      <c r="T23" s="96" t="str">
        <v>data_timestamp_part</v>
      </c>
      <c r="U23" s="97"/>
      <c r="V23" s="98"/>
    </row>
    <row r="24" spans="2:22" ht="14.25" customHeight="1">
      <c r="B24" s="99" t="s">
        <v>1074</v>
      </c>
      <c r="C24" s="100">
        <v>21</v>
      </c>
      <c r="D24" s="101" t="s">
        <v>1075</v>
      </c>
      <c r="E24" s="102" t="s">
        <v>1076</v>
      </c>
      <c r="F24" s="102" t="s">
        <v>701</v>
      </c>
      <c r="G24" s="102" t="s">
        <v>701</v>
      </c>
      <c r="H24" s="102" t="s">
        <v>701</v>
      </c>
      <c r="I24" s="123" t="str" cm="1">
        <f t="array" aca="1" ref="I24:T25" ca="1">TRANSPOSE(_xlfn.SORTBY(_xlfn._xlws.FILTER(IF(Table2[FORMATO]:Table2[COMP_ CAMPO]&lt;&gt;"",Table2[FORMATO]:Table2[COMP_ CAMPO],9999999),Table2[NOME FÍSICO TABELA]="branch_address"), _xlfn._xlws.FILTER(Table2[ORDEM], Table2[NOME FÍSICO TABELA]="branch_address"), 1))</f>
        <v>STRING</v>
      </c>
      <c r="J24" s="102" t="str">
        <f ca="1"/>
        <v>STRING</v>
      </c>
      <c r="K24" s="102" t="str">
        <f ca="1"/>
        <v>STRING</v>
      </c>
      <c r="L24" s="102" t="str">
        <f ca="1"/>
        <v>STRING</v>
      </c>
      <c r="M24" s="102" t="str">
        <f ca="1"/>
        <v>STRING</v>
      </c>
      <c r="N24" s="102" t="str">
        <f ca="1"/>
        <v>STRING</v>
      </c>
      <c r="O24" s="102" t="str">
        <f ca="1"/>
        <v>STRING</v>
      </c>
      <c r="P24" s="102" t="str">
        <f ca="1"/>
        <v>STRING</v>
      </c>
      <c r="Q24" s="102" t="str">
        <f ca="1"/>
        <v>STRING</v>
      </c>
      <c r="R24" s="102" t="str">
        <f ca="1"/>
        <v>STRING</v>
      </c>
      <c r="S24" s="102" t="str">
        <f ca="1"/>
        <v>STRING</v>
      </c>
      <c r="T24" s="102" t="str">
        <f ca="1"/>
        <v>TIMESTAMP</v>
      </c>
      <c r="U24" s="104"/>
    </row>
    <row r="25" spans="2:22">
      <c r="B25" s="99" t="s">
        <v>1077</v>
      </c>
      <c r="C25" s="100">
        <v>7</v>
      </c>
      <c r="D25" s="101" t="s">
        <v>1075</v>
      </c>
      <c r="E25" s="102" t="s">
        <v>1076</v>
      </c>
      <c r="F25" s="105" t="s">
        <v>701</v>
      </c>
      <c r="G25" s="105" t="s">
        <v>701</v>
      </c>
      <c r="H25" s="105" t="s">
        <v>701</v>
      </c>
      <c r="I25" s="103">
        <f ca="1"/>
        <v>4</v>
      </c>
      <c r="J25" s="103">
        <f ca="1"/>
        <v>6</v>
      </c>
      <c r="K25" s="103">
        <f ca="1"/>
        <v>6</v>
      </c>
      <c r="L25" s="103">
        <f ca="1"/>
        <v>6</v>
      </c>
      <c r="M25" s="103">
        <f ca="1"/>
        <v>7</v>
      </c>
      <c r="N25" s="103">
        <f ca="1"/>
        <v>4</v>
      </c>
      <c r="O25" s="103">
        <f ca="1"/>
        <v>9999999</v>
      </c>
      <c r="P25" s="103">
        <f ca="1"/>
        <v>4</v>
      </c>
      <c r="Q25" s="103">
        <f ca="1"/>
        <v>9999999</v>
      </c>
      <c r="R25" s="103">
        <f ca="1"/>
        <v>9999999</v>
      </c>
      <c r="S25" s="103">
        <f ca="1"/>
        <v>10</v>
      </c>
      <c r="T25" s="103">
        <f ca="1"/>
        <v>23</v>
      </c>
      <c r="U25" s="106"/>
      <c r="V25" s="107"/>
    </row>
    <row r="27" spans="2:22">
      <c r="B27" s="108" t="s">
        <v>1078</v>
      </c>
    </row>
    <row r="28" spans="2:22">
      <c r="B28" s="109" t="s">
        <v>1079</v>
      </c>
      <c r="C28" s="109" t="s">
        <v>1080</v>
      </c>
      <c r="D28" s="110" t="s">
        <v>1081</v>
      </c>
      <c r="E28" s="109" t="s">
        <v>1082</v>
      </c>
      <c r="F28" s="109" t="s">
        <v>1083</v>
      </c>
    </row>
    <row r="29" spans="2:22" ht="30.75">
      <c r="B29" s="111" t="s">
        <v>1084</v>
      </c>
      <c r="C29" s="112" t="s">
        <v>748</v>
      </c>
      <c r="D29" s="85" t="s">
        <v>1085</v>
      </c>
      <c r="E29" s="91" t="s">
        <v>1086</v>
      </c>
      <c r="F29" s="113"/>
    </row>
    <row r="30" spans="2:22" ht="30.75">
      <c r="B30" s="114"/>
      <c r="C30" s="115" t="s">
        <v>1087</v>
      </c>
      <c r="D30" s="116"/>
      <c r="E30" s="91" t="s">
        <v>1086</v>
      </c>
      <c r="F30" s="118"/>
    </row>
    <row r="31" spans="2:22" ht="30.75">
      <c r="B31" s="114"/>
      <c r="C31" s="115" t="s">
        <v>710</v>
      </c>
      <c r="D31" s="116"/>
      <c r="E31" s="91" t="s">
        <v>1086</v>
      </c>
      <c r="F31" s="118"/>
    </row>
    <row r="32" spans="2:22" ht="30.75">
      <c r="B32" s="111"/>
      <c r="C32" s="112" t="s">
        <v>714</v>
      </c>
      <c r="D32" s="85"/>
      <c r="E32" s="91" t="s">
        <v>1086</v>
      </c>
      <c r="F32" s="119"/>
    </row>
    <row r="33" spans="2:6" ht="30.75">
      <c r="B33" s="111"/>
      <c r="C33" s="112" t="s">
        <v>718</v>
      </c>
      <c r="D33" s="85"/>
      <c r="E33" s="117" t="s">
        <v>1088</v>
      </c>
      <c r="F33" s="119"/>
    </row>
    <row r="34" spans="2:6">
      <c r="B34" s="120"/>
      <c r="C34" s="121"/>
      <c r="D34" s="122"/>
      <c r="E34" s="91"/>
      <c r="F34" s="119"/>
    </row>
  </sheetData>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5"/>
  <cols>
    <col min="1" max="1" width="56.5703125" customWidth="1"/>
    <col min="2" max="2" width="16.42578125" customWidth="1"/>
  </cols>
  <sheetData>
    <row r="1" spans="1:2">
      <c r="A1" s="63" t="s">
        <v>1089</v>
      </c>
      <c r="B1" s="63" t="s">
        <v>1090</v>
      </c>
    </row>
    <row r="2" spans="1:2">
      <c r="A2" s="64" t="s">
        <v>1091</v>
      </c>
      <c r="B2" s="64" t="s">
        <v>1092</v>
      </c>
    </row>
    <row r="3" spans="1:2">
      <c r="A3" s="64" t="s">
        <v>1093</v>
      </c>
      <c r="B3" s="64" t="s">
        <v>1094</v>
      </c>
    </row>
    <row r="4" spans="1:2">
      <c r="A4" s="64" t="s">
        <v>1095</v>
      </c>
      <c r="B4" s="65" t="s">
        <v>1096</v>
      </c>
    </row>
    <row r="5" spans="1:2">
      <c r="A5" s="64" t="s">
        <v>1097</v>
      </c>
      <c r="B5" s="64" t="s">
        <v>1098</v>
      </c>
    </row>
    <row r="6" spans="1:2">
      <c r="A6" s="64" t="s">
        <v>1099</v>
      </c>
      <c r="B6" s="64" t="s">
        <v>1100</v>
      </c>
    </row>
    <row r="7" spans="1:2">
      <c r="A7" s="64" t="s">
        <v>1101</v>
      </c>
      <c r="B7" s="64" t="s">
        <v>1102</v>
      </c>
    </row>
    <row r="8" spans="1:2">
      <c r="A8" s="64" t="s">
        <v>1103</v>
      </c>
      <c r="B8" s="64" t="s">
        <v>1104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4AFF3351-9CD3-450E-B45B-A6A0D84A58F9}"/>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2024-10-14T09:07:56Z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